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327"/>
  <workbookPr/>
  <mc:AlternateContent xmlns:mc="http://schemas.openxmlformats.org/markup-compatibility/2006">
    <mc:Choice Requires="x15">
      <x15ac:absPath xmlns:x15ac="http://schemas.microsoft.com/office/spreadsheetml/2010/11/ac" url="https://harpiagold.sharepoint.com/sites/GERENCIAMENTODEMINAEPLANTA/Documentos Compartilhados/02. Planta/2026/Julho/"/>
    </mc:Choice>
  </mc:AlternateContent>
  <xr:revisionPtr revIDLastSave="14874" documentId="8_{AF585B22-221D-4780-BB9C-493D365A6A02}" xr6:coauthVersionLast="47" xr6:coauthVersionMax="47" xr10:uidLastSave="{0F279731-47D8-4E24-8B21-7EFC9417FF59}"/>
  <bookViews>
    <workbookView xWindow="-110" yWindow="-110" windowWidth="25820" windowHeight="15500" tabRatio="500" firstSheet="5" activeTab="2" xr2:uid="{00000000-000D-0000-FFFF-FFFF00000000}"/>
  </bookViews>
  <sheets>
    <sheet name="Resumo" sheetId="1" r:id="rId1"/>
    <sheet name="Cadastro" sheetId="2" r:id="rId2"/>
    <sheet name="Britador" sheetId="3" r:id="rId3"/>
    <sheet name="Linha 1" sheetId="4" r:id="rId4"/>
    <sheet name="Linha 2" sheetId="5" r:id="rId5"/>
    <sheet name="Linha 3" sheetId="6" r:id="rId6"/>
  </sheets>
  <definedNames>
    <definedName name="Desc_">Cadastro!$O$1:$O$1</definedName>
    <definedName name="Desc_Corretiva_eletrica">Cadastro!$J$4:$J$75</definedName>
    <definedName name="Desc_Corretiva_mecanica">Cadastro!$K$4:$K$75</definedName>
    <definedName name="Desc_Inspecao">Cadastro!#REF!</definedName>
    <definedName name="Desc_Operacional">Cadastro!$M$4:$M$75</definedName>
    <definedName name="Desc_Preventiva">Cadastro!$I$4:$I$75</definedName>
    <definedName name="Desc_Troca_de_componente_de_desgaste">Cadastro!$L$4:$L$75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loext="http://schemas.libreoffice.org/" uri="{7626C862-2A13-11E5-B345-FEFF819CDC9F}">
      <loext:extCalcPr stringRefSyntax="ExcelA1"/>
    </ext>
  </extLst>
</workbook>
</file>

<file path=xl/calcChain.xml><?xml version="1.0" encoding="utf-8"?>
<calcChain xmlns="http://schemas.openxmlformats.org/spreadsheetml/2006/main">
  <c r="G812" i="6" l="1"/>
  <c r="M812" i="6"/>
  <c r="B813" i="6"/>
  <c r="G813" i="6"/>
  <c r="M813" i="6"/>
  <c r="B814" i="6"/>
  <c r="G814" i="6"/>
  <c r="M814" i="6"/>
  <c r="B815" i="6"/>
  <c r="G815" i="6"/>
  <c r="M815" i="6"/>
  <c r="B816" i="6"/>
  <c r="G816" i="6"/>
  <c r="M816" i="6"/>
  <c r="B817" i="6"/>
  <c r="G817" i="6"/>
  <c r="M817" i="6"/>
  <c r="B818" i="6"/>
  <c r="G818" i="6"/>
  <c r="M818" i="6"/>
  <c r="B819" i="6"/>
  <c r="G819" i="6"/>
  <c r="M819" i="6"/>
  <c r="B820" i="6"/>
  <c r="G820" i="6"/>
  <c r="M820" i="6"/>
  <c r="B821" i="6"/>
  <c r="G821" i="6"/>
  <c r="M821" i="6"/>
  <c r="B822" i="6"/>
  <c r="G822" i="6"/>
  <c r="M822" i="6"/>
  <c r="B823" i="6"/>
  <c r="G823" i="6"/>
  <c r="M823" i="6"/>
  <c r="E824" i="6"/>
  <c r="F824" i="6"/>
  <c r="G824" i="6"/>
  <c r="M824" i="6"/>
  <c r="G825" i="6"/>
  <c r="M825" i="6"/>
  <c r="B826" i="6"/>
  <c r="G826" i="6"/>
  <c r="M826" i="6"/>
  <c r="B827" i="6"/>
  <c r="G827" i="6"/>
  <c r="M827" i="6"/>
  <c r="B828" i="6"/>
  <c r="G828" i="6"/>
  <c r="M828" i="6"/>
  <c r="B829" i="6"/>
  <c r="G829" i="6"/>
  <c r="M829" i="6"/>
  <c r="B830" i="6"/>
  <c r="G830" i="6"/>
  <c r="M830" i="6"/>
  <c r="B831" i="6"/>
  <c r="G831" i="6"/>
  <c r="M831" i="6"/>
  <c r="B832" i="6"/>
  <c r="G832" i="6"/>
  <c r="M832" i="6"/>
  <c r="B833" i="6"/>
  <c r="G833" i="6"/>
  <c r="M833" i="6"/>
  <c r="B834" i="6"/>
  <c r="G834" i="6"/>
  <c r="M834" i="6"/>
  <c r="B835" i="6"/>
  <c r="G835" i="6"/>
  <c r="M835" i="6"/>
  <c r="B836" i="6"/>
  <c r="G836" i="6"/>
  <c r="M836" i="6"/>
  <c r="E837" i="6"/>
  <c r="F837" i="6"/>
  <c r="G837" i="6"/>
  <c r="M837" i="6"/>
  <c r="E838" i="6"/>
  <c r="F838" i="6"/>
  <c r="G838" i="6"/>
  <c r="M838" i="6"/>
  <c r="O838" i="6"/>
  <c r="G812" i="5"/>
  <c r="M812" i="5"/>
  <c r="B813" i="5"/>
  <c r="G813" i="5"/>
  <c r="M813" i="5"/>
  <c r="B814" i="5"/>
  <c r="G814" i="5"/>
  <c r="M814" i="5"/>
  <c r="B815" i="5"/>
  <c r="G815" i="5"/>
  <c r="M815" i="5"/>
  <c r="B816" i="5"/>
  <c r="G816" i="5"/>
  <c r="M816" i="5"/>
  <c r="B817" i="5"/>
  <c r="G817" i="5"/>
  <c r="M817" i="5"/>
  <c r="B818" i="5"/>
  <c r="G818" i="5"/>
  <c r="M818" i="5"/>
  <c r="B819" i="5"/>
  <c r="G819" i="5"/>
  <c r="M819" i="5"/>
  <c r="B820" i="5"/>
  <c r="G820" i="5"/>
  <c r="M820" i="5"/>
  <c r="B821" i="5"/>
  <c r="G821" i="5"/>
  <c r="M821" i="5"/>
  <c r="B822" i="5"/>
  <c r="G822" i="5"/>
  <c r="M822" i="5"/>
  <c r="B823" i="5"/>
  <c r="G823" i="5"/>
  <c r="M823" i="5"/>
  <c r="E824" i="5"/>
  <c r="F824" i="5"/>
  <c r="G824" i="5"/>
  <c r="M824" i="5"/>
  <c r="G825" i="5"/>
  <c r="M825" i="5"/>
  <c r="B826" i="5"/>
  <c r="G826" i="5"/>
  <c r="M826" i="5"/>
  <c r="B827" i="5"/>
  <c r="G827" i="5"/>
  <c r="M827" i="5"/>
  <c r="B828" i="5"/>
  <c r="G828" i="5"/>
  <c r="M828" i="5"/>
  <c r="B829" i="5"/>
  <c r="G829" i="5"/>
  <c r="M829" i="5"/>
  <c r="B830" i="5"/>
  <c r="G830" i="5"/>
  <c r="M830" i="5"/>
  <c r="B831" i="5"/>
  <c r="G831" i="5"/>
  <c r="M831" i="5"/>
  <c r="B832" i="5"/>
  <c r="G832" i="5"/>
  <c r="M832" i="5"/>
  <c r="B833" i="5"/>
  <c r="G833" i="5"/>
  <c r="M833" i="5"/>
  <c r="B834" i="5"/>
  <c r="G834" i="5"/>
  <c r="M834" i="5"/>
  <c r="B835" i="5"/>
  <c r="G835" i="5"/>
  <c r="M835" i="5"/>
  <c r="B836" i="5"/>
  <c r="G836" i="5"/>
  <c r="M836" i="5"/>
  <c r="E837" i="5"/>
  <c r="F837" i="5"/>
  <c r="G837" i="5"/>
  <c r="M837" i="5"/>
  <c r="E838" i="5"/>
  <c r="F838" i="5"/>
  <c r="G838" i="5"/>
  <c r="M838" i="5"/>
  <c r="O838" i="5"/>
  <c r="G812" i="4"/>
  <c r="M812" i="4"/>
  <c r="B813" i="4"/>
  <c r="G813" i="4"/>
  <c r="M813" i="4"/>
  <c r="B814" i="4"/>
  <c r="G814" i="4"/>
  <c r="M814" i="4"/>
  <c r="B815" i="4"/>
  <c r="G815" i="4"/>
  <c r="M815" i="4"/>
  <c r="B816" i="4"/>
  <c r="G816" i="4"/>
  <c r="M816" i="4"/>
  <c r="B817" i="4"/>
  <c r="G817" i="4"/>
  <c r="M817" i="4"/>
  <c r="B818" i="4"/>
  <c r="G818" i="4"/>
  <c r="M818" i="4"/>
  <c r="B819" i="4"/>
  <c r="G819" i="4"/>
  <c r="M819" i="4"/>
  <c r="B820" i="4"/>
  <c r="G820" i="4"/>
  <c r="M820" i="4"/>
  <c r="B821" i="4"/>
  <c r="G821" i="4"/>
  <c r="M821" i="4"/>
  <c r="B822" i="4"/>
  <c r="G822" i="4"/>
  <c r="M822" i="4"/>
  <c r="B823" i="4"/>
  <c r="G823" i="4"/>
  <c r="M823" i="4"/>
  <c r="E824" i="4"/>
  <c r="F824" i="4"/>
  <c r="G824" i="4"/>
  <c r="M824" i="4"/>
  <c r="G825" i="4"/>
  <c r="M825" i="4"/>
  <c r="B826" i="4"/>
  <c r="G826" i="4"/>
  <c r="M826" i="4"/>
  <c r="B827" i="4"/>
  <c r="G827" i="4"/>
  <c r="M827" i="4"/>
  <c r="B828" i="4"/>
  <c r="G828" i="4"/>
  <c r="M828" i="4"/>
  <c r="B829" i="4"/>
  <c r="G829" i="4"/>
  <c r="M829" i="4"/>
  <c r="B830" i="4"/>
  <c r="G830" i="4"/>
  <c r="M830" i="4"/>
  <c r="B831" i="4"/>
  <c r="G831" i="4"/>
  <c r="M831" i="4"/>
  <c r="B832" i="4"/>
  <c r="G832" i="4"/>
  <c r="M832" i="4"/>
  <c r="B833" i="4"/>
  <c r="G833" i="4"/>
  <c r="M833" i="4"/>
  <c r="B834" i="4"/>
  <c r="G834" i="4"/>
  <c r="M834" i="4"/>
  <c r="B835" i="4"/>
  <c r="G835" i="4"/>
  <c r="M835" i="4"/>
  <c r="B836" i="4"/>
  <c r="G836" i="4"/>
  <c r="M836" i="4"/>
  <c r="E837" i="4"/>
  <c r="F837" i="4"/>
  <c r="G837" i="4"/>
  <c r="M837" i="4"/>
  <c r="E838" i="4"/>
  <c r="F838" i="4"/>
  <c r="G838" i="4"/>
  <c r="M838" i="4"/>
  <c r="O838" i="4"/>
  <c r="M812" i="3"/>
  <c r="B813" i="3"/>
  <c r="M813" i="3"/>
  <c r="B814" i="3"/>
  <c r="M814" i="3"/>
  <c r="B815" i="3"/>
  <c r="M815" i="3"/>
  <c r="B816" i="3"/>
  <c r="M816" i="3"/>
  <c r="B817" i="3"/>
  <c r="M817" i="3"/>
  <c r="B818" i="3"/>
  <c r="M818" i="3"/>
  <c r="B819" i="3"/>
  <c r="M819" i="3"/>
  <c r="B820" i="3"/>
  <c r="M820" i="3"/>
  <c r="B821" i="3"/>
  <c r="M821" i="3"/>
  <c r="B822" i="3"/>
  <c r="M822" i="3"/>
  <c r="B823" i="3"/>
  <c r="M823" i="3"/>
  <c r="E824" i="3"/>
  <c r="F824" i="3"/>
  <c r="M824" i="3"/>
  <c r="G825" i="3"/>
  <c r="M825" i="3"/>
  <c r="B826" i="3"/>
  <c r="G826" i="3"/>
  <c r="M826" i="3"/>
  <c r="B827" i="3"/>
  <c r="G827" i="3"/>
  <c r="M827" i="3"/>
  <c r="B828" i="3"/>
  <c r="G828" i="3"/>
  <c r="M828" i="3"/>
  <c r="B829" i="3"/>
  <c r="G829" i="3"/>
  <c r="M829" i="3"/>
  <c r="B830" i="3"/>
  <c r="G830" i="3"/>
  <c r="M830" i="3"/>
  <c r="B831" i="3"/>
  <c r="G831" i="3"/>
  <c r="M831" i="3"/>
  <c r="B832" i="3"/>
  <c r="G832" i="3"/>
  <c r="M832" i="3"/>
  <c r="B833" i="3"/>
  <c r="G833" i="3"/>
  <c r="M833" i="3"/>
  <c r="B834" i="3"/>
  <c r="G834" i="3"/>
  <c r="M834" i="3"/>
  <c r="B835" i="3"/>
  <c r="G835" i="3"/>
  <c r="M835" i="3"/>
  <c r="B836" i="3"/>
  <c r="G836" i="3"/>
  <c r="M836" i="3"/>
  <c r="E837" i="3"/>
  <c r="F837" i="3"/>
  <c r="G837" i="3"/>
  <c r="M837" i="3"/>
  <c r="E838" i="3"/>
  <c r="F838" i="3"/>
  <c r="G838" i="3"/>
  <c r="M838" i="3"/>
  <c r="O838" i="3"/>
  <c r="G799" i="6"/>
  <c r="G800" i="6"/>
  <c r="G801" i="6"/>
  <c r="G802" i="6"/>
  <c r="G803" i="6"/>
  <c r="G804" i="6"/>
  <c r="G805" i="6"/>
  <c r="G806" i="6"/>
  <c r="G807" i="6"/>
  <c r="G808" i="6"/>
  <c r="G809" i="6"/>
  <c r="G798" i="6"/>
  <c r="G799" i="5"/>
  <c r="G800" i="5"/>
  <c r="G801" i="5"/>
  <c r="G802" i="5"/>
  <c r="G803" i="5"/>
  <c r="G804" i="5"/>
  <c r="G805" i="5"/>
  <c r="G806" i="5"/>
  <c r="G807" i="5"/>
  <c r="G808" i="5"/>
  <c r="G809" i="5"/>
  <c r="G798" i="5"/>
  <c r="G799" i="4"/>
  <c r="G800" i="4"/>
  <c r="G801" i="4"/>
  <c r="G802" i="4"/>
  <c r="G803" i="4"/>
  <c r="G804" i="4"/>
  <c r="G805" i="4"/>
  <c r="G806" i="4"/>
  <c r="G807" i="4"/>
  <c r="G808" i="4"/>
  <c r="G809" i="4"/>
  <c r="G798" i="4"/>
  <c r="G797" i="4"/>
  <c r="G796" i="4"/>
  <c r="G798" i="3"/>
  <c r="G799" i="3"/>
  <c r="G800" i="3"/>
  <c r="G801" i="3"/>
  <c r="G802" i="3"/>
  <c r="G803" i="3"/>
  <c r="G804" i="3"/>
  <c r="G805" i="3"/>
  <c r="G806" i="3"/>
  <c r="G807" i="3"/>
  <c r="G808" i="3"/>
  <c r="G809" i="3"/>
  <c r="G786" i="6"/>
  <c r="G787" i="6"/>
  <c r="G788" i="6"/>
  <c r="G789" i="6"/>
  <c r="G790" i="6"/>
  <c r="G791" i="6"/>
  <c r="G792" i="6"/>
  <c r="G793" i="6"/>
  <c r="G794" i="6"/>
  <c r="G795" i="6"/>
  <c r="G796" i="6"/>
  <c r="G785" i="6"/>
  <c r="G786" i="4"/>
  <c r="G787" i="4"/>
  <c r="G788" i="4"/>
  <c r="G789" i="4"/>
  <c r="G790" i="4"/>
  <c r="G791" i="4"/>
  <c r="G792" i="4"/>
  <c r="G793" i="4"/>
  <c r="G794" i="4"/>
  <c r="G795" i="4"/>
  <c r="G785" i="4"/>
  <c r="G786" i="5"/>
  <c r="G787" i="5"/>
  <c r="G788" i="5"/>
  <c r="G789" i="5"/>
  <c r="G790" i="5"/>
  <c r="G791" i="5"/>
  <c r="G792" i="5"/>
  <c r="G793" i="5"/>
  <c r="G794" i="5"/>
  <c r="G795" i="5"/>
  <c r="G796" i="5"/>
  <c r="G785" i="5"/>
  <c r="G782" i="5"/>
  <c r="G773" i="3"/>
  <c r="G775" i="3"/>
  <c r="G774" i="3"/>
  <c r="G741" i="5"/>
  <c r="G742" i="5"/>
  <c r="E689" i="4"/>
  <c r="O703" i="4"/>
  <c r="G686" i="6"/>
  <c r="G686" i="5"/>
  <c r="M623" i="4"/>
  <c r="M624" i="4"/>
  <c r="G640" i="3"/>
  <c r="O595" i="6"/>
  <c r="G466" i="3"/>
  <c r="G412" i="4"/>
  <c r="G413" i="4"/>
  <c r="G414" i="4"/>
  <c r="F405" i="3"/>
  <c r="G313" i="3"/>
  <c r="G314" i="3"/>
  <c r="G315" i="3"/>
  <c r="G316" i="3"/>
  <c r="G317" i="3"/>
  <c r="G318" i="3"/>
  <c r="G319" i="3"/>
  <c r="G320" i="3"/>
  <c r="G321" i="3"/>
  <c r="G322" i="3"/>
  <c r="G323" i="3"/>
  <c r="G312" i="3"/>
  <c r="F284" i="5"/>
  <c r="F270" i="4"/>
  <c r="G181" i="5"/>
  <c r="M125" i="4"/>
  <c r="O109" i="3"/>
  <c r="G98" i="6"/>
  <c r="G99" i="6"/>
  <c r="G100" i="6"/>
  <c r="G101" i="6"/>
  <c r="G102" i="6"/>
  <c r="G103" i="6"/>
  <c r="G104" i="6"/>
  <c r="G105" i="6"/>
  <c r="G106" i="6"/>
  <c r="G107" i="6"/>
  <c r="M44" i="4"/>
  <c r="M43" i="4"/>
  <c r="M45" i="4"/>
  <c r="M46" i="4"/>
  <c r="M47" i="4"/>
  <c r="M48" i="4"/>
  <c r="M49" i="4"/>
  <c r="M50" i="4"/>
  <c r="M51" i="4"/>
  <c r="M52" i="4"/>
  <c r="M53" i="4"/>
  <c r="M42" i="3"/>
  <c r="M43" i="3"/>
  <c r="M44" i="3"/>
  <c r="M45" i="3"/>
  <c r="M46" i="3"/>
  <c r="M47" i="3"/>
  <c r="M48" i="3"/>
  <c r="M49" i="3"/>
  <c r="M50" i="3"/>
  <c r="M51" i="3"/>
  <c r="M52" i="3"/>
  <c r="M48" i="6"/>
  <c r="M49" i="6"/>
  <c r="M50" i="6"/>
  <c r="M51" i="6"/>
  <c r="M52" i="6"/>
  <c r="M53" i="6"/>
  <c r="M42" i="6"/>
  <c r="M43" i="6"/>
  <c r="M44" i="6"/>
  <c r="M45" i="6"/>
  <c r="M46" i="6"/>
  <c r="M47" i="6"/>
  <c r="M16" i="6"/>
  <c r="M15" i="5"/>
  <c r="O28" i="4"/>
  <c r="M26" i="5"/>
  <c r="M16" i="5"/>
  <c r="M17" i="5"/>
  <c r="M18" i="5"/>
  <c r="M19" i="5"/>
  <c r="M20" i="5"/>
  <c r="M21" i="5"/>
  <c r="M22" i="5"/>
  <c r="M23" i="5"/>
  <c r="M24" i="5"/>
  <c r="G24" i="3"/>
  <c r="G23" i="4"/>
  <c r="M15" i="4"/>
  <c r="M16" i="4"/>
  <c r="M17" i="4"/>
  <c r="M18" i="4"/>
  <c r="M19" i="4"/>
  <c r="M20" i="4"/>
  <c r="M21" i="4"/>
  <c r="M22" i="4"/>
  <c r="M23" i="4"/>
  <c r="M24" i="4"/>
  <c r="M25" i="4"/>
  <c r="G16" i="3"/>
  <c r="G17" i="3"/>
  <c r="G18" i="3"/>
  <c r="G19" i="3"/>
  <c r="G20" i="3"/>
  <c r="G21" i="3"/>
  <c r="G22" i="3"/>
  <c r="G23" i="3"/>
  <c r="G25" i="3"/>
  <c r="G26" i="3"/>
  <c r="G26" i="4"/>
  <c r="G17" i="4"/>
  <c r="G18" i="4"/>
  <c r="G19" i="4"/>
  <c r="G20" i="4"/>
  <c r="G21" i="4"/>
  <c r="G22" i="4"/>
  <c r="G24" i="4"/>
  <c r="G25" i="4"/>
  <c r="G16" i="4"/>
  <c r="G15" i="3"/>
  <c r="G27" i="3"/>
  <c r="G9" i="4"/>
  <c r="G10" i="4"/>
  <c r="G11" i="4"/>
  <c r="G12" i="4"/>
  <c r="G13" i="4"/>
  <c r="M2" i="3"/>
  <c r="F810" i="3"/>
  <c r="F797" i="3"/>
  <c r="F811" i="3" s="1"/>
  <c r="F783" i="3"/>
  <c r="G782" i="3"/>
  <c r="G781" i="3"/>
  <c r="G780" i="3"/>
  <c r="G779" i="3"/>
  <c r="G778" i="3"/>
  <c r="G777" i="3"/>
  <c r="G776" i="3"/>
  <c r="G772" i="3"/>
  <c r="G771" i="3"/>
  <c r="F770" i="3"/>
  <c r="F784" i="3" s="1"/>
  <c r="G769" i="3"/>
  <c r="G768" i="3"/>
  <c r="G767" i="3"/>
  <c r="G766" i="3"/>
  <c r="G765" i="3"/>
  <c r="G764" i="3"/>
  <c r="G763" i="3"/>
  <c r="G762" i="3"/>
  <c r="G761" i="3"/>
  <c r="G760" i="3"/>
  <c r="G759" i="3"/>
  <c r="G758" i="3"/>
  <c r="G770" i="3" s="1"/>
  <c r="F756" i="3"/>
  <c r="G755" i="3"/>
  <c r="G754" i="3"/>
  <c r="G753" i="3"/>
  <c r="G752" i="3"/>
  <c r="G751" i="3"/>
  <c r="G750" i="3"/>
  <c r="G749" i="3"/>
  <c r="G748" i="3"/>
  <c r="G747" i="3"/>
  <c r="G746" i="3"/>
  <c r="G745" i="3"/>
  <c r="G744" i="3"/>
  <c r="G756" i="3" s="1"/>
  <c r="F743" i="3"/>
  <c r="G742" i="3"/>
  <c r="G741" i="3"/>
  <c r="G740" i="3"/>
  <c r="G739" i="3"/>
  <c r="G738" i="3"/>
  <c r="G737" i="3"/>
  <c r="G736" i="3"/>
  <c r="G735" i="3"/>
  <c r="G734" i="3"/>
  <c r="G733" i="3"/>
  <c r="G732" i="3"/>
  <c r="G731" i="3"/>
  <c r="F729" i="3"/>
  <c r="G728" i="3"/>
  <c r="G727" i="3"/>
  <c r="G726" i="3"/>
  <c r="G725" i="3"/>
  <c r="G724" i="3"/>
  <c r="G723" i="3"/>
  <c r="G722" i="3"/>
  <c r="G721" i="3"/>
  <c r="G720" i="3"/>
  <c r="G719" i="3"/>
  <c r="G718" i="3"/>
  <c r="G717" i="3"/>
  <c r="G729" i="3" s="1"/>
  <c r="F716" i="3"/>
  <c r="F730" i="3" s="1"/>
  <c r="G715" i="3"/>
  <c r="G714" i="3"/>
  <c r="G713" i="3"/>
  <c r="G712" i="3"/>
  <c r="G711" i="3"/>
  <c r="G710" i="3"/>
  <c r="G709" i="3"/>
  <c r="G708" i="3"/>
  <c r="G707" i="3"/>
  <c r="G706" i="3"/>
  <c r="G705" i="3"/>
  <c r="G704" i="3"/>
  <c r="G716" i="3" s="1"/>
  <c r="G730" i="3" s="1"/>
  <c r="F702" i="3"/>
  <c r="G701" i="3"/>
  <c r="G700" i="3"/>
  <c r="G699" i="3"/>
  <c r="G698" i="3"/>
  <c r="G697" i="3"/>
  <c r="G696" i="3"/>
  <c r="G695" i="3"/>
  <c r="G694" i="3"/>
  <c r="G693" i="3"/>
  <c r="G692" i="3"/>
  <c r="G691" i="3"/>
  <c r="G690" i="3"/>
  <c r="F689" i="3"/>
  <c r="G688" i="3"/>
  <c r="G687" i="3"/>
  <c r="G686" i="3"/>
  <c r="G685" i="3"/>
  <c r="G684" i="3"/>
  <c r="G683" i="3"/>
  <c r="G682" i="3"/>
  <c r="G681" i="3"/>
  <c r="G680" i="3"/>
  <c r="G679" i="3"/>
  <c r="G678" i="3"/>
  <c r="G677" i="3"/>
  <c r="G689" i="3" s="1"/>
  <c r="F675" i="3"/>
  <c r="G674" i="3"/>
  <c r="G673" i="3"/>
  <c r="G672" i="3"/>
  <c r="G671" i="3"/>
  <c r="G670" i="3"/>
  <c r="G669" i="3"/>
  <c r="G668" i="3"/>
  <c r="G667" i="3"/>
  <c r="G666" i="3"/>
  <c r="G665" i="3"/>
  <c r="G664" i="3"/>
  <c r="G663" i="3"/>
  <c r="G675" i="3" s="1"/>
  <c r="F662" i="3"/>
  <c r="F676" i="3" s="1"/>
  <c r="G661" i="3"/>
  <c r="G660" i="3"/>
  <c r="G659" i="3"/>
  <c r="G658" i="3"/>
  <c r="G657" i="3"/>
  <c r="G656" i="3"/>
  <c r="G655" i="3"/>
  <c r="G654" i="3"/>
  <c r="G653" i="3"/>
  <c r="G652" i="3"/>
  <c r="G651" i="3"/>
  <c r="G650" i="3"/>
  <c r="F648" i="3"/>
  <c r="G647" i="3"/>
  <c r="G646" i="3"/>
  <c r="G645" i="3"/>
  <c r="G644" i="3"/>
  <c r="G643" i="3"/>
  <c r="G642" i="3"/>
  <c r="G641" i="3"/>
  <c r="G639" i="3"/>
  <c r="G638" i="3"/>
  <c r="G637" i="3"/>
  <c r="G636" i="3"/>
  <c r="G648" i="3" s="1"/>
  <c r="F635" i="3"/>
  <c r="G634" i="3"/>
  <c r="G633" i="3"/>
  <c r="G632" i="3"/>
  <c r="G631" i="3"/>
  <c r="G630" i="3"/>
  <c r="G629" i="3"/>
  <c r="G628" i="3"/>
  <c r="G627" i="3"/>
  <c r="G626" i="3"/>
  <c r="G625" i="3"/>
  <c r="G624" i="3"/>
  <c r="G623" i="3"/>
  <c r="G635" i="3" s="1"/>
  <c r="G649" i="3" s="1"/>
  <c r="F621" i="3"/>
  <c r="G620" i="3"/>
  <c r="G619" i="3"/>
  <c r="G618" i="3"/>
  <c r="G617" i="3"/>
  <c r="G616" i="3"/>
  <c r="G614" i="3"/>
  <c r="G613" i="3"/>
  <c r="G612" i="3"/>
  <c r="G611" i="3"/>
  <c r="G610" i="3"/>
  <c r="G609" i="3"/>
  <c r="F608" i="3"/>
  <c r="F622" i="3" s="1"/>
  <c r="G607" i="3"/>
  <c r="G606" i="3"/>
  <c r="G605" i="3"/>
  <c r="G604" i="3"/>
  <c r="G603" i="3"/>
  <c r="G602" i="3"/>
  <c r="G601" i="3"/>
  <c r="G600" i="3"/>
  <c r="G599" i="3"/>
  <c r="G598" i="3"/>
  <c r="G597" i="3"/>
  <c r="G596" i="3"/>
  <c r="G608" i="3" s="1"/>
  <c r="F594" i="3"/>
  <c r="G593" i="3"/>
  <c r="G592" i="3"/>
  <c r="G591" i="3"/>
  <c r="G590" i="3"/>
  <c r="G589" i="3"/>
  <c r="G588" i="3"/>
  <c r="G587" i="3"/>
  <c r="G586" i="3"/>
  <c r="G585" i="3"/>
  <c r="G584" i="3"/>
  <c r="G583" i="3"/>
  <c r="G582" i="3"/>
  <c r="G594" i="3" s="1"/>
  <c r="F581" i="3"/>
  <c r="F595" i="3" s="1"/>
  <c r="G580" i="3"/>
  <c r="G579" i="3"/>
  <c r="G578" i="3"/>
  <c r="G577" i="3"/>
  <c r="G576" i="3"/>
  <c r="G575" i="3"/>
  <c r="G574" i="3"/>
  <c r="G573" i="3"/>
  <c r="G572" i="3"/>
  <c r="G571" i="3"/>
  <c r="G570" i="3"/>
  <c r="G569" i="3"/>
  <c r="F567" i="3"/>
  <c r="G566" i="3"/>
  <c r="G565" i="3"/>
  <c r="G564" i="3"/>
  <c r="G563" i="3"/>
  <c r="G562" i="3"/>
  <c r="G561" i="3"/>
  <c r="G560" i="3"/>
  <c r="G559" i="3"/>
  <c r="G558" i="3"/>
  <c r="G557" i="3"/>
  <c r="G556" i="3"/>
  <c r="G555" i="3"/>
  <c r="F554" i="3"/>
  <c r="G553" i="3"/>
  <c r="G552" i="3"/>
  <c r="G551" i="3"/>
  <c r="G550" i="3"/>
  <c r="G549" i="3"/>
  <c r="G548" i="3"/>
  <c r="G547" i="3"/>
  <c r="G546" i="3"/>
  <c r="G545" i="3"/>
  <c r="G544" i="3"/>
  <c r="G543" i="3"/>
  <c r="G542" i="3"/>
  <c r="G554" i="3" s="1"/>
  <c r="F540" i="3"/>
  <c r="G539" i="3"/>
  <c r="G538" i="3"/>
  <c r="G537" i="3"/>
  <c r="G536" i="3"/>
  <c r="G535" i="3"/>
  <c r="G534" i="3"/>
  <c r="G533" i="3"/>
  <c r="G532" i="3"/>
  <c r="G531" i="3"/>
  <c r="G530" i="3"/>
  <c r="G529" i="3"/>
  <c r="G528" i="3"/>
  <c r="G540" i="3" s="1"/>
  <c r="F527" i="3"/>
  <c r="F541" i="3" s="1"/>
  <c r="G526" i="3"/>
  <c r="G525" i="3"/>
  <c r="G524" i="3"/>
  <c r="G523" i="3"/>
  <c r="G522" i="3"/>
  <c r="G521" i="3"/>
  <c r="G520" i="3"/>
  <c r="G519" i="3"/>
  <c r="G518" i="3"/>
  <c r="G517" i="3"/>
  <c r="G516" i="3"/>
  <c r="G515" i="3"/>
  <c r="F513" i="3"/>
  <c r="G512" i="3"/>
  <c r="G511" i="3"/>
  <c r="G510" i="3"/>
  <c r="G509" i="3"/>
  <c r="G508" i="3"/>
  <c r="G507" i="3"/>
  <c r="G506" i="3"/>
  <c r="G505" i="3"/>
  <c r="G504" i="3"/>
  <c r="G503" i="3"/>
  <c r="G502" i="3"/>
  <c r="G501" i="3"/>
  <c r="G513" i="3" s="1"/>
  <c r="F500" i="3"/>
  <c r="F514" i="3" s="1"/>
  <c r="G499" i="3"/>
  <c r="G498" i="3"/>
  <c r="G497" i="3"/>
  <c r="G496" i="3"/>
  <c r="G495" i="3"/>
  <c r="G494" i="3"/>
  <c r="G493" i="3"/>
  <c r="G492" i="3"/>
  <c r="G491" i="3"/>
  <c r="G490" i="3"/>
  <c r="G489" i="3"/>
  <c r="G488" i="3"/>
  <c r="G500" i="3" s="1"/>
  <c r="G514" i="3" s="1"/>
  <c r="F486" i="3"/>
  <c r="G485" i="3"/>
  <c r="G484" i="3"/>
  <c r="G483" i="3"/>
  <c r="G482" i="3"/>
  <c r="G481" i="3"/>
  <c r="G480" i="3"/>
  <c r="G479" i="3"/>
  <c r="G478" i="3"/>
  <c r="G477" i="3"/>
  <c r="G476" i="3"/>
  <c r="G475" i="3"/>
  <c r="G474" i="3"/>
  <c r="F473" i="3"/>
  <c r="F487" i="3" s="1"/>
  <c r="G472" i="3"/>
  <c r="G471" i="3"/>
  <c r="G470" i="3"/>
  <c r="G469" i="3"/>
  <c r="G468" i="3"/>
  <c r="G467" i="3"/>
  <c r="G465" i="3"/>
  <c r="G464" i="3"/>
  <c r="G463" i="3"/>
  <c r="G462" i="3"/>
  <c r="G461" i="3"/>
  <c r="G473" i="3" s="1"/>
  <c r="F459" i="3"/>
  <c r="G458" i="3"/>
  <c r="G457" i="3"/>
  <c r="G456" i="3"/>
  <c r="G455" i="3"/>
  <c r="G453" i="3"/>
  <c r="G452" i="3"/>
  <c r="G451" i="3"/>
  <c r="G450" i="3"/>
  <c r="G449" i="3"/>
  <c r="G448" i="3"/>
  <c r="G447" i="3"/>
  <c r="F446" i="3"/>
  <c r="F460" i="3" s="1"/>
  <c r="G445" i="3"/>
  <c r="G444" i="3"/>
  <c r="G443" i="3"/>
  <c r="G442" i="3"/>
  <c r="G441" i="3"/>
  <c r="G440" i="3"/>
  <c r="G439" i="3"/>
  <c r="G438" i="3"/>
  <c r="G437" i="3"/>
  <c r="G436" i="3"/>
  <c r="G435" i="3"/>
  <c r="G434" i="3"/>
  <c r="F432" i="3"/>
  <c r="G431" i="3"/>
  <c r="G430" i="3"/>
  <c r="G429" i="3"/>
  <c r="G428" i="3"/>
  <c r="G427" i="3"/>
  <c r="G426" i="3"/>
  <c r="G425" i="3"/>
  <c r="G424" i="3"/>
  <c r="G423" i="3"/>
  <c r="G422" i="3"/>
  <c r="G421" i="3"/>
  <c r="G420" i="3"/>
  <c r="F419" i="3"/>
  <c r="F433" i="3" s="1"/>
  <c r="G418" i="3"/>
  <c r="G417" i="3"/>
  <c r="G416" i="3"/>
  <c r="G415" i="3"/>
  <c r="G414" i="3"/>
  <c r="G413" i="3"/>
  <c r="G412" i="3"/>
  <c r="G411" i="3"/>
  <c r="G410" i="3"/>
  <c r="G409" i="3"/>
  <c r="G408" i="3"/>
  <c r="G407" i="3"/>
  <c r="G404" i="3"/>
  <c r="G403" i="3"/>
  <c r="G402" i="3"/>
  <c r="G401" i="3"/>
  <c r="G400" i="3"/>
  <c r="G399" i="3"/>
  <c r="G398" i="3"/>
  <c r="G397" i="3"/>
  <c r="G396" i="3"/>
  <c r="G395" i="3"/>
  <c r="G394" i="3"/>
  <c r="G393" i="3"/>
  <c r="F392" i="3"/>
  <c r="G391" i="3"/>
  <c r="G390" i="3"/>
  <c r="G389" i="3"/>
  <c r="G388" i="3"/>
  <c r="G387" i="3"/>
  <c r="G386" i="3"/>
  <c r="G385" i="3"/>
  <c r="G384" i="3"/>
  <c r="G383" i="3"/>
  <c r="G382" i="3"/>
  <c r="G381" i="3"/>
  <c r="G380" i="3"/>
  <c r="F378" i="3"/>
  <c r="G377" i="3"/>
  <c r="G376" i="3"/>
  <c r="G375" i="3"/>
  <c r="G374" i="3"/>
  <c r="G373" i="3"/>
  <c r="G372" i="3"/>
  <c r="G371" i="3"/>
  <c r="G370" i="3"/>
  <c r="G369" i="3"/>
  <c r="G368" i="3"/>
  <c r="G367" i="3"/>
  <c r="G366" i="3"/>
  <c r="G378" i="3" s="1"/>
  <c r="F365" i="3"/>
  <c r="F379" i="3" s="1"/>
  <c r="G364" i="3"/>
  <c r="G363" i="3"/>
  <c r="G362" i="3"/>
  <c r="G361" i="3"/>
  <c r="G360" i="3"/>
  <c r="G359" i="3"/>
  <c r="G358" i="3"/>
  <c r="G357" i="3"/>
  <c r="G356" i="3"/>
  <c r="G355" i="3"/>
  <c r="G354" i="3"/>
  <c r="G353" i="3"/>
  <c r="F351" i="3"/>
  <c r="G350" i="3"/>
  <c r="G349" i="3"/>
  <c r="G348" i="3"/>
  <c r="G347" i="3"/>
  <c r="G346" i="3"/>
  <c r="G345" i="3"/>
  <c r="G344" i="3"/>
  <c r="G343" i="3"/>
  <c r="G342" i="3"/>
  <c r="G341" i="3"/>
  <c r="G340" i="3"/>
  <c r="G339" i="3"/>
  <c r="G351" i="3" s="1"/>
  <c r="F338" i="3"/>
  <c r="G337" i="3"/>
  <c r="G336" i="3"/>
  <c r="G335" i="3"/>
  <c r="G334" i="3"/>
  <c r="G333" i="3"/>
  <c r="G332" i="3"/>
  <c r="G331" i="3"/>
  <c r="G330" i="3"/>
  <c r="G329" i="3"/>
  <c r="G328" i="3"/>
  <c r="G327" i="3"/>
  <c r="G326" i="3"/>
  <c r="G338" i="3" s="1"/>
  <c r="G352" i="3" s="1"/>
  <c r="F324" i="3"/>
  <c r="F311" i="3"/>
  <c r="G310" i="3"/>
  <c r="G309" i="3"/>
  <c r="G308" i="3"/>
  <c r="G307" i="3"/>
  <c r="G306" i="3"/>
  <c r="G305" i="3"/>
  <c r="G304" i="3"/>
  <c r="G303" i="3"/>
  <c r="G302" i="3"/>
  <c r="G301" i="3"/>
  <c r="G300" i="3"/>
  <c r="G299" i="3"/>
  <c r="G311" i="3" s="1"/>
  <c r="F297" i="3"/>
  <c r="G296" i="3"/>
  <c r="G295" i="3"/>
  <c r="G294" i="3"/>
  <c r="G293" i="3"/>
  <c r="G292" i="3"/>
  <c r="G291" i="3"/>
  <c r="G290" i="3"/>
  <c r="G289" i="3"/>
  <c r="G288" i="3"/>
  <c r="G287" i="3"/>
  <c r="G286" i="3"/>
  <c r="G285" i="3"/>
  <c r="G297" i="3" s="1"/>
  <c r="F284" i="3"/>
  <c r="F298" i="3" s="1"/>
  <c r="G283" i="3"/>
  <c r="G282" i="3"/>
  <c r="G281" i="3"/>
  <c r="G280" i="3"/>
  <c r="G279" i="3"/>
  <c r="G278" i="3"/>
  <c r="G277" i="3"/>
  <c r="G276" i="3"/>
  <c r="G275" i="3"/>
  <c r="G274" i="3"/>
  <c r="G273" i="3"/>
  <c r="G272" i="3"/>
  <c r="F270" i="3"/>
  <c r="G269" i="3"/>
  <c r="G268" i="3"/>
  <c r="G267" i="3"/>
  <c r="G266" i="3"/>
  <c r="G265" i="3"/>
  <c r="G264" i="3"/>
  <c r="G263" i="3"/>
  <c r="G262" i="3"/>
  <c r="G261" i="3"/>
  <c r="G260" i="3"/>
  <c r="G259" i="3"/>
  <c r="G258" i="3"/>
  <c r="F257" i="3"/>
  <c r="G256" i="3"/>
  <c r="G255" i="3"/>
  <c r="G254" i="3"/>
  <c r="G253" i="3"/>
  <c r="G252" i="3"/>
  <c r="G251" i="3"/>
  <c r="G250" i="3"/>
  <c r="G249" i="3"/>
  <c r="G248" i="3"/>
  <c r="G247" i="3"/>
  <c r="G246" i="3"/>
  <c r="G245" i="3"/>
  <c r="G257" i="3" s="1"/>
  <c r="F243" i="3"/>
  <c r="G242" i="3"/>
  <c r="G241" i="3"/>
  <c r="G240" i="3"/>
  <c r="G239" i="3"/>
  <c r="G238" i="3"/>
  <c r="G237" i="3"/>
  <c r="G236" i="3"/>
  <c r="G235" i="3"/>
  <c r="G234" i="3"/>
  <c r="G233" i="3"/>
  <c r="G232" i="3"/>
  <c r="G231" i="3"/>
  <c r="G243" i="3" s="1"/>
  <c r="F230" i="3"/>
  <c r="F244" i="3" s="1"/>
  <c r="G229" i="3"/>
  <c r="G228" i="3"/>
  <c r="G227" i="3"/>
  <c r="G226" i="3"/>
  <c r="G225" i="3"/>
  <c r="G224" i="3"/>
  <c r="G223" i="3"/>
  <c r="G222" i="3"/>
  <c r="G221" i="3"/>
  <c r="G220" i="3"/>
  <c r="G219" i="3"/>
  <c r="G218" i="3"/>
  <c r="F216" i="3"/>
  <c r="G215" i="3"/>
  <c r="G214" i="3"/>
  <c r="G213" i="3"/>
  <c r="G212" i="3"/>
  <c r="G211" i="3"/>
  <c r="G210" i="3"/>
  <c r="G209" i="3"/>
  <c r="G208" i="3"/>
  <c r="G207" i="3"/>
  <c r="G206" i="3"/>
  <c r="G205" i="3"/>
  <c r="G204" i="3"/>
  <c r="G216" i="3" s="1"/>
  <c r="F203" i="3"/>
  <c r="F217" i="3" s="1"/>
  <c r="G202" i="3"/>
  <c r="G201" i="3"/>
  <c r="G200" i="3"/>
  <c r="G199" i="3"/>
  <c r="G198" i="3"/>
  <c r="G197" i="3"/>
  <c r="G196" i="3"/>
  <c r="G195" i="3"/>
  <c r="G194" i="3"/>
  <c r="G193" i="3"/>
  <c r="G192" i="3"/>
  <c r="G191" i="3"/>
  <c r="G203" i="3" s="1"/>
  <c r="G217" i="3" s="1"/>
  <c r="F189" i="3"/>
  <c r="G188" i="3"/>
  <c r="G187" i="3"/>
  <c r="G186" i="3"/>
  <c r="G185" i="3"/>
  <c r="G184" i="3"/>
  <c r="G183" i="3"/>
  <c r="G182" i="3"/>
  <c r="G181" i="3"/>
  <c r="G180" i="3"/>
  <c r="G179" i="3"/>
  <c r="G178" i="3"/>
  <c r="G177" i="3"/>
  <c r="F176" i="3"/>
  <c r="F190" i="3" s="1"/>
  <c r="G175" i="3"/>
  <c r="G174" i="3"/>
  <c r="G173" i="3"/>
  <c r="G172" i="3"/>
  <c r="G171" i="3"/>
  <c r="G170" i="3"/>
  <c r="G169" i="3"/>
  <c r="G168" i="3"/>
  <c r="G167" i="3"/>
  <c r="G166" i="3"/>
  <c r="G165" i="3"/>
  <c r="G164" i="3"/>
  <c r="G176" i="3" s="1"/>
  <c r="F162" i="3"/>
  <c r="G161" i="3"/>
  <c r="G160" i="3"/>
  <c r="G159" i="3"/>
  <c r="G158" i="3"/>
  <c r="G157" i="3"/>
  <c r="G156" i="3"/>
  <c r="G155" i="3"/>
  <c r="G154" i="3"/>
  <c r="G153" i="3"/>
  <c r="G152" i="3"/>
  <c r="G151" i="3"/>
  <c r="G150" i="3"/>
  <c r="F149" i="3"/>
  <c r="F163" i="3" s="1"/>
  <c r="G148" i="3"/>
  <c r="G147" i="3"/>
  <c r="G146" i="3"/>
  <c r="G145" i="3"/>
  <c r="G144" i="3"/>
  <c r="G143" i="3"/>
  <c r="G142" i="3"/>
  <c r="G141" i="3"/>
  <c r="G140" i="3"/>
  <c r="G139" i="3"/>
  <c r="G138" i="3"/>
  <c r="G137" i="3"/>
  <c r="F135" i="3"/>
  <c r="G134" i="3"/>
  <c r="G133" i="3"/>
  <c r="G132" i="3"/>
  <c r="G131" i="3"/>
  <c r="G130" i="3"/>
  <c r="G129" i="3"/>
  <c r="G128" i="3"/>
  <c r="G127" i="3"/>
  <c r="G126" i="3"/>
  <c r="G125" i="3"/>
  <c r="G124" i="3"/>
  <c r="G123" i="3"/>
  <c r="F122" i="3"/>
  <c r="F136" i="3" s="1"/>
  <c r="G121" i="3"/>
  <c r="G120" i="3"/>
  <c r="G119" i="3"/>
  <c r="G118" i="3"/>
  <c r="G117" i="3"/>
  <c r="G116" i="3"/>
  <c r="G115" i="3"/>
  <c r="G114" i="3"/>
  <c r="G113" i="3"/>
  <c r="G112" i="3"/>
  <c r="G111" i="3"/>
  <c r="G110" i="3"/>
  <c r="F108" i="3"/>
  <c r="G107" i="3"/>
  <c r="G106" i="3"/>
  <c r="G105" i="3"/>
  <c r="G104" i="3"/>
  <c r="G103" i="3"/>
  <c r="G102" i="3"/>
  <c r="G101" i="3"/>
  <c r="G100" i="3"/>
  <c r="G99" i="3"/>
  <c r="G98" i="3"/>
  <c r="G97" i="3"/>
  <c r="G96" i="3"/>
  <c r="F95" i="3"/>
  <c r="G94" i="3"/>
  <c r="G93" i="3"/>
  <c r="G92" i="3"/>
  <c r="G91" i="3"/>
  <c r="G90" i="3"/>
  <c r="G89" i="3"/>
  <c r="G88" i="3"/>
  <c r="G87" i="3"/>
  <c r="G86" i="3"/>
  <c r="G85" i="3"/>
  <c r="G84" i="3"/>
  <c r="G83" i="3"/>
  <c r="F81" i="3"/>
  <c r="G80" i="3"/>
  <c r="G79" i="3"/>
  <c r="G78" i="3"/>
  <c r="G77" i="3"/>
  <c r="G76" i="3"/>
  <c r="G75" i="3"/>
  <c r="G74" i="3"/>
  <c r="G73" i="3"/>
  <c r="G72" i="3"/>
  <c r="G71" i="3"/>
  <c r="G70" i="3"/>
  <c r="G69" i="3"/>
  <c r="G81" i="3" s="1"/>
  <c r="F68" i="3"/>
  <c r="F82" i="3" s="1"/>
  <c r="G67" i="3"/>
  <c r="G66" i="3"/>
  <c r="G65" i="3"/>
  <c r="G64" i="3"/>
  <c r="G63" i="3"/>
  <c r="G62" i="3"/>
  <c r="G61" i="3"/>
  <c r="G60" i="3"/>
  <c r="G59" i="3"/>
  <c r="G58" i="3"/>
  <c r="G57" i="3"/>
  <c r="G56" i="3"/>
  <c r="F54" i="3"/>
  <c r="G53" i="3"/>
  <c r="G52" i="3"/>
  <c r="G51" i="3"/>
  <c r="G50" i="3"/>
  <c r="G49" i="3"/>
  <c r="G48" i="3"/>
  <c r="G47" i="3"/>
  <c r="G46" i="3"/>
  <c r="G45" i="3"/>
  <c r="G44" i="3"/>
  <c r="G43" i="3"/>
  <c r="G42" i="3"/>
  <c r="G54" i="3" s="1"/>
  <c r="F41" i="3"/>
  <c r="G40" i="3"/>
  <c r="G39" i="3"/>
  <c r="G38" i="3"/>
  <c r="G37" i="3"/>
  <c r="G36" i="3"/>
  <c r="G35" i="3"/>
  <c r="G34" i="3"/>
  <c r="G33" i="3"/>
  <c r="G32" i="3"/>
  <c r="G31" i="3"/>
  <c r="G30" i="3"/>
  <c r="G29" i="3"/>
  <c r="G41" i="3" s="1"/>
  <c r="G55" i="3" s="1"/>
  <c r="F27" i="3"/>
  <c r="F14" i="3"/>
  <c r="G13" i="3"/>
  <c r="G12" i="3"/>
  <c r="G11" i="3"/>
  <c r="G10" i="3"/>
  <c r="G9" i="3"/>
  <c r="G8" i="3"/>
  <c r="G7" i="3"/>
  <c r="G6" i="3"/>
  <c r="G5" i="3"/>
  <c r="G4" i="3"/>
  <c r="G3" i="3"/>
  <c r="G2" i="3"/>
  <c r="F810" i="4"/>
  <c r="G810" i="4"/>
  <c r="G811" i="4"/>
  <c r="F797" i="4"/>
  <c r="F811" i="4" s="1"/>
  <c r="F783" i="4"/>
  <c r="G782" i="4"/>
  <c r="G781" i="4"/>
  <c r="G780" i="4"/>
  <c r="G779" i="4"/>
  <c r="G778" i="4"/>
  <c r="G777" i="4"/>
  <c r="G776" i="4"/>
  <c r="G775" i="4"/>
  <c r="G774" i="4"/>
  <c r="G773" i="4"/>
  <c r="G772" i="4"/>
  <c r="G771" i="4"/>
  <c r="G783" i="4" s="1"/>
  <c r="F770" i="4"/>
  <c r="F784" i="4" s="1"/>
  <c r="G769" i="4"/>
  <c r="G768" i="4"/>
  <c r="G767" i="4"/>
  <c r="G766" i="4"/>
  <c r="G765" i="4"/>
  <c r="G764" i="4"/>
  <c r="G763" i="4"/>
  <c r="G762" i="4"/>
  <c r="G761" i="4"/>
  <c r="G760" i="4"/>
  <c r="G759" i="4"/>
  <c r="G758" i="4"/>
  <c r="F756" i="4"/>
  <c r="G755" i="4"/>
  <c r="G754" i="4"/>
  <c r="G753" i="4"/>
  <c r="G752" i="4"/>
  <c r="G751" i="4"/>
  <c r="G750" i="4"/>
  <c r="G749" i="4"/>
  <c r="G748" i="4"/>
  <c r="G747" i="4"/>
  <c r="G746" i="4"/>
  <c r="G745" i="4"/>
  <c r="G744" i="4"/>
  <c r="G756" i="4" s="1"/>
  <c r="F743" i="4"/>
  <c r="F757" i="4" s="1"/>
  <c r="G742" i="4"/>
  <c r="G741" i="4"/>
  <c r="G740" i="4"/>
  <c r="G739" i="4"/>
  <c r="G738" i="4"/>
  <c r="G737" i="4"/>
  <c r="G736" i="4"/>
  <c r="G735" i="4"/>
  <c r="G734" i="4"/>
  <c r="G733" i="4"/>
  <c r="G732" i="4"/>
  <c r="G731" i="4"/>
  <c r="G743" i="4" s="1"/>
  <c r="G757" i="4" s="1"/>
  <c r="F729" i="4"/>
  <c r="G728" i="4"/>
  <c r="G727" i="4"/>
  <c r="G726" i="4"/>
  <c r="G725" i="4"/>
  <c r="G724" i="4"/>
  <c r="G723" i="4"/>
  <c r="G722" i="4"/>
  <c r="G721" i="4"/>
  <c r="G720" i="4"/>
  <c r="G719" i="4"/>
  <c r="G718" i="4"/>
  <c r="G717" i="4"/>
  <c r="F716" i="4"/>
  <c r="G715" i="4"/>
  <c r="G714" i="4"/>
  <c r="G713" i="4"/>
  <c r="G712" i="4"/>
  <c r="G711" i="4"/>
  <c r="G710" i="4"/>
  <c r="G709" i="4"/>
  <c r="G708" i="4"/>
  <c r="G707" i="4"/>
  <c r="G706" i="4"/>
  <c r="G705" i="4"/>
  <c r="G704" i="4"/>
  <c r="G716" i="4" s="1"/>
  <c r="F702" i="4"/>
  <c r="G701" i="4"/>
  <c r="G700" i="4"/>
  <c r="G699" i="4"/>
  <c r="G698" i="4"/>
  <c r="G697" i="4"/>
  <c r="G696" i="4"/>
  <c r="G695" i="4"/>
  <c r="G694" i="4"/>
  <c r="G693" i="4"/>
  <c r="G692" i="4"/>
  <c r="G691" i="4"/>
  <c r="G690" i="4"/>
  <c r="G702" i="4" s="1"/>
  <c r="F689" i="4"/>
  <c r="F703" i="4" s="1"/>
  <c r="G688" i="4"/>
  <c r="G687" i="4"/>
  <c r="G686" i="4"/>
  <c r="G685" i="4"/>
  <c r="G684" i="4"/>
  <c r="G683" i="4"/>
  <c r="G682" i="4"/>
  <c r="G681" i="4"/>
  <c r="G679" i="4"/>
  <c r="G678" i="4"/>
  <c r="G677" i="4"/>
  <c r="F675" i="4"/>
  <c r="G674" i="4"/>
  <c r="G673" i="4"/>
  <c r="G672" i="4"/>
  <c r="G671" i="4"/>
  <c r="G670" i="4"/>
  <c r="G669" i="4"/>
  <c r="G668" i="4"/>
  <c r="G667" i="4"/>
  <c r="G666" i="4"/>
  <c r="G665" i="4"/>
  <c r="G664" i="4"/>
  <c r="G663" i="4"/>
  <c r="G675" i="4" s="1"/>
  <c r="F662" i="4"/>
  <c r="F676" i="4" s="1"/>
  <c r="G661" i="4"/>
  <c r="G660" i="4"/>
  <c r="G659" i="4"/>
  <c r="G658" i="4"/>
  <c r="G657" i="4"/>
  <c r="G656" i="4"/>
  <c r="G655" i="4"/>
  <c r="G654" i="4"/>
  <c r="G653" i="4"/>
  <c r="G652" i="4"/>
  <c r="G651" i="4"/>
  <c r="G650" i="4"/>
  <c r="G662" i="4" s="1"/>
  <c r="G676" i="4" s="1"/>
  <c r="F648" i="4"/>
  <c r="G647" i="4"/>
  <c r="G646" i="4"/>
  <c r="G645" i="4"/>
  <c r="G644" i="4"/>
  <c r="G643" i="4"/>
  <c r="G642" i="4"/>
  <c r="G641" i="4"/>
  <c r="G640" i="4"/>
  <c r="G639" i="4"/>
  <c r="G638" i="4"/>
  <c r="G637" i="4"/>
  <c r="G636" i="4"/>
  <c r="F635" i="4"/>
  <c r="G634" i="4"/>
  <c r="G633" i="4"/>
  <c r="G632" i="4"/>
  <c r="G631" i="4"/>
  <c r="G630" i="4"/>
  <c r="G629" i="4"/>
  <c r="G628" i="4"/>
  <c r="G627" i="4"/>
  <c r="G626" i="4"/>
  <c r="G625" i="4"/>
  <c r="G624" i="4"/>
  <c r="G623" i="4"/>
  <c r="G635" i="4" s="1"/>
  <c r="F621" i="4"/>
  <c r="G620" i="4"/>
  <c r="G619" i="4"/>
  <c r="G618" i="4"/>
  <c r="G617" i="4"/>
  <c r="G616" i="4"/>
  <c r="G614" i="4"/>
  <c r="G613" i="4"/>
  <c r="G611" i="4"/>
  <c r="G610" i="4"/>
  <c r="G609" i="4"/>
  <c r="G621" i="4" s="1"/>
  <c r="F608" i="4"/>
  <c r="F622" i="4" s="1"/>
  <c r="G607" i="4"/>
  <c r="G606" i="4"/>
  <c r="G605" i="4"/>
  <c r="G604" i="4"/>
  <c r="G603" i="4"/>
  <c r="G602" i="4"/>
  <c r="G601" i="4"/>
  <c r="G600" i="4"/>
  <c r="G599" i="4"/>
  <c r="G598" i="4"/>
  <c r="G597" i="4"/>
  <c r="G596" i="4"/>
  <c r="F594" i="4"/>
  <c r="G593" i="4"/>
  <c r="G592" i="4"/>
  <c r="G591" i="4"/>
  <c r="G590" i="4"/>
  <c r="G589" i="4"/>
  <c r="G588" i="4"/>
  <c r="G587" i="4"/>
  <c r="G586" i="4"/>
  <c r="G585" i="4"/>
  <c r="G584" i="4"/>
  <c r="G583" i="4"/>
  <c r="G582" i="4"/>
  <c r="G594" i="4" s="1"/>
  <c r="F581" i="4"/>
  <c r="F595" i="4" s="1"/>
  <c r="G580" i="4"/>
  <c r="G579" i="4"/>
  <c r="G578" i="4"/>
  <c r="G577" i="4"/>
  <c r="G576" i="4"/>
  <c r="G575" i="4"/>
  <c r="G574" i="4"/>
  <c r="G573" i="4"/>
  <c r="G572" i="4"/>
  <c r="G571" i="4"/>
  <c r="G570" i="4"/>
  <c r="G569" i="4"/>
  <c r="G581" i="4" s="1"/>
  <c r="G595" i="4" s="1"/>
  <c r="F567" i="4"/>
  <c r="G566" i="4"/>
  <c r="G565" i="4"/>
  <c r="G564" i="4"/>
  <c r="G563" i="4"/>
  <c r="G562" i="4"/>
  <c r="G561" i="4"/>
  <c r="G560" i="4"/>
  <c r="G559" i="4"/>
  <c r="G558" i="4"/>
  <c r="G557" i="4"/>
  <c r="G556" i="4"/>
  <c r="G555" i="4"/>
  <c r="F554" i="4"/>
  <c r="G553" i="4"/>
  <c r="G552" i="4"/>
  <c r="G551" i="4"/>
  <c r="G550" i="4"/>
  <c r="G549" i="4"/>
  <c r="G548" i="4"/>
  <c r="G547" i="4"/>
  <c r="G546" i="4"/>
  <c r="G545" i="4"/>
  <c r="G544" i="4"/>
  <c r="G543" i="4"/>
  <c r="G542" i="4"/>
  <c r="G554" i="4" s="1"/>
  <c r="F540" i="4"/>
  <c r="G539" i="4"/>
  <c r="G538" i="4"/>
  <c r="G537" i="4"/>
  <c r="G536" i="4"/>
  <c r="G535" i="4"/>
  <c r="G534" i="4"/>
  <c r="G533" i="4"/>
  <c r="G532" i="4"/>
  <c r="G531" i="4"/>
  <c r="G530" i="4"/>
  <c r="G529" i="4"/>
  <c r="G528" i="4"/>
  <c r="G540" i="4" s="1"/>
  <c r="F527" i="4"/>
  <c r="F541" i="4" s="1"/>
  <c r="G526" i="4"/>
  <c r="G525" i="4"/>
  <c r="G524" i="4"/>
  <c r="G523" i="4"/>
  <c r="G522" i="4"/>
  <c r="G521" i="4"/>
  <c r="G520" i="4"/>
  <c r="G519" i="4"/>
  <c r="G518" i="4"/>
  <c r="G517" i="4"/>
  <c r="G516" i="4"/>
  <c r="G515" i="4"/>
  <c r="F513" i="4"/>
  <c r="G512" i="4"/>
  <c r="G511" i="4"/>
  <c r="G510" i="4"/>
  <c r="G509" i="4"/>
  <c r="G508" i="4"/>
  <c r="G507" i="4"/>
  <c r="G506" i="4"/>
  <c r="G505" i="4"/>
  <c r="G504" i="4"/>
  <c r="G503" i="4"/>
  <c r="G502" i="4"/>
  <c r="G501" i="4"/>
  <c r="G513" i="4" s="1"/>
  <c r="F500" i="4"/>
  <c r="G499" i="4"/>
  <c r="G498" i="4"/>
  <c r="G497" i="4"/>
  <c r="G496" i="4"/>
  <c r="G495" i="4"/>
  <c r="G494" i="4"/>
  <c r="G493" i="4"/>
  <c r="G492" i="4"/>
  <c r="G491" i="4"/>
  <c r="G490" i="4"/>
  <c r="G489" i="4"/>
  <c r="G488" i="4"/>
  <c r="G500" i="4" s="1"/>
  <c r="G514" i="4" s="1"/>
  <c r="F486" i="4"/>
  <c r="G485" i="4"/>
  <c r="G484" i="4"/>
  <c r="G483" i="4"/>
  <c r="G482" i="4"/>
  <c r="G481" i="4"/>
  <c r="G480" i="4"/>
  <c r="G479" i="4"/>
  <c r="G478" i="4"/>
  <c r="G477" i="4"/>
  <c r="G476" i="4"/>
  <c r="G475" i="4"/>
  <c r="G474" i="4"/>
  <c r="G486" i="4" s="1"/>
  <c r="F473" i="4"/>
  <c r="F487" i="4" s="1"/>
  <c r="G472" i="4"/>
  <c r="G471" i="4"/>
  <c r="G470" i="4"/>
  <c r="G469" i="4"/>
  <c r="G468" i="4"/>
  <c r="G467" i="4"/>
  <c r="G466" i="4"/>
  <c r="G465" i="4"/>
  <c r="G464" i="4"/>
  <c r="G463" i="4"/>
  <c r="G462" i="4"/>
  <c r="G461" i="4"/>
  <c r="G473" i="4" s="1"/>
  <c r="G487" i="4" s="1"/>
  <c r="F459" i="4"/>
  <c r="G458" i="4"/>
  <c r="G457" i="4"/>
  <c r="G456" i="4"/>
  <c r="G455" i="4"/>
  <c r="G454" i="4"/>
  <c r="G453" i="4"/>
  <c r="G452" i="4"/>
  <c r="G451" i="4"/>
  <c r="G450" i="4"/>
  <c r="G449" i="4"/>
  <c r="G448" i="4"/>
  <c r="G447" i="4"/>
  <c r="G459" i="4" s="1"/>
  <c r="F446" i="4"/>
  <c r="F460" i="4" s="1"/>
  <c r="G445" i="4"/>
  <c r="G444" i="4"/>
  <c r="G443" i="4"/>
  <c r="G442" i="4"/>
  <c r="G441" i="4"/>
  <c r="G440" i="4"/>
  <c r="G439" i="4"/>
  <c r="G438" i="4"/>
  <c r="G437" i="4"/>
  <c r="G436" i="4"/>
  <c r="G435" i="4"/>
  <c r="G434" i="4"/>
  <c r="G446" i="4" s="1"/>
  <c r="G460" i="4" s="1"/>
  <c r="F432" i="4"/>
  <c r="G431" i="4"/>
  <c r="G430" i="4"/>
  <c r="G429" i="4"/>
  <c r="G428" i="4"/>
  <c r="G427" i="4"/>
  <c r="G426" i="4"/>
  <c r="G425" i="4"/>
  <c r="G424" i="4"/>
  <c r="G423" i="4"/>
  <c r="G422" i="4"/>
  <c r="G421" i="4"/>
  <c r="G420" i="4"/>
  <c r="F419" i="4"/>
  <c r="G418" i="4"/>
  <c r="G417" i="4"/>
  <c r="G416" i="4"/>
  <c r="G415" i="4"/>
  <c r="G411" i="4"/>
  <c r="G410" i="4"/>
  <c r="G409" i="4"/>
  <c r="G408" i="4"/>
  <c r="G407" i="4"/>
  <c r="G419" i="4" s="1"/>
  <c r="F405" i="4"/>
  <c r="G404" i="4"/>
  <c r="G403" i="4"/>
  <c r="G402" i="4"/>
  <c r="G401" i="4"/>
  <c r="G400" i="4"/>
  <c r="G399" i="4"/>
  <c r="G398" i="4"/>
  <c r="G397" i="4"/>
  <c r="G396" i="4"/>
  <c r="G395" i="4"/>
  <c r="G394" i="4"/>
  <c r="G393" i="4"/>
  <c r="G405" i="4" s="1"/>
  <c r="F392" i="4"/>
  <c r="F406" i="4" s="1"/>
  <c r="G391" i="4"/>
  <c r="G390" i="4"/>
  <c r="G389" i="4"/>
  <c r="G388" i="4"/>
  <c r="G387" i="4"/>
  <c r="G386" i="4"/>
  <c r="G385" i="4"/>
  <c r="G384" i="4"/>
  <c r="G383" i="4"/>
  <c r="G382" i="4"/>
  <c r="G381" i="4"/>
  <c r="G380" i="4"/>
  <c r="F378" i="4"/>
  <c r="G377" i="4"/>
  <c r="G376" i="4"/>
  <c r="G375" i="4"/>
  <c r="G374" i="4"/>
  <c r="G373" i="4"/>
  <c r="G372" i="4"/>
  <c r="G371" i="4"/>
  <c r="G370" i="4"/>
  <c r="G369" i="4"/>
  <c r="G368" i="4"/>
  <c r="G367" i="4"/>
  <c r="G366" i="4"/>
  <c r="F365" i="4"/>
  <c r="F379" i="4" s="1"/>
  <c r="G364" i="4"/>
  <c r="G363" i="4"/>
  <c r="G362" i="4"/>
  <c r="G361" i="4"/>
  <c r="G360" i="4"/>
  <c r="G359" i="4"/>
  <c r="G358" i="4"/>
  <c r="G357" i="4"/>
  <c r="G356" i="4"/>
  <c r="G355" i="4"/>
  <c r="G354" i="4"/>
  <c r="G353" i="4"/>
  <c r="G365" i="4" s="1"/>
  <c r="F351" i="4"/>
  <c r="G350" i="4"/>
  <c r="G349" i="4"/>
  <c r="G348" i="4"/>
  <c r="G347" i="4"/>
  <c r="G346" i="4"/>
  <c r="G345" i="4"/>
  <c r="G344" i="4"/>
  <c r="G343" i="4"/>
  <c r="G342" i="4"/>
  <c r="G341" i="4"/>
  <c r="G340" i="4"/>
  <c r="G339" i="4"/>
  <c r="F338" i="4"/>
  <c r="G337" i="4"/>
  <c r="G336" i="4"/>
  <c r="G335" i="4"/>
  <c r="G334" i="4"/>
  <c r="G333" i="4"/>
  <c r="G332" i="4"/>
  <c r="G331" i="4"/>
  <c r="G330" i="4"/>
  <c r="G329" i="4"/>
  <c r="G328" i="4"/>
  <c r="G327" i="4"/>
  <c r="G326" i="4"/>
  <c r="F324" i="4"/>
  <c r="G323" i="4"/>
  <c r="G322" i="4"/>
  <c r="G321" i="4"/>
  <c r="G320" i="4"/>
  <c r="G319" i="4"/>
  <c r="G318" i="4"/>
  <c r="G317" i="4"/>
  <c r="G316" i="4"/>
  <c r="G315" i="4"/>
  <c r="G314" i="4"/>
  <c r="G313" i="4"/>
  <c r="G312" i="4"/>
  <c r="G324" i="4" s="1"/>
  <c r="F311" i="4"/>
  <c r="F325" i="4" s="1"/>
  <c r="G310" i="4"/>
  <c r="G309" i="4"/>
  <c r="G308" i="4"/>
  <c r="G307" i="4"/>
  <c r="G306" i="4"/>
  <c r="G305" i="4"/>
  <c r="G304" i="4"/>
  <c r="G303" i="4"/>
  <c r="G302" i="4"/>
  <c r="G301" i="4"/>
  <c r="G300" i="4"/>
  <c r="G299" i="4"/>
  <c r="F297" i="4"/>
  <c r="G296" i="4"/>
  <c r="G295" i="4"/>
  <c r="G294" i="4"/>
  <c r="G293" i="4"/>
  <c r="G292" i="4"/>
  <c r="G291" i="4"/>
  <c r="G290" i="4"/>
  <c r="G289" i="4"/>
  <c r="G288" i="4"/>
  <c r="G287" i="4"/>
  <c r="G286" i="4"/>
  <c r="G285" i="4"/>
  <c r="G297" i="4" s="1"/>
  <c r="F284" i="4"/>
  <c r="F298" i="4" s="1"/>
  <c r="G283" i="4"/>
  <c r="G282" i="4"/>
  <c r="G281" i="4"/>
  <c r="G280" i="4"/>
  <c r="G279" i="4"/>
  <c r="G278" i="4"/>
  <c r="G277" i="4"/>
  <c r="G276" i="4"/>
  <c r="G275" i="4"/>
  <c r="G274" i="4"/>
  <c r="G273" i="4"/>
  <c r="G272" i="4"/>
  <c r="G284" i="4" s="1"/>
  <c r="G298" i="4" s="1"/>
  <c r="G269" i="4"/>
  <c r="G268" i="4"/>
  <c r="G267" i="4"/>
  <c r="G266" i="4"/>
  <c r="G265" i="4"/>
  <c r="G264" i="4"/>
  <c r="G263" i="4"/>
  <c r="G262" i="4"/>
  <c r="G261" i="4"/>
  <c r="G260" i="4"/>
  <c r="G259" i="4"/>
  <c r="G258" i="4"/>
  <c r="F257" i="4"/>
  <c r="G256" i="4"/>
  <c r="G255" i="4"/>
  <c r="G254" i="4"/>
  <c r="G253" i="4"/>
  <c r="G252" i="4"/>
  <c r="G251" i="4"/>
  <c r="G250" i="4"/>
  <c r="G249" i="4"/>
  <c r="G248" i="4"/>
  <c r="G247" i="4"/>
  <c r="G246" i="4"/>
  <c r="G245" i="4"/>
  <c r="G257" i="4" s="1"/>
  <c r="F243" i="4"/>
  <c r="G242" i="4"/>
  <c r="G241" i="4"/>
  <c r="G240" i="4"/>
  <c r="G239" i="4"/>
  <c r="G238" i="4"/>
  <c r="G237" i="4"/>
  <c r="G236" i="4"/>
  <c r="G235" i="4"/>
  <c r="G234" i="4"/>
  <c r="G233" i="4"/>
  <c r="G232" i="4"/>
  <c r="G231" i="4"/>
  <c r="G243" i="4" s="1"/>
  <c r="F230" i="4"/>
  <c r="F244" i="4" s="1"/>
  <c r="G229" i="4"/>
  <c r="G228" i="4"/>
  <c r="G227" i="4"/>
  <c r="G226" i="4"/>
  <c r="G225" i="4"/>
  <c r="G224" i="4"/>
  <c r="G223" i="4"/>
  <c r="G222" i="4"/>
  <c r="G221" i="4"/>
  <c r="G220" i="4"/>
  <c r="G219" i="4"/>
  <c r="G218" i="4"/>
  <c r="F216" i="4"/>
  <c r="G215" i="4"/>
  <c r="G214" i="4"/>
  <c r="G213" i="4"/>
  <c r="G212" i="4"/>
  <c r="G211" i="4"/>
  <c r="G210" i="4"/>
  <c r="G209" i="4"/>
  <c r="G208" i="4"/>
  <c r="G207" i="4"/>
  <c r="G206" i="4"/>
  <c r="G205" i="4"/>
  <c r="G204" i="4"/>
  <c r="G216" i="4" s="1"/>
  <c r="F203" i="4"/>
  <c r="G202" i="4"/>
  <c r="G201" i="4"/>
  <c r="G200" i="4"/>
  <c r="G199" i="4"/>
  <c r="G198" i="4"/>
  <c r="G197" i="4"/>
  <c r="G196" i="4"/>
  <c r="G195" i="4"/>
  <c r="G194" i="4"/>
  <c r="G193" i="4"/>
  <c r="G192" i="4"/>
  <c r="G191" i="4"/>
  <c r="G203" i="4" s="1"/>
  <c r="G217" i="4" s="1"/>
  <c r="F189" i="4"/>
  <c r="G188" i="4"/>
  <c r="G187" i="4"/>
  <c r="G186" i="4"/>
  <c r="G185" i="4"/>
  <c r="G184" i="4"/>
  <c r="G183" i="4"/>
  <c r="G182" i="4"/>
  <c r="G181" i="4"/>
  <c r="G180" i="4"/>
  <c r="G179" i="4"/>
  <c r="G178" i="4"/>
  <c r="G177" i="4"/>
  <c r="G189" i="4" s="1"/>
  <c r="F176" i="4"/>
  <c r="F190" i="4" s="1"/>
  <c r="G175" i="4"/>
  <c r="G174" i="4"/>
  <c r="G173" i="4"/>
  <c r="G172" i="4"/>
  <c r="G171" i="4"/>
  <c r="G170" i="4"/>
  <c r="G169" i="4"/>
  <c r="G168" i="4"/>
  <c r="G167" i="4"/>
  <c r="G166" i="4"/>
  <c r="G165" i="4"/>
  <c r="G164" i="4"/>
  <c r="G176" i="4" s="1"/>
  <c r="G190" i="4" s="1"/>
  <c r="F162" i="4"/>
  <c r="G161" i="4"/>
  <c r="G160" i="4"/>
  <c r="G159" i="4"/>
  <c r="G158" i="4"/>
  <c r="G157" i="4"/>
  <c r="G156" i="4"/>
  <c r="G155" i="4"/>
  <c r="G154" i="4"/>
  <c r="G153" i="4"/>
  <c r="G152" i="4"/>
  <c r="G151" i="4"/>
  <c r="G150" i="4"/>
  <c r="G162" i="4" s="1"/>
  <c r="F149" i="4"/>
  <c r="F163" i="4" s="1"/>
  <c r="G148" i="4"/>
  <c r="G147" i="4"/>
  <c r="G146" i="4"/>
  <c r="G145" i="4"/>
  <c r="G144" i="4"/>
  <c r="G143" i="4"/>
  <c r="G142" i="4"/>
  <c r="G141" i="4"/>
  <c r="G140" i="4"/>
  <c r="G139" i="4"/>
  <c r="G138" i="4"/>
  <c r="G137" i="4"/>
  <c r="G149" i="4" s="1"/>
  <c r="G163" i="4" s="1"/>
  <c r="F135" i="4"/>
  <c r="G134" i="4"/>
  <c r="G133" i="4"/>
  <c r="G132" i="4"/>
  <c r="G131" i="4"/>
  <c r="G130" i="4"/>
  <c r="G129" i="4"/>
  <c r="G128" i="4"/>
  <c r="G127" i="4"/>
  <c r="G126" i="4"/>
  <c r="G125" i="4"/>
  <c r="G124" i="4"/>
  <c r="G123" i="4"/>
  <c r="F122" i="4"/>
  <c r="G121" i="4"/>
  <c r="G120" i="4"/>
  <c r="G119" i="4"/>
  <c r="G118" i="4"/>
  <c r="G117" i="4"/>
  <c r="G116" i="4"/>
  <c r="G115" i="4"/>
  <c r="G114" i="4"/>
  <c r="G113" i="4"/>
  <c r="G112" i="4"/>
  <c r="G111" i="4"/>
  <c r="G110" i="4"/>
  <c r="G122" i="4" s="1"/>
  <c r="F108" i="4"/>
  <c r="G107" i="4"/>
  <c r="G106" i="4"/>
  <c r="G105" i="4"/>
  <c r="G104" i="4"/>
  <c r="G103" i="4"/>
  <c r="G102" i="4"/>
  <c r="G101" i="4"/>
  <c r="G100" i="4"/>
  <c r="G99" i="4"/>
  <c r="G98" i="4"/>
  <c r="G97" i="4"/>
  <c r="G96" i="4"/>
  <c r="G108" i="4" s="1"/>
  <c r="F95" i="4"/>
  <c r="F109" i="4" s="1"/>
  <c r="G94" i="4"/>
  <c r="G93" i="4"/>
  <c r="G92" i="4"/>
  <c r="G91" i="4"/>
  <c r="G90" i="4"/>
  <c r="G89" i="4"/>
  <c r="G88" i="4"/>
  <c r="G87" i="4"/>
  <c r="G86" i="4"/>
  <c r="G85" i="4"/>
  <c r="G84" i="4"/>
  <c r="G83" i="4"/>
  <c r="F81" i="4"/>
  <c r="G80" i="4"/>
  <c r="G79" i="4"/>
  <c r="G78" i="4"/>
  <c r="G77" i="4"/>
  <c r="G76" i="4"/>
  <c r="G75" i="4"/>
  <c r="G74" i="4"/>
  <c r="G73" i="4"/>
  <c r="G72" i="4"/>
  <c r="G71" i="4"/>
  <c r="G70" i="4"/>
  <c r="G69" i="4"/>
  <c r="F68" i="4"/>
  <c r="F82" i="4" s="1"/>
  <c r="G67" i="4"/>
  <c r="G66" i="4"/>
  <c r="G65" i="4"/>
  <c r="G64" i="4"/>
  <c r="G63" i="4"/>
  <c r="G62" i="4"/>
  <c r="G61" i="4"/>
  <c r="G60" i="4"/>
  <c r="G59" i="4"/>
  <c r="G58" i="4"/>
  <c r="G57" i="4"/>
  <c r="G56" i="4"/>
  <c r="G68" i="4" s="1"/>
  <c r="F54" i="4"/>
  <c r="G53" i="4"/>
  <c r="G52" i="4"/>
  <c r="G51" i="4"/>
  <c r="G50" i="4"/>
  <c r="G49" i="4"/>
  <c r="G48" i="4"/>
  <c r="G47" i="4"/>
  <c r="G46" i="4"/>
  <c r="G45" i="4"/>
  <c r="G44" i="4"/>
  <c r="G43" i="4"/>
  <c r="G42" i="4"/>
  <c r="F41" i="4"/>
  <c r="G40" i="4"/>
  <c r="G39" i="4"/>
  <c r="G38" i="4"/>
  <c r="G37" i="4"/>
  <c r="G36" i="4"/>
  <c r="G35" i="4"/>
  <c r="G34" i="4"/>
  <c r="G33" i="4"/>
  <c r="G32" i="4"/>
  <c r="G31" i="4"/>
  <c r="G30" i="4"/>
  <c r="G29" i="4"/>
  <c r="F27" i="4"/>
  <c r="G15" i="4"/>
  <c r="G27" i="4" s="1"/>
  <c r="F14" i="4"/>
  <c r="F28" i="4" s="1"/>
  <c r="G8" i="4"/>
  <c r="G7" i="4"/>
  <c r="G6" i="4"/>
  <c r="G5" i="4"/>
  <c r="G4" i="4"/>
  <c r="G3" i="4"/>
  <c r="G2" i="4"/>
  <c r="F810" i="5"/>
  <c r="G810" i="5"/>
  <c r="G797" i="5"/>
  <c r="G811" i="5" s="1"/>
  <c r="F797" i="5"/>
  <c r="F811" i="5" s="1"/>
  <c r="F783" i="5"/>
  <c r="G781" i="5"/>
  <c r="G780" i="5"/>
  <c r="G779" i="5"/>
  <c r="G778" i="5"/>
  <c r="G777" i="5"/>
  <c r="G776" i="5"/>
  <c r="G775" i="5"/>
  <c r="G774" i="5"/>
  <c r="G773" i="5"/>
  <c r="G772" i="5"/>
  <c r="G771" i="5"/>
  <c r="F770" i="5"/>
  <c r="G769" i="5"/>
  <c r="G768" i="5"/>
  <c r="G767" i="5"/>
  <c r="G766" i="5"/>
  <c r="G765" i="5"/>
  <c r="G764" i="5"/>
  <c r="G763" i="5"/>
  <c r="G762" i="5"/>
  <c r="G761" i="5"/>
  <c r="G760" i="5"/>
  <c r="G759" i="5"/>
  <c r="G758" i="5"/>
  <c r="F756" i="5"/>
  <c r="G755" i="5"/>
  <c r="G754" i="5"/>
  <c r="G753" i="5"/>
  <c r="G752" i="5"/>
  <c r="G751" i="5"/>
  <c r="G750" i="5"/>
  <c r="G749" i="5"/>
  <c r="G748" i="5"/>
  <c r="G747" i="5"/>
  <c r="G746" i="5"/>
  <c r="G745" i="5"/>
  <c r="G744" i="5"/>
  <c r="G756" i="5" s="1"/>
  <c r="F743" i="5"/>
  <c r="F757" i="5" s="1"/>
  <c r="G740" i="5"/>
  <c r="G739" i="5"/>
  <c r="G738" i="5"/>
  <c r="G737" i="5"/>
  <c r="G736" i="5"/>
  <c r="G735" i="5"/>
  <c r="G734" i="5"/>
  <c r="G733" i="5"/>
  <c r="G732" i="5"/>
  <c r="G731" i="5"/>
  <c r="F729" i="5"/>
  <c r="G728" i="5"/>
  <c r="G727" i="5"/>
  <c r="G726" i="5"/>
  <c r="G725" i="5"/>
  <c r="G724" i="5"/>
  <c r="G723" i="5"/>
  <c r="G722" i="5"/>
  <c r="G721" i="5"/>
  <c r="G720" i="5"/>
  <c r="G719" i="5"/>
  <c r="G718" i="5"/>
  <c r="G717" i="5"/>
  <c r="F716" i="5"/>
  <c r="F730" i="5" s="1"/>
  <c r="G715" i="5"/>
  <c r="G714" i="5"/>
  <c r="G713" i="5"/>
  <c r="G712" i="5"/>
  <c r="G711" i="5"/>
  <c r="G710" i="5"/>
  <c r="G709" i="5"/>
  <c r="G708" i="5"/>
  <c r="G707" i="5"/>
  <c r="G706" i="5"/>
  <c r="G705" i="5"/>
  <c r="G704" i="5"/>
  <c r="G716" i="5" s="1"/>
  <c r="F702" i="5"/>
  <c r="G701" i="5"/>
  <c r="G700" i="5"/>
  <c r="G699" i="5"/>
  <c r="G698" i="5"/>
  <c r="G697" i="5"/>
  <c r="G696" i="5"/>
  <c r="G695" i="5"/>
  <c r="G694" i="5"/>
  <c r="G693" i="5"/>
  <c r="G692" i="5"/>
  <c r="G691" i="5"/>
  <c r="G690" i="5"/>
  <c r="F689" i="5"/>
  <c r="G688" i="5"/>
  <c r="G687" i="5"/>
  <c r="G685" i="5"/>
  <c r="G684" i="5"/>
  <c r="G683" i="5"/>
  <c r="G682" i="5"/>
  <c r="G681" i="5"/>
  <c r="G680" i="5"/>
  <c r="G679" i="5"/>
  <c r="G678" i="5"/>
  <c r="G677" i="5"/>
  <c r="F675" i="5"/>
  <c r="G674" i="5"/>
  <c r="G673" i="5"/>
  <c r="G672" i="5"/>
  <c r="G671" i="5"/>
  <c r="G670" i="5"/>
  <c r="G669" i="5"/>
  <c r="G668" i="5"/>
  <c r="G667" i="5"/>
  <c r="G666" i="5"/>
  <c r="G665" i="5"/>
  <c r="G664" i="5"/>
  <c r="G663" i="5"/>
  <c r="G675" i="5" s="1"/>
  <c r="F662" i="5"/>
  <c r="F676" i="5" s="1"/>
  <c r="G661" i="5"/>
  <c r="G660" i="5"/>
  <c r="G659" i="5"/>
  <c r="G658" i="5"/>
  <c r="G657" i="5"/>
  <c r="G656" i="5"/>
  <c r="G655" i="5"/>
  <c r="G654" i="5"/>
  <c r="G653" i="5"/>
  <c r="G652" i="5"/>
  <c r="G651" i="5"/>
  <c r="G650" i="5"/>
  <c r="F648" i="5"/>
  <c r="G647" i="5"/>
  <c r="G646" i="5"/>
  <c r="G645" i="5"/>
  <c r="G644" i="5"/>
  <c r="G643" i="5"/>
  <c r="G642" i="5"/>
  <c r="G641" i="5"/>
  <c r="G640" i="5"/>
  <c r="G639" i="5"/>
  <c r="G638" i="5"/>
  <c r="G637" i="5"/>
  <c r="G636" i="5"/>
  <c r="F635" i="5"/>
  <c r="G634" i="5"/>
  <c r="G633" i="5"/>
  <c r="G632" i="5"/>
  <c r="G631" i="5"/>
  <c r="G630" i="5"/>
  <c r="G629" i="5"/>
  <c r="G628" i="5"/>
  <c r="G627" i="5"/>
  <c r="G626" i="5"/>
  <c r="G625" i="5"/>
  <c r="G624" i="5"/>
  <c r="G623" i="5"/>
  <c r="G635" i="5" s="1"/>
  <c r="F621" i="5"/>
  <c r="G620" i="5"/>
  <c r="G619" i="5"/>
  <c r="G618" i="5"/>
  <c r="G617" i="5"/>
  <c r="G616" i="5"/>
  <c r="G614" i="5"/>
  <c r="G613" i="5"/>
  <c r="G612" i="5"/>
  <c r="G611" i="5"/>
  <c r="G610" i="5"/>
  <c r="G609" i="5"/>
  <c r="G621" i="5" s="1"/>
  <c r="F608" i="5"/>
  <c r="F622" i="5" s="1"/>
  <c r="G607" i="5"/>
  <c r="G606" i="5"/>
  <c r="G605" i="5"/>
  <c r="G604" i="5"/>
  <c r="G603" i="5"/>
  <c r="G602" i="5"/>
  <c r="G601" i="5"/>
  <c r="G600" i="5"/>
  <c r="G599" i="5"/>
  <c r="G598" i="5"/>
  <c r="G597" i="5"/>
  <c r="G596" i="5"/>
  <c r="F594" i="5"/>
  <c r="G593" i="5"/>
  <c r="G592" i="5"/>
  <c r="G591" i="5"/>
  <c r="G590" i="5"/>
  <c r="G589" i="5"/>
  <c r="G588" i="5"/>
  <c r="G587" i="5"/>
  <c r="G586" i="5"/>
  <c r="G585" i="5"/>
  <c r="G584" i="5"/>
  <c r="G583" i="5"/>
  <c r="G582" i="5"/>
  <c r="G594" i="5" s="1"/>
  <c r="F581" i="5"/>
  <c r="F595" i="5" s="1"/>
  <c r="G580" i="5"/>
  <c r="G579" i="5"/>
  <c r="G578" i="5"/>
  <c r="G577" i="5"/>
  <c r="G576" i="5"/>
  <c r="G575" i="5"/>
  <c r="G574" i="5"/>
  <c r="G573" i="5"/>
  <c r="G572" i="5"/>
  <c r="G571" i="5"/>
  <c r="G570" i="5"/>
  <c r="G569" i="5"/>
  <c r="G581" i="5" s="1"/>
  <c r="G595" i="5" s="1"/>
  <c r="F567" i="5"/>
  <c r="G566" i="5"/>
  <c r="G565" i="5"/>
  <c r="G564" i="5"/>
  <c r="G563" i="5"/>
  <c r="G562" i="5"/>
  <c r="G561" i="5"/>
  <c r="G560" i="5"/>
  <c r="G559" i="5"/>
  <c r="G558" i="5"/>
  <c r="G557" i="5"/>
  <c r="G556" i="5"/>
  <c r="G555" i="5"/>
  <c r="F554" i="5"/>
  <c r="G553" i="5"/>
  <c r="G552" i="5"/>
  <c r="G551" i="5"/>
  <c r="G550" i="5"/>
  <c r="G549" i="5"/>
  <c r="G548" i="5"/>
  <c r="G547" i="5"/>
  <c r="G546" i="5"/>
  <c r="G545" i="5"/>
  <c r="G544" i="5"/>
  <c r="G543" i="5"/>
  <c r="G542" i="5"/>
  <c r="G554" i="5" s="1"/>
  <c r="F540" i="5"/>
  <c r="G539" i="5"/>
  <c r="G538" i="5"/>
  <c r="G537" i="5"/>
  <c r="G536" i="5"/>
  <c r="G535" i="5"/>
  <c r="G534" i="5"/>
  <c r="G533" i="5"/>
  <c r="G532" i="5"/>
  <c r="G531" i="5"/>
  <c r="G530" i="5"/>
  <c r="G529" i="5"/>
  <c r="G528" i="5"/>
  <c r="G540" i="5" s="1"/>
  <c r="F527" i="5"/>
  <c r="F541" i="5" s="1"/>
  <c r="G526" i="5"/>
  <c r="G525" i="5"/>
  <c r="G524" i="5"/>
  <c r="G523" i="5"/>
  <c r="G522" i="5"/>
  <c r="G521" i="5"/>
  <c r="G520" i="5"/>
  <c r="G519" i="5"/>
  <c r="G518" i="5"/>
  <c r="G517" i="5"/>
  <c r="G516" i="5"/>
  <c r="G515" i="5"/>
  <c r="F513" i="5"/>
  <c r="G512" i="5"/>
  <c r="G511" i="5"/>
  <c r="G510" i="5"/>
  <c r="G509" i="5"/>
  <c r="G508" i="5"/>
  <c r="G507" i="5"/>
  <c r="G506" i="5"/>
  <c r="G505" i="5"/>
  <c r="G504" i="5"/>
  <c r="G503" i="5"/>
  <c r="G502" i="5"/>
  <c r="G501" i="5"/>
  <c r="G513" i="5" s="1"/>
  <c r="F500" i="5"/>
  <c r="G499" i="5"/>
  <c r="G498" i="5"/>
  <c r="G497" i="5"/>
  <c r="G496" i="5"/>
  <c r="G495" i="5"/>
  <c r="G494" i="5"/>
  <c r="G493" i="5"/>
  <c r="G492" i="5"/>
  <c r="G491" i="5"/>
  <c r="G490" i="5"/>
  <c r="G489" i="5"/>
  <c r="G488" i="5"/>
  <c r="G500" i="5" s="1"/>
  <c r="G514" i="5" s="1"/>
  <c r="F486" i="5"/>
  <c r="G485" i="5"/>
  <c r="G484" i="5"/>
  <c r="G483" i="5"/>
  <c r="G482" i="5"/>
  <c r="G481" i="5"/>
  <c r="G480" i="5"/>
  <c r="G479" i="5"/>
  <c r="G478" i="5"/>
  <c r="G477" i="5"/>
  <c r="G476" i="5"/>
  <c r="G475" i="5"/>
  <c r="G474" i="5"/>
  <c r="F473" i="5"/>
  <c r="G472" i="5"/>
  <c r="G471" i="5"/>
  <c r="G470" i="5"/>
  <c r="G469" i="5"/>
  <c r="G468" i="5"/>
  <c r="G467" i="5"/>
  <c r="G466" i="5"/>
  <c r="G465" i="5"/>
  <c r="G464" i="5"/>
  <c r="G463" i="5"/>
  <c r="G462" i="5"/>
  <c r="G461" i="5"/>
  <c r="G473" i="5" s="1"/>
  <c r="F459" i="5"/>
  <c r="G458" i="5"/>
  <c r="G457" i="5"/>
  <c r="G456" i="5"/>
  <c r="G455" i="5"/>
  <c r="G454" i="5"/>
  <c r="G453" i="5"/>
  <c r="G452" i="5"/>
  <c r="G451" i="5"/>
  <c r="G450" i="5"/>
  <c r="G449" i="5"/>
  <c r="G448" i="5"/>
  <c r="G447" i="5"/>
  <c r="G459" i="5" s="1"/>
  <c r="F446" i="5"/>
  <c r="F460" i="5" s="1"/>
  <c r="G445" i="5"/>
  <c r="G444" i="5"/>
  <c r="G443" i="5"/>
  <c r="G442" i="5"/>
  <c r="G441" i="5"/>
  <c r="G440" i="5"/>
  <c r="G439" i="5"/>
  <c r="G438" i="5"/>
  <c r="G437" i="5"/>
  <c r="G436" i="5"/>
  <c r="G435" i="5"/>
  <c r="G434" i="5"/>
  <c r="F432" i="5"/>
  <c r="G431" i="5"/>
  <c r="G430" i="5"/>
  <c r="G429" i="5"/>
  <c r="G428" i="5"/>
  <c r="G427" i="5"/>
  <c r="G426" i="5"/>
  <c r="G425" i="5"/>
  <c r="G424" i="5"/>
  <c r="G423" i="5"/>
  <c r="G422" i="5"/>
  <c r="G421" i="5"/>
  <c r="G420" i="5"/>
  <c r="F419" i="5"/>
  <c r="F433" i="5" s="1"/>
  <c r="G418" i="5"/>
  <c r="G417" i="5"/>
  <c r="G416" i="5"/>
  <c r="G415" i="5"/>
  <c r="G414" i="5"/>
  <c r="G413" i="5"/>
  <c r="G412" i="5"/>
  <c r="G411" i="5"/>
  <c r="G410" i="5"/>
  <c r="G409" i="5"/>
  <c r="G408" i="5"/>
  <c r="G407" i="5"/>
  <c r="G419" i="5" s="1"/>
  <c r="F405" i="5"/>
  <c r="G404" i="5"/>
  <c r="G403" i="5"/>
  <c r="G402" i="5"/>
  <c r="G401" i="5"/>
  <c r="G400" i="5"/>
  <c r="G399" i="5"/>
  <c r="G398" i="5"/>
  <c r="G397" i="5"/>
  <c r="G396" i="5"/>
  <c r="G395" i="5"/>
  <c r="G394" i="5"/>
  <c r="G393" i="5"/>
  <c r="F392" i="5"/>
  <c r="G391" i="5"/>
  <c r="G390" i="5"/>
  <c r="G389" i="5"/>
  <c r="G388" i="5"/>
  <c r="G387" i="5"/>
  <c r="G386" i="5"/>
  <c r="G385" i="5"/>
  <c r="G384" i="5"/>
  <c r="G383" i="5"/>
  <c r="G381" i="5"/>
  <c r="G380" i="5"/>
  <c r="F378" i="5"/>
  <c r="G377" i="5"/>
  <c r="G376" i="5"/>
  <c r="G375" i="5"/>
  <c r="G374" i="5"/>
  <c r="G373" i="5"/>
  <c r="G372" i="5"/>
  <c r="G371" i="5"/>
  <c r="G370" i="5"/>
  <c r="G369" i="5"/>
  <c r="G368" i="5"/>
  <c r="G367" i="5"/>
  <c r="G366" i="5"/>
  <c r="G378" i="5" s="1"/>
  <c r="F365" i="5"/>
  <c r="F379" i="5" s="1"/>
  <c r="G364" i="5"/>
  <c r="G363" i="5"/>
  <c r="G362" i="5"/>
  <c r="G361" i="5"/>
  <c r="G360" i="5"/>
  <c r="G359" i="5"/>
  <c r="G358" i="5"/>
  <c r="G357" i="5"/>
  <c r="G356" i="5"/>
  <c r="G355" i="5"/>
  <c r="G354" i="5"/>
  <c r="G353" i="5"/>
  <c r="F351" i="5"/>
  <c r="G350" i="5"/>
  <c r="G349" i="5"/>
  <c r="G348" i="5"/>
  <c r="G347" i="5"/>
  <c r="G346" i="5"/>
  <c r="G345" i="5"/>
  <c r="G344" i="5"/>
  <c r="G343" i="5"/>
  <c r="G342" i="5"/>
  <c r="G341" i="5"/>
  <c r="G340" i="5"/>
  <c r="G339" i="5"/>
  <c r="F338" i="5"/>
  <c r="G337" i="5"/>
  <c r="G336" i="5"/>
  <c r="G335" i="5"/>
  <c r="G334" i="5"/>
  <c r="G333" i="5"/>
  <c r="G332" i="5"/>
  <c r="G331" i="5"/>
  <c r="G330" i="5"/>
  <c r="G329" i="5"/>
  <c r="G328" i="5"/>
  <c r="G327" i="5"/>
  <c r="G326" i="5"/>
  <c r="G338" i="5" s="1"/>
  <c r="F324" i="5"/>
  <c r="G323" i="5"/>
  <c r="G322" i="5"/>
  <c r="G321" i="5"/>
  <c r="G320" i="5"/>
  <c r="G319" i="5"/>
  <c r="G318" i="5"/>
  <c r="G317" i="5"/>
  <c r="G316" i="5"/>
  <c r="G315" i="5"/>
  <c r="G314" i="5"/>
  <c r="G313" i="5"/>
  <c r="G312" i="5"/>
  <c r="G324" i="5" s="1"/>
  <c r="F311" i="5"/>
  <c r="G310" i="5"/>
  <c r="G309" i="5"/>
  <c r="G308" i="5"/>
  <c r="G307" i="5"/>
  <c r="G306" i="5"/>
  <c r="G305" i="5"/>
  <c r="G304" i="5"/>
  <c r="G303" i="5"/>
  <c r="G302" i="5"/>
  <c r="G301" i="5"/>
  <c r="G300" i="5"/>
  <c r="G299" i="5"/>
  <c r="F297" i="5"/>
  <c r="G296" i="5"/>
  <c r="G295" i="5"/>
  <c r="G294" i="5"/>
  <c r="G293" i="5"/>
  <c r="G292" i="5"/>
  <c r="G291" i="5"/>
  <c r="G290" i="5"/>
  <c r="G289" i="5"/>
  <c r="G288" i="5"/>
  <c r="G287" i="5"/>
  <c r="G286" i="5"/>
  <c r="G285" i="5"/>
  <c r="G297" i="5" s="1"/>
  <c r="F298" i="5"/>
  <c r="G283" i="5"/>
  <c r="G282" i="5"/>
  <c r="G281" i="5"/>
  <c r="G280" i="5"/>
  <c r="G279" i="5"/>
  <c r="G278" i="5"/>
  <c r="G277" i="5"/>
  <c r="G276" i="5"/>
  <c r="G275" i="5"/>
  <c r="G274" i="5"/>
  <c r="G273" i="5"/>
  <c r="G272" i="5"/>
  <c r="G284" i="5" s="1"/>
  <c r="G298" i="5" s="1"/>
  <c r="F270" i="5"/>
  <c r="G269" i="5"/>
  <c r="G268" i="5"/>
  <c r="G267" i="5"/>
  <c r="G266" i="5"/>
  <c r="G265" i="5"/>
  <c r="G264" i="5"/>
  <c r="G263" i="5"/>
  <c r="G262" i="5"/>
  <c r="G261" i="5"/>
  <c r="G260" i="5"/>
  <c r="G259" i="5"/>
  <c r="G258" i="5"/>
  <c r="F257" i="5"/>
  <c r="G256" i="5"/>
  <c r="G255" i="5"/>
  <c r="G254" i="5"/>
  <c r="G253" i="5"/>
  <c r="G252" i="5"/>
  <c r="G251" i="5"/>
  <c r="G250" i="5"/>
  <c r="G249" i="5"/>
  <c r="G248" i="5"/>
  <c r="G247" i="5"/>
  <c r="G246" i="5"/>
  <c r="G245" i="5"/>
  <c r="G257" i="5" s="1"/>
  <c r="F243" i="5"/>
  <c r="G242" i="5"/>
  <c r="G241" i="5"/>
  <c r="G240" i="5"/>
  <c r="G239" i="5"/>
  <c r="G238" i="5"/>
  <c r="G237" i="5"/>
  <c r="G236" i="5"/>
  <c r="G235" i="5"/>
  <c r="G234" i="5"/>
  <c r="G233" i="5"/>
  <c r="G232" i="5"/>
  <c r="G231" i="5"/>
  <c r="G243" i="5" s="1"/>
  <c r="F230" i="5"/>
  <c r="F244" i="5" s="1"/>
  <c r="G229" i="5"/>
  <c r="G228" i="5"/>
  <c r="G227" i="5"/>
  <c r="G226" i="5"/>
  <c r="G225" i="5"/>
  <c r="G224" i="5"/>
  <c r="G223" i="5"/>
  <c r="G222" i="5"/>
  <c r="G221" i="5"/>
  <c r="G220" i="5"/>
  <c r="G219" i="5"/>
  <c r="G218" i="5"/>
  <c r="F216" i="5"/>
  <c r="G215" i="5"/>
  <c r="G214" i="5"/>
  <c r="G213" i="5"/>
  <c r="G212" i="5"/>
  <c r="G211" i="5"/>
  <c r="G210" i="5"/>
  <c r="G209" i="5"/>
  <c r="G208" i="5"/>
  <c r="G207" i="5"/>
  <c r="G206" i="5"/>
  <c r="G205" i="5"/>
  <c r="G204" i="5"/>
  <c r="G216" i="5" s="1"/>
  <c r="F203" i="5"/>
  <c r="G202" i="5"/>
  <c r="G201" i="5"/>
  <c r="G200" i="5"/>
  <c r="G199" i="5"/>
  <c r="G198" i="5"/>
  <c r="G197" i="5"/>
  <c r="G196" i="5"/>
  <c r="G195" i="5"/>
  <c r="G194" i="5"/>
  <c r="G193" i="5"/>
  <c r="G192" i="5"/>
  <c r="G191" i="5"/>
  <c r="G203" i="5" s="1"/>
  <c r="G217" i="5" s="1"/>
  <c r="F189" i="5"/>
  <c r="G188" i="5"/>
  <c r="G187" i="5"/>
  <c r="G186" i="5"/>
  <c r="G185" i="5"/>
  <c r="G184" i="5"/>
  <c r="G183" i="5"/>
  <c r="G182" i="5"/>
  <c r="G180" i="5"/>
  <c r="G179" i="5"/>
  <c r="G178" i="5"/>
  <c r="G177" i="5"/>
  <c r="F176" i="5"/>
  <c r="F190" i="5" s="1"/>
  <c r="G175" i="5"/>
  <c r="G174" i="5"/>
  <c r="G173" i="5"/>
  <c r="G172" i="5"/>
  <c r="G171" i="5"/>
  <c r="G170" i="5"/>
  <c r="G169" i="5"/>
  <c r="G168" i="5"/>
  <c r="G167" i="5"/>
  <c r="G166" i="5"/>
  <c r="G165" i="5"/>
  <c r="G164" i="5"/>
  <c r="G176" i="5" s="1"/>
  <c r="F162" i="5"/>
  <c r="G161" i="5"/>
  <c r="G160" i="5"/>
  <c r="G159" i="5"/>
  <c r="G158" i="5"/>
  <c r="G157" i="5"/>
  <c r="G156" i="5"/>
  <c r="G155" i="5"/>
  <c r="G154" i="5"/>
  <c r="G153" i="5"/>
  <c r="G152" i="5"/>
  <c r="G151" i="5"/>
  <c r="G150" i="5"/>
  <c r="G162" i="5" s="1"/>
  <c r="F149" i="5"/>
  <c r="F163" i="5" s="1"/>
  <c r="G148" i="5"/>
  <c r="G147" i="5"/>
  <c r="G146" i="5"/>
  <c r="G145" i="5"/>
  <c r="G144" i="5"/>
  <c r="G143" i="5"/>
  <c r="G142" i="5"/>
  <c r="G141" i="5"/>
  <c r="G140" i="5"/>
  <c r="G139" i="5"/>
  <c r="G138" i="5"/>
  <c r="G137" i="5"/>
  <c r="F135" i="5"/>
  <c r="G134" i="5"/>
  <c r="G133" i="5"/>
  <c r="G132" i="5"/>
  <c r="G131" i="5"/>
  <c r="G130" i="5"/>
  <c r="G129" i="5"/>
  <c r="G128" i="5"/>
  <c r="G127" i="5"/>
  <c r="G126" i="5"/>
  <c r="G125" i="5"/>
  <c r="G124" i="5"/>
  <c r="G123" i="5"/>
  <c r="F122" i="5"/>
  <c r="F136" i="5" s="1"/>
  <c r="G121" i="5"/>
  <c r="G120" i="5"/>
  <c r="G119" i="5"/>
  <c r="G118" i="5"/>
  <c r="G117" i="5"/>
  <c r="G116" i="5"/>
  <c r="G115" i="5"/>
  <c r="G114" i="5"/>
  <c r="G113" i="5"/>
  <c r="G112" i="5"/>
  <c r="G111" i="5"/>
  <c r="G110" i="5"/>
  <c r="G122" i="5" s="1"/>
  <c r="F108" i="5"/>
  <c r="G107" i="5"/>
  <c r="G106" i="5"/>
  <c r="G105" i="5"/>
  <c r="G104" i="5"/>
  <c r="G103" i="5"/>
  <c r="G102" i="5"/>
  <c r="G101" i="5"/>
  <c r="G100" i="5"/>
  <c r="G99" i="5"/>
  <c r="G98" i="5"/>
  <c r="G97" i="5"/>
  <c r="G96" i="5"/>
  <c r="F95" i="5"/>
  <c r="G94" i="5"/>
  <c r="G93" i="5"/>
  <c r="G92" i="5"/>
  <c r="G91" i="5"/>
  <c r="G90" i="5"/>
  <c r="G89" i="5"/>
  <c r="G88" i="5"/>
  <c r="G87" i="5"/>
  <c r="G86" i="5"/>
  <c r="G85" i="5"/>
  <c r="G84" i="5"/>
  <c r="G83" i="5"/>
  <c r="F81" i="5"/>
  <c r="G80" i="5"/>
  <c r="G79" i="5"/>
  <c r="G78" i="5"/>
  <c r="G77" i="5"/>
  <c r="G76" i="5"/>
  <c r="G75" i="5"/>
  <c r="G74" i="5"/>
  <c r="G73" i="5"/>
  <c r="G72" i="5"/>
  <c r="G71" i="5"/>
  <c r="G70" i="5"/>
  <c r="G69" i="5"/>
  <c r="G81" i="5" s="1"/>
  <c r="F68" i="5"/>
  <c r="F82" i="5" s="1"/>
  <c r="G67" i="5"/>
  <c r="G66" i="5"/>
  <c r="G65" i="5"/>
  <c r="G64" i="5"/>
  <c r="G63" i="5"/>
  <c r="G62" i="5"/>
  <c r="G61" i="5"/>
  <c r="G60" i="5"/>
  <c r="G59" i="5"/>
  <c r="G58" i="5"/>
  <c r="G57" i="5"/>
  <c r="G56" i="5"/>
  <c r="F54" i="5"/>
  <c r="G53" i="5"/>
  <c r="G52" i="5"/>
  <c r="G51" i="5"/>
  <c r="G50" i="5"/>
  <c r="G49" i="5"/>
  <c r="G48" i="5"/>
  <c r="G47" i="5"/>
  <c r="G46" i="5"/>
  <c r="G45" i="5"/>
  <c r="G44" i="5"/>
  <c r="G43" i="5"/>
  <c r="G42" i="5"/>
  <c r="F41" i="5"/>
  <c r="G40" i="5"/>
  <c r="G39" i="5"/>
  <c r="G38" i="5"/>
  <c r="G37" i="5"/>
  <c r="G36" i="5"/>
  <c r="G35" i="5"/>
  <c r="G34" i="5"/>
  <c r="G33" i="5"/>
  <c r="G32" i="5"/>
  <c r="G31" i="5"/>
  <c r="G30" i="5"/>
  <c r="G29" i="5"/>
  <c r="G41" i="5" s="1"/>
  <c r="F27" i="5"/>
  <c r="G26" i="5"/>
  <c r="G25" i="5"/>
  <c r="G24" i="5"/>
  <c r="G23" i="5"/>
  <c r="G22" i="5"/>
  <c r="G21" i="5"/>
  <c r="G20" i="5"/>
  <c r="G19" i="5"/>
  <c r="G18" i="5"/>
  <c r="G17" i="5"/>
  <c r="G16" i="5"/>
  <c r="G15" i="5"/>
  <c r="G27" i="5" s="1"/>
  <c r="F14" i="5"/>
  <c r="G13" i="5"/>
  <c r="G12" i="5"/>
  <c r="G11" i="5"/>
  <c r="G10" i="5"/>
  <c r="G9" i="5"/>
  <c r="G8" i="5"/>
  <c r="G7" i="5"/>
  <c r="G6" i="5"/>
  <c r="G5" i="5"/>
  <c r="G4" i="5"/>
  <c r="G3" i="5"/>
  <c r="G2" i="5"/>
  <c r="E810" i="3"/>
  <c r="B799" i="3"/>
  <c r="B800" i="3" s="1"/>
  <c r="B801" i="3" s="1"/>
  <c r="B802" i="3" s="1"/>
  <c r="B803" i="3" s="1"/>
  <c r="B804" i="3" s="1"/>
  <c r="B805" i="3" s="1"/>
  <c r="B806" i="3" s="1"/>
  <c r="B807" i="3" s="1"/>
  <c r="B808" i="3" s="1"/>
  <c r="B809" i="3" s="1"/>
  <c r="E797" i="3"/>
  <c r="E811" i="3" s="1"/>
  <c r="B786" i="3"/>
  <c r="B787" i="3" s="1"/>
  <c r="B788" i="3" s="1"/>
  <c r="B789" i="3" s="1"/>
  <c r="B790" i="3" s="1"/>
  <c r="B791" i="3" s="1"/>
  <c r="B792" i="3" s="1"/>
  <c r="B793" i="3" s="1"/>
  <c r="B794" i="3" s="1"/>
  <c r="B795" i="3" s="1"/>
  <c r="B796" i="3" s="1"/>
  <c r="E783" i="3"/>
  <c r="B772" i="3"/>
  <c r="B773" i="3" s="1"/>
  <c r="B774" i="3" s="1"/>
  <c r="B775" i="3" s="1"/>
  <c r="B776" i="3" s="1"/>
  <c r="B777" i="3" s="1"/>
  <c r="B778" i="3" s="1"/>
  <c r="B779" i="3" s="1"/>
  <c r="B780" i="3" s="1"/>
  <c r="B781" i="3" s="1"/>
  <c r="B782" i="3" s="1"/>
  <c r="E770" i="3"/>
  <c r="B759" i="3"/>
  <c r="B760" i="3" s="1"/>
  <c r="B761" i="3" s="1"/>
  <c r="B762" i="3" s="1"/>
  <c r="B763" i="3" s="1"/>
  <c r="B764" i="3" s="1"/>
  <c r="B765" i="3" s="1"/>
  <c r="B766" i="3" s="1"/>
  <c r="B767" i="3" s="1"/>
  <c r="B768" i="3" s="1"/>
  <c r="B769" i="3" s="1"/>
  <c r="E756" i="3"/>
  <c r="B745" i="3"/>
  <c r="B746" i="3" s="1"/>
  <c r="B747" i="3" s="1"/>
  <c r="B748" i="3" s="1"/>
  <c r="B749" i="3" s="1"/>
  <c r="B750" i="3" s="1"/>
  <c r="B751" i="3" s="1"/>
  <c r="B752" i="3" s="1"/>
  <c r="B753" i="3" s="1"/>
  <c r="B754" i="3" s="1"/>
  <c r="B755" i="3" s="1"/>
  <c r="E743" i="3"/>
  <c r="E757" i="3" s="1"/>
  <c r="B732" i="3"/>
  <c r="B733" i="3" s="1"/>
  <c r="B734" i="3" s="1"/>
  <c r="B735" i="3" s="1"/>
  <c r="B736" i="3" s="1"/>
  <c r="B737" i="3" s="1"/>
  <c r="B738" i="3" s="1"/>
  <c r="B739" i="3" s="1"/>
  <c r="B740" i="3" s="1"/>
  <c r="B741" i="3" s="1"/>
  <c r="B742" i="3" s="1"/>
  <c r="E729" i="3"/>
  <c r="B718" i="3"/>
  <c r="B719" i="3" s="1"/>
  <c r="B720" i="3" s="1"/>
  <c r="B721" i="3" s="1"/>
  <c r="B722" i="3" s="1"/>
  <c r="B723" i="3" s="1"/>
  <c r="B724" i="3" s="1"/>
  <c r="B725" i="3" s="1"/>
  <c r="B726" i="3" s="1"/>
  <c r="B727" i="3" s="1"/>
  <c r="B728" i="3" s="1"/>
  <c r="E716" i="3"/>
  <c r="B705" i="3"/>
  <c r="B706" i="3" s="1"/>
  <c r="B707" i="3" s="1"/>
  <c r="B708" i="3" s="1"/>
  <c r="B709" i="3" s="1"/>
  <c r="B710" i="3" s="1"/>
  <c r="B711" i="3" s="1"/>
  <c r="B712" i="3" s="1"/>
  <c r="B713" i="3" s="1"/>
  <c r="B714" i="3" s="1"/>
  <c r="B715" i="3" s="1"/>
  <c r="E702" i="3"/>
  <c r="B691" i="3"/>
  <c r="B692" i="3" s="1"/>
  <c r="B693" i="3" s="1"/>
  <c r="B694" i="3" s="1"/>
  <c r="B695" i="3" s="1"/>
  <c r="B696" i="3" s="1"/>
  <c r="B697" i="3" s="1"/>
  <c r="B698" i="3" s="1"/>
  <c r="B699" i="3" s="1"/>
  <c r="B700" i="3" s="1"/>
  <c r="B701" i="3" s="1"/>
  <c r="E689" i="3"/>
  <c r="B678" i="3"/>
  <c r="B679" i="3" s="1"/>
  <c r="B680" i="3" s="1"/>
  <c r="B681" i="3" s="1"/>
  <c r="B682" i="3" s="1"/>
  <c r="B683" i="3" s="1"/>
  <c r="B684" i="3" s="1"/>
  <c r="B685" i="3" s="1"/>
  <c r="B686" i="3" s="1"/>
  <c r="B687" i="3" s="1"/>
  <c r="B688" i="3" s="1"/>
  <c r="E675" i="3"/>
  <c r="B664" i="3"/>
  <c r="B665" i="3" s="1"/>
  <c r="B666" i="3" s="1"/>
  <c r="B667" i="3" s="1"/>
  <c r="B668" i="3" s="1"/>
  <c r="B669" i="3" s="1"/>
  <c r="B670" i="3" s="1"/>
  <c r="B671" i="3" s="1"/>
  <c r="B672" i="3" s="1"/>
  <c r="B673" i="3" s="1"/>
  <c r="B674" i="3" s="1"/>
  <c r="E662" i="3"/>
  <c r="B651" i="3"/>
  <c r="B652" i="3" s="1"/>
  <c r="B653" i="3" s="1"/>
  <c r="B654" i="3" s="1"/>
  <c r="B655" i="3" s="1"/>
  <c r="B656" i="3" s="1"/>
  <c r="B657" i="3" s="1"/>
  <c r="B658" i="3" s="1"/>
  <c r="B659" i="3" s="1"/>
  <c r="B660" i="3" s="1"/>
  <c r="B661" i="3" s="1"/>
  <c r="E648" i="3"/>
  <c r="B637" i="3"/>
  <c r="B638" i="3" s="1"/>
  <c r="B639" i="3" s="1"/>
  <c r="B640" i="3" s="1"/>
  <c r="B641" i="3" s="1"/>
  <c r="B642" i="3" s="1"/>
  <c r="B643" i="3" s="1"/>
  <c r="B644" i="3" s="1"/>
  <c r="B645" i="3" s="1"/>
  <c r="B646" i="3" s="1"/>
  <c r="B647" i="3" s="1"/>
  <c r="E635" i="3"/>
  <c r="E649" i="3" s="1"/>
  <c r="B624" i="3"/>
  <c r="B625" i="3" s="1"/>
  <c r="B626" i="3" s="1"/>
  <c r="B627" i="3" s="1"/>
  <c r="B628" i="3" s="1"/>
  <c r="B629" i="3" s="1"/>
  <c r="B630" i="3" s="1"/>
  <c r="B631" i="3" s="1"/>
  <c r="B632" i="3" s="1"/>
  <c r="B633" i="3" s="1"/>
  <c r="B634" i="3" s="1"/>
  <c r="E621" i="3"/>
  <c r="B610" i="3"/>
  <c r="B611" i="3" s="1"/>
  <c r="B612" i="3" s="1"/>
  <c r="B613" i="3" s="1"/>
  <c r="B614" i="3" s="1"/>
  <c r="B615" i="3" s="1"/>
  <c r="B616" i="3" s="1"/>
  <c r="B617" i="3" s="1"/>
  <c r="B618" i="3" s="1"/>
  <c r="B619" i="3" s="1"/>
  <c r="B620" i="3" s="1"/>
  <c r="E608" i="3"/>
  <c r="E622" i="3" s="1"/>
  <c r="B597" i="3"/>
  <c r="B598" i="3" s="1"/>
  <c r="B599" i="3" s="1"/>
  <c r="B600" i="3" s="1"/>
  <c r="B601" i="3" s="1"/>
  <c r="B602" i="3" s="1"/>
  <c r="B603" i="3" s="1"/>
  <c r="B604" i="3" s="1"/>
  <c r="B605" i="3" s="1"/>
  <c r="B606" i="3" s="1"/>
  <c r="B607" i="3" s="1"/>
  <c r="E594" i="3"/>
  <c r="B583" i="3"/>
  <c r="B584" i="3" s="1"/>
  <c r="B585" i="3" s="1"/>
  <c r="B586" i="3" s="1"/>
  <c r="B587" i="3" s="1"/>
  <c r="B588" i="3" s="1"/>
  <c r="B589" i="3" s="1"/>
  <c r="B590" i="3" s="1"/>
  <c r="B591" i="3" s="1"/>
  <c r="B592" i="3" s="1"/>
  <c r="B593" i="3" s="1"/>
  <c r="E581" i="3"/>
  <c r="E595" i="3" s="1"/>
  <c r="B570" i="3"/>
  <c r="B571" i="3" s="1"/>
  <c r="B572" i="3" s="1"/>
  <c r="B573" i="3" s="1"/>
  <c r="B574" i="3" s="1"/>
  <c r="B575" i="3" s="1"/>
  <c r="B576" i="3" s="1"/>
  <c r="B577" i="3" s="1"/>
  <c r="B578" i="3" s="1"/>
  <c r="B579" i="3" s="1"/>
  <c r="B580" i="3" s="1"/>
  <c r="E567" i="3"/>
  <c r="B556" i="3"/>
  <c r="B557" i="3" s="1"/>
  <c r="B558" i="3" s="1"/>
  <c r="B559" i="3" s="1"/>
  <c r="B560" i="3" s="1"/>
  <c r="B561" i="3" s="1"/>
  <c r="B562" i="3" s="1"/>
  <c r="B563" i="3" s="1"/>
  <c r="B564" i="3" s="1"/>
  <c r="B565" i="3" s="1"/>
  <c r="B566" i="3" s="1"/>
  <c r="E554" i="3"/>
  <c r="E568" i="3" s="1"/>
  <c r="B543" i="3"/>
  <c r="B544" i="3" s="1"/>
  <c r="B545" i="3" s="1"/>
  <c r="B546" i="3" s="1"/>
  <c r="B547" i="3" s="1"/>
  <c r="B548" i="3" s="1"/>
  <c r="B549" i="3" s="1"/>
  <c r="B550" i="3" s="1"/>
  <c r="B551" i="3" s="1"/>
  <c r="B552" i="3" s="1"/>
  <c r="B553" i="3" s="1"/>
  <c r="E540" i="3"/>
  <c r="B529" i="3"/>
  <c r="B530" i="3" s="1"/>
  <c r="B531" i="3" s="1"/>
  <c r="B532" i="3" s="1"/>
  <c r="B533" i="3" s="1"/>
  <c r="B534" i="3" s="1"/>
  <c r="B535" i="3" s="1"/>
  <c r="B536" i="3" s="1"/>
  <c r="B537" i="3" s="1"/>
  <c r="B538" i="3" s="1"/>
  <c r="B539" i="3" s="1"/>
  <c r="E527" i="3"/>
  <c r="B516" i="3"/>
  <c r="B517" i="3" s="1"/>
  <c r="B518" i="3" s="1"/>
  <c r="B519" i="3" s="1"/>
  <c r="B520" i="3" s="1"/>
  <c r="B521" i="3" s="1"/>
  <c r="B522" i="3" s="1"/>
  <c r="B523" i="3" s="1"/>
  <c r="B524" i="3" s="1"/>
  <c r="B525" i="3" s="1"/>
  <c r="B526" i="3" s="1"/>
  <c r="E513" i="3"/>
  <c r="B502" i="3"/>
  <c r="B503" i="3" s="1"/>
  <c r="B504" i="3" s="1"/>
  <c r="B505" i="3" s="1"/>
  <c r="B506" i="3" s="1"/>
  <c r="B507" i="3" s="1"/>
  <c r="B508" i="3" s="1"/>
  <c r="B509" i="3" s="1"/>
  <c r="B510" i="3" s="1"/>
  <c r="B511" i="3" s="1"/>
  <c r="B512" i="3" s="1"/>
  <c r="E500" i="3"/>
  <c r="B489" i="3"/>
  <c r="B490" i="3" s="1"/>
  <c r="B491" i="3" s="1"/>
  <c r="B492" i="3" s="1"/>
  <c r="B493" i="3" s="1"/>
  <c r="B494" i="3" s="1"/>
  <c r="B495" i="3" s="1"/>
  <c r="B496" i="3" s="1"/>
  <c r="B497" i="3" s="1"/>
  <c r="B498" i="3" s="1"/>
  <c r="B499" i="3" s="1"/>
  <c r="E486" i="3"/>
  <c r="B475" i="3"/>
  <c r="B476" i="3" s="1"/>
  <c r="B477" i="3" s="1"/>
  <c r="B478" i="3" s="1"/>
  <c r="B479" i="3" s="1"/>
  <c r="B480" i="3" s="1"/>
  <c r="B481" i="3" s="1"/>
  <c r="B482" i="3" s="1"/>
  <c r="B483" i="3" s="1"/>
  <c r="B484" i="3" s="1"/>
  <c r="B485" i="3" s="1"/>
  <c r="E473" i="3"/>
  <c r="B462" i="3"/>
  <c r="B463" i="3" s="1"/>
  <c r="B464" i="3" s="1"/>
  <c r="B465" i="3" s="1"/>
  <c r="B466" i="3" s="1"/>
  <c r="B467" i="3" s="1"/>
  <c r="B468" i="3" s="1"/>
  <c r="B469" i="3" s="1"/>
  <c r="B470" i="3" s="1"/>
  <c r="B471" i="3" s="1"/>
  <c r="B472" i="3" s="1"/>
  <c r="E459" i="3"/>
  <c r="B448" i="3"/>
  <c r="B449" i="3" s="1"/>
  <c r="B450" i="3" s="1"/>
  <c r="B451" i="3" s="1"/>
  <c r="B452" i="3" s="1"/>
  <c r="B453" i="3" s="1"/>
  <c r="B454" i="3" s="1"/>
  <c r="B455" i="3" s="1"/>
  <c r="B456" i="3" s="1"/>
  <c r="B457" i="3" s="1"/>
  <c r="B458" i="3" s="1"/>
  <c r="E446" i="3"/>
  <c r="B435" i="3"/>
  <c r="B436" i="3" s="1"/>
  <c r="B437" i="3" s="1"/>
  <c r="B438" i="3" s="1"/>
  <c r="B439" i="3" s="1"/>
  <c r="B440" i="3" s="1"/>
  <c r="B441" i="3" s="1"/>
  <c r="B442" i="3" s="1"/>
  <c r="B443" i="3" s="1"/>
  <c r="B444" i="3" s="1"/>
  <c r="B445" i="3" s="1"/>
  <c r="E432" i="3"/>
  <c r="B421" i="3"/>
  <c r="B422" i="3" s="1"/>
  <c r="B423" i="3" s="1"/>
  <c r="B424" i="3" s="1"/>
  <c r="B425" i="3" s="1"/>
  <c r="B426" i="3" s="1"/>
  <c r="B427" i="3" s="1"/>
  <c r="B428" i="3" s="1"/>
  <c r="B429" i="3" s="1"/>
  <c r="B430" i="3" s="1"/>
  <c r="B431" i="3" s="1"/>
  <c r="E419" i="3"/>
  <c r="E433" i="3" s="1"/>
  <c r="B408" i="3"/>
  <c r="B409" i="3" s="1"/>
  <c r="B410" i="3" s="1"/>
  <c r="B411" i="3" s="1"/>
  <c r="B412" i="3" s="1"/>
  <c r="B413" i="3" s="1"/>
  <c r="B414" i="3" s="1"/>
  <c r="B415" i="3" s="1"/>
  <c r="B416" i="3" s="1"/>
  <c r="B417" i="3" s="1"/>
  <c r="B418" i="3" s="1"/>
  <c r="E405" i="3"/>
  <c r="B394" i="3"/>
  <c r="B395" i="3" s="1"/>
  <c r="B396" i="3" s="1"/>
  <c r="B397" i="3" s="1"/>
  <c r="B398" i="3" s="1"/>
  <c r="B399" i="3" s="1"/>
  <c r="B400" i="3" s="1"/>
  <c r="B401" i="3" s="1"/>
  <c r="B402" i="3" s="1"/>
  <c r="B403" i="3" s="1"/>
  <c r="B404" i="3" s="1"/>
  <c r="E392" i="3"/>
  <c r="E406" i="3" s="1"/>
  <c r="B381" i="3"/>
  <c r="B382" i="3" s="1"/>
  <c r="B383" i="3" s="1"/>
  <c r="B384" i="3" s="1"/>
  <c r="B385" i="3" s="1"/>
  <c r="B386" i="3" s="1"/>
  <c r="B387" i="3" s="1"/>
  <c r="B388" i="3" s="1"/>
  <c r="B389" i="3" s="1"/>
  <c r="B390" i="3" s="1"/>
  <c r="B391" i="3" s="1"/>
  <c r="E378" i="3"/>
  <c r="B367" i="3"/>
  <c r="B368" i="3" s="1"/>
  <c r="B369" i="3" s="1"/>
  <c r="B370" i="3" s="1"/>
  <c r="B371" i="3" s="1"/>
  <c r="B372" i="3" s="1"/>
  <c r="B373" i="3" s="1"/>
  <c r="B374" i="3" s="1"/>
  <c r="B375" i="3" s="1"/>
  <c r="B376" i="3" s="1"/>
  <c r="B377" i="3" s="1"/>
  <c r="E365" i="3"/>
  <c r="E379" i="3" s="1"/>
  <c r="B354" i="3"/>
  <c r="B355" i="3" s="1"/>
  <c r="B356" i="3" s="1"/>
  <c r="B357" i="3" s="1"/>
  <c r="B358" i="3" s="1"/>
  <c r="B359" i="3" s="1"/>
  <c r="B360" i="3" s="1"/>
  <c r="B361" i="3" s="1"/>
  <c r="B362" i="3" s="1"/>
  <c r="B363" i="3" s="1"/>
  <c r="B364" i="3" s="1"/>
  <c r="E351" i="3"/>
  <c r="B340" i="3"/>
  <c r="B341" i="3" s="1"/>
  <c r="B342" i="3" s="1"/>
  <c r="B343" i="3" s="1"/>
  <c r="B344" i="3" s="1"/>
  <c r="B345" i="3" s="1"/>
  <c r="B346" i="3" s="1"/>
  <c r="B347" i="3" s="1"/>
  <c r="B348" i="3" s="1"/>
  <c r="B349" i="3" s="1"/>
  <c r="B350" i="3" s="1"/>
  <c r="E338" i="3"/>
  <c r="E352" i="3" s="1"/>
  <c r="B327" i="3"/>
  <c r="B328" i="3" s="1"/>
  <c r="B329" i="3" s="1"/>
  <c r="B330" i="3" s="1"/>
  <c r="B331" i="3" s="1"/>
  <c r="B332" i="3" s="1"/>
  <c r="B333" i="3" s="1"/>
  <c r="B334" i="3" s="1"/>
  <c r="B335" i="3" s="1"/>
  <c r="B336" i="3" s="1"/>
  <c r="B337" i="3" s="1"/>
  <c r="E324" i="3"/>
  <c r="B313" i="3"/>
  <c r="B314" i="3" s="1"/>
  <c r="B315" i="3" s="1"/>
  <c r="B316" i="3" s="1"/>
  <c r="B317" i="3" s="1"/>
  <c r="B318" i="3" s="1"/>
  <c r="B319" i="3" s="1"/>
  <c r="B320" i="3" s="1"/>
  <c r="B321" i="3" s="1"/>
  <c r="B322" i="3" s="1"/>
  <c r="B323" i="3" s="1"/>
  <c r="E311" i="3"/>
  <c r="E325" i="3" s="1"/>
  <c r="B300" i="3"/>
  <c r="B301" i="3" s="1"/>
  <c r="B302" i="3" s="1"/>
  <c r="B303" i="3" s="1"/>
  <c r="B304" i="3" s="1"/>
  <c r="B305" i="3" s="1"/>
  <c r="B306" i="3" s="1"/>
  <c r="B307" i="3" s="1"/>
  <c r="B308" i="3" s="1"/>
  <c r="B309" i="3" s="1"/>
  <c r="B310" i="3" s="1"/>
  <c r="E297" i="3"/>
  <c r="B286" i="3"/>
  <c r="B287" i="3" s="1"/>
  <c r="B288" i="3" s="1"/>
  <c r="B289" i="3" s="1"/>
  <c r="B290" i="3" s="1"/>
  <c r="B291" i="3" s="1"/>
  <c r="B292" i="3" s="1"/>
  <c r="B293" i="3" s="1"/>
  <c r="B294" i="3" s="1"/>
  <c r="B295" i="3" s="1"/>
  <c r="B296" i="3" s="1"/>
  <c r="E284" i="3"/>
  <c r="E298" i="3" s="1"/>
  <c r="B273" i="3"/>
  <c r="B274" i="3" s="1"/>
  <c r="B275" i="3" s="1"/>
  <c r="B276" i="3" s="1"/>
  <c r="B277" i="3" s="1"/>
  <c r="B278" i="3" s="1"/>
  <c r="B279" i="3" s="1"/>
  <c r="B280" i="3" s="1"/>
  <c r="B281" i="3" s="1"/>
  <c r="B282" i="3" s="1"/>
  <c r="B283" i="3" s="1"/>
  <c r="E270" i="3"/>
  <c r="B259" i="3"/>
  <c r="B260" i="3" s="1"/>
  <c r="B261" i="3" s="1"/>
  <c r="B262" i="3" s="1"/>
  <c r="B263" i="3" s="1"/>
  <c r="B264" i="3" s="1"/>
  <c r="B265" i="3" s="1"/>
  <c r="B266" i="3" s="1"/>
  <c r="B267" i="3" s="1"/>
  <c r="B268" i="3" s="1"/>
  <c r="B269" i="3" s="1"/>
  <c r="E257" i="3"/>
  <c r="E271" i="3" s="1"/>
  <c r="B246" i="3"/>
  <c r="B247" i="3" s="1"/>
  <c r="B248" i="3" s="1"/>
  <c r="B249" i="3" s="1"/>
  <c r="B250" i="3" s="1"/>
  <c r="B251" i="3" s="1"/>
  <c r="B252" i="3" s="1"/>
  <c r="B253" i="3" s="1"/>
  <c r="B254" i="3" s="1"/>
  <c r="B255" i="3" s="1"/>
  <c r="B256" i="3" s="1"/>
  <c r="E243" i="3"/>
  <c r="B232" i="3"/>
  <c r="B233" i="3" s="1"/>
  <c r="B234" i="3" s="1"/>
  <c r="B235" i="3" s="1"/>
  <c r="B236" i="3" s="1"/>
  <c r="B237" i="3" s="1"/>
  <c r="B238" i="3" s="1"/>
  <c r="B239" i="3" s="1"/>
  <c r="B240" i="3" s="1"/>
  <c r="B241" i="3" s="1"/>
  <c r="B242" i="3" s="1"/>
  <c r="E230" i="3"/>
  <c r="E244" i="3" s="1"/>
  <c r="B219" i="3"/>
  <c r="B220" i="3" s="1"/>
  <c r="B221" i="3" s="1"/>
  <c r="B222" i="3" s="1"/>
  <c r="B223" i="3" s="1"/>
  <c r="B224" i="3" s="1"/>
  <c r="B225" i="3" s="1"/>
  <c r="B226" i="3" s="1"/>
  <c r="B227" i="3" s="1"/>
  <c r="B228" i="3" s="1"/>
  <c r="B229" i="3" s="1"/>
  <c r="E216" i="3"/>
  <c r="B205" i="3"/>
  <c r="B206" i="3" s="1"/>
  <c r="B207" i="3" s="1"/>
  <c r="B208" i="3" s="1"/>
  <c r="B209" i="3" s="1"/>
  <c r="B210" i="3" s="1"/>
  <c r="B211" i="3" s="1"/>
  <c r="B212" i="3" s="1"/>
  <c r="B213" i="3" s="1"/>
  <c r="B214" i="3" s="1"/>
  <c r="B215" i="3" s="1"/>
  <c r="E203" i="3"/>
  <c r="E217" i="3" s="1"/>
  <c r="B192" i="3"/>
  <c r="B193" i="3" s="1"/>
  <c r="B194" i="3" s="1"/>
  <c r="B195" i="3" s="1"/>
  <c r="B196" i="3" s="1"/>
  <c r="B197" i="3" s="1"/>
  <c r="B198" i="3" s="1"/>
  <c r="B199" i="3" s="1"/>
  <c r="B200" i="3" s="1"/>
  <c r="B201" i="3" s="1"/>
  <c r="B202" i="3" s="1"/>
  <c r="E189" i="3"/>
  <c r="B178" i="3"/>
  <c r="B179" i="3" s="1"/>
  <c r="B180" i="3" s="1"/>
  <c r="B181" i="3" s="1"/>
  <c r="B182" i="3" s="1"/>
  <c r="B183" i="3" s="1"/>
  <c r="B184" i="3" s="1"/>
  <c r="B185" i="3" s="1"/>
  <c r="B186" i="3" s="1"/>
  <c r="B187" i="3" s="1"/>
  <c r="B188" i="3" s="1"/>
  <c r="E176" i="3"/>
  <c r="E190" i="3" s="1"/>
  <c r="B165" i="3"/>
  <c r="B166" i="3" s="1"/>
  <c r="B167" i="3" s="1"/>
  <c r="B168" i="3" s="1"/>
  <c r="B169" i="3" s="1"/>
  <c r="B170" i="3" s="1"/>
  <c r="B171" i="3" s="1"/>
  <c r="B172" i="3" s="1"/>
  <c r="B173" i="3" s="1"/>
  <c r="B174" i="3" s="1"/>
  <c r="B175" i="3" s="1"/>
  <c r="E162" i="3"/>
  <c r="B151" i="3"/>
  <c r="B152" i="3" s="1"/>
  <c r="B153" i="3" s="1"/>
  <c r="B154" i="3" s="1"/>
  <c r="B155" i="3" s="1"/>
  <c r="B156" i="3" s="1"/>
  <c r="B157" i="3" s="1"/>
  <c r="B158" i="3" s="1"/>
  <c r="B159" i="3" s="1"/>
  <c r="B160" i="3" s="1"/>
  <c r="B161" i="3" s="1"/>
  <c r="E149" i="3"/>
  <c r="E163" i="3" s="1"/>
  <c r="B138" i="3"/>
  <c r="B139" i="3" s="1"/>
  <c r="B140" i="3" s="1"/>
  <c r="B141" i="3" s="1"/>
  <c r="B142" i="3" s="1"/>
  <c r="B143" i="3" s="1"/>
  <c r="B144" i="3" s="1"/>
  <c r="B145" i="3" s="1"/>
  <c r="B146" i="3" s="1"/>
  <c r="B147" i="3" s="1"/>
  <c r="B148" i="3" s="1"/>
  <c r="E135" i="3"/>
  <c r="B124" i="3"/>
  <c r="B125" i="3" s="1"/>
  <c r="B126" i="3" s="1"/>
  <c r="B127" i="3" s="1"/>
  <c r="B128" i="3" s="1"/>
  <c r="B129" i="3" s="1"/>
  <c r="B130" i="3" s="1"/>
  <c r="B131" i="3" s="1"/>
  <c r="B132" i="3" s="1"/>
  <c r="B133" i="3" s="1"/>
  <c r="B134" i="3" s="1"/>
  <c r="E122" i="3"/>
  <c r="B111" i="3"/>
  <c r="B112" i="3" s="1"/>
  <c r="B113" i="3" s="1"/>
  <c r="B114" i="3" s="1"/>
  <c r="B115" i="3" s="1"/>
  <c r="B116" i="3" s="1"/>
  <c r="B117" i="3" s="1"/>
  <c r="B118" i="3" s="1"/>
  <c r="B119" i="3" s="1"/>
  <c r="B120" i="3" s="1"/>
  <c r="B121" i="3" s="1"/>
  <c r="E108" i="3"/>
  <c r="B97" i="3"/>
  <c r="B98" i="3" s="1"/>
  <c r="B99" i="3" s="1"/>
  <c r="B100" i="3" s="1"/>
  <c r="B101" i="3" s="1"/>
  <c r="B102" i="3" s="1"/>
  <c r="B103" i="3" s="1"/>
  <c r="B104" i="3" s="1"/>
  <c r="B105" i="3" s="1"/>
  <c r="B106" i="3" s="1"/>
  <c r="B107" i="3" s="1"/>
  <c r="E95" i="3"/>
  <c r="B84" i="3"/>
  <c r="B85" i="3" s="1"/>
  <c r="B86" i="3" s="1"/>
  <c r="B87" i="3" s="1"/>
  <c r="B88" i="3" s="1"/>
  <c r="B89" i="3" s="1"/>
  <c r="B90" i="3" s="1"/>
  <c r="B91" i="3" s="1"/>
  <c r="B92" i="3" s="1"/>
  <c r="B93" i="3" s="1"/>
  <c r="B94" i="3" s="1"/>
  <c r="E81" i="3"/>
  <c r="B70" i="3"/>
  <c r="B71" i="3" s="1"/>
  <c r="B72" i="3" s="1"/>
  <c r="B73" i="3" s="1"/>
  <c r="B74" i="3" s="1"/>
  <c r="B75" i="3" s="1"/>
  <c r="B76" i="3" s="1"/>
  <c r="B77" i="3" s="1"/>
  <c r="B78" i="3" s="1"/>
  <c r="B79" i="3" s="1"/>
  <c r="B80" i="3" s="1"/>
  <c r="E68" i="3"/>
  <c r="B57" i="3"/>
  <c r="B58" i="3" s="1"/>
  <c r="B59" i="3" s="1"/>
  <c r="B60" i="3" s="1"/>
  <c r="B61" i="3" s="1"/>
  <c r="B62" i="3" s="1"/>
  <c r="B63" i="3" s="1"/>
  <c r="B64" i="3" s="1"/>
  <c r="B65" i="3" s="1"/>
  <c r="B66" i="3" s="1"/>
  <c r="B67" i="3" s="1"/>
  <c r="E54" i="3"/>
  <c r="B43" i="3"/>
  <c r="B44" i="3" s="1"/>
  <c r="B45" i="3" s="1"/>
  <c r="B46" i="3" s="1"/>
  <c r="B47" i="3" s="1"/>
  <c r="B48" i="3" s="1"/>
  <c r="B49" i="3" s="1"/>
  <c r="B50" i="3" s="1"/>
  <c r="B51" i="3" s="1"/>
  <c r="B52" i="3" s="1"/>
  <c r="B53" i="3" s="1"/>
  <c r="E41" i="3"/>
  <c r="E55" i="3" s="1"/>
  <c r="B30" i="3"/>
  <c r="B31" i="3" s="1"/>
  <c r="B32" i="3" s="1"/>
  <c r="B33" i="3" s="1"/>
  <c r="B34" i="3" s="1"/>
  <c r="B35" i="3" s="1"/>
  <c r="B36" i="3" s="1"/>
  <c r="B37" i="3" s="1"/>
  <c r="B38" i="3" s="1"/>
  <c r="B39" i="3" s="1"/>
  <c r="B40" i="3" s="1"/>
  <c r="B16" i="3"/>
  <c r="B17" i="3" s="1"/>
  <c r="B18" i="3" s="1"/>
  <c r="B19" i="3" s="1"/>
  <c r="B20" i="3" s="1"/>
  <c r="B21" i="3" s="1"/>
  <c r="B22" i="3" s="1"/>
  <c r="B23" i="3" s="1"/>
  <c r="B24" i="3" s="1"/>
  <c r="B25" i="3" s="1"/>
  <c r="B26" i="3" s="1"/>
  <c r="B3" i="3"/>
  <c r="B4" i="3" s="1"/>
  <c r="B5" i="3" s="1"/>
  <c r="B6" i="3" s="1"/>
  <c r="B7" i="3" s="1"/>
  <c r="B8" i="3" s="1"/>
  <c r="B9" i="3" s="1"/>
  <c r="B10" i="3" s="1"/>
  <c r="B11" i="3" s="1"/>
  <c r="B12" i="3" s="1"/>
  <c r="B13" i="3" s="1"/>
  <c r="E810" i="4"/>
  <c r="B799" i="4"/>
  <c r="B800" i="4" s="1"/>
  <c r="B801" i="4" s="1"/>
  <c r="B802" i="4" s="1"/>
  <c r="B803" i="4" s="1"/>
  <c r="B804" i="4" s="1"/>
  <c r="B805" i="4" s="1"/>
  <c r="B806" i="4" s="1"/>
  <c r="B807" i="4" s="1"/>
  <c r="B808" i="4" s="1"/>
  <c r="B809" i="4" s="1"/>
  <c r="E797" i="4"/>
  <c r="E811" i="4" s="1"/>
  <c r="B786" i="4"/>
  <c r="B787" i="4" s="1"/>
  <c r="B788" i="4" s="1"/>
  <c r="B789" i="4" s="1"/>
  <c r="B790" i="4" s="1"/>
  <c r="B791" i="4" s="1"/>
  <c r="B792" i="4" s="1"/>
  <c r="B793" i="4" s="1"/>
  <c r="B794" i="4" s="1"/>
  <c r="B795" i="4" s="1"/>
  <c r="B796" i="4" s="1"/>
  <c r="E783" i="4"/>
  <c r="B772" i="4"/>
  <c r="B773" i="4" s="1"/>
  <c r="B774" i="4" s="1"/>
  <c r="B775" i="4" s="1"/>
  <c r="B776" i="4" s="1"/>
  <c r="B777" i="4" s="1"/>
  <c r="B778" i="4" s="1"/>
  <c r="B779" i="4" s="1"/>
  <c r="B780" i="4" s="1"/>
  <c r="B781" i="4" s="1"/>
  <c r="B782" i="4" s="1"/>
  <c r="E770" i="4"/>
  <c r="E784" i="4" s="1"/>
  <c r="B759" i="4"/>
  <c r="B760" i="4" s="1"/>
  <c r="B761" i="4" s="1"/>
  <c r="B762" i="4" s="1"/>
  <c r="B763" i="4" s="1"/>
  <c r="B764" i="4" s="1"/>
  <c r="B765" i="4" s="1"/>
  <c r="B766" i="4" s="1"/>
  <c r="B767" i="4" s="1"/>
  <c r="B768" i="4" s="1"/>
  <c r="B769" i="4" s="1"/>
  <c r="E756" i="4"/>
  <c r="B745" i="4"/>
  <c r="B746" i="4" s="1"/>
  <c r="B747" i="4" s="1"/>
  <c r="B748" i="4" s="1"/>
  <c r="B749" i="4" s="1"/>
  <c r="B750" i="4" s="1"/>
  <c r="B751" i="4" s="1"/>
  <c r="B752" i="4" s="1"/>
  <c r="B753" i="4" s="1"/>
  <c r="B754" i="4" s="1"/>
  <c r="B755" i="4" s="1"/>
  <c r="E743" i="4"/>
  <c r="E757" i="4" s="1"/>
  <c r="B732" i="4"/>
  <c r="B733" i="4" s="1"/>
  <c r="B734" i="4" s="1"/>
  <c r="B735" i="4" s="1"/>
  <c r="B736" i="4" s="1"/>
  <c r="B737" i="4" s="1"/>
  <c r="B738" i="4" s="1"/>
  <c r="B739" i="4" s="1"/>
  <c r="B740" i="4" s="1"/>
  <c r="B741" i="4" s="1"/>
  <c r="B742" i="4" s="1"/>
  <c r="E729" i="4"/>
  <c r="B718" i="4"/>
  <c r="B719" i="4" s="1"/>
  <c r="B720" i="4" s="1"/>
  <c r="B721" i="4" s="1"/>
  <c r="B722" i="4" s="1"/>
  <c r="B723" i="4" s="1"/>
  <c r="B724" i="4" s="1"/>
  <c r="B725" i="4" s="1"/>
  <c r="B726" i="4" s="1"/>
  <c r="B727" i="4" s="1"/>
  <c r="B728" i="4" s="1"/>
  <c r="E716" i="4"/>
  <c r="B705" i="4"/>
  <c r="B706" i="4" s="1"/>
  <c r="B707" i="4" s="1"/>
  <c r="B708" i="4" s="1"/>
  <c r="B709" i="4" s="1"/>
  <c r="B710" i="4" s="1"/>
  <c r="B711" i="4" s="1"/>
  <c r="B712" i="4" s="1"/>
  <c r="B713" i="4" s="1"/>
  <c r="B714" i="4" s="1"/>
  <c r="B715" i="4" s="1"/>
  <c r="E702" i="4"/>
  <c r="B691" i="4"/>
  <c r="B692" i="4" s="1"/>
  <c r="B693" i="4" s="1"/>
  <c r="B694" i="4" s="1"/>
  <c r="B695" i="4" s="1"/>
  <c r="B696" i="4" s="1"/>
  <c r="B697" i="4" s="1"/>
  <c r="B698" i="4" s="1"/>
  <c r="B699" i="4" s="1"/>
  <c r="B700" i="4" s="1"/>
  <c r="B701" i="4" s="1"/>
  <c r="B678" i="4"/>
  <c r="B679" i="4" s="1"/>
  <c r="B680" i="4" s="1"/>
  <c r="B681" i="4" s="1"/>
  <c r="B682" i="4" s="1"/>
  <c r="B683" i="4" s="1"/>
  <c r="B684" i="4" s="1"/>
  <c r="B685" i="4" s="1"/>
  <c r="B686" i="4" s="1"/>
  <c r="B687" i="4" s="1"/>
  <c r="B688" i="4" s="1"/>
  <c r="E675" i="4"/>
  <c r="B664" i="4"/>
  <c r="B665" i="4" s="1"/>
  <c r="B666" i="4" s="1"/>
  <c r="B667" i="4" s="1"/>
  <c r="B668" i="4" s="1"/>
  <c r="B669" i="4" s="1"/>
  <c r="B670" i="4" s="1"/>
  <c r="B671" i="4" s="1"/>
  <c r="B672" i="4" s="1"/>
  <c r="B673" i="4" s="1"/>
  <c r="B674" i="4" s="1"/>
  <c r="E662" i="4"/>
  <c r="E676" i="4" s="1"/>
  <c r="B651" i="4"/>
  <c r="B652" i="4" s="1"/>
  <c r="B653" i="4" s="1"/>
  <c r="B654" i="4" s="1"/>
  <c r="B655" i="4" s="1"/>
  <c r="B656" i="4" s="1"/>
  <c r="B657" i="4" s="1"/>
  <c r="B658" i="4" s="1"/>
  <c r="B659" i="4" s="1"/>
  <c r="B660" i="4" s="1"/>
  <c r="B661" i="4" s="1"/>
  <c r="E648" i="4"/>
  <c r="B637" i="4"/>
  <c r="B638" i="4" s="1"/>
  <c r="B639" i="4" s="1"/>
  <c r="B640" i="4" s="1"/>
  <c r="B641" i="4" s="1"/>
  <c r="B642" i="4" s="1"/>
  <c r="B643" i="4" s="1"/>
  <c r="B644" i="4" s="1"/>
  <c r="B645" i="4" s="1"/>
  <c r="B646" i="4" s="1"/>
  <c r="B647" i="4" s="1"/>
  <c r="E635" i="4"/>
  <c r="B624" i="4"/>
  <c r="B625" i="4" s="1"/>
  <c r="B626" i="4" s="1"/>
  <c r="B627" i="4" s="1"/>
  <c r="B628" i="4" s="1"/>
  <c r="B629" i="4" s="1"/>
  <c r="B630" i="4" s="1"/>
  <c r="B631" i="4" s="1"/>
  <c r="B632" i="4" s="1"/>
  <c r="B633" i="4" s="1"/>
  <c r="B634" i="4" s="1"/>
  <c r="E621" i="4"/>
  <c r="B610" i="4"/>
  <c r="B611" i="4" s="1"/>
  <c r="B612" i="4" s="1"/>
  <c r="B613" i="4" s="1"/>
  <c r="B614" i="4" s="1"/>
  <c r="B615" i="4" s="1"/>
  <c r="B616" i="4" s="1"/>
  <c r="B617" i="4" s="1"/>
  <c r="B618" i="4" s="1"/>
  <c r="B619" i="4" s="1"/>
  <c r="B620" i="4" s="1"/>
  <c r="E608" i="4"/>
  <c r="E622" i="4" s="1"/>
  <c r="B597" i="4"/>
  <c r="B598" i="4" s="1"/>
  <c r="B599" i="4" s="1"/>
  <c r="B600" i="4" s="1"/>
  <c r="B601" i="4" s="1"/>
  <c r="B602" i="4" s="1"/>
  <c r="B603" i="4" s="1"/>
  <c r="B604" i="4" s="1"/>
  <c r="B605" i="4" s="1"/>
  <c r="B606" i="4" s="1"/>
  <c r="B607" i="4" s="1"/>
  <c r="E594" i="4"/>
  <c r="B583" i="4"/>
  <c r="B584" i="4" s="1"/>
  <c r="B585" i="4" s="1"/>
  <c r="B586" i="4" s="1"/>
  <c r="B587" i="4" s="1"/>
  <c r="B588" i="4" s="1"/>
  <c r="B589" i="4" s="1"/>
  <c r="B590" i="4" s="1"/>
  <c r="B591" i="4" s="1"/>
  <c r="B592" i="4" s="1"/>
  <c r="B593" i="4" s="1"/>
  <c r="E581" i="4"/>
  <c r="E595" i="4" s="1"/>
  <c r="B570" i="4"/>
  <c r="B571" i="4" s="1"/>
  <c r="B572" i="4" s="1"/>
  <c r="B573" i="4" s="1"/>
  <c r="B574" i="4" s="1"/>
  <c r="B575" i="4" s="1"/>
  <c r="B576" i="4" s="1"/>
  <c r="B577" i="4" s="1"/>
  <c r="B578" i="4" s="1"/>
  <c r="B579" i="4" s="1"/>
  <c r="B580" i="4" s="1"/>
  <c r="E567" i="4"/>
  <c r="B556" i="4"/>
  <c r="B557" i="4" s="1"/>
  <c r="B558" i="4" s="1"/>
  <c r="B559" i="4" s="1"/>
  <c r="B560" i="4" s="1"/>
  <c r="B561" i="4" s="1"/>
  <c r="B562" i="4" s="1"/>
  <c r="B563" i="4" s="1"/>
  <c r="B564" i="4" s="1"/>
  <c r="B565" i="4" s="1"/>
  <c r="B566" i="4" s="1"/>
  <c r="E554" i="4"/>
  <c r="E568" i="4" s="1"/>
  <c r="B543" i="4"/>
  <c r="B544" i="4" s="1"/>
  <c r="B545" i="4" s="1"/>
  <c r="B546" i="4" s="1"/>
  <c r="B547" i="4" s="1"/>
  <c r="B548" i="4" s="1"/>
  <c r="B549" i="4" s="1"/>
  <c r="B550" i="4" s="1"/>
  <c r="B551" i="4" s="1"/>
  <c r="B552" i="4" s="1"/>
  <c r="B553" i="4" s="1"/>
  <c r="E540" i="4"/>
  <c r="B529" i="4"/>
  <c r="B530" i="4" s="1"/>
  <c r="B531" i="4" s="1"/>
  <c r="B532" i="4" s="1"/>
  <c r="B533" i="4" s="1"/>
  <c r="B534" i="4" s="1"/>
  <c r="B535" i="4" s="1"/>
  <c r="B536" i="4" s="1"/>
  <c r="B537" i="4" s="1"/>
  <c r="B538" i="4" s="1"/>
  <c r="B539" i="4" s="1"/>
  <c r="E527" i="4"/>
  <c r="E541" i="4" s="1"/>
  <c r="B516" i="4"/>
  <c r="B517" i="4" s="1"/>
  <c r="B518" i="4" s="1"/>
  <c r="B519" i="4" s="1"/>
  <c r="B520" i="4" s="1"/>
  <c r="B521" i="4" s="1"/>
  <c r="B522" i="4" s="1"/>
  <c r="B523" i="4" s="1"/>
  <c r="B524" i="4" s="1"/>
  <c r="B525" i="4" s="1"/>
  <c r="B526" i="4" s="1"/>
  <c r="B502" i="4"/>
  <c r="B503" i="4" s="1"/>
  <c r="B504" i="4" s="1"/>
  <c r="B505" i="4" s="1"/>
  <c r="B506" i="4" s="1"/>
  <c r="B507" i="4" s="1"/>
  <c r="B508" i="4" s="1"/>
  <c r="B509" i="4" s="1"/>
  <c r="B510" i="4" s="1"/>
  <c r="B511" i="4" s="1"/>
  <c r="B512" i="4" s="1"/>
  <c r="E500" i="4"/>
  <c r="B489" i="4"/>
  <c r="B490" i="4" s="1"/>
  <c r="B491" i="4" s="1"/>
  <c r="B492" i="4" s="1"/>
  <c r="B493" i="4" s="1"/>
  <c r="B494" i="4" s="1"/>
  <c r="B495" i="4" s="1"/>
  <c r="B496" i="4" s="1"/>
  <c r="B497" i="4" s="1"/>
  <c r="B498" i="4" s="1"/>
  <c r="B499" i="4" s="1"/>
  <c r="E486" i="4"/>
  <c r="B475" i="4"/>
  <c r="B476" i="4" s="1"/>
  <c r="B477" i="4" s="1"/>
  <c r="B478" i="4" s="1"/>
  <c r="B479" i="4" s="1"/>
  <c r="B480" i="4" s="1"/>
  <c r="B481" i="4" s="1"/>
  <c r="B482" i="4" s="1"/>
  <c r="B483" i="4" s="1"/>
  <c r="B484" i="4" s="1"/>
  <c r="B485" i="4" s="1"/>
  <c r="E473" i="4"/>
  <c r="E487" i="4" s="1"/>
  <c r="B462" i="4"/>
  <c r="B463" i="4" s="1"/>
  <c r="B464" i="4" s="1"/>
  <c r="B465" i="4" s="1"/>
  <c r="B466" i="4" s="1"/>
  <c r="B467" i="4" s="1"/>
  <c r="B468" i="4" s="1"/>
  <c r="B469" i="4" s="1"/>
  <c r="B470" i="4" s="1"/>
  <c r="B471" i="4" s="1"/>
  <c r="B472" i="4" s="1"/>
  <c r="E459" i="4"/>
  <c r="B448" i="4"/>
  <c r="B449" i="4" s="1"/>
  <c r="B450" i="4" s="1"/>
  <c r="B451" i="4" s="1"/>
  <c r="B452" i="4" s="1"/>
  <c r="B453" i="4" s="1"/>
  <c r="B454" i="4" s="1"/>
  <c r="B455" i="4" s="1"/>
  <c r="B456" i="4" s="1"/>
  <c r="B457" i="4" s="1"/>
  <c r="B458" i="4" s="1"/>
  <c r="E446" i="4"/>
  <c r="B435" i="4"/>
  <c r="B436" i="4" s="1"/>
  <c r="B437" i="4" s="1"/>
  <c r="B438" i="4" s="1"/>
  <c r="B439" i="4" s="1"/>
  <c r="B440" i="4" s="1"/>
  <c r="B441" i="4" s="1"/>
  <c r="B442" i="4" s="1"/>
  <c r="B443" i="4" s="1"/>
  <c r="B444" i="4" s="1"/>
  <c r="B445" i="4" s="1"/>
  <c r="B421" i="4"/>
  <c r="B422" i="4" s="1"/>
  <c r="B423" i="4" s="1"/>
  <c r="B424" i="4" s="1"/>
  <c r="B425" i="4" s="1"/>
  <c r="B426" i="4" s="1"/>
  <c r="B427" i="4" s="1"/>
  <c r="B428" i="4" s="1"/>
  <c r="B429" i="4" s="1"/>
  <c r="B430" i="4" s="1"/>
  <c r="B431" i="4" s="1"/>
  <c r="E419" i="4"/>
  <c r="B408" i="4"/>
  <c r="B409" i="4" s="1"/>
  <c r="B410" i="4" s="1"/>
  <c r="B411" i="4" s="1"/>
  <c r="B412" i="4" s="1"/>
  <c r="B413" i="4" s="1"/>
  <c r="B414" i="4" s="1"/>
  <c r="B415" i="4" s="1"/>
  <c r="B416" i="4" s="1"/>
  <c r="B417" i="4" s="1"/>
  <c r="B418" i="4" s="1"/>
  <c r="E405" i="4"/>
  <c r="B394" i="4"/>
  <c r="B395" i="4" s="1"/>
  <c r="B396" i="4" s="1"/>
  <c r="B397" i="4" s="1"/>
  <c r="B398" i="4" s="1"/>
  <c r="B399" i="4" s="1"/>
  <c r="B400" i="4" s="1"/>
  <c r="B401" i="4" s="1"/>
  <c r="B402" i="4" s="1"/>
  <c r="B403" i="4" s="1"/>
  <c r="B404" i="4" s="1"/>
  <c r="E392" i="4"/>
  <c r="E406" i="4" s="1"/>
  <c r="B381" i="4"/>
  <c r="B382" i="4" s="1"/>
  <c r="B383" i="4" s="1"/>
  <c r="B384" i="4" s="1"/>
  <c r="B385" i="4" s="1"/>
  <c r="B386" i="4" s="1"/>
  <c r="B387" i="4" s="1"/>
  <c r="B388" i="4" s="1"/>
  <c r="B389" i="4" s="1"/>
  <c r="B390" i="4" s="1"/>
  <c r="B391" i="4" s="1"/>
  <c r="E378" i="4"/>
  <c r="B367" i="4"/>
  <c r="B368" i="4" s="1"/>
  <c r="B369" i="4" s="1"/>
  <c r="B370" i="4" s="1"/>
  <c r="B371" i="4" s="1"/>
  <c r="B372" i="4" s="1"/>
  <c r="B373" i="4" s="1"/>
  <c r="B374" i="4" s="1"/>
  <c r="B375" i="4" s="1"/>
  <c r="B376" i="4" s="1"/>
  <c r="B377" i="4" s="1"/>
  <c r="E365" i="4"/>
  <c r="E379" i="4" s="1"/>
  <c r="B354" i="4"/>
  <c r="B355" i="4" s="1"/>
  <c r="B356" i="4" s="1"/>
  <c r="B357" i="4" s="1"/>
  <c r="B358" i="4" s="1"/>
  <c r="B359" i="4" s="1"/>
  <c r="B360" i="4" s="1"/>
  <c r="B361" i="4" s="1"/>
  <c r="B362" i="4" s="1"/>
  <c r="B363" i="4" s="1"/>
  <c r="B364" i="4" s="1"/>
  <c r="E351" i="4"/>
  <c r="B340" i="4"/>
  <c r="B341" i="4" s="1"/>
  <c r="B342" i="4" s="1"/>
  <c r="B343" i="4" s="1"/>
  <c r="B344" i="4" s="1"/>
  <c r="B345" i="4" s="1"/>
  <c r="B346" i="4" s="1"/>
  <c r="B347" i="4" s="1"/>
  <c r="B348" i="4" s="1"/>
  <c r="B349" i="4" s="1"/>
  <c r="B350" i="4" s="1"/>
  <c r="E338" i="4"/>
  <c r="E352" i="4" s="1"/>
  <c r="B327" i="4"/>
  <c r="B328" i="4" s="1"/>
  <c r="B329" i="4" s="1"/>
  <c r="B330" i="4" s="1"/>
  <c r="B331" i="4" s="1"/>
  <c r="B332" i="4" s="1"/>
  <c r="B333" i="4" s="1"/>
  <c r="B334" i="4" s="1"/>
  <c r="B335" i="4" s="1"/>
  <c r="B336" i="4" s="1"/>
  <c r="B337" i="4" s="1"/>
  <c r="E324" i="4"/>
  <c r="B313" i="4"/>
  <c r="B314" i="4" s="1"/>
  <c r="B315" i="4" s="1"/>
  <c r="B316" i="4" s="1"/>
  <c r="B317" i="4" s="1"/>
  <c r="B318" i="4" s="1"/>
  <c r="B319" i="4" s="1"/>
  <c r="B320" i="4" s="1"/>
  <c r="B321" i="4" s="1"/>
  <c r="B322" i="4" s="1"/>
  <c r="B323" i="4" s="1"/>
  <c r="E311" i="4"/>
  <c r="B300" i="4"/>
  <c r="B301" i="4" s="1"/>
  <c r="B302" i="4" s="1"/>
  <c r="B303" i="4" s="1"/>
  <c r="B304" i="4" s="1"/>
  <c r="B305" i="4" s="1"/>
  <c r="B306" i="4" s="1"/>
  <c r="B307" i="4" s="1"/>
  <c r="B308" i="4" s="1"/>
  <c r="B309" i="4" s="1"/>
  <c r="B310" i="4" s="1"/>
  <c r="E297" i="4"/>
  <c r="B286" i="4"/>
  <c r="B287" i="4" s="1"/>
  <c r="B288" i="4" s="1"/>
  <c r="B289" i="4" s="1"/>
  <c r="B290" i="4" s="1"/>
  <c r="B291" i="4" s="1"/>
  <c r="B292" i="4" s="1"/>
  <c r="B293" i="4" s="1"/>
  <c r="B294" i="4" s="1"/>
  <c r="B295" i="4" s="1"/>
  <c r="B296" i="4" s="1"/>
  <c r="E284" i="4"/>
  <c r="B273" i="4"/>
  <c r="B274" i="4" s="1"/>
  <c r="B275" i="4" s="1"/>
  <c r="B276" i="4" s="1"/>
  <c r="B277" i="4" s="1"/>
  <c r="B278" i="4" s="1"/>
  <c r="B279" i="4" s="1"/>
  <c r="B280" i="4" s="1"/>
  <c r="B281" i="4" s="1"/>
  <c r="B282" i="4" s="1"/>
  <c r="B283" i="4" s="1"/>
  <c r="E270" i="4"/>
  <c r="B259" i="4"/>
  <c r="B260" i="4" s="1"/>
  <c r="B261" i="4" s="1"/>
  <c r="B262" i="4" s="1"/>
  <c r="B263" i="4" s="1"/>
  <c r="B264" i="4" s="1"/>
  <c r="B265" i="4" s="1"/>
  <c r="B266" i="4" s="1"/>
  <c r="B267" i="4" s="1"/>
  <c r="B268" i="4" s="1"/>
  <c r="B269" i="4" s="1"/>
  <c r="E257" i="4"/>
  <c r="B246" i="4"/>
  <c r="B247" i="4" s="1"/>
  <c r="B248" i="4" s="1"/>
  <c r="B249" i="4" s="1"/>
  <c r="B250" i="4" s="1"/>
  <c r="B251" i="4" s="1"/>
  <c r="B252" i="4" s="1"/>
  <c r="B253" i="4" s="1"/>
  <c r="B254" i="4" s="1"/>
  <c r="B255" i="4" s="1"/>
  <c r="B256" i="4" s="1"/>
  <c r="E243" i="4"/>
  <c r="B232" i="4"/>
  <c r="B233" i="4" s="1"/>
  <c r="B234" i="4" s="1"/>
  <c r="B235" i="4" s="1"/>
  <c r="B236" i="4" s="1"/>
  <c r="B237" i="4" s="1"/>
  <c r="B238" i="4" s="1"/>
  <c r="B239" i="4" s="1"/>
  <c r="B240" i="4" s="1"/>
  <c r="B241" i="4" s="1"/>
  <c r="B242" i="4" s="1"/>
  <c r="E230" i="4"/>
  <c r="B219" i="4"/>
  <c r="B220" i="4" s="1"/>
  <c r="B221" i="4" s="1"/>
  <c r="B222" i="4" s="1"/>
  <c r="B223" i="4" s="1"/>
  <c r="B224" i="4" s="1"/>
  <c r="B225" i="4" s="1"/>
  <c r="B226" i="4" s="1"/>
  <c r="B227" i="4" s="1"/>
  <c r="B228" i="4" s="1"/>
  <c r="B229" i="4" s="1"/>
  <c r="E216" i="4"/>
  <c r="B205" i="4"/>
  <c r="B206" i="4" s="1"/>
  <c r="B207" i="4" s="1"/>
  <c r="B208" i="4" s="1"/>
  <c r="B209" i="4" s="1"/>
  <c r="B210" i="4" s="1"/>
  <c r="B211" i="4" s="1"/>
  <c r="B212" i="4" s="1"/>
  <c r="B213" i="4" s="1"/>
  <c r="B214" i="4" s="1"/>
  <c r="B215" i="4" s="1"/>
  <c r="E203" i="4"/>
  <c r="E217" i="4" s="1"/>
  <c r="B192" i="4"/>
  <c r="B193" i="4" s="1"/>
  <c r="B194" i="4" s="1"/>
  <c r="B195" i="4" s="1"/>
  <c r="B196" i="4" s="1"/>
  <c r="B197" i="4" s="1"/>
  <c r="B198" i="4" s="1"/>
  <c r="B199" i="4" s="1"/>
  <c r="B200" i="4" s="1"/>
  <c r="B201" i="4" s="1"/>
  <c r="B202" i="4" s="1"/>
  <c r="E189" i="4"/>
  <c r="B178" i="4"/>
  <c r="B179" i="4" s="1"/>
  <c r="B180" i="4" s="1"/>
  <c r="B181" i="4" s="1"/>
  <c r="B182" i="4" s="1"/>
  <c r="B183" i="4" s="1"/>
  <c r="B184" i="4" s="1"/>
  <c r="B185" i="4" s="1"/>
  <c r="B186" i="4" s="1"/>
  <c r="B187" i="4" s="1"/>
  <c r="B188" i="4" s="1"/>
  <c r="E176" i="4"/>
  <c r="E190" i="4" s="1"/>
  <c r="B165" i="4"/>
  <c r="B166" i="4" s="1"/>
  <c r="B167" i="4" s="1"/>
  <c r="B168" i="4" s="1"/>
  <c r="B169" i="4" s="1"/>
  <c r="B170" i="4" s="1"/>
  <c r="B171" i="4" s="1"/>
  <c r="B172" i="4" s="1"/>
  <c r="B173" i="4" s="1"/>
  <c r="B174" i="4" s="1"/>
  <c r="B175" i="4" s="1"/>
  <c r="E162" i="4"/>
  <c r="B151" i="4"/>
  <c r="B152" i="4" s="1"/>
  <c r="B153" i="4" s="1"/>
  <c r="B154" i="4" s="1"/>
  <c r="B155" i="4" s="1"/>
  <c r="B156" i="4" s="1"/>
  <c r="B157" i="4" s="1"/>
  <c r="B158" i="4" s="1"/>
  <c r="B159" i="4" s="1"/>
  <c r="B160" i="4" s="1"/>
  <c r="B161" i="4" s="1"/>
  <c r="E149" i="4"/>
  <c r="E163" i="4" s="1"/>
  <c r="B138" i="4"/>
  <c r="B139" i="4" s="1"/>
  <c r="B140" i="4" s="1"/>
  <c r="B141" i="4" s="1"/>
  <c r="B142" i="4" s="1"/>
  <c r="B143" i="4" s="1"/>
  <c r="B144" i="4" s="1"/>
  <c r="B145" i="4" s="1"/>
  <c r="B146" i="4" s="1"/>
  <c r="B147" i="4" s="1"/>
  <c r="B148" i="4" s="1"/>
  <c r="E135" i="4"/>
  <c r="B124" i="4"/>
  <c r="B125" i="4" s="1"/>
  <c r="B126" i="4" s="1"/>
  <c r="B127" i="4" s="1"/>
  <c r="B128" i="4" s="1"/>
  <c r="B129" i="4" s="1"/>
  <c r="B130" i="4" s="1"/>
  <c r="B131" i="4" s="1"/>
  <c r="B132" i="4" s="1"/>
  <c r="B133" i="4" s="1"/>
  <c r="B134" i="4" s="1"/>
  <c r="E122" i="4"/>
  <c r="B111" i="4"/>
  <c r="B112" i="4" s="1"/>
  <c r="B113" i="4" s="1"/>
  <c r="B114" i="4" s="1"/>
  <c r="B115" i="4" s="1"/>
  <c r="B116" i="4" s="1"/>
  <c r="B117" i="4" s="1"/>
  <c r="B118" i="4" s="1"/>
  <c r="B119" i="4" s="1"/>
  <c r="B120" i="4" s="1"/>
  <c r="B121" i="4" s="1"/>
  <c r="E108" i="4"/>
  <c r="B97" i="4"/>
  <c r="B98" i="4" s="1"/>
  <c r="B99" i="4" s="1"/>
  <c r="B100" i="4" s="1"/>
  <c r="B101" i="4" s="1"/>
  <c r="B102" i="4" s="1"/>
  <c r="B103" i="4" s="1"/>
  <c r="B104" i="4" s="1"/>
  <c r="B105" i="4" s="1"/>
  <c r="B106" i="4" s="1"/>
  <c r="B107" i="4" s="1"/>
  <c r="E95" i="4"/>
  <c r="E109" i="4" s="1"/>
  <c r="B84" i="4"/>
  <c r="B85" i="4" s="1"/>
  <c r="B86" i="4" s="1"/>
  <c r="B87" i="4" s="1"/>
  <c r="B88" i="4" s="1"/>
  <c r="B89" i="4" s="1"/>
  <c r="B90" i="4" s="1"/>
  <c r="B91" i="4" s="1"/>
  <c r="B92" i="4" s="1"/>
  <c r="B93" i="4" s="1"/>
  <c r="B94" i="4" s="1"/>
  <c r="E81" i="4"/>
  <c r="B70" i="4"/>
  <c r="B71" i="4" s="1"/>
  <c r="B72" i="4" s="1"/>
  <c r="B73" i="4" s="1"/>
  <c r="B74" i="4" s="1"/>
  <c r="B75" i="4" s="1"/>
  <c r="B76" i="4" s="1"/>
  <c r="B77" i="4" s="1"/>
  <c r="B78" i="4" s="1"/>
  <c r="B79" i="4" s="1"/>
  <c r="B80" i="4" s="1"/>
  <c r="E68" i="4"/>
  <c r="B57" i="4"/>
  <c r="B58" i="4" s="1"/>
  <c r="B59" i="4" s="1"/>
  <c r="B60" i="4" s="1"/>
  <c r="B61" i="4" s="1"/>
  <c r="B62" i="4" s="1"/>
  <c r="B63" i="4" s="1"/>
  <c r="B64" i="4" s="1"/>
  <c r="B65" i="4" s="1"/>
  <c r="B66" i="4" s="1"/>
  <c r="B67" i="4" s="1"/>
  <c r="E54" i="4"/>
  <c r="B43" i="4"/>
  <c r="B44" i="4" s="1"/>
  <c r="B45" i="4" s="1"/>
  <c r="B46" i="4" s="1"/>
  <c r="B47" i="4" s="1"/>
  <c r="B48" i="4" s="1"/>
  <c r="B49" i="4" s="1"/>
  <c r="B50" i="4" s="1"/>
  <c r="B51" i="4" s="1"/>
  <c r="B52" i="4" s="1"/>
  <c r="B53" i="4" s="1"/>
  <c r="E41" i="4"/>
  <c r="B30" i="4"/>
  <c r="B31" i="4" s="1"/>
  <c r="B32" i="4" s="1"/>
  <c r="B33" i="4" s="1"/>
  <c r="B34" i="4" s="1"/>
  <c r="B35" i="4" s="1"/>
  <c r="B36" i="4" s="1"/>
  <c r="B37" i="4" s="1"/>
  <c r="B38" i="4" s="1"/>
  <c r="B39" i="4" s="1"/>
  <c r="B40" i="4" s="1"/>
  <c r="B16" i="4"/>
  <c r="B17" i="4" s="1"/>
  <c r="B18" i="4" s="1"/>
  <c r="B19" i="4" s="1"/>
  <c r="B20" i="4" s="1"/>
  <c r="B21" i="4" s="1"/>
  <c r="B22" i="4" s="1"/>
  <c r="B23" i="4" s="1"/>
  <c r="B24" i="4" s="1"/>
  <c r="B25" i="4" s="1"/>
  <c r="B26" i="4" s="1"/>
  <c r="B3" i="4"/>
  <c r="B4" i="4" s="1"/>
  <c r="B5" i="4" s="1"/>
  <c r="B6" i="4" s="1"/>
  <c r="B7" i="4" s="1"/>
  <c r="B8" i="4" s="1"/>
  <c r="B9" i="4" s="1"/>
  <c r="B10" i="4" s="1"/>
  <c r="B11" i="4" s="1"/>
  <c r="B12" i="4" s="1"/>
  <c r="B13" i="4" s="1"/>
  <c r="E810" i="5"/>
  <c r="B799" i="5"/>
  <c r="B800" i="5" s="1"/>
  <c r="B801" i="5" s="1"/>
  <c r="B802" i="5" s="1"/>
  <c r="B803" i="5" s="1"/>
  <c r="B804" i="5" s="1"/>
  <c r="B805" i="5" s="1"/>
  <c r="B806" i="5" s="1"/>
  <c r="B807" i="5" s="1"/>
  <c r="B808" i="5" s="1"/>
  <c r="B809" i="5" s="1"/>
  <c r="E797" i="5"/>
  <c r="E811" i="5" s="1"/>
  <c r="B786" i="5"/>
  <c r="B787" i="5" s="1"/>
  <c r="B788" i="5" s="1"/>
  <c r="B789" i="5" s="1"/>
  <c r="B790" i="5" s="1"/>
  <c r="B791" i="5" s="1"/>
  <c r="B792" i="5" s="1"/>
  <c r="B793" i="5" s="1"/>
  <c r="B794" i="5" s="1"/>
  <c r="B795" i="5" s="1"/>
  <c r="B796" i="5" s="1"/>
  <c r="E783" i="5"/>
  <c r="B772" i="5"/>
  <c r="B773" i="5" s="1"/>
  <c r="B774" i="5" s="1"/>
  <c r="B775" i="5" s="1"/>
  <c r="B776" i="5" s="1"/>
  <c r="B777" i="5" s="1"/>
  <c r="B778" i="5" s="1"/>
  <c r="B779" i="5" s="1"/>
  <c r="B780" i="5" s="1"/>
  <c r="B781" i="5" s="1"/>
  <c r="B782" i="5" s="1"/>
  <c r="E770" i="5"/>
  <c r="B759" i="5"/>
  <c r="B760" i="5" s="1"/>
  <c r="B761" i="5" s="1"/>
  <c r="B762" i="5" s="1"/>
  <c r="B763" i="5" s="1"/>
  <c r="B764" i="5" s="1"/>
  <c r="B765" i="5" s="1"/>
  <c r="B766" i="5" s="1"/>
  <c r="B767" i="5" s="1"/>
  <c r="B768" i="5" s="1"/>
  <c r="B769" i="5" s="1"/>
  <c r="E756" i="5"/>
  <c r="B745" i="5"/>
  <c r="B746" i="5" s="1"/>
  <c r="B747" i="5" s="1"/>
  <c r="B748" i="5" s="1"/>
  <c r="B749" i="5" s="1"/>
  <c r="B750" i="5" s="1"/>
  <c r="B751" i="5" s="1"/>
  <c r="B752" i="5" s="1"/>
  <c r="B753" i="5" s="1"/>
  <c r="B754" i="5" s="1"/>
  <c r="B755" i="5" s="1"/>
  <c r="E743" i="5"/>
  <c r="E757" i="5" s="1"/>
  <c r="B732" i="5"/>
  <c r="B733" i="5" s="1"/>
  <c r="B734" i="5" s="1"/>
  <c r="B735" i="5" s="1"/>
  <c r="B736" i="5" s="1"/>
  <c r="B737" i="5" s="1"/>
  <c r="B738" i="5" s="1"/>
  <c r="B739" i="5" s="1"/>
  <c r="B740" i="5" s="1"/>
  <c r="B741" i="5" s="1"/>
  <c r="B742" i="5" s="1"/>
  <c r="E729" i="5"/>
  <c r="B718" i="5"/>
  <c r="B719" i="5" s="1"/>
  <c r="B720" i="5" s="1"/>
  <c r="B721" i="5" s="1"/>
  <c r="B722" i="5" s="1"/>
  <c r="B723" i="5" s="1"/>
  <c r="B724" i="5" s="1"/>
  <c r="B725" i="5" s="1"/>
  <c r="B726" i="5" s="1"/>
  <c r="B727" i="5" s="1"/>
  <c r="B728" i="5" s="1"/>
  <c r="E716" i="5"/>
  <c r="B705" i="5"/>
  <c r="B706" i="5" s="1"/>
  <c r="B707" i="5" s="1"/>
  <c r="B708" i="5" s="1"/>
  <c r="B709" i="5" s="1"/>
  <c r="B710" i="5" s="1"/>
  <c r="B711" i="5" s="1"/>
  <c r="B712" i="5" s="1"/>
  <c r="B713" i="5" s="1"/>
  <c r="B714" i="5" s="1"/>
  <c r="B715" i="5" s="1"/>
  <c r="E702" i="5"/>
  <c r="B691" i="5"/>
  <c r="B692" i="5" s="1"/>
  <c r="B693" i="5" s="1"/>
  <c r="B694" i="5" s="1"/>
  <c r="B695" i="5" s="1"/>
  <c r="B696" i="5" s="1"/>
  <c r="B697" i="5" s="1"/>
  <c r="B698" i="5" s="1"/>
  <c r="B699" i="5" s="1"/>
  <c r="B700" i="5" s="1"/>
  <c r="B701" i="5" s="1"/>
  <c r="E689" i="5"/>
  <c r="B678" i="5"/>
  <c r="B679" i="5" s="1"/>
  <c r="B680" i="5" s="1"/>
  <c r="B681" i="5" s="1"/>
  <c r="B682" i="5" s="1"/>
  <c r="B683" i="5" s="1"/>
  <c r="B684" i="5" s="1"/>
  <c r="B685" i="5" s="1"/>
  <c r="B686" i="5" s="1"/>
  <c r="B687" i="5" s="1"/>
  <c r="B688" i="5" s="1"/>
  <c r="E675" i="5"/>
  <c r="B664" i="5"/>
  <c r="B665" i="5" s="1"/>
  <c r="B666" i="5" s="1"/>
  <c r="B667" i="5" s="1"/>
  <c r="B668" i="5" s="1"/>
  <c r="B669" i="5" s="1"/>
  <c r="B670" i="5" s="1"/>
  <c r="B671" i="5" s="1"/>
  <c r="B672" i="5" s="1"/>
  <c r="B673" i="5" s="1"/>
  <c r="B674" i="5" s="1"/>
  <c r="E662" i="5"/>
  <c r="E676" i="5" s="1"/>
  <c r="B651" i="5"/>
  <c r="B652" i="5" s="1"/>
  <c r="B653" i="5" s="1"/>
  <c r="B654" i="5" s="1"/>
  <c r="B655" i="5" s="1"/>
  <c r="B656" i="5" s="1"/>
  <c r="B657" i="5" s="1"/>
  <c r="B658" i="5" s="1"/>
  <c r="B659" i="5" s="1"/>
  <c r="B660" i="5" s="1"/>
  <c r="B661" i="5" s="1"/>
  <c r="E648" i="5"/>
  <c r="B637" i="5"/>
  <c r="B638" i="5" s="1"/>
  <c r="B639" i="5" s="1"/>
  <c r="B640" i="5" s="1"/>
  <c r="B641" i="5" s="1"/>
  <c r="B642" i="5" s="1"/>
  <c r="B643" i="5" s="1"/>
  <c r="B644" i="5" s="1"/>
  <c r="B645" i="5" s="1"/>
  <c r="B646" i="5" s="1"/>
  <c r="B647" i="5" s="1"/>
  <c r="E635" i="5"/>
  <c r="B624" i="5"/>
  <c r="B625" i="5" s="1"/>
  <c r="B626" i="5" s="1"/>
  <c r="B627" i="5" s="1"/>
  <c r="B628" i="5" s="1"/>
  <c r="B629" i="5" s="1"/>
  <c r="B630" i="5" s="1"/>
  <c r="B631" i="5" s="1"/>
  <c r="B632" i="5" s="1"/>
  <c r="B633" i="5" s="1"/>
  <c r="B634" i="5" s="1"/>
  <c r="E621" i="5"/>
  <c r="B610" i="5"/>
  <c r="B611" i="5" s="1"/>
  <c r="B612" i="5" s="1"/>
  <c r="B613" i="5" s="1"/>
  <c r="B614" i="5" s="1"/>
  <c r="B615" i="5" s="1"/>
  <c r="B616" i="5" s="1"/>
  <c r="B617" i="5" s="1"/>
  <c r="B618" i="5" s="1"/>
  <c r="B619" i="5" s="1"/>
  <c r="B620" i="5" s="1"/>
  <c r="E608" i="5"/>
  <c r="E622" i="5" s="1"/>
  <c r="B597" i="5"/>
  <c r="B598" i="5" s="1"/>
  <c r="B599" i="5" s="1"/>
  <c r="B600" i="5" s="1"/>
  <c r="B601" i="5" s="1"/>
  <c r="B602" i="5" s="1"/>
  <c r="B603" i="5" s="1"/>
  <c r="B604" i="5" s="1"/>
  <c r="B605" i="5" s="1"/>
  <c r="B606" i="5" s="1"/>
  <c r="B607" i="5" s="1"/>
  <c r="E594" i="5"/>
  <c r="B583" i="5"/>
  <c r="B584" i="5" s="1"/>
  <c r="B585" i="5" s="1"/>
  <c r="B586" i="5" s="1"/>
  <c r="B587" i="5" s="1"/>
  <c r="B588" i="5" s="1"/>
  <c r="B589" i="5" s="1"/>
  <c r="B590" i="5" s="1"/>
  <c r="B591" i="5" s="1"/>
  <c r="B592" i="5" s="1"/>
  <c r="B593" i="5" s="1"/>
  <c r="E581" i="5"/>
  <c r="E595" i="5" s="1"/>
  <c r="B570" i="5"/>
  <c r="B571" i="5" s="1"/>
  <c r="B572" i="5" s="1"/>
  <c r="B573" i="5" s="1"/>
  <c r="B574" i="5" s="1"/>
  <c r="B575" i="5" s="1"/>
  <c r="B576" i="5" s="1"/>
  <c r="B577" i="5" s="1"/>
  <c r="B578" i="5" s="1"/>
  <c r="B579" i="5" s="1"/>
  <c r="B580" i="5" s="1"/>
  <c r="E567" i="5"/>
  <c r="B556" i="5"/>
  <c r="B557" i="5" s="1"/>
  <c r="B558" i="5" s="1"/>
  <c r="B559" i="5" s="1"/>
  <c r="B560" i="5" s="1"/>
  <c r="B561" i="5" s="1"/>
  <c r="B562" i="5" s="1"/>
  <c r="B563" i="5" s="1"/>
  <c r="B564" i="5" s="1"/>
  <c r="B565" i="5" s="1"/>
  <c r="B566" i="5" s="1"/>
  <c r="E554" i="5"/>
  <c r="E568" i="5" s="1"/>
  <c r="B543" i="5"/>
  <c r="B544" i="5" s="1"/>
  <c r="B545" i="5" s="1"/>
  <c r="B546" i="5" s="1"/>
  <c r="B547" i="5" s="1"/>
  <c r="B548" i="5" s="1"/>
  <c r="B549" i="5" s="1"/>
  <c r="B550" i="5" s="1"/>
  <c r="B551" i="5" s="1"/>
  <c r="B552" i="5" s="1"/>
  <c r="B553" i="5" s="1"/>
  <c r="E540" i="5"/>
  <c r="B529" i="5"/>
  <c r="B530" i="5" s="1"/>
  <c r="B531" i="5" s="1"/>
  <c r="B532" i="5" s="1"/>
  <c r="B533" i="5" s="1"/>
  <c r="B534" i="5" s="1"/>
  <c r="B535" i="5" s="1"/>
  <c r="B536" i="5" s="1"/>
  <c r="B537" i="5" s="1"/>
  <c r="B538" i="5" s="1"/>
  <c r="B539" i="5" s="1"/>
  <c r="E527" i="5"/>
  <c r="E541" i="5" s="1"/>
  <c r="B516" i="5"/>
  <c r="B517" i="5" s="1"/>
  <c r="B518" i="5" s="1"/>
  <c r="B519" i="5" s="1"/>
  <c r="B520" i="5" s="1"/>
  <c r="B521" i="5" s="1"/>
  <c r="B522" i="5" s="1"/>
  <c r="B523" i="5" s="1"/>
  <c r="B524" i="5" s="1"/>
  <c r="B525" i="5" s="1"/>
  <c r="B526" i="5" s="1"/>
  <c r="E513" i="5"/>
  <c r="B502" i="5"/>
  <c r="B503" i="5" s="1"/>
  <c r="B504" i="5" s="1"/>
  <c r="B505" i="5" s="1"/>
  <c r="B506" i="5" s="1"/>
  <c r="B507" i="5" s="1"/>
  <c r="B508" i="5" s="1"/>
  <c r="B509" i="5" s="1"/>
  <c r="B510" i="5" s="1"/>
  <c r="B511" i="5" s="1"/>
  <c r="B512" i="5" s="1"/>
  <c r="E500" i="5"/>
  <c r="B489" i="5"/>
  <c r="B490" i="5" s="1"/>
  <c r="B491" i="5" s="1"/>
  <c r="B492" i="5" s="1"/>
  <c r="B493" i="5" s="1"/>
  <c r="B494" i="5" s="1"/>
  <c r="B495" i="5" s="1"/>
  <c r="B496" i="5" s="1"/>
  <c r="B497" i="5" s="1"/>
  <c r="B498" i="5" s="1"/>
  <c r="B499" i="5" s="1"/>
  <c r="E486" i="5"/>
  <c r="B475" i="5"/>
  <c r="B476" i="5" s="1"/>
  <c r="B477" i="5" s="1"/>
  <c r="B478" i="5" s="1"/>
  <c r="B479" i="5" s="1"/>
  <c r="B480" i="5" s="1"/>
  <c r="B481" i="5" s="1"/>
  <c r="B482" i="5" s="1"/>
  <c r="B483" i="5" s="1"/>
  <c r="B484" i="5" s="1"/>
  <c r="B485" i="5" s="1"/>
  <c r="E473" i="5"/>
  <c r="B462" i="5"/>
  <c r="B463" i="5" s="1"/>
  <c r="B464" i="5" s="1"/>
  <c r="B465" i="5" s="1"/>
  <c r="B466" i="5" s="1"/>
  <c r="B467" i="5" s="1"/>
  <c r="B468" i="5" s="1"/>
  <c r="B469" i="5" s="1"/>
  <c r="B470" i="5" s="1"/>
  <c r="B471" i="5" s="1"/>
  <c r="B472" i="5" s="1"/>
  <c r="E459" i="5"/>
  <c r="B448" i="5"/>
  <c r="B449" i="5" s="1"/>
  <c r="B450" i="5" s="1"/>
  <c r="B451" i="5" s="1"/>
  <c r="B452" i="5" s="1"/>
  <c r="B453" i="5" s="1"/>
  <c r="B454" i="5" s="1"/>
  <c r="B455" i="5" s="1"/>
  <c r="B456" i="5" s="1"/>
  <c r="B457" i="5" s="1"/>
  <c r="B458" i="5" s="1"/>
  <c r="E446" i="5"/>
  <c r="B435" i="5"/>
  <c r="B436" i="5" s="1"/>
  <c r="B437" i="5" s="1"/>
  <c r="B438" i="5" s="1"/>
  <c r="B439" i="5" s="1"/>
  <c r="B440" i="5" s="1"/>
  <c r="B441" i="5" s="1"/>
  <c r="B442" i="5" s="1"/>
  <c r="B443" i="5" s="1"/>
  <c r="B444" i="5" s="1"/>
  <c r="B445" i="5" s="1"/>
  <c r="E432" i="5"/>
  <c r="B421" i="5"/>
  <c r="B422" i="5" s="1"/>
  <c r="B423" i="5" s="1"/>
  <c r="B424" i="5" s="1"/>
  <c r="B425" i="5" s="1"/>
  <c r="B426" i="5" s="1"/>
  <c r="B427" i="5" s="1"/>
  <c r="B428" i="5" s="1"/>
  <c r="B429" i="5" s="1"/>
  <c r="B430" i="5" s="1"/>
  <c r="B431" i="5" s="1"/>
  <c r="E419" i="5"/>
  <c r="E433" i="5" s="1"/>
  <c r="B408" i="5"/>
  <c r="B409" i="5" s="1"/>
  <c r="B410" i="5" s="1"/>
  <c r="B411" i="5" s="1"/>
  <c r="B412" i="5" s="1"/>
  <c r="B413" i="5" s="1"/>
  <c r="B414" i="5" s="1"/>
  <c r="B415" i="5" s="1"/>
  <c r="B416" i="5" s="1"/>
  <c r="B417" i="5" s="1"/>
  <c r="B418" i="5" s="1"/>
  <c r="E405" i="5"/>
  <c r="B394" i="5"/>
  <c r="B395" i="5" s="1"/>
  <c r="B396" i="5" s="1"/>
  <c r="B397" i="5" s="1"/>
  <c r="B398" i="5" s="1"/>
  <c r="B399" i="5" s="1"/>
  <c r="B400" i="5" s="1"/>
  <c r="B401" i="5" s="1"/>
  <c r="B402" i="5" s="1"/>
  <c r="B403" i="5" s="1"/>
  <c r="B404" i="5" s="1"/>
  <c r="E392" i="5"/>
  <c r="E406" i="5" s="1"/>
  <c r="B381" i="5"/>
  <c r="B382" i="5" s="1"/>
  <c r="B383" i="5" s="1"/>
  <c r="B384" i="5" s="1"/>
  <c r="B385" i="5" s="1"/>
  <c r="B386" i="5" s="1"/>
  <c r="B387" i="5" s="1"/>
  <c r="B388" i="5" s="1"/>
  <c r="B389" i="5" s="1"/>
  <c r="B390" i="5" s="1"/>
  <c r="B391" i="5" s="1"/>
  <c r="E378" i="5"/>
  <c r="B367" i="5"/>
  <c r="B368" i="5" s="1"/>
  <c r="B369" i="5" s="1"/>
  <c r="B370" i="5" s="1"/>
  <c r="B371" i="5" s="1"/>
  <c r="B372" i="5" s="1"/>
  <c r="B373" i="5" s="1"/>
  <c r="B374" i="5" s="1"/>
  <c r="B375" i="5" s="1"/>
  <c r="B376" i="5" s="1"/>
  <c r="B377" i="5" s="1"/>
  <c r="E365" i="5"/>
  <c r="E379" i="5" s="1"/>
  <c r="B354" i="5"/>
  <c r="B355" i="5" s="1"/>
  <c r="B356" i="5" s="1"/>
  <c r="B357" i="5" s="1"/>
  <c r="B358" i="5" s="1"/>
  <c r="B359" i="5" s="1"/>
  <c r="B360" i="5" s="1"/>
  <c r="B361" i="5" s="1"/>
  <c r="B362" i="5" s="1"/>
  <c r="B363" i="5" s="1"/>
  <c r="B364" i="5" s="1"/>
  <c r="E351" i="5"/>
  <c r="B340" i="5"/>
  <c r="B341" i="5" s="1"/>
  <c r="B342" i="5" s="1"/>
  <c r="B343" i="5" s="1"/>
  <c r="B344" i="5" s="1"/>
  <c r="B345" i="5" s="1"/>
  <c r="B346" i="5" s="1"/>
  <c r="B347" i="5" s="1"/>
  <c r="B348" i="5" s="1"/>
  <c r="B349" i="5" s="1"/>
  <c r="B350" i="5" s="1"/>
  <c r="E338" i="5"/>
  <c r="E352" i="5" s="1"/>
  <c r="B327" i="5"/>
  <c r="B328" i="5" s="1"/>
  <c r="B329" i="5" s="1"/>
  <c r="B330" i="5" s="1"/>
  <c r="B331" i="5" s="1"/>
  <c r="B332" i="5" s="1"/>
  <c r="B333" i="5" s="1"/>
  <c r="B334" i="5" s="1"/>
  <c r="B335" i="5" s="1"/>
  <c r="B336" i="5" s="1"/>
  <c r="B337" i="5" s="1"/>
  <c r="E324" i="5"/>
  <c r="B313" i="5"/>
  <c r="B314" i="5" s="1"/>
  <c r="B315" i="5" s="1"/>
  <c r="B316" i="5" s="1"/>
  <c r="B317" i="5" s="1"/>
  <c r="B318" i="5" s="1"/>
  <c r="B319" i="5" s="1"/>
  <c r="B320" i="5" s="1"/>
  <c r="B321" i="5" s="1"/>
  <c r="B322" i="5" s="1"/>
  <c r="B323" i="5" s="1"/>
  <c r="E311" i="5"/>
  <c r="B300" i="5"/>
  <c r="B301" i="5" s="1"/>
  <c r="B302" i="5" s="1"/>
  <c r="B303" i="5" s="1"/>
  <c r="B304" i="5" s="1"/>
  <c r="B305" i="5" s="1"/>
  <c r="B306" i="5" s="1"/>
  <c r="B307" i="5" s="1"/>
  <c r="B308" i="5" s="1"/>
  <c r="B309" i="5" s="1"/>
  <c r="B310" i="5" s="1"/>
  <c r="E297" i="5"/>
  <c r="B286" i="5"/>
  <c r="B287" i="5" s="1"/>
  <c r="B288" i="5" s="1"/>
  <c r="B289" i="5" s="1"/>
  <c r="B290" i="5" s="1"/>
  <c r="B291" i="5" s="1"/>
  <c r="B292" i="5" s="1"/>
  <c r="B293" i="5" s="1"/>
  <c r="B294" i="5" s="1"/>
  <c r="B295" i="5" s="1"/>
  <c r="B296" i="5" s="1"/>
  <c r="E284" i="5"/>
  <c r="E298" i="5" s="1"/>
  <c r="B273" i="5"/>
  <c r="B274" i="5" s="1"/>
  <c r="B275" i="5" s="1"/>
  <c r="B276" i="5" s="1"/>
  <c r="B277" i="5" s="1"/>
  <c r="B278" i="5" s="1"/>
  <c r="B279" i="5" s="1"/>
  <c r="B280" i="5" s="1"/>
  <c r="B281" i="5" s="1"/>
  <c r="B282" i="5" s="1"/>
  <c r="B283" i="5" s="1"/>
  <c r="E270" i="5"/>
  <c r="B259" i="5"/>
  <c r="B260" i="5" s="1"/>
  <c r="B261" i="5" s="1"/>
  <c r="B262" i="5" s="1"/>
  <c r="B263" i="5" s="1"/>
  <c r="B264" i="5" s="1"/>
  <c r="B265" i="5" s="1"/>
  <c r="B266" i="5" s="1"/>
  <c r="B267" i="5" s="1"/>
  <c r="B268" i="5" s="1"/>
  <c r="B269" i="5" s="1"/>
  <c r="E257" i="5"/>
  <c r="B246" i="5"/>
  <c r="B247" i="5" s="1"/>
  <c r="B248" i="5" s="1"/>
  <c r="B249" i="5" s="1"/>
  <c r="B250" i="5" s="1"/>
  <c r="B251" i="5" s="1"/>
  <c r="B252" i="5" s="1"/>
  <c r="B253" i="5" s="1"/>
  <c r="B254" i="5" s="1"/>
  <c r="B255" i="5" s="1"/>
  <c r="B256" i="5" s="1"/>
  <c r="E243" i="5"/>
  <c r="B232" i="5"/>
  <c r="B233" i="5" s="1"/>
  <c r="B234" i="5" s="1"/>
  <c r="B235" i="5" s="1"/>
  <c r="B236" i="5" s="1"/>
  <c r="B237" i="5" s="1"/>
  <c r="B238" i="5" s="1"/>
  <c r="B239" i="5" s="1"/>
  <c r="B240" i="5" s="1"/>
  <c r="B241" i="5" s="1"/>
  <c r="B242" i="5" s="1"/>
  <c r="E230" i="5"/>
  <c r="B219" i="5"/>
  <c r="B220" i="5" s="1"/>
  <c r="B221" i="5" s="1"/>
  <c r="B222" i="5" s="1"/>
  <c r="B223" i="5" s="1"/>
  <c r="B224" i="5" s="1"/>
  <c r="B225" i="5" s="1"/>
  <c r="B226" i="5" s="1"/>
  <c r="B227" i="5" s="1"/>
  <c r="B228" i="5" s="1"/>
  <c r="B229" i="5" s="1"/>
  <c r="E216" i="5"/>
  <c r="B205" i="5"/>
  <c r="B206" i="5" s="1"/>
  <c r="B207" i="5" s="1"/>
  <c r="B208" i="5" s="1"/>
  <c r="B209" i="5" s="1"/>
  <c r="B210" i="5" s="1"/>
  <c r="B211" i="5" s="1"/>
  <c r="B212" i="5" s="1"/>
  <c r="B213" i="5" s="1"/>
  <c r="B214" i="5" s="1"/>
  <c r="B215" i="5" s="1"/>
  <c r="E203" i="5"/>
  <c r="E217" i="5" s="1"/>
  <c r="B192" i="5"/>
  <c r="B193" i="5" s="1"/>
  <c r="B194" i="5" s="1"/>
  <c r="B195" i="5" s="1"/>
  <c r="B196" i="5" s="1"/>
  <c r="B197" i="5" s="1"/>
  <c r="B198" i="5" s="1"/>
  <c r="B199" i="5" s="1"/>
  <c r="B200" i="5" s="1"/>
  <c r="B201" i="5" s="1"/>
  <c r="B202" i="5" s="1"/>
  <c r="E189" i="5"/>
  <c r="B178" i="5"/>
  <c r="B179" i="5" s="1"/>
  <c r="B180" i="5" s="1"/>
  <c r="B181" i="5" s="1"/>
  <c r="B182" i="5" s="1"/>
  <c r="B183" i="5" s="1"/>
  <c r="B184" i="5" s="1"/>
  <c r="B185" i="5" s="1"/>
  <c r="B186" i="5" s="1"/>
  <c r="B187" i="5" s="1"/>
  <c r="B188" i="5" s="1"/>
  <c r="E176" i="5"/>
  <c r="E190" i="5" s="1"/>
  <c r="B165" i="5"/>
  <c r="B166" i="5" s="1"/>
  <c r="B167" i="5" s="1"/>
  <c r="B168" i="5" s="1"/>
  <c r="B169" i="5" s="1"/>
  <c r="B170" i="5" s="1"/>
  <c r="B171" i="5" s="1"/>
  <c r="B172" i="5" s="1"/>
  <c r="B173" i="5" s="1"/>
  <c r="B174" i="5" s="1"/>
  <c r="B175" i="5" s="1"/>
  <c r="E162" i="5"/>
  <c r="B151" i="5"/>
  <c r="B152" i="5" s="1"/>
  <c r="B153" i="5" s="1"/>
  <c r="B154" i="5" s="1"/>
  <c r="B155" i="5" s="1"/>
  <c r="B156" i="5" s="1"/>
  <c r="B157" i="5" s="1"/>
  <c r="B158" i="5" s="1"/>
  <c r="B159" i="5" s="1"/>
  <c r="B160" i="5" s="1"/>
  <c r="B161" i="5" s="1"/>
  <c r="E149" i="5"/>
  <c r="E163" i="5" s="1"/>
  <c r="B138" i="5"/>
  <c r="B139" i="5" s="1"/>
  <c r="B140" i="5" s="1"/>
  <c r="B141" i="5" s="1"/>
  <c r="B142" i="5" s="1"/>
  <c r="B143" i="5" s="1"/>
  <c r="B144" i="5" s="1"/>
  <c r="B145" i="5" s="1"/>
  <c r="B146" i="5" s="1"/>
  <c r="B147" i="5" s="1"/>
  <c r="B148" i="5" s="1"/>
  <c r="E135" i="5"/>
  <c r="B124" i="5"/>
  <c r="B125" i="5" s="1"/>
  <c r="B126" i="5" s="1"/>
  <c r="B127" i="5" s="1"/>
  <c r="B128" i="5" s="1"/>
  <c r="B129" i="5" s="1"/>
  <c r="B130" i="5" s="1"/>
  <c r="B131" i="5" s="1"/>
  <c r="B132" i="5" s="1"/>
  <c r="B133" i="5" s="1"/>
  <c r="B134" i="5" s="1"/>
  <c r="E122" i="5"/>
  <c r="B111" i="5"/>
  <c r="B112" i="5" s="1"/>
  <c r="B113" i="5" s="1"/>
  <c r="B114" i="5" s="1"/>
  <c r="B115" i="5" s="1"/>
  <c r="B116" i="5" s="1"/>
  <c r="B117" i="5" s="1"/>
  <c r="B118" i="5" s="1"/>
  <c r="B119" i="5" s="1"/>
  <c r="B120" i="5" s="1"/>
  <c r="B121" i="5" s="1"/>
  <c r="E108" i="5"/>
  <c r="B97" i="5"/>
  <c r="B98" i="5" s="1"/>
  <c r="B99" i="5" s="1"/>
  <c r="B100" i="5" s="1"/>
  <c r="B101" i="5" s="1"/>
  <c r="B102" i="5" s="1"/>
  <c r="B103" i="5" s="1"/>
  <c r="B104" i="5" s="1"/>
  <c r="B105" i="5" s="1"/>
  <c r="B106" i="5" s="1"/>
  <c r="B107" i="5" s="1"/>
  <c r="E95" i="5"/>
  <c r="B84" i="5"/>
  <c r="B85" i="5" s="1"/>
  <c r="B86" i="5" s="1"/>
  <c r="B87" i="5" s="1"/>
  <c r="B88" i="5" s="1"/>
  <c r="B89" i="5" s="1"/>
  <c r="B90" i="5" s="1"/>
  <c r="B91" i="5" s="1"/>
  <c r="B92" i="5" s="1"/>
  <c r="B93" i="5" s="1"/>
  <c r="B94" i="5" s="1"/>
  <c r="E81" i="5"/>
  <c r="B70" i="5"/>
  <c r="B71" i="5" s="1"/>
  <c r="B72" i="5" s="1"/>
  <c r="B73" i="5" s="1"/>
  <c r="B74" i="5" s="1"/>
  <c r="B75" i="5" s="1"/>
  <c r="B76" i="5" s="1"/>
  <c r="B77" i="5" s="1"/>
  <c r="B78" i="5" s="1"/>
  <c r="B79" i="5" s="1"/>
  <c r="B80" i="5" s="1"/>
  <c r="E68" i="5"/>
  <c r="E82" i="5" s="1"/>
  <c r="B57" i="5"/>
  <c r="B58" i="5" s="1"/>
  <c r="B59" i="5" s="1"/>
  <c r="B60" i="5" s="1"/>
  <c r="B61" i="5" s="1"/>
  <c r="B62" i="5" s="1"/>
  <c r="B63" i="5" s="1"/>
  <c r="B64" i="5" s="1"/>
  <c r="B65" i="5" s="1"/>
  <c r="B66" i="5" s="1"/>
  <c r="B67" i="5" s="1"/>
  <c r="E54" i="5"/>
  <c r="B43" i="5"/>
  <c r="B44" i="5" s="1"/>
  <c r="B45" i="5" s="1"/>
  <c r="B46" i="5" s="1"/>
  <c r="B47" i="5" s="1"/>
  <c r="B48" i="5" s="1"/>
  <c r="B49" i="5" s="1"/>
  <c r="B50" i="5" s="1"/>
  <c r="B51" i="5" s="1"/>
  <c r="B52" i="5" s="1"/>
  <c r="B53" i="5" s="1"/>
  <c r="E41" i="5"/>
  <c r="B30" i="5"/>
  <c r="B31" i="5" s="1"/>
  <c r="B32" i="5" s="1"/>
  <c r="B33" i="5" s="1"/>
  <c r="B34" i="5" s="1"/>
  <c r="B35" i="5" s="1"/>
  <c r="B36" i="5" s="1"/>
  <c r="B37" i="5" s="1"/>
  <c r="B38" i="5" s="1"/>
  <c r="B39" i="5" s="1"/>
  <c r="B40" i="5" s="1"/>
  <c r="B16" i="5"/>
  <c r="B17" i="5" s="1"/>
  <c r="B18" i="5" s="1"/>
  <c r="B19" i="5" s="1"/>
  <c r="B20" i="5" s="1"/>
  <c r="B21" i="5" s="1"/>
  <c r="B22" i="5" s="1"/>
  <c r="B23" i="5" s="1"/>
  <c r="B24" i="5" s="1"/>
  <c r="B25" i="5" s="1"/>
  <c r="B26" i="5" s="1"/>
  <c r="B3" i="5"/>
  <c r="B4" i="5" s="1"/>
  <c r="B5" i="5" s="1"/>
  <c r="B6" i="5" s="1"/>
  <c r="B7" i="5" s="1"/>
  <c r="B8" i="5" s="1"/>
  <c r="B9" i="5" s="1"/>
  <c r="B10" i="5" s="1"/>
  <c r="B11" i="5" s="1"/>
  <c r="B12" i="5" s="1"/>
  <c r="B13" i="5" s="1"/>
  <c r="O811" i="5"/>
  <c r="M809" i="5"/>
  <c r="M808" i="5"/>
  <c r="M807" i="5"/>
  <c r="M806" i="5"/>
  <c r="M805" i="5"/>
  <c r="M804" i="5"/>
  <c r="M803" i="5"/>
  <c r="M802" i="5"/>
  <c r="M801" i="5"/>
  <c r="M800" i="5"/>
  <c r="M799" i="5"/>
  <c r="M798" i="5"/>
  <c r="M796" i="5"/>
  <c r="M795" i="5"/>
  <c r="M794" i="5"/>
  <c r="M793" i="5"/>
  <c r="M792" i="5"/>
  <c r="M791" i="5"/>
  <c r="M790" i="5"/>
  <c r="M789" i="5"/>
  <c r="M788" i="5"/>
  <c r="M787" i="5"/>
  <c r="M786" i="5"/>
  <c r="M785" i="5"/>
  <c r="O784" i="5"/>
  <c r="M782" i="5"/>
  <c r="M781" i="5"/>
  <c r="M780" i="5"/>
  <c r="M779" i="5"/>
  <c r="M778" i="5"/>
  <c r="M777" i="5"/>
  <c r="M776" i="5"/>
  <c r="M775" i="5"/>
  <c r="M774" i="5"/>
  <c r="M773" i="5"/>
  <c r="M772" i="5"/>
  <c r="M771" i="5"/>
  <c r="M769" i="5"/>
  <c r="M768" i="5"/>
  <c r="M767" i="5"/>
  <c r="M766" i="5"/>
  <c r="M765" i="5"/>
  <c r="M764" i="5"/>
  <c r="M763" i="5"/>
  <c r="M762" i="5"/>
  <c r="M761" i="5"/>
  <c r="M760" i="5"/>
  <c r="M759" i="5"/>
  <c r="M758" i="5"/>
  <c r="O757" i="5"/>
  <c r="M755" i="5"/>
  <c r="M754" i="5"/>
  <c r="M753" i="5"/>
  <c r="M752" i="5"/>
  <c r="M751" i="5"/>
  <c r="M750" i="5"/>
  <c r="M749" i="5"/>
  <c r="M748" i="5"/>
  <c r="M747" i="5"/>
  <c r="M746" i="5"/>
  <c r="M745" i="5"/>
  <c r="M744" i="5"/>
  <c r="M742" i="5"/>
  <c r="M741" i="5"/>
  <c r="M740" i="5"/>
  <c r="M739" i="5"/>
  <c r="M738" i="5"/>
  <c r="M737" i="5"/>
  <c r="M736" i="5"/>
  <c r="M735" i="5"/>
  <c r="M734" i="5"/>
  <c r="M733" i="5"/>
  <c r="M732" i="5"/>
  <c r="M731" i="5"/>
  <c r="O730" i="5"/>
  <c r="M728" i="5"/>
  <c r="M727" i="5"/>
  <c r="M726" i="5"/>
  <c r="M725" i="5"/>
  <c r="M724" i="5"/>
  <c r="M723" i="5"/>
  <c r="M722" i="5"/>
  <c r="M721" i="5"/>
  <c r="M720" i="5"/>
  <c r="M719" i="5"/>
  <c r="M718" i="5"/>
  <c r="M717" i="5"/>
  <c r="M715" i="5"/>
  <c r="M714" i="5"/>
  <c r="M713" i="5"/>
  <c r="M712" i="5"/>
  <c r="M711" i="5"/>
  <c r="M710" i="5"/>
  <c r="M709" i="5"/>
  <c r="M708" i="5"/>
  <c r="M707" i="5"/>
  <c r="M706" i="5"/>
  <c r="M705" i="5"/>
  <c r="M704" i="5"/>
  <c r="O703" i="5"/>
  <c r="M701" i="5"/>
  <c r="M700" i="5"/>
  <c r="M699" i="5"/>
  <c r="M698" i="5"/>
  <c r="M697" i="5"/>
  <c r="M696" i="5"/>
  <c r="M695" i="5"/>
  <c r="M694" i="5"/>
  <c r="M693" i="5"/>
  <c r="M692" i="5"/>
  <c r="M691" i="5"/>
  <c r="M690" i="5"/>
  <c r="M688" i="5"/>
  <c r="M687" i="5"/>
  <c r="M686" i="5"/>
  <c r="M685" i="5"/>
  <c r="M684" i="5"/>
  <c r="M683" i="5"/>
  <c r="M682" i="5"/>
  <c r="M681" i="5"/>
  <c r="M680" i="5"/>
  <c r="M679" i="5"/>
  <c r="M678" i="5"/>
  <c r="M677" i="5"/>
  <c r="O676" i="5"/>
  <c r="M674" i="5"/>
  <c r="M673" i="5"/>
  <c r="M672" i="5"/>
  <c r="M671" i="5"/>
  <c r="M670" i="5"/>
  <c r="M669" i="5"/>
  <c r="M668" i="5"/>
  <c r="M667" i="5"/>
  <c r="M666" i="5"/>
  <c r="M665" i="5"/>
  <c r="M664" i="5"/>
  <c r="M663" i="5"/>
  <c r="M661" i="5"/>
  <c r="M660" i="5"/>
  <c r="M659" i="5"/>
  <c r="M658" i="5"/>
  <c r="M657" i="5"/>
  <c r="M656" i="5"/>
  <c r="M655" i="5"/>
  <c r="M654" i="5"/>
  <c r="M653" i="5"/>
  <c r="M652" i="5"/>
  <c r="M651" i="5"/>
  <c r="M650" i="5"/>
  <c r="O649" i="5"/>
  <c r="M647" i="5"/>
  <c r="M646" i="5"/>
  <c r="M645" i="5"/>
  <c r="M644" i="5"/>
  <c r="M643" i="5"/>
  <c r="M642" i="5"/>
  <c r="M641" i="5"/>
  <c r="M640" i="5"/>
  <c r="M639" i="5"/>
  <c r="M638" i="5"/>
  <c r="M637" i="5"/>
  <c r="M636" i="5"/>
  <c r="M634" i="5"/>
  <c r="M633" i="5"/>
  <c r="M632" i="5"/>
  <c r="M631" i="5"/>
  <c r="M630" i="5"/>
  <c r="M629" i="5"/>
  <c r="M628" i="5"/>
  <c r="M627" i="5"/>
  <c r="M626" i="5"/>
  <c r="M625" i="5"/>
  <c r="M624" i="5"/>
  <c r="M623" i="5"/>
  <c r="O622" i="5"/>
  <c r="M620" i="5"/>
  <c r="M619" i="5"/>
  <c r="M618" i="5"/>
  <c r="M617" i="5"/>
  <c r="M616" i="5"/>
  <c r="M615" i="5"/>
  <c r="M614" i="5"/>
  <c r="M613" i="5"/>
  <c r="M612" i="5"/>
  <c r="M611" i="5"/>
  <c r="M610" i="5"/>
  <c r="M609" i="5"/>
  <c r="M607" i="5"/>
  <c r="M606" i="5"/>
  <c r="M605" i="5"/>
  <c r="M604" i="5"/>
  <c r="M603" i="5"/>
  <c r="M602" i="5"/>
  <c r="M601" i="5"/>
  <c r="M600" i="5"/>
  <c r="M599" i="5"/>
  <c r="M598" i="5"/>
  <c r="M597" i="5"/>
  <c r="M596" i="5"/>
  <c r="O595" i="5"/>
  <c r="M593" i="5"/>
  <c r="M592" i="5"/>
  <c r="M591" i="5"/>
  <c r="M590" i="5"/>
  <c r="M589" i="5"/>
  <c r="M588" i="5"/>
  <c r="M587" i="5"/>
  <c r="M586" i="5"/>
  <c r="M585" i="5"/>
  <c r="M584" i="5"/>
  <c r="M583" i="5"/>
  <c r="M582" i="5"/>
  <c r="M580" i="5"/>
  <c r="M579" i="5"/>
  <c r="M578" i="5"/>
  <c r="M577" i="5"/>
  <c r="M576" i="5"/>
  <c r="M575" i="5"/>
  <c r="M574" i="5"/>
  <c r="M573" i="5"/>
  <c r="M572" i="5"/>
  <c r="M571" i="5"/>
  <c r="M570" i="5"/>
  <c r="M569" i="5"/>
  <c r="O568" i="5"/>
  <c r="E24" i="1" s="1"/>
  <c r="M566" i="5"/>
  <c r="M565" i="5"/>
  <c r="M564" i="5"/>
  <c r="M563" i="5"/>
  <c r="M562" i="5"/>
  <c r="M561" i="5"/>
  <c r="M560" i="5"/>
  <c r="M559" i="5"/>
  <c r="M558" i="5"/>
  <c r="M557" i="5"/>
  <c r="M556" i="5"/>
  <c r="M555" i="5"/>
  <c r="M553" i="5"/>
  <c r="M552" i="5"/>
  <c r="M551" i="5"/>
  <c r="M550" i="5"/>
  <c r="M549" i="5"/>
  <c r="M548" i="5"/>
  <c r="M547" i="5"/>
  <c r="M546" i="5"/>
  <c r="M545" i="5"/>
  <c r="M544" i="5"/>
  <c r="M543" i="5"/>
  <c r="M542" i="5"/>
  <c r="O541" i="5"/>
  <c r="M539" i="5"/>
  <c r="M538" i="5"/>
  <c r="M537" i="5"/>
  <c r="M536" i="5"/>
  <c r="M535" i="5"/>
  <c r="M534" i="5"/>
  <c r="M533" i="5"/>
  <c r="M532" i="5"/>
  <c r="M531" i="5"/>
  <c r="M530" i="5"/>
  <c r="M529" i="5"/>
  <c r="M528" i="5"/>
  <c r="M526" i="5"/>
  <c r="M525" i="5"/>
  <c r="M524" i="5"/>
  <c r="M523" i="5"/>
  <c r="M522" i="5"/>
  <c r="M521" i="5"/>
  <c r="M520" i="5"/>
  <c r="M519" i="5"/>
  <c r="M518" i="5"/>
  <c r="M517" i="5"/>
  <c r="M516" i="5"/>
  <c r="M515" i="5"/>
  <c r="O514" i="5"/>
  <c r="M512" i="5"/>
  <c r="M511" i="5"/>
  <c r="M510" i="5"/>
  <c r="M509" i="5"/>
  <c r="M508" i="5"/>
  <c r="M507" i="5"/>
  <c r="M506" i="5"/>
  <c r="M505" i="5"/>
  <c r="M504" i="5"/>
  <c r="M503" i="5"/>
  <c r="M502" i="5"/>
  <c r="M501" i="5"/>
  <c r="M499" i="5"/>
  <c r="M498" i="5"/>
  <c r="M497" i="5"/>
  <c r="M496" i="5"/>
  <c r="M495" i="5"/>
  <c r="M494" i="5"/>
  <c r="M493" i="5"/>
  <c r="M492" i="5"/>
  <c r="M491" i="5"/>
  <c r="M490" i="5"/>
  <c r="M489" i="5"/>
  <c r="M488" i="5"/>
  <c r="O487" i="5"/>
  <c r="M485" i="5"/>
  <c r="M484" i="5"/>
  <c r="M483" i="5"/>
  <c r="M482" i="5"/>
  <c r="M481" i="5"/>
  <c r="M480" i="5"/>
  <c r="M479" i="5"/>
  <c r="M478" i="5"/>
  <c r="M477" i="5"/>
  <c r="M476" i="5"/>
  <c r="M475" i="5"/>
  <c r="M474" i="5"/>
  <c r="M472" i="5"/>
  <c r="M471" i="5"/>
  <c r="M470" i="5"/>
  <c r="M469" i="5"/>
  <c r="M468" i="5"/>
  <c r="M467" i="5"/>
  <c r="M466" i="5"/>
  <c r="M465" i="5"/>
  <c r="M464" i="5"/>
  <c r="M463" i="5"/>
  <c r="M462" i="5"/>
  <c r="M461" i="5"/>
  <c r="O460" i="5"/>
  <c r="M458" i="5"/>
  <c r="M457" i="5"/>
  <c r="M456" i="5"/>
  <c r="M455" i="5"/>
  <c r="M454" i="5"/>
  <c r="M453" i="5"/>
  <c r="M452" i="5"/>
  <c r="M451" i="5"/>
  <c r="M450" i="5"/>
  <c r="M449" i="5"/>
  <c r="M448" i="5"/>
  <c r="M447" i="5"/>
  <c r="M445" i="5"/>
  <c r="M444" i="5"/>
  <c r="M443" i="5"/>
  <c r="M442" i="5"/>
  <c r="M441" i="5"/>
  <c r="M440" i="5"/>
  <c r="M439" i="5"/>
  <c r="M438" i="5"/>
  <c r="M437" i="5"/>
  <c r="M436" i="5"/>
  <c r="M435" i="5"/>
  <c r="M434" i="5"/>
  <c r="O433" i="5"/>
  <c r="M431" i="5"/>
  <c r="M430" i="5"/>
  <c r="M429" i="5"/>
  <c r="M428" i="5"/>
  <c r="M427" i="5"/>
  <c r="M426" i="5"/>
  <c r="M425" i="5"/>
  <c r="M424" i="5"/>
  <c r="M423" i="5"/>
  <c r="M422" i="5"/>
  <c r="M421" i="5"/>
  <c r="M420" i="5"/>
  <c r="M418" i="5"/>
  <c r="M417" i="5"/>
  <c r="M416" i="5"/>
  <c r="M415" i="5"/>
  <c r="M414" i="5"/>
  <c r="M413" i="5"/>
  <c r="M412" i="5"/>
  <c r="M411" i="5"/>
  <c r="M410" i="5"/>
  <c r="M409" i="5"/>
  <c r="M408" i="5"/>
  <c r="M407" i="5"/>
  <c r="O406" i="5"/>
  <c r="M404" i="5"/>
  <c r="M403" i="5"/>
  <c r="M402" i="5"/>
  <c r="M401" i="5"/>
  <c r="M400" i="5"/>
  <c r="M399" i="5"/>
  <c r="M398" i="5"/>
  <c r="M397" i="5"/>
  <c r="M396" i="5"/>
  <c r="M395" i="5"/>
  <c r="M394" i="5"/>
  <c r="M393" i="5"/>
  <c r="M391" i="5"/>
  <c r="M390" i="5"/>
  <c r="M389" i="5"/>
  <c r="M388" i="5"/>
  <c r="M387" i="5"/>
  <c r="M386" i="5"/>
  <c r="M385" i="5"/>
  <c r="M384" i="5"/>
  <c r="M383" i="5"/>
  <c r="M382" i="5"/>
  <c r="M381" i="5"/>
  <c r="M380" i="5"/>
  <c r="O379" i="5"/>
  <c r="E17" i="1" s="1"/>
  <c r="M377" i="5"/>
  <c r="M376" i="5"/>
  <c r="M375" i="5"/>
  <c r="M374" i="5"/>
  <c r="M373" i="5"/>
  <c r="M372" i="5"/>
  <c r="M371" i="5"/>
  <c r="M370" i="5"/>
  <c r="M369" i="5"/>
  <c r="M368" i="5"/>
  <c r="M367" i="5"/>
  <c r="M366" i="5"/>
  <c r="M364" i="5"/>
  <c r="M363" i="5"/>
  <c r="M362" i="5"/>
  <c r="M361" i="5"/>
  <c r="M360" i="5"/>
  <c r="M359" i="5"/>
  <c r="M358" i="5"/>
  <c r="M357" i="5"/>
  <c r="M356" i="5"/>
  <c r="M355" i="5"/>
  <c r="M354" i="5"/>
  <c r="M353" i="5"/>
  <c r="O352" i="5"/>
  <c r="E16" i="1" s="1"/>
  <c r="M350" i="5"/>
  <c r="M349" i="5"/>
  <c r="M348" i="5"/>
  <c r="M347" i="5"/>
  <c r="M346" i="5"/>
  <c r="M345" i="5"/>
  <c r="M344" i="5"/>
  <c r="M343" i="5"/>
  <c r="M342" i="5"/>
  <c r="M341" i="5"/>
  <c r="M340" i="5"/>
  <c r="M339" i="5"/>
  <c r="M337" i="5"/>
  <c r="M336" i="5"/>
  <c r="M335" i="5"/>
  <c r="M334" i="5"/>
  <c r="M333" i="5"/>
  <c r="M332" i="5"/>
  <c r="M331" i="5"/>
  <c r="M330" i="5"/>
  <c r="M329" i="5"/>
  <c r="M328" i="5"/>
  <c r="M327" i="5"/>
  <c r="M326" i="5"/>
  <c r="O325" i="5"/>
  <c r="M323" i="5"/>
  <c r="M322" i="5"/>
  <c r="M321" i="5"/>
  <c r="M320" i="5"/>
  <c r="M319" i="5"/>
  <c r="M318" i="5"/>
  <c r="M317" i="5"/>
  <c r="M316" i="5"/>
  <c r="M315" i="5"/>
  <c r="M314" i="5"/>
  <c r="M313" i="5"/>
  <c r="M312" i="5"/>
  <c r="M310" i="5"/>
  <c r="M309" i="5"/>
  <c r="M308" i="5"/>
  <c r="M307" i="5"/>
  <c r="M306" i="5"/>
  <c r="M305" i="5"/>
  <c r="M304" i="5"/>
  <c r="M302" i="5"/>
  <c r="M301" i="5"/>
  <c r="M300" i="5"/>
  <c r="M299" i="5"/>
  <c r="O298" i="5"/>
  <c r="M296" i="5"/>
  <c r="M295" i="5"/>
  <c r="M294" i="5"/>
  <c r="M293" i="5"/>
  <c r="M292" i="5"/>
  <c r="M291" i="5"/>
  <c r="M290" i="5"/>
  <c r="M289" i="5"/>
  <c r="M288" i="5"/>
  <c r="M287" i="5"/>
  <c r="M286" i="5"/>
  <c r="M285" i="5"/>
  <c r="M283" i="5"/>
  <c r="M282" i="5"/>
  <c r="M281" i="5"/>
  <c r="M280" i="5"/>
  <c r="M279" i="5"/>
  <c r="M278" i="5"/>
  <c r="M277" i="5"/>
  <c r="M276" i="5"/>
  <c r="M275" i="5"/>
  <c r="M274" i="5"/>
  <c r="M273" i="5"/>
  <c r="M272" i="5"/>
  <c r="O271" i="5"/>
  <c r="E13" i="1" s="1"/>
  <c r="M269" i="5"/>
  <c r="M268" i="5"/>
  <c r="M267" i="5"/>
  <c r="M266" i="5"/>
  <c r="M265" i="5"/>
  <c r="M264" i="5"/>
  <c r="M263" i="5"/>
  <c r="M262" i="5"/>
  <c r="M261" i="5"/>
  <c r="M260" i="5"/>
  <c r="M259" i="5"/>
  <c r="M258" i="5"/>
  <c r="M256" i="5"/>
  <c r="M255" i="5"/>
  <c r="M254" i="5"/>
  <c r="M253" i="5"/>
  <c r="M252" i="5"/>
  <c r="M251" i="5"/>
  <c r="M250" i="5"/>
  <c r="M249" i="5"/>
  <c r="M248" i="5"/>
  <c r="M247" i="5"/>
  <c r="M246" i="5"/>
  <c r="M245" i="5"/>
  <c r="O244" i="5"/>
  <c r="E12" i="1" s="1"/>
  <c r="M242" i="5"/>
  <c r="M241" i="5"/>
  <c r="M240" i="5"/>
  <c r="M239" i="5"/>
  <c r="M238" i="5"/>
  <c r="M237" i="5"/>
  <c r="M236" i="5"/>
  <c r="M235" i="5"/>
  <c r="M234" i="5"/>
  <c r="M233" i="5"/>
  <c r="M232" i="5"/>
  <c r="M231" i="5"/>
  <c r="M229" i="5"/>
  <c r="M228" i="5"/>
  <c r="M227" i="5"/>
  <c r="M226" i="5"/>
  <c r="M225" i="5"/>
  <c r="M224" i="5"/>
  <c r="M223" i="5"/>
  <c r="M222" i="5"/>
  <c r="M221" i="5"/>
  <c r="M220" i="5"/>
  <c r="M219" i="5"/>
  <c r="M218" i="5"/>
  <c r="O217" i="5"/>
  <c r="E11" i="1" s="1"/>
  <c r="M215" i="5"/>
  <c r="M214" i="5"/>
  <c r="M213" i="5"/>
  <c r="M212" i="5"/>
  <c r="M211" i="5"/>
  <c r="M210" i="5"/>
  <c r="M209" i="5"/>
  <c r="M208" i="5"/>
  <c r="M207" i="5"/>
  <c r="M206" i="5"/>
  <c r="M205" i="5"/>
  <c r="M204" i="5"/>
  <c r="M202" i="5"/>
  <c r="M201" i="5"/>
  <c r="M200" i="5"/>
  <c r="M199" i="5"/>
  <c r="M198" i="5"/>
  <c r="M197" i="5"/>
  <c r="M196" i="5"/>
  <c r="M195" i="5"/>
  <c r="M194" i="5"/>
  <c r="M193" i="5"/>
  <c r="M192" i="5"/>
  <c r="M191" i="5"/>
  <c r="O190" i="5"/>
  <c r="M188" i="5"/>
  <c r="M187" i="5"/>
  <c r="M186" i="5"/>
  <c r="M185" i="5"/>
  <c r="M184" i="5"/>
  <c r="M183" i="5"/>
  <c r="M182" i="5"/>
  <c r="M181" i="5"/>
  <c r="M180" i="5"/>
  <c r="M179" i="5"/>
  <c r="M178" i="5"/>
  <c r="M177" i="5"/>
  <c r="M175" i="5"/>
  <c r="M174" i="5"/>
  <c r="M173" i="5"/>
  <c r="M172" i="5"/>
  <c r="M171" i="5"/>
  <c r="M170" i="5"/>
  <c r="M169" i="5"/>
  <c r="M168" i="5"/>
  <c r="M167" i="5"/>
  <c r="M165" i="5"/>
  <c r="M164" i="5"/>
  <c r="O163" i="5"/>
  <c r="M161" i="5"/>
  <c r="M160" i="5"/>
  <c r="M159" i="5"/>
  <c r="M158" i="5"/>
  <c r="M157" i="5"/>
  <c r="M156" i="5"/>
  <c r="M155" i="5"/>
  <c r="M154" i="5"/>
  <c r="M153" i="5"/>
  <c r="M152" i="5"/>
  <c r="M151" i="5"/>
  <c r="M150" i="5"/>
  <c r="M148" i="5"/>
  <c r="M147" i="5"/>
  <c r="M146" i="5"/>
  <c r="M145" i="5"/>
  <c r="M144" i="5"/>
  <c r="M143" i="5"/>
  <c r="M142" i="5"/>
  <c r="M141" i="5"/>
  <c r="M140" i="5"/>
  <c r="M139" i="5"/>
  <c r="M138" i="5"/>
  <c r="M137" i="5"/>
  <c r="O136" i="5"/>
  <c r="M134" i="5"/>
  <c r="M133" i="5"/>
  <c r="M132" i="5"/>
  <c r="M131" i="5"/>
  <c r="M130" i="5"/>
  <c r="M129" i="5"/>
  <c r="M128" i="5"/>
  <c r="M127" i="5"/>
  <c r="M126" i="5"/>
  <c r="M125" i="5"/>
  <c r="M124" i="5"/>
  <c r="M123" i="5"/>
  <c r="M121" i="5"/>
  <c r="M120" i="5"/>
  <c r="M119" i="5"/>
  <c r="M118" i="5"/>
  <c r="M117" i="5"/>
  <c r="M116" i="5"/>
  <c r="M115" i="5"/>
  <c r="M114" i="5"/>
  <c r="M113" i="5"/>
  <c r="M112" i="5"/>
  <c r="M111" i="5"/>
  <c r="M110" i="5"/>
  <c r="O109" i="5"/>
  <c r="E7" i="1" s="1"/>
  <c r="M107" i="5"/>
  <c r="M106" i="5"/>
  <c r="M105" i="5"/>
  <c r="M104" i="5"/>
  <c r="M103" i="5"/>
  <c r="M102" i="5"/>
  <c r="M101" i="5"/>
  <c r="M100" i="5"/>
  <c r="M99" i="5"/>
  <c r="M98" i="5"/>
  <c r="M97" i="5"/>
  <c r="M96" i="5"/>
  <c r="M94" i="5"/>
  <c r="M93" i="5"/>
  <c r="M92" i="5"/>
  <c r="M91" i="5"/>
  <c r="M90" i="5"/>
  <c r="M89" i="5"/>
  <c r="M88" i="5"/>
  <c r="M87" i="5"/>
  <c r="M86" i="5"/>
  <c r="M85" i="5"/>
  <c r="M84" i="5"/>
  <c r="M83" i="5"/>
  <c r="O82" i="5"/>
  <c r="E6" i="1" s="1"/>
  <c r="M80" i="5"/>
  <c r="M79" i="5"/>
  <c r="M78" i="5"/>
  <c r="M77" i="5"/>
  <c r="M76" i="5"/>
  <c r="M75" i="5"/>
  <c r="M74" i="5"/>
  <c r="M73" i="5"/>
  <c r="M72" i="5"/>
  <c r="M71" i="5"/>
  <c r="M70" i="5"/>
  <c r="M69" i="5"/>
  <c r="M67" i="5"/>
  <c r="M66" i="5"/>
  <c r="M65" i="5"/>
  <c r="M64" i="5"/>
  <c r="M63" i="5"/>
  <c r="M62" i="5"/>
  <c r="M61" i="5"/>
  <c r="M60" i="5"/>
  <c r="M59" i="5"/>
  <c r="M58" i="5"/>
  <c r="M57" i="5"/>
  <c r="M56" i="5"/>
  <c r="O55" i="5"/>
  <c r="M53" i="5"/>
  <c r="M52" i="5"/>
  <c r="M51" i="5"/>
  <c r="M50" i="5"/>
  <c r="M49" i="5"/>
  <c r="M48" i="5"/>
  <c r="M47" i="5"/>
  <c r="M46" i="5"/>
  <c r="M45" i="5"/>
  <c r="M44" i="5"/>
  <c r="M43" i="5"/>
  <c r="M42" i="5"/>
  <c r="M40" i="5"/>
  <c r="M39" i="5"/>
  <c r="M38" i="5"/>
  <c r="M37" i="5"/>
  <c r="M36" i="5"/>
  <c r="M35" i="5"/>
  <c r="M34" i="5"/>
  <c r="M33" i="5"/>
  <c r="M32" i="5"/>
  <c r="M31" i="5"/>
  <c r="M30" i="5"/>
  <c r="M29" i="5"/>
  <c r="O28" i="5"/>
  <c r="M25" i="5"/>
  <c r="M13" i="5"/>
  <c r="M12" i="5"/>
  <c r="M11" i="5"/>
  <c r="M10" i="5"/>
  <c r="M9" i="5"/>
  <c r="M8" i="5"/>
  <c r="M7" i="5"/>
  <c r="M6" i="5"/>
  <c r="M5" i="5"/>
  <c r="M4" i="5"/>
  <c r="M3" i="5"/>
  <c r="M2" i="5"/>
  <c r="O811" i="4"/>
  <c r="M809" i="4"/>
  <c r="M808" i="4"/>
  <c r="M807" i="4"/>
  <c r="M806" i="4"/>
  <c r="M805" i="4"/>
  <c r="M804" i="4"/>
  <c r="M803" i="4"/>
  <c r="M802" i="4"/>
  <c r="M801" i="4"/>
  <c r="M800" i="4"/>
  <c r="M799" i="4"/>
  <c r="M798" i="4"/>
  <c r="M796" i="4"/>
  <c r="M795" i="4"/>
  <c r="M794" i="4"/>
  <c r="M793" i="4"/>
  <c r="M792" i="4"/>
  <c r="M791" i="4"/>
  <c r="M790" i="4"/>
  <c r="M789" i="4"/>
  <c r="M788" i="4"/>
  <c r="M787" i="4"/>
  <c r="M786" i="4"/>
  <c r="M785" i="4"/>
  <c r="O784" i="4"/>
  <c r="M782" i="4"/>
  <c r="M781" i="4"/>
  <c r="M780" i="4"/>
  <c r="M779" i="4"/>
  <c r="M778" i="4"/>
  <c r="M777" i="4"/>
  <c r="M776" i="4"/>
  <c r="M775" i="4"/>
  <c r="M774" i="4"/>
  <c r="M773" i="4"/>
  <c r="M772" i="4"/>
  <c r="M771" i="4"/>
  <c r="M769" i="4"/>
  <c r="M768" i="4"/>
  <c r="M767" i="4"/>
  <c r="M766" i="4"/>
  <c r="M765" i="4"/>
  <c r="M764" i="4"/>
  <c r="M763" i="4"/>
  <c r="M762" i="4"/>
  <c r="M761" i="4"/>
  <c r="M760" i="4"/>
  <c r="M759" i="4"/>
  <c r="M758" i="4"/>
  <c r="O757" i="4"/>
  <c r="M755" i="4"/>
  <c r="M754" i="4"/>
  <c r="M753" i="4"/>
  <c r="M752" i="4"/>
  <c r="M751" i="4"/>
  <c r="M750" i="4"/>
  <c r="M749" i="4"/>
  <c r="M748" i="4"/>
  <c r="M747" i="4"/>
  <c r="M746" i="4"/>
  <c r="M745" i="4"/>
  <c r="M744" i="4"/>
  <c r="M742" i="4"/>
  <c r="M741" i="4"/>
  <c r="M740" i="4"/>
  <c r="M739" i="4"/>
  <c r="M738" i="4"/>
  <c r="M737" i="4"/>
  <c r="M736" i="4"/>
  <c r="M735" i="4"/>
  <c r="M734" i="4"/>
  <c r="M733" i="4"/>
  <c r="M732" i="4"/>
  <c r="M731" i="4"/>
  <c r="O730" i="4"/>
  <c r="D30" i="1" s="1"/>
  <c r="M728" i="4"/>
  <c r="M727" i="4"/>
  <c r="M726" i="4"/>
  <c r="M725" i="4"/>
  <c r="M724" i="4"/>
  <c r="M723" i="4"/>
  <c r="M722" i="4"/>
  <c r="M721" i="4"/>
  <c r="M720" i="4"/>
  <c r="M719" i="4"/>
  <c r="M718" i="4"/>
  <c r="M717" i="4"/>
  <c r="M715" i="4"/>
  <c r="M714" i="4"/>
  <c r="M713" i="4"/>
  <c r="M712" i="4"/>
  <c r="M711" i="4"/>
  <c r="M710" i="4"/>
  <c r="M709" i="4"/>
  <c r="M708" i="4"/>
  <c r="M707" i="4"/>
  <c r="M706" i="4"/>
  <c r="M705" i="4"/>
  <c r="M704" i="4"/>
  <c r="D29" i="1"/>
  <c r="M701" i="4"/>
  <c r="M700" i="4"/>
  <c r="M699" i="4"/>
  <c r="M698" i="4"/>
  <c r="M697" i="4"/>
  <c r="M696" i="4"/>
  <c r="M695" i="4"/>
  <c r="M694" i="4"/>
  <c r="M693" i="4"/>
  <c r="M692" i="4"/>
  <c r="M691" i="4"/>
  <c r="M690" i="4"/>
  <c r="M688" i="4"/>
  <c r="M687" i="4"/>
  <c r="M686" i="4"/>
  <c r="M685" i="4"/>
  <c r="M684" i="4"/>
  <c r="M683" i="4"/>
  <c r="M681" i="4"/>
  <c r="M680" i="4"/>
  <c r="M679" i="4"/>
  <c r="M678" i="4"/>
  <c r="M677" i="4"/>
  <c r="O676" i="4"/>
  <c r="D28" i="1" s="1"/>
  <c r="M674" i="4"/>
  <c r="M673" i="4"/>
  <c r="M672" i="4"/>
  <c r="M671" i="4"/>
  <c r="M670" i="4"/>
  <c r="M669" i="4"/>
  <c r="M668" i="4"/>
  <c r="M667" i="4"/>
  <c r="M666" i="4"/>
  <c r="M665" i="4"/>
  <c r="M664" i="4"/>
  <c r="M663" i="4"/>
  <c r="M661" i="4"/>
  <c r="M660" i="4"/>
  <c r="M659" i="4"/>
  <c r="M658" i="4"/>
  <c r="M657" i="4"/>
  <c r="M656" i="4"/>
  <c r="M655" i="4"/>
  <c r="M654" i="4"/>
  <c r="M653" i="4"/>
  <c r="M652" i="4"/>
  <c r="M651" i="4"/>
  <c r="M650" i="4"/>
  <c r="O649" i="4"/>
  <c r="D27" i="1" s="1"/>
  <c r="M647" i="4"/>
  <c r="M646" i="4"/>
  <c r="M645" i="4"/>
  <c r="M644" i="4"/>
  <c r="M643" i="4"/>
  <c r="M642" i="4"/>
  <c r="M641" i="4"/>
  <c r="M640" i="4"/>
  <c r="M639" i="4"/>
  <c r="M638" i="4"/>
  <c r="M637" i="4"/>
  <c r="M636" i="4"/>
  <c r="M634" i="4"/>
  <c r="M633" i="4"/>
  <c r="M632" i="4"/>
  <c r="M631" i="4"/>
  <c r="M630" i="4"/>
  <c r="M629" i="4"/>
  <c r="M628" i="4"/>
  <c r="M627" i="4"/>
  <c r="M626" i="4"/>
  <c r="M625" i="4"/>
  <c r="O622" i="4"/>
  <c r="D26" i="1" s="1"/>
  <c r="M620" i="4"/>
  <c r="M619" i="4"/>
  <c r="M618" i="4"/>
  <c r="M617" i="4"/>
  <c r="M616" i="4"/>
  <c r="M615" i="4"/>
  <c r="M614" i="4"/>
  <c r="M613" i="4"/>
  <c r="M612" i="4"/>
  <c r="M611" i="4"/>
  <c r="M610" i="4"/>
  <c r="M609" i="4"/>
  <c r="M607" i="4"/>
  <c r="M606" i="4"/>
  <c r="M605" i="4"/>
  <c r="M604" i="4"/>
  <c r="M603" i="4"/>
  <c r="M602" i="4"/>
  <c r="M601" i="4"/>
  <c r="M600" i="4"/>
  <c r="M599" i="4"/>
  <c r="M598" i="4"/>
  <c r="M597" i="4"/>
  <c r="M596" i="4"/>
  <c r="O595" i="4"/>
  <c r="M593" i="4"/>
  <c r="M592" i="4"/>
  <c r="M591" i="4"/>
  <c r="M590" i="4"/>
  <c r="M589" i="4"/>
  <c r="M588" i="4"/>
  <c r="M587" i="4"/>
  <c r="M586" i="4"/>
  <c r="M585" i="4"/>
  <c r="M584" i="4"/>
  <c r="M583" i="4"/>
  <c r="M582" i="4"/>
  <c r="M580" i="4"/>
  <c r="M579" i="4"/>
  <c r="M578" i="4"/>
  <c r="M577" i="4"/>
  <c r="M576" i="4"/>
  <c r="M575" i="4"/>
  <c r="M574" i="4"/>
  <c r="M573" i="4"/>
  <c r="M572" i="4"/>
  <c r="M571" i="4"/>
  <c r="M570" i="4"/>
  <c r="M569" i="4"/>
  <c r="O568" i="4"/>
  <c r="M566" i="4"/>
  <c r="M565" i="4"/>
  <c r="M564" i="4"/>
  <c r="M563" i="4"/>
  <c r="M562" i="4"/>
  <c r="M561" i="4"/>
  <c r="M560" i="4"/>
  <c r="M559" i="4"/>
  <c r="M558" i="4"/>
  <c r="M557" i="4"/>
  <c r="M556" i="4"/>
  <c r="M555" i="4"/>
  <c r="M553" i="4"/>
  <c r="M552" i="4"/>
  <c r="M551" i="4"/>
  <c r="M550" i="4"/>
  <c r="M549" i="4"/>
  <c r="M548" i="4"/>
  <c r="M547" i="4"/>
  <c r="M546" i="4"/>
  <c r="M545" i="4"/>
  <c r="M544" i="4"/>
  <c r="M543" i="4"/>
  <c r="M542" i="4"/>
  <c r="O541" i="4"/>
  <c r="D23" i="1" s="1"/>
  <c r="M539" i="4"/>
  <c r="M538" i="4"/>
  <c r="M537" i="4"/>
  <c r="M536" i="4"/>
  <c r="M535" i="4"/>
  <c r="M534" i="4"/>
  <c r="M533" i="4"/>
  <c r="M532" i="4"/>
  <c r="M531" i="4"/>
  <c r="M530" i="4"/>
  <c r="M529" i="4"/>
  <c r="M528" i="4"/>
  <c r="M526" i="4"/>
  <c r="M525" i="4"/>
  <c r="M524" i="4"/>
  <c r="M523" i="4"/>
  <c r="M522" i="4"/>
  <c r="M521" i="4"/>
  <c r="M520" i="4"/>
  <c r="M519" i="4"/>
  <c r="M518" i="4"/>
  <c r="M517" i="4"/>
  <c r="M516" i="4"/>
  <c r="M515" i="4"/>
  <c r="O514" i="4"/>
  <c r="D22" i="1" s="1"/>
  <c r="M512" i="4"/>
  <c r="M511" i="4"/>
  <c r="M510" i="4"/>
  <c r="M509" i="4"/>
  <c r="M508" i="4"/>
  <c r="M507" i="4"/>
  <c r="M506" i="4"/>
  <c r="M505" i="4"/>
  <c r="M504" i="4"/>
  <c r="M503" i="4"/>
  <c r="M502" i="4"/>
  <c r="M501" i="4"/>
  <c r="M499" i="4"/>
  <c r="M498" i="4"/>
  <c r="M497" i="4"/>
  <c r="M496" i="4"/>
  <c r="M495" i="4"/>
  <c r="M494" i="4"/>
  <c r="M493" i="4"/>
  <c r="M492" i="4"/>
  <c r="M491" i="4"/>
  <c r="M490" i="4"/>
  <c r="M489" i="4"/>
  <c r="M488" i="4"/>
  <c r="O487" i="4"/>
  <c r="M485" i="4"/>
  <c r="M484" i="4"/>
  <c r="M483" i="4"/>
  <c r="M482" i="4"/>
  <c r="M481" i="4"/>
  <c r="M480" i="4"/>
  <c r="M479" i="4"/>
  <c r="M478" i="4"/>
  <c r="M477" i="4"/>
  <c r="M476" i="4"/>
  <c r="M475" i="4"/>
  <c r="M474" i="4"/>
  <c r="M472" i="4"/>
  <c r="M471" i="4"/>
  <c r="M470" i="4"/>
  <c r="M469" i="4"/>
  <c r="M468" i="4"/>
  <c r="M467" i="4"/>
  <c r="M466" i="4"/>
  <c r="M465" i="4"/>
  <c r="M464" i="4"/>
  <c r="M463" i="4"/>
  <c r="M462" i="4"/>
  <c r="M461" i="4"/>
  <c r="O460" i="4"/>
  <c r="D20" i="1" s="1"/>
  <c r="M458" i="4"/>
  <c r="M457" i="4"/>
  <c r="M456" i="4"/>
  <c r="M455" i="4"/>
  <c r="M454" i="4"/>
  <c r="M453" i="4"/>
  <c r="M452" i="4"/>
  <c r="M451" i="4"/>
  <c r="M450" i="4"/>
  <c r="M449" i="4"/>
  <c r="M448" i="4"/>
  <c r="M447" i="4"/>
  <c r="M445" i="4"/>
  <c r="M444" i="4"/>
  <c r="M443" i="4"/>
  <c r="M442" i="4"/>
  <c r="M441" i="4"/>
  <c r="M440" i="4"/>
  <c r="M439" i="4"/>
  <c r="M438" i="4"/>
  <c r="M437" i="4"/>
  <c r="M436" i="4"/>
  <c r="M435" i="4"/>
  <c r="M434" i="4"/>
  <c r="O433" i="4"/>
  <c r="M431" i="4"/>
  <c r="M430" i="4"/>
  <c r="M429" i="4"/>
  <c r="M428" i="4"/>
  <c r="M427" i="4"/>
  <c r="M426" i="4"/>
  <c r="M425" i="4"/>
  <c r="M424" i="4"/>
  <c r="M423" i="4"/>
  <c r="M422" i="4"/>
  <c r="M421" i="4"/>
  <c r="M420" i="4"/>
  <c r="M418" i="4"/>
  <c r="M417" i="4"/>
  <c r="M416" i="4"/>
  <c r="M415" i="4"/>
  <c r="M414" i="4"/>
  <c r="M413" i="4"/>
  <c r="M412" i="4"/>
  <c r="M411" i="4"/>
  <c r="M410" i="4"/>
  <c r="M409" i="4"/>
  <c r="M408" i="4"/>
  <c r="M407" i="4"/>
  <c r="O406" i="4"/>
  <c r="M404" i="4"/>
  <c r="M403" i="4"/>
  <c r="M402" i="4"/>
  <c r="M401" i="4"/>
  <c r="M400" i="4"/>
  <c r="M399" i="4"/>
  <c r="M398" i="4"/>
  <c r="M397" i="4"/>
  <c r="M396" i="4"/>
  <c r="M395" i="4"/>
  <c r="M394" i="4"/>
  <c r="M393" i="4"/>
  <c r="M391" i="4"/>
  <c r="M390" i="4"/>
  <c r="M389" i="4"/>
  <c r="M388" i="4"/>
  <c r="M387" i="4"/>
  <c r="M386" i="4"/>
  <c r="M385" i="4"/>
  <c r="M384" i="4"/>
  <c r="M383" i="4"/>
  <c r="M382" i="4"/>
  <c r="M381" i="4"/>
  <c r="M380" i="4"/>
  <c r="O379" i="4"/>
  <c r="M377" i="4"/>
  <c r="M376" i="4"/>
  <c r="M375" i="4"/>
  <c r="M374" i="4"/>
  <c r="M373" i="4"/>
  <c r="M372" i="4"/>
  <c r="M371" i="4"/>
  <c r="M370" i="4"/>
  <c r="M369" i="4"/>
  <c r="M368" i="4"/>
  <c r="M367" i="4"/>
  <c r="M366" i="4"/>
  <c r="M364" i="4"/>
  <c r="M363" i="4"/>
  <c r="M362" i="4"/>
  <c r="M361" i="4"/>
  <c r="M360" i="4"/>
  <c r="M359" i="4"/>
  <c r="M358" i="4"/>
  <c r="M357" i="4"/>
  <c r="M356" i="4"/>
  <c r="M355" i="4"/>
  <c r="M354" i="4"/>
  <c r="M353" i="4"/>
  <c r="O352" i="4"/>
  <c r="D16" i="1" s="1"/>
  <c r="M350" i="4"/>
  <c r="M349" i="4"/>
  <c r="M348" i="4"/>
  <c r="M347" i="4"/>
  <c r="M346" i="4"/>
  <c r="M345" i="4"/>
  <c r="M344" i="4"/>
  <c r="M343" i="4"/>
  <c r="M342" i="4"/>
  <c r="M341" i="4"/>
  <c r="M340" i="4"/>
  <c r="M339" i="4"/>
  <c r="M337" i="4"/>
  <c r="M336" i="4"/>
  <c r="M335" i="4"/>
  <c r="M334" i="4"/>
  <c r="M333" i="4"/>
  <c r="M332" i="4"/>
  <c r="M331" i="4"/>
  <c r="M330" i="4"/>
  <c r="M329" i="4"/>
  <c r="M328" i="4"/>
  <c r="M327" i="4"/>
  <c r="M326" i="4"/>
  <c r="O325" i="4"/>
  <c r="M323" i="4"/>
  <c r="M322" i="4"/>
  <c r="M321" i="4"/>
  <c r="M320" i="4"/>
  <c r="M319" i="4"/>
  <c r="M318" i="4"/>
  <c r="M317" i="4"/>
  <c r="M316" i="4"/>
  <c r="M315" i="4"/>
  <c r="M314" i="4"/>
  <c r="M313" i="4"/>
  <c r="M312" i="4"/>
  <c r="M310" i="4"/>
  <c r="M309" i="4"/>
  <c r="M308" i="4"/>
  <c r="M307" i="4"/>
  <c r="M306" i="4"/>
  <c r="M305" i="4"/>
  <c r="M304" i="4"/>
  <c r="M303" i="4"/>
  <c r="M302" i="4"/>
  <c r="M301" i="4"/>
  <c r="M300" i="4"/>
  <c r="M299" i="4"/>
  <c r="O298" i="4"/>
  <c r="M296" i="4"/>
  <c r="M295" i="4"/>
  <c r="M294" i="4"/>
  <c r="M293" i="4"/>
  <c r="M292" i="4"/>
  <c r="M291" i="4"/>
  <c r="M290" i="4"/>
  <c r="M289" i="4"/>
  <c r="M288" i="4"/>
  <c r="M287" i="4"/>
  <c r="M286" i="4"/>
  <c r="M285" i="4"/>
  <c r="M283" i="4"/>
  <c r="M282" i="4"/>
  <c r="M281" i="4"/>
  <c r="M280" i="4"/>
  <c r="M279" i="4"/>
  <c r="M278" i="4"/>
  <c r="M277" i="4"/>
  <c r="M276" i="4"/>
  <c r="M275" i="4"/>
  <c r="M274" i="4"/>
  <c r="M273" i="4"/>
  <c r="M272" i="4"/>
  <c r="O271" i="4"/>
  <c r="M269" i="4"/>
  <c r="M268" i="4"/>
  <c r="M267" i="4"/>
  <c r="M266" i="4"/>
  <c r="M265" i="4"/>
  <c r="M264" i="4"/>
  <c r="M263" i="4"/>
  <c r="M262" i="4"/>
  <c r="M261" i="4"/>
  <c r="M260" i="4"/>
  <c r="M259" i="4"/>
  <c r="M258" i="4"/>
  <c r="M256" i="4"/>
  <c r="M255" i="4"/>
  <c r="M254" i="4"/>
  <c r="M253" i="4"/>
  <c r="M252" i="4"/>
  <c r="M251" i="4"/>
  <c r="M250" i="4"/>
  <c r="M249" i="4"/>
  <c r="M248" i="4"/>
  <c r="M247" i="4"/>
  <c r="M246" i="4"/>
  <c r="M245" i="4"/>
  <c r="O244" i="4"/>
  <c r="D12" i="1" s="1"/>
  <c r="M242" i="4"/>
  <c r="M241" i="4"/>
  <c r="M240" i="4"/>
  <c r="M239" i="4"/>
  <c r="M238" i="4"/>
  <c r="M237" i="4"/>
  <c r="M236" i="4"/>
  <c r="M235" i="4"/>
  <c r="M234" i="4"/>
  <c r="M233" i="4"/>
  <c r="M232" i="4"/>
  <c r="M231" i="4"/>
  <c r="M229" i="4"/>
  <c r="M228" i="4"/>
  <c r="M227" i="4"/>
  <c r="M226" i="4"/>
  <c r="M225" i="4"/>
  <c r="M224" i="4"/>
  <c r="M223" i="4"/>
  <c r="M222" i="4"/>
  <c r="M221" i="4"/>
  <c r="M220" i="4"/>
  <c r="M219" i="4"/>
  <c r="M218" i="4"/>
  <c r="O217" i="4"/>
  <c r="D11" i="1" s="1"/>
  <c r="M215" i="4"/>
  <c r="M214" i="4"/>
  <c r="M213" i="4"/>
  <c r="M212" i="4"/>
  <c r="M211" i="4"/>
  <c r="M210" i="4"/>
  <c r="M209" i="4"/>
  <c r="M208" i="4"/>
  <c r="M207" i="4"/>
  <c r="M206" i="4"/>
  <c r="M205" i="4"/>
  <c r="M204" i="4"/>
  <c r="M202" i="4"/>
  <c r="M201" i="4"/>
  <c r="M200" i="4"/>
  <c r="M199" i="4"/>
  <c r="M198" i="4"/>
  <c r="M197" i="4"/>
  <c r="M196" i="4"/>
  <c r="M195" i="4"/>
  <c r="M194" i="4"/>
  <c r="M193" i="4"/>
  <c r="M192" i="4"/>
  <c r="M191" i="4"/>
  <c r="O190" i="4"/>
  <c r="M188" i="4"/>
  <c r="M187" i="4"/>
  <c r="M186" i="4"/>
  <c r="M185" i="4"/>
  <c r="M184" i="4"/>
  <c r="M183" i="4"/>
  <c r="M182" i="4"/>
  <c r="M181" i="4"/>
  <c r="M180" i="4"/>
  <c r="M179" i="4"/>
  <c r="M178" i="4"/>
  <c r="M177" i="4"/>
  <c r="M175" i="4"/>
  <c r="M174" i="4"/>
  <c r="M173" i="4"/>
  <c r="M172" i="4"/>
  <c r="M171" i="4"/>
  <c r="M170" i="4"/>
  <c r="M169" i="4"/>
  <c r="M168" i="4"/>
  <c r="M167" i="4"/>
  <c r="M166" i="4"/>
  <c r="M165" i="4"/>
  <c r="M164" i="4"/>
  <c r="O163" i="4"/>
  <c r="M161" i="4"/>
  <c r="M160" i="4"/>
  <c r="M159" i="4"/>
  <c r="M158" i="4"/>
  <c r="M157" i="4"/>
  <c r="M156" i="4"/>
  <c r="M155" i="4"/>
  <c r="M154" i="4"/>
  <c r="M153" i="4"/>
  <c r="M152" i="4"/>
  <c r="M151" i="4"/>
  <c r="M150" i="4"/>
  <c r="M148" i="4"/>
  <c r="M147" i="4"/>
  <c r="M146" i="4"/>
  <c r="M145" i="4"/>
  <c r="M144" i="4"/>
  <c r="M143" i="4"/>
  <c r="M142" i="4"/>
  <c r="M141" i="4"/>
  <c r="M140" i="4"/>
  <c r="M139" i="4"/>
  <c r="M138" i="4"/>
  <c r="M137" i="4"/>
  <c r="O136" i="4"/>
  <c r="M134" i="4"/>
  <c r="M133" i="4"/>
  <c r="M132" i="4"/>
  <c r="M131" i="4"/>
  <c r="M130" i="4"/>
  <c r="M129" i="4"/>
  <c r="M128" i="4"/>
  <c r="M127" i="4"/>
  <c r="M126" i="4"/>
  <c r="M124" i="4"/>
  <c r="M123" i="4"/>
  <c r="M121" i="4"/>
  <c r="M120" i="4"/>
  <c r="M119" i="4"/>
  <c r="M118" i="4"/>
  <c r="M117" i="4"/>
  <c r="M116" i="4"/>
  <c r="M115" i="4"/>
  <c r="M114" i="4"/>
  <c r="M113" i="4"/>
  <c r="M112" i="4"/>
  <c r="M111" i="4"/>
  <c r="M110" i="4"/>
  <c r="O109" i="4"/>
  <c r="M107" i="4"/>
  <c r="M106" i="4"/>
  <c r="M105" i="4"/>
  <c r="M104" i="4"/>
  <c r="M103" i="4"/>
  <c r="M102" i="4"/>
  <c r="M101" i="4"/>
  <c r="M100" i="4"/>
  <c r="M99" i="4"/>
  <c r="M98" i="4"/>
  <c r="M97" i="4"/>
  <c r="M96" i="4"/>
  <c r="M94" i="4"/>
  <c r="M93" i="4"/>
  <c r="M92" i="4"/>
  <c r="M91" i="4"/>
  <c r="M90" i="4"/>
  <c r="M89" i="4"/>
  <c r="M88" i="4"/>
  <c r="M87" i="4"/>
  <c r="M86" i="4"/>
  <c r="M85" i="4"/>
  <c r="M84" i="4"/>
  <c r="M83" i="4"/>
  <c r="O82" i="4"/>
  <c r="M80" i="4"/>
  <c r="M79" i="4"/>
  <c r="M78" i="4"/>
  <c r="M77" i="4"/>
  <c r="M76" i="4"/>
  <c r="M75" i="4"/>
  <c r="M74" i="4"/>
  <c r="M73" i="4"/>
  <c r="M72" i="4"/>
  <c r="M71" i="4"/>
  <c r="M70" i="4"/>
  <c r="M69" i="4"/>
  <c r="M67" i="4"/>
  <c r="M66" i="4"/>
  <c r="M65" i="4"/>
  <c r="M64" i="4"/>
  <c r="M63" i="4"/>
  <c r="M62" i="4"/>
  <c r="M61" i="4"/>
  <c r="M60" i="4"/>
  <c r="M59" i="4"/>
  <c r="M56" i="4"/>
  <c r="O55" i="4"/>
  <c r="M42" i="4"/>
  <c r="M40" i="4"/>
  <c r="M39" i="4"/>
  <c r="M38" i="4"/>
  <c r="M37" i="4"/>
  <c r="M36" i="4"/>
  <c r="M35" i="4"/>
  <c r="M34" i="4"/>
  <c r="M33" i="4"/>
  <c r="M32" i="4"/>
  <c r="M31" i="4"/>
  <c r="M30" i="4"/>
  <c r="M29" i="4"/>
  <c r="D4" i="1"/>
  <c r="M26" i="4"/>
  <c r="M13" i="4"/>
  <c r="M12" i="4"/>
  <c r="M11" i="4"/>
  <c r="M10" i="4"/>
  <c r="M9" i="4"/>
  <c r="M8" i="4"/>
  <c r="M7" i="4"/>
  <c r="M6" i="4"/>
  <c r="M5" i="4"/>
  <c r="M4" i="4"/>
  <c r="M3" i="4"/>
  <c r="M2" i="4"/>
  <c r="O811" i="3"/>
  <c r="C33" i="1" s="1"/>
  <c r="M809" i="3"/>
  <c r="M808" i="3"/>
  <c r="M807" i="3"/>
  <c r="M806" i="3"/>
  <c r="M805" i="3"/>
  <c r="M804" i="3"/>
  <c r="M803" i="3"/>
  <c r="M802" i="3"/>
  <c r="M801" i="3"/>
  <c r="M800" i="3"/>
  <c r="M799" i="3"/>
  <c r="M798" i="3"/>
  <c r="M796" i="3"/>
  <c r="M795" i="3"/>
  <c r="M794" i="3"/>
  <c r="M793" i="3"/>
  <c r="M792" i="3"/>
  <c r="M791" i="3"/>
  <c r="M790" i="3"/>
  <c r="M789" i="3"/>
  <c r="M788" i="3"/>
  <c r="M787" i="3"/>
  <c r="M786" i="3"/>
  <c r="M785" i="3"/>
  <c r="O784" i="3"/>
  <c r="C32" i="1" s="1"/>
  <c r="M782" i="3"/>
  <c r="M781" i="3"/>
  <c r="M780" i="3"/>
  <c r="M779" i="3"/>
  <c r="M778" i="3"/>
  <c r="M777" i="3"/>
  <c r="M776" i="3"/>
  <c r="M775" i="3"/>
  <c r="M774" i="3"/>
  <c r="M773" i="3"/>
  <c r="M772" i="3"/>
  <c r="M771" i="3"/>
  <c r="M769" i="3"/>
  <c r="M768" i="3"/>
  <c r="M767" i="3"/>
  <c r="M766" i="3"/>
  <c r="M765" i="3"/>
  <c r="M764" i="3"/>
  <c r="M763" i="3"/>
  <c r="M762" i="3"/>
  <c r="M761" i="3"/>
  <c r="M760" i="3"/>
  <c r="M759" i="3"/>
  <c r="M758" i="3"/>
  <c r="O757" i="3"/>
  <c r="M755" i="3"/>
  <c r="M754" i="3"/>
  <c r="M753" i="3"/>
  <c r="M752" i="3"/>
  <c r="M751" i="3"/>
  <c r="M750" i="3"/>
  <c r="M749" i="3"/>
  <c r="M748" i="3"/>
  <c r="M747" i="3"/>
  <c r="M746" i="3"/>
  <c r="M745" i="3"/>
  <c r="M744" i="3"/>
  <c r="M742" i="3"/>
  <c r="M741" i="3"/>
  <c r="M740" i="3"/>
  <c r="M739" i="3"/>
  <c r="M738" i="3"/>
  <c r="M737" i="3"/>
  <c r="M736" i="3"/>
  <c r="M735" i="3"/>
  <c r="M734" i="3"/>
  <c r="M733" i="3"/>
  <c r="M732" i="3"/>
  <c r="M731" i="3"/>
  <c r="O730" i="3"/>
  <c r="C30" i="1" s="1"/>
  <c r="M728" i="3"/>
  <c r="M727" i="3"/>
  <c r="M726" i="3"/>
  <c r="M725" i="3"/>
  <c r="M724" i="3"/>
  <c r="M723" i="3"/>
  <c r="M722" i="3"/>
  <c r="M721" i="3"/>
  <c r="M720" i="3"/>
  <c r="M719" i="3"/>
  <c r="M718" i="3"/>
  <c r="M717" i="3"/>
  <c r="M715" i="3"/>
  <c r="M714" i="3"/>
  <c r="M713" i="3"/>
  <c r="M712" i="3"/>
  <c r="M711" i="3"/>
  <c r="M710" i="3"/>
  <c r="M709" i="3"/>
  <c r="M708" i="3"/>
  <c r="M707" i="3"/>
  <c r="M706" i="3"/>
  <c r="M705" i="3"/>
  <c r="M704" i="3"/>
  <c r="O703" i="3"/>
  <c r="C29" i="1" s="1"/>
  <c r="M701" i="3"/>
  <c r="M700" i="3"/>
  <c r="M699" i="3"/>
  <c r="M698" i="3"/>
  <c r="M697" i="3"/>
  <c r="M696" i="3"/>
  <c r="M695" i="3"/>
  <c r="M694" i="3"/>
  <c r="M693" i="3"/>
  <c r="M692" i="3"/>
  <c r="M691" i="3"/>
  <c r="M690" i="3"/>
  <c r="M688" i="3"/>
  <c r="M687" i="3"/>
  <c r="M686" i="3"/>
  <c r="M685" i="3"/>
  <c r="M684" i="3"/>
  <c r="M683" i="3"/>
  <c r="M682" i="3"/>
  <c r="M681" i="3"/>
  <c r="M680" i="3"/>
  <c r="M679" i="3"/>
  <c r="M678" i="3"/>
  <c r="M677" i="3"/>
  <c r="O676" i="3"/>
  <c r="C28" i="1" s="1"/>
  <c r="M674" i="3"/>
  <c r="M673" i="3"/>
  <c r="M672" i="3"/>
  <c r="M671" i="3"/>
  <c r="M670" i="3"/>
  <c r="M669" i="3"/>
  <c r="M668" i="3"/>
  <c r="M667" i="3"/>
  <c r="M666" i="3"/>
  <c r="M665" i="3"/>
  <c r="M664" i="3"/>
  <c r="M663" i="3"/>
  <c r="M661" i="3"/>
  <c r="M660" i="3"/>
  <c r="M659" i="3"/>
  <c r="M658" i="3"/>
  <c r="M657" i="3"/>
  <c r="M656" i="3"/>
  <c r="M655" i="3"/>
  <c r="M654" i="3"/>
  <c r="M653" i="3"/>
  <c r="M652" i="3"/>
  <c r="M651" i="3"/>
  <c r="M650" i="3"/>
  <c r="O649" i="3"/>
  <c r="M647" i="3"/>
  <c r="M646" i="3"/>
  <c r="M645" i="3"/>
  <c r="M644" i="3"/>
  <c r="M643" i="3"/>
  <c r="M642" i="3"/>
  <c r="M641" i="3"/>
  <c r="M640" i="3"/>
  <c r="M639" i="3"/>
  <c r="M638" i="3"/>
  <c r="M637" i="3"/>
  <c r="M636" i="3"/>
  <c r="M634" i="3"/>
  <c r="M633" i="3"/>
  <c r="M632" i="3"/>
  <c r="M631" i="3"/>
  <c r="M630" i="3"/>
  <c r="M629" i="3"/>
  <c r="M628" i="3"/>
  <c r="M627" i="3"/>
  <c r="M626" i="3"/>
  <c r="M625" i="3"/>
  <c r="M624" i="3"/>
  <c r="M623" i="3"/>
  <c r="O622" i="3"/>
  <c r="M620" i="3"/>
  <c r="M619" i="3"/>
  <c r="M618" i="3"/>
  <c r="M617" i="3"/>
  <c r="M616" i="3"/>
  <c r="M615" i="3"/>
  <c r="M614" i="3"/>
  <c r="M613" i="3"/>
  <c r="M612" i="3"/>
  <c r="M611" i="3"/>
  <c r="M610" i="3"/>
  <c r="M609" i="3"/>
  <c r="M607" i="3"/>
  <c r="M606" i="3"/>
  <c r="M605" i="3"/>
  <c r="M604" i="3"/>
  <c r="M603" i="3"/>
  <c r="M602" i="3"/>
  <c r="M601" i="3"/>
  <c r="M600" i="3"/>
  <c r="M599" i="3"/>
  <c r="M598" i="3"/>
  <c r="M597" i="3"/>
  <c r="M596" i="3"/>
  <c r="O595" i="3"/>
  <c r="M593" i="3"/>
  <c r="M592" i="3"/>
  <c r="M591" i="3"/>
  <c r="M590" i="3"/>
  <c r="M589" i="3"/>
  <c r="M588" i="3"/>
  <c r="M587" i="3"/>
  <c r="M586" i="3"/>
  <c r="M585" i="3"/>
  <c r="M584" i="3"/>
  <c r="M583" i="3"/>
  <c r="M582" i="3"/>
  <c r="M580" i="3"/>
  <c r="M579" i="3"/>
  <c r="M578" i="3"/>
  <c r="M577" i="3"/>
  <c r="M576" i="3"/>
  <c r="M575" i="3"/>
  <c r="M574" i="3"/>
  <c r="M573" i="3"/>
  <c r="M572" i="3"/>
  <c r="M571" i="3"/>
  <c r="M570" i="3"/>
  <c r="M569" i="3"/>
  <c r="O568" i="3"/>
  <c r="C24" i="1" s="1"/>
  <c r="M566" i="3"/>
  <c r="M565" i="3"/>
  <c r="M564" i="3"/>
  <c r="M563" i="3"/>
  <c r="M562" i="3"/>
  <c r="M561" i="3"/>
  <c r="M560" i="3"/>
  <c r="M559" i="3"/>
  <c r="M558" i="3"/>
  <c r="M557" i="3"/>
  <c r="M556" i="3"/>
  <c r="M555" i="3"/>
  <c r="M553" i="3"/>
  <c r="M552" i="3"/>
  <c r="M551" i="3"/>
  <c r="M550" i="3"/>
  <c r="M549" i="3"/>
  <c r="M548" i="3"/>
  <c r="M547" i="3"/>
  <c r="M546" i="3"/>
  <c r="M545" i="3"/>
  <c r="M544" i="3"/>
  <c r="M543" i="3"/>
  <c r="M542" i="3"/>
  <c r="O541" i="3"/>
  <c r="C23" i="1" s="1"/>
  <c r="M539" i="3"/>
  <c r="M538" i="3"/>
  <c r="M537" i="3"/>
  <c r="M536" i="3"/>
  <c r="M535" i="3"/>
  <c r="M534" i="3"/>
  <c r="M533" i="3"/>
  <c r="M532" i="3"/>
  <c r="M531" i="3"/>
  <c r="M530" i="3"/>
  <c r="M529" i="3"/>
  <c r="M526" i="3"/>
  <c r="M525" i="3"/>
  <c r="M524" i="3"/>
  <c r="M523" i="3"/>
  <c r="M522" i="3"/>
  <c r="M521" i="3"/>
  <c r="M520" i="3"/>
  <c r="M519" i="3"/>
  <c r="M518" i="3"/>
  <c r="M517" i="3"/>
  <c r="M516" i="3"/>
  <c r="M515" i="3"/>
  <c r="O514" i="3"/>
  <c r="C22" i="1" s="1"/>
  <c r="M512" i="3"/>
  <c r="M511" i="3"/>
  <c r="M510" i="3"/>
  <c r="M509" i="3"/>
  <c r="M508" i="3"/>
  <c r="M507" i="3"/>
  <c r="M506" i="3"/>
  <c r="M505" i="3"/>
  <c r="M504" i="3"/>
  <c r="M503" i="3"/>
  <c r="M502" i="3"/>
  <c r="M501" i="3"/>
  <c r="M499" i="3"/>
  <c r="M498" i="3"/>
  <c r="M497" i="3"/>
  <c r="M496" i="3"/>
  <c r="M495" i="3"/>
  <c r="M494" i="3"/>
  <c r="M493" i="3"/>
  <c r="M492" i="3"/>
  <c r="M491" i="3"/>
  <c r="M490" i="3"/>
  <c r="M489" i="3"/>
  <c r="M488" i="3"/>
  <c r="O487" i="3"/>
  <c r="M485" i="3"/>
  <c r="M484" i="3"/>
  <c r="M483" i="3"/>
  <c r="M482" i="3"/>
  <c r="M481" i="3"/>
  <c r="M480" i="3"/>
  <c r="M479" i="3"/>
  <c r="M478" i="3"/>
  <c r="M477" i="3"/>
  <c r="M476" i="3"/>
  <c r="M475" i="3"/>
  <c r="M474" i="3"/>
  <c r="M472" i="3"/>
  <c r="M471" i="3"/>
  <c r="M470" i="3"/>
  <c r="M469" i="3"/>
  <c r="M468" i="3"/>
  <c r="M467" i="3"/>
  <c r="M466" i="3"/>
  <c r="M465" i="3"/>
  <c r="M464" i="3"/>
  <c r="M463" i="3"/>
  <c r="M462" i="3"/>
  <c r="M461" i="3"/>
  <c r="O460" i="3"/>
  <c r="M458" i="3"/>
  <c r="M457" i="3"/>
  <c r="M456" i="3"/>
  <c r="M455" i="3"/>
  <c r="M454" i="3"/>
  <c r="M453" i="3"/>
  <c r="M452" i="3"/>
  <c r="M451" i="3"/>
  <c r="M450" i="3"/>
  <c r="M449" i="3"/>
  <c r="M448" i="3"/>
  <c r="M447" i="3"/>
  <c r="M445" i="3"/>
  <c r="M444" i="3"/>
  <c r="M443" i="3"/>
  <c r="M442" i="3"/>
  <c r="M441" i="3"/>
  <c r="M440" i="3"/>
  <c r="M439" i="3"/>
  <c r="M438" i="3"/>
  <c r="M437" i="3"/>
  <c r="M436" i="3"/>
  <c r="M435" i="3"/>
  <c r="M434" i="3"/>
  <c r="O433" i="3"/>
  <c r="M431" i="3"/>
  <c r="M430" i="3"/>
  <c r="M429" i="3"/>
  <c r="M428" i="3"/>
  <c r="M427" i="3"/>
  <c r="M426" i="3"/>
  <c r="M425" i="3"/>
  <c r="M424" i="3"/>
  <c r="M423" i="3"/>
  <c r="M422" i="3"/>
  <c r="M421" i="3"/>
  <c r="M420" i="3"/>
  <c r="M418" i="3"/>
  <c r="M417" i="3"/>
  <c r="M416" i="3"/>
  <c r="M415" i="3"/>
  <c r="M414" i="3"/>
  <c r="M413" i="3"/>
  <c r="M412" i="3"/>
  <c r="M411" i="3"/>
  <c r="M410" i="3"/>
  <c r="M409" i="3"/>
  <c r="M408" i="3"/>
  <c r="M407" i="3"/>
  <c r="O406" i="3"/>
  <c r="M404" i="3"/>
  <c r="M403" i="3"/>
  <c r="M402" i="3"/>
  <c r="M401" i="3"/>
  <c r="M400" i="3"/>
  <c r="M399" i="3"/>
  <c r="M398" i="3"/>
  <c r="M397" i="3"/>
  <c r="M396" i="3"/>
  <c r="M395" i="3"/>
  <c r="M394" i="3"/>
  <c r="M393" i="3"/>
  <c r="M391" i="3"/>
  <c r="M390" i="3"/>
  <c r="M389" i="3"/>
  <c r="M388" i="3"/>
  <c r="M387" i="3"/>
  <c r="M386" i="3"/>
  <c r="M385" i="3"/>
  <c r="M384" i="3"/>
  <c r="M383" i="3"/>
  <c r="M382" i="3"/>
  <c r="M381" i="3"/>
  <c r="M380" i="3"/>
  <c r="O379" i="3"/>
  <c r="C17" i="1" s="1"/>
  <c r="M377" i="3"/>
  <c r="M376" i="3"/>
  <c r="M375" i="3"/>
  <c r="M374" i="3"/>
  <c r="M373" i="3"/>
  <c r="M372" i="3"/>
  <c r="M371" i="3"/>
  <c r="M370" i="3"/>
  <c r="M369" i="3"/>
  <c r="M368" i="3"/>
  <c r="M367" i="3"/>
  <c r="M366" i="3"/>
  <c r="M364" i="3"/>
  <c r="M363" i="3"/>
  <c r="M362" i="3"/>
  <c r="M361" i="3"/>
  <c r="M360" i="3"/>
  <c r="M359" i="3"/>
  <c r="M358" i="3"/>
  <c r="M357" i="3"/>
  <c r="M356" i="3"/>
  <c r="M355" i="3"/>
  <c r="M354" i="3"/>
  <c r="M353" i="3"/>
  <c r="O352" i="3"/>
  <c r="M350" i="3"/>
  <c r="M349" i="3"/>
  <c r="M348" i="3"/>
  <c r="M347" i="3"/>
  <c r="M346" i="3"/>
  <c r="M345" i="3"/>
  <c r="M344" i="3"/>
  <c r="M343" i="3"/>
  <c r="M342" i="3"/>
  <c r="M341" i="3"/>
  <c r="M340" i="3"/>
  <c r="M339" i="3"/>
  <c r="M337" i="3"/>
  <c r="M336" i="3"/>
  <c r="M335" i="3"/>
  <c r="M334" i="3"/>
  <c r="M333" i="3"/>
  <c r="M332" i="3"/>
  <c r="M331" i="3"/>
  <c r="M330" i="3"/>
  <c r="M329" i="3"/>
  <c r="M328" i="3"/>
  <c r="M327" i="3"/>
  <c r="M326" i="3"/>
  <c r="O325" i="3"/>
  <c r="C15" i="1" s="1"/>
  <c r="M323" i="3"/>
  <c r="M322" i="3"/>
  <c r="M321" i="3"/>
  <c r="M320" i="3"/>
  <c r="M319" i="3"/>
  <c r="M318" i="3"/>
  <c r="M317" i="3"/>
  <c r="M316" i="3"/>
  <c r="M315" i="3"/>
  <c r="M314" i="3"/>
  <c r="M313" i="3"/>
  <c r="M312" i="3"/>
  <c r="M310" i="3"/>
  <c r="M309" i="3"/>
  <c r="M308" i="3"/>
  <c r="M307" i="3"/>
  <c r="M306" i="3"/>
  <c r="M305" i="3"/>
  <c r="M304" i="3"/>
  <c r="M303" i="3"/>
  <c r="M302" i="3"/>
  <c r="M301" i="3"/>
  <c r="M300" i="3"/>
  <c r="M299" i="3"/>
  <c r="O298" i="3"/>
  <c r="C14" i="1" s="1"/>
  <c r="M296" i="3"/>
  <c r="M295" i="3"/>
  <c r="M294" i="3"/>
  <c r="M293" i="3"/>
  <c r="M292" i="3"/>
  <c r="M291" i="3"/>
  <c r="M290" i="3"/>
  <c r="M289" i="3"/>
  <c r="M288" i="3"/>
  <c r="M287" i="3"/>
  <c r="M286" i="3"/>
  <c r="M285" i="3"/>
  <c r="M283" i="3"/>
  <c r="M282" i="3"/>
  <c r="M281" i="3"/>
  <c r="M280" i="3"/>
  <c r="M279" i="3"/>
  <c r="M278" i="3"/>
  <c r="M277" i="3"/>
  <c r="M276" i="3"/>
  <c r="M275" i="3"/>
  <c r="M274" i="3"/>
  <c r="M273" i="3"/>
  <c r="M272" i="3"/>
  <c r="O271" i="3"/>
  <c r="M269" i="3"/>
  <c r="M268" i="3"/>
  <c r="M267" i="3"/>
  <c r="M266" i="3"/>
  <c r="M265" i="3"/>
  <c r="M264" i="3"/>
  <c r="M263" i="3"/>
  <c r="M262" i="3"/>
  <c r="M261" i="3"/>
  <c r="M260" i="3"/>
  <c r="M259" i="3"/>
  <c r="M258" i="3"/>
  <c r="M256" i="3"/>
  <c r="M255" i="3"/>
  <c r="M254" i="3"/>
  <c r="M253" i="3"/>
  <c r="M252" i="3"/>
  <c r="M251" i="3"/>
  <c r="M250" i="3"/>
  <c r="M249" i="3"/>
  <c r="M248" i="3"/>
  <c r="M247" i="3"/>
  <c r="M246" i="3"/>
  <c r="M245" i="3"/>
  <c r="O244" i="3"/>
  <c r="M242" i="3"/>
  <c r="M241" i="3"/>
  <c r="M240" i="3"/>
  <c r="M239" i="3"/>
  <c r="M238" i="3"/>
  <c r="M237" i="3"/>
  <c r="M236" i="3"/>
  <c r="M235" i="3"/>
  <c r="M234" i="3"/>
  <c r="M233" i="3"/>
  <c r="M232" i="3"/>
  <c r="M231" i="3"/>
  <c r="M229" i="3"/>
  <c r="M228" i="3"/>
  <c r="M227" i="3"/>
  <c r="M226" i="3"/>
  <c r="M225" i="3"/>
  <c r="M224" i="3"/>
  <c r="M223" i="3"/>
  <c r="M222" i="3"/>
  <c r="M221" i="3"/>
  <c r="M220" i="3"/>
  <c r="M219" i="3"/>
  <c r="M218" i="3"/>
  <c r="O217" i="3"/>
  <c r="C11" i="1" s="1"/>
  <c r="M215" i="3"/>
  <c r="M214" i="3"/>
  <c r="M213" i="3"/>
  <c r="M212" i="3"/>
  <c r="M211" i="3"/>
  <c r="M210" i="3"/>
  <c r="M209" i="3"/>
  <c r="M208" i="3"/>
  <c r="M207" i="3"/>
  <c r="M206" i="3"/>
  <c r="M205" i="3"/>
  <c r="M204" i="3"/>
  <c r="M202" i="3"/>
  <c r="M201" i="3"/>
  <c r="M200" i="3"/>
  <c r="M199" i="3"/>
  <c r="M198" i="3"/>
  <c r="M197" i="3"/>
  <c r="M196" i="3"/>
  <c r="M195" i="3"/>
  <c r="M194" i="3"/>
  <c r="M193" i="3"/>
  <c r="M192" i="3"/>
  <c r="M191" i="3"/>
  <c r="O190" i="3"/>
  <c r="C10" i="1" s="1"/>
  <c r="M188" i="3"/>
  <c r="M187" i="3"/>
  <c r="M186" i="3"/>
  <c r="M185" i="3"/>
  <c r="M184" i="3"/>
  <c r="M183" i="3"/>
  <c r="M182" i="3"/>
  <c r="M181" i="3"/>
  <c r="M180" i="3"/>
  <c r="M179" i="3"/>
  <c r="M178" i="3"/>
  <c r="M177" i="3"/>
  <c r="M175" i="3"/>
  <c r="M174" i="3"/>
  <c r="M173" i="3"/>
  <c r="M172" i="3"/>
  <c r="M171" i="3"/>
  <c r="M170" i="3"/>
  <c r="M169" i="3"/>
  <c r="M168" i="3"/>
  <c r="M167" i="3"/>
  <c r="M166" i="3"/>
  <c r="M165" i="3"/>
  <c r="M164" i="3"/>
  <c r="O163" i="3"/>
  <c r="C9" i="1" s="1"/>
  <c r="M161" i="3"/>
  <c r="M160" i="3"/>
  <c r="M159" i="3"/>
  <c r="M158" i="3"/>
  <c r="M157" i="3"/>
  <c r="M156" i="3"/>
  <c r="M155" i="3"/>
  <c r="M154" i="3"/>
  <c r="M153" i="3"/>
  <c r="M152" i="3"/>
  <c r="M151" i="3"/>
  <c r="M150" i="3"/>
  <c r="M148" i="3"/>
  <c r="M147" i="3"/>
  <c r="M146" i="3"/>
  <c r="M145" i="3"/>
  <c r="M144" i="3"/>
  <c r="M143" i="3"/>
  <c r="M142" i="3"/>
  <c r="M141" i="3"/>
  <c r="M140" i="3"/>
  <c r="M139" i="3"/>
  <c r="M138" i="3"/>
  <c r="M137" i="3"/>
  <c r="O136" i="3"/>
  <c r="M134" i="3"/>
  <c r="M133" i="3"/>
  <c r="M132" i="3"/>
  <c r="M131" i="3"/>
  <c r="M130" i="3"/>
  <c r="M129" i="3"/>
  <c r="M128" i="3"/>
  <c r="M127" i="3"/>
  <c r="M126" i="3"/>
  <c r="M125" i="3"/>
  <c r="M124" i="3"/>
  <c r="M123" i="3"/>
  <c r="M121" i="3"/>
  <c r="M120" i="3"/>
  <c r="M119" i="3"/>
  <c r="M118" i="3"/>
  <c r="M117" i="3"/>
  <c r="M116" i="3"/>
  <c r="M115" i="3"/>
  <c r="M114" i="3"/>
  <c r="M113" i="3"/>
  <c r="M112" i="3"/>
  <c r="M111" i="3"/>
  <c r="M110" i="3"/>
  <c r="C7" i="1"/>
  <c r="M107" i="3"/>
  <c r="M106" i="3"/>
  <c r="M105" i="3"/>
  <c r="M104" i="3"/>
  <c r="M103" i="3"/>
  <c r="M102" i="3"/>
  <c r="M101" i="3"/>
  <c r="M100" i="3"/>
  <c r="M99" i="3"/>
  <c r="M98" i="3"/>
  <c r="M97" i="3"/>
  <c r="M96" i="3"/>
  <c r="M94" i="3"/>
  <c r="M93" i="3"/>
  <c r="M92" i="3"/>
  <c r="M91" i="3"/>
  <c r="M90" i="3"/>
  <c r="M89" i="3"/>
  <c r="M88" i="3"/>
  <c r="M87" i="3"/>
  <c r="M86" i="3"/>
  <c r="M85" i="3"/>
  <c r="M84" i="3"/>
  <c r="M83" i="3"/>
  <c r="O82" i="3"/>
  <c r="C6" i="1" s="1"/>
  <c r="M80" i="3"/>
  <c r="M79" i="3"/>
  <c r="M78" i="3"/>
  <c r="M77" i="3"/>
  <c r="M76" i="3"/>
  <c r="M75" i="3"/>
  <c r="M74" i="3"/>
  <c r="M73" i="3"/>
  <c r="M72" i="3"/>
  <c r="M71" i="3"/>
  <c r="M70" i="3"/>
  <c r="M69" i="3"/>
  <c r="M67" i="3"/>
  <c r="M66" i="3"/>
  <c r="M65" i="3"/>
  <c r="M64" i="3"/>
  <c r="M63" i="3"/>
  <c r="M62" i="3"/>
  <c r="M61" i="3"/>
  <c r="M60" i="3"/>
  <c r="M59" i="3"/>
  <c r="M58" i="3"/>
  <c r="M57" i="3"/>
  <c r="M56" i="3"/>
  <c r="O55" i="3"/>
  <c r="M53" i="3"/>
  <c r="M40" i="3"/>
  <c r="M39" i="3"/>
  <c r="M38" i="3"/>
  <c r="M37" i="3"/>
  <c r="M36" i="3"/>
  <c r="M35" i="3"/>
  <c r="M34" i="3"/>
  <c r="M33" i="3"/>
  <c r="M32" i="3"/>
  <c r="M31" i="3"/>
  <c r="M30" i="3"/>
  <c r="M29" i="3"/>
  <c r="O28" i="3"/>
  <c r="C4" i="1" s="1"/>
  <c r="M26" i="3"/>
  <c r="M25" i="3"/>
  <c r="M24" i="3"/>
  <c r="M23" i="3"/>
  <c r="M22" i="3"/>
  <c r="M21" i="3"/>
  <c r="M20" i="3"/>
  <c r="M19" i="3"/>
  <c r="M18" i="3"/>
  <c r="M17" i="3"/>
  <c r="M16" i="3"/>
  <c r="M15" i="3"/>
  <c r="M13" i="3"/>
  <c r="M12" i="3"/>
  <c r="M11" i="3"/>
  <c r="M10" i="3"/>
  <c r="M9" i="3"/>
  <c r="M8" i="3"/>
  <c r="M7" i="3"/>
  <c r="M6" i="3"/>
  <c r="M5" i="3"/>
  <c r="M4" i="3"/>
  <c r="M3" i="3"/>
  <c r="F34" i="1"/>
  <c r="E34" i="1"/>
  <c r="D34" i="1"/>
  <c r="C34" i="1"/>
  <c r="E33" i="1"/>
  <c r="D33" i="1"/>
  <c r="E32" i="1"/>
  <c r="D32" i="1"/>
  <c r="E31" i="1"/>
  <c r="D31" i="1"/>
  <c r="C31" i="1"/>
  <c r="E30" i="1"/>
  <c r="E29" i="1"/>
  <c r="E28" i="1"/>
  <c r="E27" i="1"/>
  <c r="C27" i="1"/>
  <c r="E26" i="1"/>
  <c r="C26" i="1"/>
  <c r="E25" i="1"/>
  <c r="D25" i="1"/>
  <c r="C25" i="1"/>
  <c r="D24" i="1"/>
  <c r="E23" i="1"/>
  <c r="E22" i="1"/>
  <c r="E21" i="1"/>
  <c r="D21" i="1"/>
  <c r="C21" i="1"/>
  <c r="E20" i="1"/>
  <c r="C20" i="1"/>
  <c r="E19" i="1"/>
  <c r="D19" i="1"/>
  <c r="C19" i="1"/>
  <c r="E18" i="1"/>
  <c r="D18" i="1"/>
  <c r="C18" i="1"/>
  <c r="D17" i="1"/>
  <c r="C16" i="1"/>
  <c r="E15" i="1"/>
  <c r="D15" i="1"/>
  <c r="E14" i="1"/>
  <c r="D14" i="1"/>
  <c r="D13" i="1"/>
  <c r="C13" i="1"/>
  <c r="C12" i="1"/>
  <c r="E10" i="1"/>
  <c r="D10" i="1"/>
  <c r="E9" i="1"/>
  <c r="D9" i="1"/>
  <c r="E8" i="1"/>
  <c r="D8" i="1"/>
  <c r="C8" i="1"/>
  <c r="D7" i="1"/>
  <c r="D6" i="1"/>
  <c r="E5" i="1"/>
  <c r="D5" i="1"/>
  <c r="C5" i="1"/>
  <c r="E4" i="1"/>
  <c r="O811" i="6"/>
  <c r="F33" i="1" s="1"/>
  <c r="F810" i="6"/>
  <c r="E810" i="6"/>
  <c r="M809" i="6"/>
  <c r="M808" i="6"/>
  <c r="M807" i="6"/>
  <c r="M806" i="6"/>
  <c r="M805" i="6"/>
  <c r="M804" i="6"/>
  <c r="M803" i="6"/>
  <c r="M802" i="6"/>
  <c r="M801" i="6"/>
  <c r="M800" i="6"/>
  <c r="M799" i="6"/>
  <c r="B799" i="6"/>
  <c r="B800" i="6" s="1"/>
  <c r="B801" i="6" s="1"/>
  <c r="B802" i="6" s="1"/>
  <c r="B803" i="6" s="1"/>
  <c r="B804" i="6" s="1"/>
  <c r="B805" i="6" s="1"/>
  <c r="B806" i="6" s="1"/>
  <c r="B807" i="6" s="1"/>
  <c r="B808" i="6" s="1"/>
  <c r="B809" i="6" s="1"/>
  <c r="M798" i="6"/>
  <c r="G797" i="6"/>
  <c r="F797" i="6"/>
  <c r="F811" i="6" s="1"/>
  <c r="E797" i="6"/>
  <c r="M796" i="6"/>
  <c r="M795" i="6"/>
  <c r="M794" i="6"/>
  <c r="M793" i="6"/>
  <c r="M792" i="6"/>
  <c r="M791" i="6"/>
  <c r="M790" i="6"/>
  <c r="M789" i="6"/>
  <c r="M788" i="6"/>
  <c r="M787" i="6"/>
  <c r="M786" i="6"/>
  <c r="B786" i="6"/>
  <c r="B787" i="6" s="1"/>
  <c r="B788" i="6" s="1"/>
  <c r="B789" i="6" s="1"/>
  <c r="B790" i="6" s="1"/>
  <c r="B791" i="6" s="1"/>
  <c r="B792" i="6" s="1"/>
  <c r="B793" i="6" s="1"/>
  <c r="B794" i="6" s="1"/>
  <c r="B795" i="6" s="1"/>
  <c r="B796" i="6" s="1"/>
  <c r="M785" i="6"/>
  <c r="O784" i="6"/>
  <c r="F32" i="1" s="1"/>
  <c r="F783" i="6"/>
  <c r="E783" i="6"/>
  <c r="M782" i="6"/>
  <c r="G782" i="6"/>
  <c r="M781" i="6"/>
  <c r="G781" i="6"/>
  <c r="M780" i="6"/>
  <c r="G780" i="6"/>
  <c r="M779" i="6"/>
  <c r="G779" i="6"/>
  <c r="M778" i="6"/>
  <c r="G778" i="6"/>
  <c r="M777" i="6"/>
  <c r="G777" i="6"/>
  <c r="M776" i="6"/>
  <c r="G776" i="6"/>
  <c r="M775" i="6"/>
  <c r="G775" i="6"/>
  <c r="M774" i="6"/>
  <c r="G774" i="6"/>
  <c r="M773" i="6"/>
  <c r="G773" i="6"/>
  <c r="M772" i="6"/>
  <c r="G772" i="6"/>
  <c r="B772" i="6"/>
  <c r="B773" i="6" s="1"/>
  <c r="B774" i="6" s="1"/>
  <c r="B775" i="6" s="1"/>
  <c r="B776" i="6" s="1"/>
  <c r="B777" i="6" s="1"/>
  <c r="B778" i="6" s="1"/>
  <c r="B779" i="6" s="1"/>
  <c r="B780" i="6" s="1"/>
  <c r="B781" i="6" s="1"/>
  <c r="B782" i="6" s="1"/>
  <c r="M771" i="6"/>
  <c r="G771" i="6"/>
  <c r="F770" i="6"/>
  <c r="F784" i="6" s="1"/>
  <c r="E770" i="6"/>
  <c r="E784" i="6" s="1"/>
  <c r="M769" i="6"/>
  <c r="G769" i="6"/>
  <c r="M768" i="6"/>
  <c r="G768" i="6"/>
  <c r="M767" i="6"/>
  <c r="G767" i="6"/>
  <c r="M766" i="6"/>
  <c r="G766" i="6"/>
  <c r="M765" i="6"/>
  <c r="G765" i="6"/>
  <c r="M764" i="6"/>
  <c r="G764" i="6"/>
  <c r="M763" i="6"/>
  <c r="G763" i="6"/>
  <c r="M762" i="6"/>
  <c r="G762" i="6"/>
  <c r="M761" i="6"/>
  <c r="G761" i="6"/>
  <c r="M760" i="6"/>
  <c r="G760" i="6"/>
  <c r="M759" i="6"/>
  <c r="G759" i="6"/>
  <c r="B759" i="6"/>
  <c r="B760" i="6" s="1"/>
  <c r="B761" i="6" s="1"/>
  <c r="B762" i="6" s="1"/>
  <c r="B763" i="6" s="1"/>
  <c r="B764" i="6" s="1"/>
  <c r="B765" i="6" s="1"/>
  <c r="B766" i="6" s="1"/>
  <c r="B767" i="6" s="1"/>
  <c r="B768" i="6" s="1"/>
  <c r="B769" i="6" s="1"/>
  <c r="M758" i="6"/>
  <c r="G758" i="6"/>
  <c r="O757" i="6"/>
  <c r="F31" i="1" s="1"/>
  <c r="F756" i="6"/>
  <c r="E756" i="6"/>
  <c r="M755" i="6"/>
  <c r="G755" i="6"/>
  <c r="M754" i="6"/>
  <c r="G754" i="6"/>
  <c r="M753" i="6"/>
  <c r="G753" i="6"/>
  <c r="M752" i="6"/>
  <c r="G752" i="6"/>
  <c r="M751" i="6"/>
  <c r="G751" i="6"/>
  <c r="M750" i="6"/>
  <c r="G750" i="6"/>
  <c r="M749" i="6"/>
  <c r="G749" i="6"/>
  <c r="M748" i="6"/>
  <c r="G748" i="6"/>
  <c r="M747" i="6"/>
  <c r="G747" i="6"/>
  <c r="M746" i="6"/>
  <c r="G746" i="6"/>
  <c r="M745" i="6"/>
  <c r="G745" i="6"/>
  <c r="B745" i="6"/>
  <c r="B746" i="6" s="1"/>
  <c r="B747" i="6" s="1"/>
  <c r="B748" i="6" s="1"/>
  <c r="B749" i="6" s="1"/>
  <c r="B750" i="6" s="1"/>
  <c r="B751" i="6" s="1"/>
  <c r="B752" i="6" s="1"/>
  <c r="B753" i="6" s="1"/>
  <c r="B754" i="6" s="1"/>
  <c r="B755" i="6" s="1"/>
  <c r="M744" i="6"/>
  <c r="G744" i="6"/>
  <c r="F743" i="6"/>
  <c r="F757" i="6" s="1"/>
  <c r="E743" i="6"/>
  <c r="M742" i="6"/>
  <c r="G742" i="6"/>
  <c r="M741" i="6"/>
  <c r="G741" i="6"/>
  <c r="M740" i="6"/>
  <c r="G740" i="6"/>
  <c r="M739" i="6"/>
  <c r="G739" i="6"/>
  <c r="M738" i="6"/>
  <c r="G738" i="6"/>
  <c r="M737" i="6"/>
  <c r="G737" i="6"/>
  <c r="M736" i="6"/>
  <c r="G736" i="6"/>
  <c r="M735" i="6"/>
  <c r="G735" i="6"/>
  <c r="M734" i="6"/>
  <c r="G734" i="6"/>
  <c r="M733" i="6"/>
  <c r="G733" i="6"/>
  <c r="M732" i="6"/>
  <c r="G732" i="6"/>
  <c r="B732" i="6"/>
  <c r="B733" i="6" s="1"/>
  <c r="B734" i="6" s="1"/>
  <c r="B735" i="6" s="1"/>
  <c r="B736" i="6" s="1"/>
  <c r="B737" i="6" s="1"/>
  <c r="B738" i="6" s="1"/>
  <c r="B739" i="6" s="1"/>
  <c r="B740" i="6" s="1"/>
  <c r="B741" i="6" s="1"/>
  <c r="B742" i="6" s="1"/>
  <c r="M731" i="6"/>
  <c r="G731" i="6"/>
  <c r="O730" i="6"/>
  <c r="F30" i="1" s="1"/>
  <c r="F729" i="6"/>
  <c r="E729" i="6"/>
  <c r="M728" i="6"/>
  <c r="G728" i="6"/>
  <c r="M727" i="6"/>
  <c r="G727" i="6"/>
  <c r="M726" i="6"/>
  <c r="G726" i="6"/>
  <c r="M725" i="6"/>
  <c r="G725" i="6"/>
  <c r="M724" i="6"/>
  <c r="G724" i="6"/>
  <c r="M723" i="6"/>
  <c r="G723" i="6"/>
  <c r="M722" i="6"/>
  <c r="G722" i="6"/>
  <c r="M721" i="6"/>
  <c r="G721" i="6"/>
  <c r="M720" i="6"/>
  <c r="G720" i="6"/>
  <c r="M719" i="6"/>
  <c r="G719" i="6"/>
  <c r="M718" i="6"/>
  <c r="G718" i="6"/>
  <c r="B718" i="6"/>
  <c r="B719" i="6" s="1"/>
  <c r="B720" i="6" s="1"/>
  <c r="B721" i="6" s="1"/>
  <c r="B722" i="6" s="1"/>
  <c r="B723" i="6" s="1"/>
  <c r="B724" i="6" s="1"/>
  <c r="B725" i="6" s="1"/>
  <c r="B726" i="6" s="1"/>
  <c r="B727" i="6" s="1"/>
  <c r="B728" i="6" s="1"/>
  <c r="M717" i="6"/>
  <c r="G717" i="6"/>
  <c r="G729" i="6" s="1"/>
  <c r="F716" i="6"/>
  <c r="F730" i="6" s="1"/>
  <c r="E716" i="6"/>
  <c r="E730" i="6" s="1"/>
  <c r="M715" i="6"/>
  <c r="G715" i="6"/>
  <c r="M714" i="6"/>
  <c r="G714" i="6"/>
  <c r="M713" i="6"/>
  <c r="G713" i="6"/>
  <c r="M712" i="6"/>
  <c r="G712" i="6"/>
  <c r="M711" i="6"/>
  <c r="G711" i="6"/>
  <c r="M710" i="6"/>
  <c r="G710" i="6"/>
  <c r="M709" i="6"/>
  <c r="G709" i="6"/>
  <c r="M708" i="6"/>
  <c r="G708" i="6"/>
  <c r="M707" i="6"/>
  <c r="G707" i="6"/>
  <c r="M706" i="6"/>
  <c r="G706" i="6"/>
  <c r="M705" i="6"/>
  <c r="G705" i="6"/>
  <c r="B705" i="6"/>
  <c r="B706" i="6" s="1"/>
  <c r="B707" i="6" s="1"/>
  <c r="B708" i="6" s="1"/>
  <c r="B709" i="6" s="1"/>
  <c r="B710" i="6" s="1"/>
  <c r="B711" i="6" s="1"/>
  <c r="B712" i="6" s="1"/>
  <c r="B713" i="6" s="1"/>
  <c r="B714" i="6" s="1"/>
  <c r="B715" i="6" s="1"/>
  <c r="M704" i="6"/>
  <c r="G704" i="6"/>
  <c r="G716" i="6" s="1"/>
  <c r="O703" i="6"/>
  <c r="F29" i="1" s="1"/>
  <c r="F702" i="6"/>
  <c r="E702" i="6"/>
  <c r="M701" i="6"/>
  <c r="G701" i="6"/>
  <c r="M700" i="6"/>
  <c r="G700" i="6"/>
  <c r="M699" i="6"/>
  <c r="G699" i="6"/>
  <c r="M698" i="6"/>
  <c r="G698" i="6"/>
  <c r="M697" i="6"/>
  <c r="G697" i="6"/>
  <c r="M696" i="6"/>
  <c r="G696" i="6"/>
  <c r="M695" i="6"/>
  <c r="G695" i="6"/>
  <c r="M694" i="6"/>
  <c r="G694" i="6"/>
  <c r="M693" i="6"/>
  <c r="G693" i="6"/>
  <c r="M692" i="6"/>
  <c r="G692" i="6"/>
  <c r="M691" i="6"/>
  <c r="G691" i="6"/>
  <c r="B691" i="6"/>
  <c r="B692" i="6" s="1"/>
  <c r="B693" i="6" s="1"/>
  <c r="B694" i="6" s="1"/>
  <c r="B695" i="6" s="1"/>
  <c r="B696" i="6" s="1"/>
  <c r="B697" i="6" s="1"/>
  <c r="B698" i="6" s="1"/>
  <c r="B699" i="6" s="1"/>
  <c r="B700" i="6" s="1"/>
  <c r="B701" i="6" s="1"/>
  <c r="M690" i="6"/>
  <c r="G690" i="6"/>
  <c r="F689" i="6"/>
  <c r="E689" i="6"/>
  <c r="E703" i="6" s="1"/>
  <c r="M688" i="6"/>
  <c r="G688" i="6"/>
  <c r="M687" i="6"/>
  <c r="G687" i="6"/>
  <c r="M686" i="6"/>
  <c r="M685" i="6"/>
  <c r="G685" i="6"/>
  <c r="M684" i="6"/>
  <c r="G684" i="6"/>
  <c r="M683" i="6"/>
  <c r="G683" i="6"/>
  <c r="M682" i="6"/>
  <c r="M681" i="6"/>
  <c r="G681" i="6"/>
  <c r="M680" i="6"/>
  <c r="G680" i="6"/>
  <c r="M679" i="6"/>
  <c r="G679" i="6"/>
  <c r="M678" i="6"/>
  <c r="G678" i="6"/>
  <c r="B678" i="6"/>
  <c r="B679" i="6" s="1"/>
  <c r="B680" i="6" s="1"/>
  <c r="B681" i="6" s="1"/>
  <c r="B682" i="6" s="1"/>
  <c r="B683" i="6" s="1"/>
  <c r="B684" i="6" s="1"/>
  <c r="B685" i="6" s="1"/>
  <c r="B686" i="6" s="1"/>
  <c r="B687" i="6" s="1"/>
  <c r="B688" i="6" s="1"/>
  <c r="M677" i="6"/>
  <c r="G677" i="6"/>
  <c r="O676" i="6"/>
  <c r="F28" i="1" s="1"/>
  <c r="F675" i="6"/>
  <c r="E675" i="6"/>
  <c r="M674" i="6"/>
  <c r="G674" i="6"/>
  <c r="M673" i="6"/>
  <c r="G673" i="6"/>
  <c r="M672" i="6"/>
  <c r="G672" i="6"/>
  <c r="M671" i="6"/>
  <c r="G671" i="6"/>
  <c r="M670" i="6"/>
  <c r="G670" i="6"/>
  <c r="M669" i="6"/>
  <c r="G669" i="6"/>
  <c r="M668" i="6"/>
  <c r="G668" i="6"/>
  <c r="M667" i="6"/>
  <c r="G667" i="6"/>
  <c r="M666" i="6"/>
  <c r="G666" i="6"/>
  <c r="M665" i="6"/>
  <c r="G665" i="6"/>
  <c r="M664" i="6"/>
  <c r="G664" i="6"/>
  <c r="B664" i="6"/>
  <c r="B665" i="6" s="1"/>
  <c r="B666" i="6" s="1"/>
  <c r="B667" i="6" s="1"/>
  <c r="B668" i="6" s="1"/>
  <c r="B669" i="6" s="1"/>
  <c r="B670" i="6" s="1"/>
  <c r="B671" i="6" s="1"/>
  <c r="B672" i="6" s="1"/>
  <c r="B673" i="6" s="1"/>
  <c r="B674" i="6" s="1"/>
  <c r="M663" i="6"/>
  <c r="G663" i="6"/>
  <c r="F662" i="6"/>
  <c r="F676" i="6" s="1"/>
  <c r="E662" i="6"/>
  <c r="E676" i="6" s="1"/>
  <c r="M661" i="6"/>
  <c r="G661" i="6"/>
  <c r="M660" i="6"/>
  <c r="G660" i="6"/>
  <c r="M659" i="6"/>
  <c r="G659" i="6"/>
  <c r="M658" i="6"/>
  <c r="G658" i="6"/>
  <c r="M657" i="6"/>
  <c r="G657" i="6"/>
  <c r="M656" i="6"/>
  <c r="G656" i="6"/>
  <c r="M655" i="6"/>
  <c r="G655" i="6"/>
  <c r="M654" i="6"/>
  <c r="G654" i="6"/>
  <c r="M653" i="6"/>
  <c r="G653" i="6"/>
  <c r="M652" i="6"/>
  <c r="G652" i="6"/>
  <c r="M651" i="6"/>
  <c r="G651" i="6"/>
  <c r="B651" i="6"/>
  <c r="B652" i="6" s="1"/>
  <c r="B653" i="6" s="1"/>
  <c r="B654" i="6" s="1"/>
  <c r="B655" i="6" s="1"/>
  <c r="B656" i="6" s="1"/>
  <c r="B657" i="6" s="1"/>
  <c r="B658" i="6" s="1"/>
  <c r="B659" i="6" s="1"/>
  <c r="B660" i="6" s="1"/>
  <c r="B661" i="6" s="1"/>
  <c r="M650" i="6"/>
  <c r="G650" i="6"/>
  <c r="O649" i="6"/>
  <c r="F27" i="1" s="1"/>
  <c r="F648" i="6"/>
  <c r="E648" i="6"/>
  <c r="M647" i="6"/>
  <c r="G647" i="6"/>
  <c r="M646" i="6"/>
  <c r="G646" i="6"/>
  <c r="M645" i="6"/>
  <c r="G645" i="6"/>
  <c r="M644" i="6"/>
  <c r="G644" i="6"/>
  <c r="M643" i="6"/>
  <c r="G643" i="6"/>
  <c r="M642" i="6"/>
  <c r="G642" i="6"/>
  <c r="M641" i="6"/>
  <c r="G641" i="6"/>
  <c r="M640" i="6"/>
  <c r="G640" i="6"/>
  <c r="M639" i="6"/>
  <c r="G639" i="6"/>
  <c r="M638" i="6"/>
  <c r="G638" i="6"/>
  <c r="M637" i="6"/>
  <c r="G637" i="6"/>
  <c r="B637" i="6"/>
  <c r="B638" i="6" s="1"/>
  <c r="B639" i="6" s="1"/>
  <c r="B640" i="6" s="1"/>
  <c r="B641" i="6" s="1"/>
  <c r="B642" i="6" s="1"/>
  <c r="B643" i="6" s="1"/>
  <c r="B644" i="6" s="1"/>
  <c r="B645" i="6" s="1"/>
  <c r="B646" i="6" s="1"/>
  <c r="B647" i="6" s="1"/>
  <c r="M636" i="6"/>
  <c r="G636" i="6"/>
  <c r="F635" i="6"/>
  <c r="F649" i="6" s="1"/>
  <c r="E635" i="6"/>
  <c r="E649" i="6" s="1"/>
  <c r="M634" i="6"/>
  <c r="G634" i="6"/>
  <c r="M633" i="6"/>
  <c r="G633" i="6"/>
  <c r="M632" i="6"/>
  <c r="G632" i="6"/>
  <c r="M631" i="6"/>
  <c r="G631" i="6"/>
  <c r="M630" i="6"/>
  <c r="G630" i="6"/>
  <c r="M629" i="6"/>
  <c r="G629" i="6"/>
  <c r="M628" i="6"/>
  <c r="G628" i="6"/>
  <c r="M627" i="6"/>
  <c r="G627" i="6"/>
  <c r="M626" i="6"/>
  <c r="G626" i="6"/>
  <c r="M625" i="6"/>
  <c r="G625" i="6"/>
  <c r="M624" i="6"/>
  <c r="G624" i="6"/>
  <c r="B624" i="6"/>
  <c r="B625" i="6" s="1"/>
  <c r="B626" i="6" s="1"/>
  <c r="B627" i="6" s="1"/>
  <c r="B628" i="6" s="1"/>
  <c r="B629" i="6" s="1"/>
  <c r="B630" i="6" s="1"/>
  <c r="B631" i="6" s="1"/>
  <c r="B632" i="6" s="1"/>
  <c r="B633" i="6" s="1"/>
  <c r="B634" i="6" s="1"/>
  <c r="M623" i="6"/>
  <c r="G623" i="6"/>
  <c r="O622" i="6"/>
  <c r="F26" i="1" s="1"/>
  <c r="F621" i="6"/>
  <c r="E621" i="6"/>
  <c r="M620" i="6"/>
  <c r="G620" i="6"/>
  <c r="M619" i="6"/>
  <c r="G619" i="6"/>
  <c r="M618" i="6"/>
  <c r="G618" i="6"/>
  <c r="M617" i="6"/>
  <c r="G617" i="6"/>
  <c r="M616" i="6"/>
  <c r="G616" i="6"/>
  <c r="M615" i="6"/>
  <c r="M614" i="6"/>
  <c r="G614" i="6"/>
  <c r="M613" i="6"/>
  <c r="G613" i="6"/>
  <c r="M612" i="6"/>
  <c r="G612" i="6"/>
  <c r="M611" i="6"/>
  <c r="G611" i="6"/>
  <c r="M610" i="6"/>
  <c r="G610" i="6"/>
  <c r="B610" i="6"/>
  <c r="B611" i="6" s="1"/>
  <c r="B612" i="6" s="1"/>
  <c r="B613" i="6" s="1"/>
  <c r="B614" i="6" s="1"/>
  <c r="B615" i="6" s="1"/>
  <c r="B616" i="6" s="1"/>
  <c r="B617" i="6" s="1"/>
  <c r="B618" i="6" s="1"/>
  <c r="B619" i="6" s="1"/>
  <c r="B620" i="6" s="1"/>
  <c r="M609" i="6"/>
  <c r="G609" i="6"/>
  <c r="F608" i="6"/>
  <c r="F622" i="6" s="1"/>
  <c r="E608" i="6"/>
  <c r="E622" i="6" s="1"/>
  <c r="M607" i="6"/>
  <c r="G607" i="6"/>
  <c r="M606" i="6"/>
  <c r="G606" i="6"/>
  <c r="M605" i="6"/>
  <c r="G605" i="6"/>
  <c r="M604" i="6"/>
  <c r="G604" i="6"/>
  <c r="M603" i="6"/>
  <c r="G603" i="6"/>
  <c r="M602" i="6"/>
  <c r="G602" i="6"/>
  <c r="M601" i="6"/>
  <c r="G601" i="6"/>
  <c r="M600" i="6"/>
  <c r="G600" i="6"/>
  <c r="M599" i="6"/>
  <c r="G599" i="6"/>
  <c r="M598" i="6"/>
  <c r="G598" i="6"/>
  <c r="M597" i="6"/>
  <c r="G597" i="6"/>
  <c r="B597" i="6"/>
  <c r="B598" i="6" s="1"/>
  <c r="B599" i="6" s="1"/>
  <c r="B600" i="6" s="1"/>
  <c r="B601" i="6" s="1"/>
  <c r="B602" i="6" s="1"/>
  <c r="B603" i="6" s="1"/>
  <c r="B604" i="6" s="1"/>
  <c r="B605" i="6" s="1"/>
  <c r="B606" i="6" s="1"/>
  <c r="B607" i="6" s="1"/>
  <c r="M596" i="6"/>
  <c r="G596" i="6"/>
  <c r="F25" i="1"/>
  <c r="F594" i="6"/>
  <c r="E594" i="6"/>
  <c r="M593" i="6"/>
  <c r="G593" i="6"/>
  <c r="M592" i="6"/>
  <c r="G592" i="6"/>
  <c r="M591" i="6"/>
  <c r="G591" i="6"/>
  <c r="M590" i="6"/>
  <c r="G590" i="6"/>
  <c r="M589" i="6"/>
  <c r="G589" i="6"/>
  <c r="M588" i="6"/>
  <c r="M587" i="6"/>
  <c r="G587" i="6"/>
  <c r="M586" i="6"/>
  <c r="G586" i="6"/>
  <c r="M585" i="6"/>
  <c r="G585" i="6"/>
  <c r="M584" i="6"/>
  <c r="G584" i="6"/>
  <c r="M583" i="6"/>
  <c r="G583" i="6"/>
  <c r="B583" i="6"/>
  <c r="B584" i="6" s="1"/>
  <c r="B585" i="6" s="1"/>
  <c r="B586" i="6" s="1"/>
  <c r="B587" i="6" s="1"/>
  <c r="B588" i="6" s="1"/>
  <c r="B589" i="6" s="1"/>
  <c r="B590" i="6" s="1"/>
  <c r="B591" i="6" s="1"/>
  <c r="B592" i="6" s="1"/>
  <c r="B593" i="6" s="1"/>
  <c r="G582" i="6"/>
  <c r="G594" i="6" s="1"/>
  <c r="F581" i="6"/>
  <c r="F595" i="6" s="1"/>
  <c r="E581" i="6"/>
  <c r="E595" i="6" s="1"/>
  <c r="M580" i="6"/>
  <c r="G580" i="6"/>
  <c r="M579" i="6"/>
  <c r="G579" i="6"/>
  <c r="M578" i="6"/>
  <c r="G578" i="6"/>
  <c r="M577" i="6"/>
  <c r="G577" i="6"/>
  <c r="M576" i="6"/>
  <c r="G576" i="6"/>
  <c r="G575" i="6"/>
  <c r="M574" i="6"/>
  <c r="G574" i="6"/>
  <c r="M573" i="6"/>
  <c r="G573" i="6"/>
  <c r="M572" i="6"/>
  <c r="G572" i="6"/>
  <c r="M571" i="6"/>
  <c r="G571" i="6"/>
  <c r="M570" i="6"/>
  <c r="G570" i="6"/>
  <c r="B570" i="6"/>
  <c r="B571" i="6" s="1"/>
  <c r="B572" i="6" s="1"/>
  <c r="B573" i="6" s="1"/>
  <c r="B574" i="6" s="1"/>
  <c r="B575" i="6" s="1"/>
  <c r="B576" i="6" s="1"/>
  <c r="B577" i="6" s="1"/>
  <c r="B578" i="6" s="1"/>
  <c r="B579" i="6" s="1"/>
  <c r="B580" i="6" s="1"/>
  <c r="M569" i="6"/>
  <c r="G569" i="6"/>
  <c r="O568" i="6"/>
  <c r="F24" i="1" s="1"/>
  <c r="F567" i="6"/>
  <c r="E567" i="6"/>
  <c r="M566" i="6"/>
  <c r="G566" i="6"/>
  <c r="M565" i="6"/>
  <c r="G565" i="6"/>
  <c r="M564" i="6"/>
  <c r="G564" i="6"/>
  <c r="M563" i="6"/>
  <c r="G563" i="6"/>
  <c r="M562" i="6"/>
  <c r="G562" i="6"/>
  <c r="M561" i="6"/>
  <c r="G561" i="6"/>
  <c r="M560" i="6"/>
  <c r="G560" i="6"/>
  <c r="M559" i="6"/>
  <c r="G559" i="6"/>
  <c r="M558" i="6"/>
  <c r="G558" i="6"/>
  <c r="M557" i="6"/>
  <c r="G557" i="6"/>
  <c r="M556" i="6"/>
  <c r="G556" i="6"/>
  <c r="B556" i="6"/>
  <c r="B557" i="6" s="1"/>
  <c r="B558" i="6" s="1"/>
  <c r="B559" i="6" s="1"/>
  <c r="B560" i="6" s="1"/>
  <c r="B561" i="6" s="1"/>
  <c r="B562" i="6" s="1"/>
  <c r="B563" i="6" s="1"/>
  <c r="B564" i="6" s="1"/>
  <c r="B565" i="6" s="1"/>
  <c r="B566" i="6" s="1"/>
  <c r="G555" i="6"/>
  <c r="F554" i="6"/>
  <c r="F568" i="6" s="1"/>
  <c r="E554" i="6"/>
  <c r="E568" i="6" s="1"/>
  <c r="M553" i="6"/>
  <c r="G553" i="6"/>
  <c r="M552" i="6"/>
  <c r="G552" i="6"/>
  <c r="M551" i="6"/>
  <c r="G551" i="6"/>
  <c r="M550" i="6"/>
  <c r="G550" i="6"/>
  <c r="M549" i="6"/>
  <c r="G549" i="6"/>
  <c r="M548" i="6"/>
  <c r="G548" i="6"/>
  <c r="M547" i="6"/>
  <c r="G547" i="6"/>
  <c r="M546" i="6"/>
  <c r="G546" i="6"/>
  <c r="M545" i="6"/>
  <c r="G545" i="6"/>
  <c r="M544" i="6"/>
  <c r="G544" i="6"/>
  <c r="M543" i="6"/>
  <c r="G543" i="6"/>
  <c r="B543" i="6"/>
  <c r="B544" i="6" s="1"/>
  <c r="B545" i="6" s="1"/>
  <c r="B546" i="6" s="1"/>
  <c r="B547" i="6" s="1"/>
  <c r="B548" i="6" s="1"/>
  <c r="B549" i="6" s="1"/>
  <c r="B550" i="6" s="1"/>
  <c r="B551" i="6" s="1"/>
  <c r="B552" i="6" s="1"/>
  <c r="B553" i="6" s="1"/>
  <c r="M542" i="6"/>
  <c r="G542" i="6"/>
  <c r="O541" i="6"/>
  <c r="F23" i="1" s="1"/>
  <c r="F540" i="6"/>
  <c r="E540" i="6"/>
  <c r="M539" i="6"/>
  <c r="G539" i="6"/>
  <c r="M538" i="6"/>
  <c r="G538" i="6"/>
  <c r="M537" i="6"/>
  <c r="G537" i="6"/>
  <c r="M536" i="6"/>
  <c r="G536" i="6"/>
  <c r="M535" i="6"/>
  <c r="G535" i="6"/>
  <c r="M534" i="6"/>
  <c r="G534" i="6"/>
  <c r="M533" i="6"/>
  <c r="G533" i="6"/>
  <c r="M532" i="6"/>
  <c r="G532" i="6"/>
  <c r="M531" i="6"/>
  <c r="G531" i="6"/>
  <c r="M530" i="6"/>
  <c r="G530" i="6"/>
  <c r="M529" i="6"/>
  <c r="G529" i="6"/>
  <c r="B529" i="6"/>
  <c r="B530" i="6" s="1"/>
  <c r="B531" i="6" s="1"/>
  <c r="B532" i="6" s="1"/>
  <c r="B533" i="6" s="1"/>
  <c r="B534" i="6" s="1"/>
  <c r="B535" i="6" s="1"/>
  <c r="B536" i="6" s="1"/>
  <c r="B537" i="6" s="1"/>
  <c r="B538" i="6" s="1"/>
  <c r="B539" i="6" s="1"/>
  <c r="M528" i="6"/>
  <c r="G528" i="6"/>
  <c r="F527" i="6"/>
  <c r="F541" i="6" s="1"/>
  <c r="E527" i="6"/>
  <c r="M526" i="6"/>
  <c r="G526" i="6"/>
  <c r="M525" i="6"/>
  <c r="G525" i="6"/>
  <c r="M524" i="6"/>
  <c r="G524" i="6"/>
  <c r="M523" i="6"/>
  <c r="G523" i="6"/>
  <c r="M522" i="6"/>
  <c r="G522" i="6"/>
  <c r="M521" i="6"/>
  <c r="G521" i="6"/>
  <c r="M520" i="6"/>
  <c r="G520" i="6"/>
  <c r="M519" i="6"/>
  <c r="G519" i="6"/>
  <c r="M518" i="6"/>
  <c r="G518" i="6"/>
  <c r="M517" i="6"/>
  <c r="G517" i="6"/>
  <c r="M516" i="6"/>
  <c r="G516" i="6"/>
  <c r="B516" i="6"/>
  <c r="B517" i="6" s="1"/>
  <c r="B518" i="6" s="1"/>
  <c r="B519" i="6" s="1"/>
  <c r="B520" i="6" s="1"/>
  <c r="B521" i="6" s="1"/>
  <c r="B522" i="6" s="1"/>
  <c r="B523" i="6" s="1"/>
  <c r="B524" i="6" s="1"/>
  <c r="B525" i="6" s="1"/>
  <c r="B526" i="6" s="1"/>
  <c r="M515" i="6"/>
  <c r="G515" i="6"/>
  <c r="O514" i="6"/>
  <c r="F22" i="1" s="1"/>
  <c r="F513" i="6"/>
  <c r="E513" i="6"/>
  <c r="M512" i="6"/>
  <c r="G512" i="6"/>
  <c r="M511" i="6"/>
  <c r="G511" i="6"/>
  <c r="M510" i="6"/>
  <c r="G510" i="6"/>
  <c r="M509" i="6"/>
  <c r="G509" i="6"/>
  <c r="M508" i="6"/>
  <c r="G508" i="6"/>
  <c r="M507" i="6"/>
  <c r="G507" i="6"/>
  <c r="M506" i="6"/>
  <c r="G506" i="6"/>
  <c r="M505" i="6"/>
  <c r="G505" i="6"/>
  <c r="M504" i="6"/>
  <c r="G504" i="6"/>
  <c r="M503" i="6"/>
  <c r="G503" i="6"/>
  <c r="M502" i="6"/>
  <c r="G502" i="6"/>
  <c r="B502" i="6"/>
  <c r="B503" i="6" s="1"/>
  <c r="B504" i="6" s="1"/>
  <c r="B505" i="6" s="1"/>
  <c r="B506" i="6" s="1"/>
  <c r="B507" i="6" s="1"/>
  <c r="B508" i="6" s="1"/>
  <c r="B509" i="6" s="1"/>
  <c r="B510" i="6" s="1"/>
  <c r="B511" i="6" s="1"/>
  <c r="B512" i="6" s="1"/>
  <c r="M501" i="6"/>
  <c r="G501" i="6"/>
  <c r="F500" i="6"/>
  <c r="E500" i="6"/>
  <c r="E514" i="6" s="1"/>
  <c r="M499" i="6"/>
  <c r="G499" i="6"/>
  <c r="M498" i="6"/>
  <c r="G498" i="6"/>
  <c r="M497" i="6"/>
  <c r="G497" i="6"/>
  <c r="M496" i="6"/>
  <c r="G496" i="6"/>
  <c r="M495" i="6"/>
  <c r="G495" i="6"/>
  <c r="M494" i="6"/>
  <c r="G494" i="6"/>
  <c r="M493" i="6"/>
  <c r="G493" i="6"/>
  <c r="G492" i="6"/>
  <c r="M491" i="6"/>
  <c r="G491" i="6"/>
  <c r="M490" i="6"/>
  <c r="G490" i="6"/>
  <c r="M489" i="6"/>
  <c r="G489" i="6"/>
  <c r="B489" i="6"/>
  <c r="B490" i="6" s="1"/>
  <c r="B491" i="6" s="1"/>
  <c r="B492" i="6" s="1"/>
  <c r="B493" i="6" s="1"/>
  <c r="B494" i="6" s="1"/>
  <c r="B495" i="6" s="1"/>
  <c r="B496" i="6" s="1"/>
  <c r="B497" i="6" s="1"/>
  <c r="B498" i="6" s="1"/>
  <c r="B499" i="6" s="1"/>
  <c r="M488" i="6"/>
  <c r="G488" i="6"/>
  <c r="G500" i="6" s="1"/>
  <c r="O487" i="6"/>
  <c r="F21" i="1" s="1"/>
  <c r="F486" i="6"/>
  <c r="E486" i="6"/>
  <c r="M485" i="6"/>
  <c r="G485" i="6"/>
  <c r="M484" i="6"/>
  <c r="G484" i="6"/>
  <c r="M483" i="6"/>
  <c r="G483" i="6"/>
  <c r="M482" i="6"/>
  <c r="G482" i="6"/>
  <c r="M481" i="6"/>
  <c r="G481" i="6"/>
  <c r="M480" i="6"/>
  <c r="G480" i="6"/>
  <c r="M479" i="6"/>
  <c r="G479" i="6"/>
  <c r="M478" i="6"/>
  <c r="G478" i="6"/>
  <c r="M477" i="6"/>
  <c r="G477" i="6"/>
  <c r="M476" i="6"/>
  <c r="G476" i="6"/>
  <c r="M475" i="6"/>
  <c r="G475" i="6"/>
  <c r="B475" i="6"/>
  <c r="B476" i="6" s="1"/>
  <c r="B477" i="6" s="1"/>
  <c r="B478" i="6" s="1"/>
  <c r="B479" i="6" s="1"/>
  <c r="B480" i="6" s="1"/>
  <c r="B481" i="6" s="1"/>
  <c r="B482" i="6" s="1"/>
  <c r="B483" i="6" s="1"/>
  <c r="B484" i="6" s="1"/>
  <c r="B485" i="6" s="1"/>
  <c r="M474" i="6"/>
  <c r="G474" i="6"/>
  <c r="F473" i="6"/>
  <c r="F487" i="6" s="1"/>
  <c r="E473" i="6"/>
  <c r="E487" i="6" s="1"/>
  <c r="M472" i="6"/>
  <c r="G472" i="6"/>
  <c r="M471" i="6"/>
  <c r="G471" i="6"/>
  <c r="M470" i="6"/>
  <c r="G470" i="6"/>
  <c r="M469" i="6"/>
  <c r="G469" i="6"/>
  <c r="M468" i="6"/>
  <c r="G468" i="6"/>
  <c r="M467" i="6"/>
  <c r="G467" i="6"/>
  <c r="M466" i="6"/>
  <c r="G466" i="6"/>
  <c r="M465" i="6"/>
  <c r="G465" i="6"/>
  <c r="M464" i="6"/>
  <c r="G464" i="6"/>
  <c r="M463" i="6"/>
  <c r="G463" i="6"/>
  <c r="M462" i="6"/>
  <c r="G462" i="6"/>
  <c r="B462" i="6"/>
  <c r="B463" i="6" s="1"/>
  <c r="B464" i="6" s="1"/>
  <c r="B465" i="6" s="1"/>
  <c r="B466" i="6" s="1"/>
  <c r="B467" i="6" s="1"/>
  <c r="B468" i="6" s="1"/>
  <c r="B469" i="6" s="1"/>
  <c r="B470" i="6" s="1"/>
  <c r="B471" i="6" s="1"/>
  <c r="B472" i="6" s="1"/>
  <c r="M461" i="6"/>
  <c r="G461" i="6"/>
  <c r="O460" i="6"/>
  <c r="F20" i="1" s="1"/>
  <c r="F459" i="6"/>
  <c r="E459" i="6"/>
  <c r="M458" i="6"/>
  <c r="G458" i="6"/>
  <c r="M457" i="6"/>
  <c r="G457" i="6"/>
  <c r="M456" i="6"/>
  <c r="G456" i="6"/>
  <c r="M455" i="6"/>
  <c r="G455" i="6"/>
  <c r="M454" i="6"/>
  <c r="G454" i="6"/>
  <c r="M453" i="6"/>
  <c r="G453" i="6"/>
  <c r="M452" i="6"/>
  <c r="G452" i="6"/>
  <c r="M451" i="6"/>
  <c r="M450" i="6"/>
  <c r="G450" i="6"/>
  <c r="M449" i="6"/>
  <c r="G449" i="6"/>
  <c r="M448" i="6"/>
  <c r="G448" i="6"/>
  <c r="B448" i="6"/>
  <c r="B449" i="6" s="1"/>
  <c r="B450" i="6" s="1"/>
  <c r="B451" i="6" s="1"/>
  <c r="B452" i="6" s="1"/>
  <c r="B453" i="6" s="1"/>
  <c r="B454" i="6" s="1"/>
  <c r="B455" i="6" s="1"/>
  <c r="B456" i="6" s="1"/>
  <c r="B457" i="6" s="1"/>
  <c r="B458" i="6" s="1"/>
  <c r="M447" i="6"/>
  <c r="G447" i="6"/>
  <c r="F446" i="6"/>
  <c r="E446" i="6"/>
  <c r="M445" i="6"/>
  <c r="G445" i="6"/>
  <c r="M444" i="6"/>
  <c r="G444" i="6"/>
  <c r="M443" i="6"/>
  <c r="G443" i="6"/>
  <c r="M442" i="6"/>
  <c r="G442" i="6"/>
  <c r="M441" i="6"/>
  <c r="G441" i="6"/>
  <c r="M440" i="6"/>
  <c r="G440" i="6"/>
  <c r="M439" i="6"/>
  <c r="G439" i="6"/>
  <c r="M438" i="6"/>
  <c r="G438" i="6"/>
  <c r="M437" i="6"/>
  <c r="G437" i="6"/>
  <c r="M436" i="6"/>
  <c r="G436" i="6"/>
  <c r="M435" i="6"/>
  <c r="G435" i="6"/>
  <c r="B435" i="6"/>
  <c r="B436" i="6" s="1"/>
  <c r="B437" i="6" s="1"/>
  <c r="B438" i="6" s="1"/>
  <c r="B439" i="6" s="1"/>
  <c r="B440" i="6" s="1"/>
  <c r="B441" i="6" s="1"/>
  <c r="B442" i="6" s="1"/>
  <c r="B443" i="6" s="1"/>
  <c r="B444" i="6" s="1"/>
  <c r="B445" i="6" s="1"/>
  <c r="M434" i="6"/>
  <c r="G434" i="6"/>
  <c r="G446" i="6" s="1"/>
  <c r="O433" i="6"/>
  <c r="F19" i="1" s="1"/>
  <c r="F432" i="6"/>
  <c r="E432" i="6"/>
  <c r="M431" i="6"/>
  <c r="G431" i="6"/>
  <c r="M430" i="6"/>
  <c r="G430" i="6"/>
  <c r="M429" i="6"/>
  <c r="G429" i="6"/>
  <c r="M428" i="6"/>
  <c r="G428" i="6"/>
  <c r="M427" i="6"/>
  <c r="G427" i="6"/>
  <c r="M426" i="6"/>
  <c r="G426" i="6"/>
  <c r="M425" i="6"/>
  <c r="G425" i="6"/>
  <c r="M424" i="6"/>
  <c r="G424" i="6"/>
  <c r="M423" i="6"/>
  <c r="G423" i="6"/>
  <c r="M422" i="6"/>
  <c r="G422" i="6"/>
  <c r="M421" i="6"/>
  <c r="G421" i="6"/>
  <c r="B421" i="6"/>
  <c r="B422" i="6" s="1"/>
  <c r="B423" i="6" s="1"/>
  <c r="B424" i="6" s="1"/>
  <c r="B425" i="6" s="1"/>
  <c r="B426" i="6" s="1"/>
  <c r="B427" i="6" s="1"/>
  <c r="B428" i="6" s="1"/>
  <c r="B429" i="6" s="1"/>
  <c r="B430" i="6" s="1"/>
  <c r="B431" i="6" s="1"/>
  <c r="M420" i="6"/>
  <c r="G420" i="6"/>
  <c r="F419" i="6"/>
  <c r="F433" i="6" s="1"/>
  <c r="E419" i="6"/>
  <c r="E433" i="6" s="1"/>
  <c r="M418" i="6"/>
  <c r="G418" i="6"/>
  <c r="M417" i="6"/>
  <c r="G417" i="6"/>
  <c r="M416" i="6"/>
  <c r="G416" i="6"/>
  <c r="M415" i="6"/>
  <c r="G415" i="6"/>
  <c r="M414" i="6"/>
  <c r="G414" i="6"/>
  <c r="M413" i="6"/>
  <c r="G413" i="6"/>
  <c r="M412" i="6"/>
  <c r="G412" i="6"/>
  <c r="M411" i="6"/>
  <c r="G411" i="6"/>
  <c r="M410" i="6"/>
  <c r="G410" i="6"/>
  <c r="M409" i="6"/>
  <c r="G409" i="6"/>
  <c r="M408" i="6"/>
  <c r="G408" i="6"/>
  <c r="B408" i="6"/>
  <c r="B409" i="6" s="1"/>
  <c r="B410" i="6" s="1"/>
  <c r="B411" i="6" s="1"/>
  <c r="B412" i="6" s="1"/>
  <c r="B413" i="6" s="1"/>
  <c r="B414" i="6" s="1"/>
  <c r="B415" i="6" s="1"/>
  <c r="B416" i="6" s="1"/>
  <c r="B417" i="6" s="1"/>
  <c r="B418" i="6" s="1"/>
  <c r="M407" i="6"/>
  <c r="G407" i="6"/>
  <c r="O406" i="6"/>
  <c r="F18" i="1" s="1"/>
  <c r="G18" i="1" s="1"/>
  <c r="F405" i="6"/>
  <c r="E405" i="6"/>
  <c r="M404" i="6"/>
  <c r="G404" i="6"/>
  <c r="M403" i="6"/>
  <c r="G403" i="6"/>
  <c r="M402" i="6"/>
  <c r="G402" i="6"/>
  <c r="M401" i="6"/>
  <c r="G401" i="6"/>
  <c r="M400" i="6"/>
  <c r="G400" i="6"/>
  <c r="M399" i="6"/>
  <c r="G399" i="6"/>
  <c r="M398" i="6"/>
  <c r="G398" i="6"/>
  <c r="M397" i="6"/>
  <c r="G397" i="6"/>
  <c r="M396" i="6"/>
  <c r="G396" i="6"/>
  <c r="M395" i="6"/>
  <c r="G395" i="6"/>
  <c r="M394" i="6"/>
  <c r="G394" i="6"/>
  <c r="B394" i="6"/>
  <c r="B395" i="6" s="1"/>
  <c r="B396" i="6" s="1"/>
  <c r="B397" i="6" s="1"/>
  <c r="B398" i="6" s="1"/>
  <c r="B399" i="6" s="1"/>
  <c r="B400" i="6" s="1"/>
  <c r="B401" i="6" s="1"/>
  <c r="B402" i="6" s="1"/>
  <c r="B403" i="6" s="1"/>
  <c r="B404" i="6" s="1"/>
  <c r="M393" i="6"/>
  <c r="G393" i="6"/>
  <c r="F392" i="6"/>
  <c r="F406" i="6" s="1"/>
  <c r="E392" i="6"/>
  <c r="E406" i="6" s="1"/>
  <c r="M391" i="6"/>
  <c r="G391" i="6"/>
  <c r="M390" i="6"/>
  <c r="G390" i="6"/>
  <c r="M389" i="6"/>
  <c r="G389" i="6"/>
  <c r="M388" i="6"/>
  <c r="G388" i="6"/>
  <c r="M387" i="6"/>
  <c r="G387" i="6"/>
  <c r="M386" i="6"/>
  <c r="G386" i="6"/>
  <c r="M385" i="6"/>
  <c r="G385" i="6"/>
  <c r="M384" i="6"/>
  <c r="G384" i="6"/>
  <c r="M383" i="6"/>
  <c r="G383" i="6"/>
  <c r="M382" i="6"/>
  <c r="G382" i="6"/>
  <c r="M381" i="6"/>
  <c r="G381" i="6"/>
  <c r="B381" i="6"/>
  <c r="B382" i="6" s="1"/>
  <c r="B383" i="6" s="1"/>
  <c r="B384" i="6" s="1"/>
  <c r="B385" i="6" s="1"/>
  <c r="B386" i="6" s="1"/>
  <c r="B387" i="6" s="1"/>
  <c r="B388" i="6" s="1"/>
  <c r="B389" i="6" s="1"/>
  <c r="B390" i="6" s="1"/>
  <c r="B391" i="6" s="1"/>
  <c r="M380" i="6"/>
  <c r="G380" i="6"/>
  <c r="O379" i="6"/>
  <c r="F17" i="1" s="1"/>
  <c r="F378" i="6"/>
  <c r="E378" i="6"/>
  <c r="M377" i="6"/>
  <c r="G377" i="6"/>
  <c r="M376" i="6"/>
  <c r="G376" i="6"/>
  <c r="M375" i="6"/>
  <c r="G375" i="6"/>
  <c r="M374" i="6"/>
  <c r="G374" i="6"/>
  <c r="M373" i="6"/>
  <c r="G373" i="6"/>
  <c r="M372" i="6"/>
  <c r="G372" i="6"/>
  <c r="M371" i="6"/>
  <c r="G371" i="6"/>
  <c r="M370" i="6"/>
  <c r="G370" i="6"/>
  <c r="M369" i="6"/>
  <c r="G369" i="6"/>
  <c r="M368" i="6"/>
  <c r="G368" i="6"/>
  <c r="M367" i="6"/>
  <c r="G367" i="6"/>
  <c r="B367" i="6"/>
  <c r="B368" i="6" s="1"/>
  <c r="B369" i="6" s="1"/>
  <c r="B370" i="6" s="1"/>
  <c r="B371" i="6" s="1"/>
  <c r="B372" i="6" s="1"/>
  <c r="B373" i="6" s="1"/>
  <c r="B374" i="6" s="1"/>
  <c r="B375" i="6" s="1"/>
  <c r="B376" i="6" s="1"/>
  <c r="B377" i="6" s="1"/>
  <c r="M366" i="6"/>
  <c r="G366" i="6"/>
  <c r="F365" i="6"/>
  <c r="F379" i="6" s="1"/>
  <c r="E365" i="6"/>
  <c r="E379" i="6" s="1"/>
  <c r="M364" i="6"/>
  <c r="G364" i="6"/>
  <c r="M363" i="6"/>
  <c r="G363" i="6"/>
  <c r="M362" i="6"/>
  <c r="G362" i="6"/>
  <c r="M361" i="6"/>
  <c r="G361" i="6"/>
  <c r="M360" i="6"/>
  <c r="G360" i="6"/>
  <c r="M359" i="6"/>
  <c r="G359" i="6"/>
  <c r="M358" i="6"/>
  <c r="G358" i="6"/>
  <c r="M357" i="6"/>
  <c r="G357" i="6"/>
  <c r="M356" i="6"/>
  <c r="G356" i="6"/>
  <c r="M355" i="6"/>
  <c r="G355" i="6"/>
  <c r="M354" i="6"/>
  <c r="G354" i="6"/>
  <c r="B354" i="6"/>
  <c r="B355" i="6" s="1"/>
  <c r="B356" i="6" s="1"/>
  <c r="B357" i="6" s="1"/>
  <c r="B358" i="6" s="1"/>
  <c r="B359" i="6" s="1"/>
  <c r="B360" i="6" s="1"/>
  <c r="B361" i="6" s="1"/>
  <c r="B362" i="6" s="1"/>
  <c r="B363" i="6" s="1"/>
  <c r="B364" i="6" s="1"/>
  <c r="M353" i="6"/>
  <c r="G353" i="6"/>
  <c r="O352" i="6"/>
  <c r="F16" i="1" s="1"/>
  <c r="F351" i="6"/>
  <c r="E351" i="6"/>
  <c r="M350" i="6"/>
  <c r="G350" i="6"/>
  <c r="M349" i="6"/>
  <c r="G349" i="6"/>
  <c r="M348" i="6"/>
  <c r="G348" i="6"/>
  <c r="M347" i="6"/>
  <c r="G347" i="6"/>
  <c r="M346" i="6"/>
  <c r="G346" i="6"/>
  <c r="M345" i="6"/>
  <c r="G345" i="6"/>
  <c r="M344" i="6"/>
  <c r="G344" i="6"/>
  <c r="M343" i="6"/>
  <c r="G343" i="6"/>
  <c r="M342" i="6"/>
  <c r="G342" i="6"/>
  <c r="M341" i="6"/>
  <c r="G341" i="6"/>
  <c r="M340" i="6"/>
  <c r="G340" i="6"/>
  <c r="B340" i="6"/>
  <c r="B341" i="6" s="1"/>
  <c r="B342" i="6" s="1"/>
  <c r="B343" i="6" s="1"/>
  <c r="B344" i="6" s="1"/>
  <c r="B345" i="6" s="1"/>
  <c r="B346" i="6" s="1"/>
  <c r="B347" i="6" s="1"/>
  <c r="B348" i="6" s="1"/>
  <c r="B349" i="6" s="1"/>
  <c r="B350" i="6" s="1"/>
  <c r="M339" i="6"/>
  <c r="G339" i="6"/>
  <c r="F338" i="6"/>
  <c r="F352" i="6" s="1"/>
  <c r="E338" i="6"/>
  <c r="M337" i="6"/>
  <c r="G337" i="6"/>
  <c r="M336" i="6"/>
  <c r="G336" i="6"/>
  <c r="M335" i="6"/>
  <c r="G335" i="6"/>
  <c r="M334" i="6"/>
  <c r="G334" i="6"/>
  <c r="M333" i="6"/>
  <c r="G333" i="6"/>
  <c r="M332" i="6"/>
  <c r="G332" i="6"/>
  <c r="M331" i="6"/>
  <c r="G331" i="6"/>
  <c r="M330" i="6"/>
  <c r="G330" i="6"/>
  <c r="M329" i="6"/>
  <c r="G329" i="6"/>
  <c r="M328" i="6"/>
  <c r="G328" i="6"/>
  <c r="M327" i="6"/>
  <c r="B327" i="6"/>
  <c r="B328" i="6" s="1"/>
  <c r="B329" i="6" s="1"/>
  <c r="B330" i="6" s="1"/>
  <c r="B331" i="6" s="1"/>
  <c r="B332" i="6" s="1"/>
  <c r="B333" i="6" s="1"/>
  <c r="B334" i="6" s="1"/>
  <c r="B335" i="6" s="1"/>
  <c r="B336" i="6" s="1"/>
  <c r="B337" i="6" s="1"/>
  <c r="M326" i="6"/>
  <c r="G326" i="6"/>
  <c r="O325" i="6"/>
  <c r="F15" i="1" s="1"/>
  <c r="F324" i="6"/>
  <c r="E324" i="6"/>
  <c r="M323" i="6"/>
  <c r="G323" i="6"/>
  <c r="M322" i="6"/>
  <c r="G322" i="6"/>
  <c r="M321" i="6"/>
  <c r="G321" i="6"/>
  <c r="M320" i="6"/>
  <c r="G320" i="6"/>
  <c r="M319" i="6"/>
  <c r="G319" i="6"/>
  <c r="M318" i="6"/>
  <c r="G318" i="6"/>
  <c r="M317" i="6"/>
  <c r="G317" i="6"/>
  <c r="M316" i="6"/>
  <c r="G316" i="6"/>
  <c r="M315" i="6"/>
  <c r="G315" i="6"/>
  <c r="M314" i="6"/>
  <c r="G314" i="6"/>
  <c r="M313" i="6"/>
  <c r="G313" i="6"/>
  <c r="B313" i="6"/>
  <c r="B314" i="6" s="1"/>
  <c r="B315" i="6" s="1"/>
  <c r="B316" i="6" s="1"/>
  <c r="B317" i="6" s="1"/>
  <c r="B318" i="6" s="1"/>
  <c r="B319" i="6" s="1"/>
  <c r="B320" i="6" s="1"/>
  <c r="B321" i="6" s="1"/>
  <c r="B322" i="6" s="1"/>
  <c r="B323" i="6" s="1"/>
  <c r="M312" i="6"/>
  <c r="G312" i="6"/>
  <c r="F311" i="6"/>
  <c r="F325" i="6" s="1"/>
  <c r="E311" i="6"/>
  <c r="E325" i="6" s="1"/>
  <c r="M310" i="6"/>
  <c r="G310" i="6"/>
  <c r="M309" i="6"/>
  <c r="G309" i="6"/>
  <c r="M308" i="6"/>
  <c r="G308" i="6"/>
  <c r="M307" i="6"/>
  <c r="G307" i="6"/>
  <c r="M306" i="6"/>
  <c r="G306" i="6"/>
  <c r="M305" i="6"/>
  <c r="G305" i="6"/>
  <c r="M304" i="6"/>
  <c r="G304" i="6"/>
  <c r="M303" i="6"/>
  <c r="G303" i="6"/>
  <c r="M302" i="6"/>
  <c r="G302" i="6"/>
  <c r="M301" i="6"/>
  <c r="G301" i="6"/>
  <c r="M300" i="6"/>
  <c r="G300" i="6"/>
  <c r="B300" i="6"/>
  <c r="B301" i="6" s="1"/>
  <c r="B302" i="6" s="1"/>
  <c r="B303" i="6" s="1"/>
  <c r="B304" i="6" s="1"/>
  <c r="B305" i="6" s="1"/>
  <c r="B306" i="6" s="1"/>
  <c r="B307" i="6" s="1"/>
  <c r="B308" i="6" s="1"/>
  <c r="B309" i="6" s="1"/>
  <c r="B310" i="6" s="1"/>
  <c r="M299" i="6"/>
  <c r="G299" i="6"/>
  <c r="O298" i="6"/>
  <c r="F14" i="1" s="1"/>
  <c r="F297" i="6"/>
  <c r="E297" i="6"/>
  <c r="M296" i="6"/>
  <c r="G296" i="6"/>
  <c r="M295" i="6"/>
  <c r="G295" i="6"/>
  <c r="M294" i="6"/>
  <c r="G294" i="6"/>
  <c r="M293" i="6"/>
  <c r="G293" i="6"/>
  <c r="M292" i="6"/>
  <c r="G292" i="6"/>
  <c r="M291" i="6"/>
  <c r="G291" i="6"/>
  <c r="M290" i="6"/>
  <c r="G290" i="6"/>
  <c r="M289" i="6"/>
  <c r="G289" i="6"/>
  <c r="M288" i="6"/>
  <c r="G288" i="6"/>
  <c r="M287" i="6"/>
  <c r="G287" i="6"/>
  <c r="M286" i="6"/>
  <c r="G286" i="6"/>
  <c r="B286" i="6"/>
  <c r="B287" i="6" s="1"/>
  <c r="B288" i="6" s="1"/>
  <c r="B289" i="6" s="1"/>
  <c r="B290" i="6" s="1"/>
  <c r="B291" i="6" s="1"/>
  <c r="B292" i="6" s="1"/>
  <c r="B293" i="6" s="1"/>
  <c r="B294" i="6" s="1"/>
  <c r="B295" i="6" s="1"/>
  <c r="B296" i="6" s="1"/>
  <c r="M285" i="6"/>
  <c r="G285" i="6"/>
  <c r="G297" i="6" s="1"/>
  <c r="F284" i="6"/>
  <c r="F298" i="6" s="1"/>
  <c r="E284" i="6"/>
  <c r="E298" i="6" s="1"/>
  <c r="M283" i="6"/>
  <c r="G283" i="6"/>
  <c r="M282" i="6"/>
  <c r="G282" i="6"/>
  <c r="M281" i="6"/>
  <c r="G281" i="6"/>
  <c r="M280" i="6"/>
  <c r="G280" i="6"/>
  <c r="M279" i="6"/>
  <c r="G279" i="6"/>
  <c r="G278" i="6"/>
  <c r="M277" i="6"/>
  <c r="G277" i="6"/>
  <c r="M276" i="6"/>
  <c r="G276" i="6"/>
  <c r="M275" i="6"/>
  <c r="G275" i="6"/>
  <c r="M274" i="6"/>
  <c r="G274" i="6"/>
  <c r="M273" i="6"/>
  <c r="G273" i="6"/>
  <c r="B273" i="6"/>
  <c r="B274" i="6" s="1"/>
  <c r="B275" i="6" s="1"/>
  <c r="B276" i="6" s="1"/>
  <c r="B277" i="6" s="1"/>
  <c r="B278" i="6" s="1"/>
  <c r="B279" i="6" s="1"/>
  <c r="B280" i="6" s="1"/>
  <c r="B281" i="6" s="1"/>
  <c r="B282" i="6" s="1"/>
  <c r="B283" i="6" s="1"/>
  <c r="M272" i="6"/>
  <c r="G272" i="6"/>
  <c r="O271" i="6"/>
  <c r="F13" i="1" s="1"/>
  <c r="F270" i="6"/>
  <c r="E270" i="6"/>
  <c r="M269" i="6"/>
  <c r="G269" i="6"/>
  <c r="M268" i="6"/>
  <c r="G268" i="6"/>
  <c r="M267" i="6"/>
  <c r="G267" i="6"/>
  <c r="M266" i="6"/>
  <c r="G266" i="6"/>
  <c r="M265" i="6"/>
  <c r="G265" i="6"/>
  <c r="M264" i="6"/>
  <c r="G264" i="6"/>
  <c r="M263" i="6"/>
  <c r="G263" i="6"/>
  <c r="M262" i="6"/>
  <c r="G262" i="6"/>
  <c r="M261" i="6"/>
  <c r="G261" i="6"/>
  <c r="M260" i="6"/>
  <c r="G260" i="6"/>
  <c r="M259" i="6"/>
  <c r="G259" i="6"/>
  <c r="B259" i="6"/>
  <c r="B260" i="6" s="1"/>
  <c r="B261" i="6" s="1"/>
  <c r="B262" i="6" s="1"/>
  <c r="B263" i="6" s="1"/>
  <c r="B264" i="6" s="1"/>
  <c r="B265" i="6" s="1"/>
  <c r="B266" i="6" s="1"/>
  <c r="B267" i="6" s="1"/>
  <c r="B268" i="6" s="1"/>
  <c r="B269" i="6" s="1"/>
  <c r="M258" i="6"/>
  <c r="G258" i="6"/>
  <c r="F257" i="6"/>
  <c r="E257" i="6"/>
  <c r="E271" i="6" s="1"/>
  <c r="M256" i="6"/>
  <c r="G256" i="6"/>
  <c r="M255" i="6"/>
  <c r="G255" i="6"/>
  <c r="M254" i="6"/>
  <c r="G254" i="6"/>
  <c r="M253" i="6"/>
  <c r="G253" i="6"/>
  <c r="M252" i="6"/>
  <c r="G252" i="6"/>
  <c r="M251" i="6"/>
  <c r="G251" i="6"/>
  <c r="M250" i="6"/>
  <c r="G250" i="6"/>
  <c r="M249" i="6"/>
  <c r="G249" i="6"/>
  <c r="M248" i="6"/>
  <c r="G248" i="6"/>
  <c r="M247" i="6"/>
  <c r="G247" i="6"/>
  <c r="M246" i="6"/>
  <c r="G246" i="6"/>
  <c r="B246" i="6"/>
  <c r="B247" i="6" s="1"/>
  <c r="B248" i="6" s="1"/>
  <c r="B249" i="6" s="1"/>
  <c r="B250" i="6" s="1"/>
  <c r="B251" i="6" s="1"/>
  <c r="B252" i="6" s="1"/>
  <c r="B253" i="6" s="1"/>
  <c r="B254" i="6" s="1"/>
  <c r="B255" i="6" s="1"/>
  <c r="B256" i="6" s="1"/>
  <c r="M245" i="6"/>
  <c r="G245" i="6"/>
  <c r="O244" i="6"/>
  <c r="F12" i="1" s="1"/>
  <c r="G12" i="1" s="1"/>
  <c r="F243" i="6"/>
  <c r="E243" i="6"/>
  <c r="M242" i="6"/>
  <c r="G242" i="6"/>
  <c r="M241" i="6"/>
  <c r="G241" i="6"/>
  <c r="M240" i="6"/>
  <c r="G240" i="6"/>
  <c r="M239" i="6"/>
  <c r="G239" i="6"/>
  <c r="M238" i="6"/>
  <c r="G238" i="6"/>
  <c r="M237" i="6"/>
  <c r="G237" i="6"/>
  <c r="M236" i="6"/>
  <c r="G236" i="6"/>
  <c r="M235" i="6"/>
  <c r="G235" i="6"/>
  <c r="M234" i="6"/>
  <c r="G234" i="6"/>
  <c r="M233" i="6"/>
  <c r="G233" i="6"/>
  <c r="M232" i="6"/>
  <c r="G232" i="6"/>
  <c r="B232" i="6"/>
  <c r="B233" i="6" s="1"/>
  <c r="B234" i="6" s="1"/>
  <c r="B235" i="6" s="1"/>
  <c r="B236" i="6" s="1"/>
  <c r="B237" i="6" s="1"/>
  <c r="B238" i="6" s="1"/>
  <c r="B239" i="6" s="1"/>
  <c r="B240" i="6" s="1"/>
  <c r="B241" i="6" s="1"/>
  <c r="B242" i="6" s="1"/>
  <c r="M231" i="6"/>
  <c r="G231" i="6"/>
  <c r="F230" i="6"/>
  <c r="F244" i="6" s="1"/>
  <c r="E230" i="6"/>
  <c r="E244" i="6" s="1"/>
  <c r="M229" i="6"/>
  <c r="G229" i="6"/>
  <c r="M228" i="6"/>
  <c r="G228" i="6"/>
  <c r="M227" i="6"/>
  <c r="G227" i="6"/>
  <c r="M226" i="6"/>
  <c r="G226" i="6"/>
  <c r="G225" i="6"/>
  <c r="M224" i="6"/>
  <c r="G224" i="6"/>
  <c r="M223" i="6"/>
  <c r="G223" i="6"/>
  <c r="M222" i="6"/>
  <c r="G222" i="6"/>
  <c r="M221" i="6"/>
  <c r="G221" i="6"/>
  <c r="M220" i="6"/>
  <c r="G220" i="6"/>
  <c r="M219" i="6"/>
  <c r="G219" i="6"/>
  <c r="B219" i="6"/>
  <c r="B220" i="6" s="1"/>
  <c r="B221" i="6" s="1"/>
  <c r="B222" i="6" s="1"/>
  <c r="B223" i="6" s="1"/>
  <c r="B224" i="6" s="1"/>
  <c r="B225" i="6" s="1"/>
  <c r="B226" i="6" s="1"/>
  <c r="B227" i="6" s="1"/>
  <c r="B228" i="6" s="1"/>
  <c r="B229" i="6" s="1"/>
  <c r="M218" i="6"/>
  <c r="G218" i="6"/>
  <c r="O217" i="6"/>
  <c r="F11" i="1" s="1"/>
  <c r="G11" i="1" s="1"/>
  <c r="F216" i="6"/>
  <c r="E216" i="6"/>
  <c r="M215" i="6"/>
  <c r="G215" i="6"/>
  <c r="M214" i="6"/>
  <c r="G214" i="6"/>
  <c r="M213" i="6"/>
  <c r="G213" i="6"/>
  <c r="M212" i="6"/>
  <c r="G212" i="6"/>
  <c r="M211" i="6"/>
  <c r="G211" i="6"/>
  <c r="M210" i="6"/>
  <c r="G210" i="6"/>
  <c r="M209" i="6"/>
  <c r="G209" i="6"/>
  <c r="M208" i="6"/>
  <c r="G208" i="6"/>
  <c r="M207" i="6"/>
  <c r="G207" i="6"/>
  <c r="M206" i="6"/>
  <c r="G206" i="6"/>
  <c r="M205" i="6"/>
  <c r="G205" i="6"/>
  <c r="B205" i="6"/>
  <c r="B206" i="6" s="1"/>
  <c r="B207" i="6" s="1"/>
  <c r="B208" i="6" s="1"/>
  <c r="B209" i="6" s="1"/>
  <c r="B210" i="6" s="1"/>
  <c r="B211" i="6" s="1"/>
  <c r="B212" i="6" s="1"/>
  <c r="B213" i="6" s="1"/>
  <c r="B214" i="6" s="1"/>
  <c r="B215" i="6" s="1"/>
  <c r="M204" i="6"/>
  <c r="G204" i="6"/>
  <c r="F203" i="6"/>
  <c r="F217" i="6" s="1"/>
  <c r="E203" i="6"/>
  <c r="E217" i="6" s="1"/>
  <c r="M202" i="6"/>
  <c r="G202" i="6"/>
  <c r="M201" i="6"/>
  <c r="G201" i="6"/>
  <c r="M200" i="6"/>
  <c r="G200" i="6"/>
  <c r="M199" i="6"/>
  <c r="G199" i="6"/>
  <c r="M198" i="6"/>
  <c r="G198" i="6"/>
  <c r="M197" i="6"/>
  <c r="G197" i="6"/>
  <c r="M196" i="6"/>
  <c r="G196" i="6"/>
  <c r="M195" i="6"/>
  <c r="G195" i="6"/>
  <c r="M194" i="6"/>
  <c r="G194" i="6"/>
  <c r="M193" i="6"/>
  <c r="G193" i="6"/>
  <c r="M192" i="6"/>
  <c r="G192" i="6"/>
  <c r="B192" i="6"/>
  <c r="B193" i="6" s="1"/>
  <c r="B194" i="6" s="1"/>
  <c r="B195" i="6" s="1"/>
  <c r="B196" i="6" s="1"/>
  <c r="B197" i="6" s="1"/>
  <c r="B198" i="6" s="1"/>
  <c r="B199" i="6" s="1"/>
  <c r="B200" i="6" s="1"/>
  <c r="B201" i="6" s="1"/>
  <c r="B202" i="6" s="1"/>
  <c r="M191" i="6"/>
  <c r="G191" i="6"/>
  <c r="O190" i="6"/>
  <c r="F10" i="1" s="1"/>
  <c r="F189" i="6"/>
  <c r="E189" i="6"/>
  <c r="M188" i="6"/>
  <c r="G188" i="6"/>
  <c r="M187" i="6"/>
  <c r="G187" i="6"/>
  <c r="M186" i="6"/>
  <c r="G186" i="6"/>
  <c r="M185" i="6"/>
  <c r="G185" i="6"/>
  <c r="M184" i="6"/>
  <c r="G184" i="6"/>
  <c r="M183" i="6"/>
  <c r="G183" i="6"/>
  <c r="M182" i="6"/>
  <c r="G182" i="6"/>
  <c r="M181" i="6"/>
  <c r="G181" i="6"/>
  <c r="M180" i="6"/>
  <c r="G180" i="6"/>
  <c r="M179" i="6"/>
  <c r="G179" i="6"/>
  <c r="M178" i="6"/>
  <c r="G178" i="6"/>
  <c r="B178" i="6"/>
  <c r="B179" i="6" s="1"/>
  <c r="B180" i="6" s="1"/>
  <c r="B181" i="6" s="1"/>
  <c r="B182" i="6" s="1"/>
  <c r="B183" i="6" s="1"/>
  <c r="B184" i="6" s="1"/>
  <c r="B185" i="6" s="1"/>
  <c r="B186" i="6" s="1"/>
  <c r="B187" i="6" s="1"/>
  <c r="B188" i="6" s="1"/>
  <c r="M177" i="6"/>
  <c r="G177" i="6"/>
  <c r="F176" i="6"/>
  <c r="F190" i="6" s="1"/>
  <c r="E176" i="6"/>
  <c r="E190" i="6" s="1"/>
  <c r="M175" i="6"/>
  <c r="G175" i="6"/>
  <c r="M174" i="6"/>
  <c r="G174" i="6"/>
  <c r="M173" i="6"/>
  <c r="G173" i="6"/>
  <c r="M172" i="6"/>
  <c r="G172" i="6"/>
  <c r="M171" i="6"/>
  <c r="G171" i="6"/>
  <c r="M170" i="6"/>
  <c r="G170" i="6"/>
  <c r="M169" i="6"/>
  <c r="G169" i="6"/>
  <c r="M168" i="6"/>
  <c r="G168" i="6"/>
  <c r="M167" i="6"/>
  <c r="G167" i="6"/>
  <c r="M166" i="6"/>
  <c r="G166" i="6"/>
  <c r="M165" i="6"/>
  <c r="G165" i="6"/>
  <c r="B165" i="6"/>
  <c r="B166" i="6" s="1"/>
  <c r="B167" i="6" s="1"/>
  <c r="B168" i="6" s="1"/>
  <c r="B169" i="6" s="1"/>
  <c r="B170" i="6" s="1"/>
  <c r="B171" i="6" s="1"/>
  <c r="B172" i="6" s="1"/>
  <c r="B173" i="6" s="1"/>
  <c r="B174" i="6" s="1"/>
  <c r="B175" i="6" s="1"/>
  <c r="M164" i="6"/>
  <c r="G164" i="6"/>
  <c r="G176" i="6" s="1"/>
  <c r="O163" i="6"/>
  <c r="F9" i="1" s="1"/>
  <c r="F162" i="6"/>
  <c r="E162" i="6"/>
  <c r="M161" i="6"/>
  <c r="G161" i="6"/>
  <c r="M160" i="6"/>
  <c r="G160" i="6"/>
  <c r="M159" i="6"/>
  <c r="G159" i="6"/>
  <c r="M158" i="6"/>
  <c r="G158" i="6"/>
  <c r="M157" i="6"/>
  <c r="G157" i="6"/>
  <c r="M156" i="6"/>
  <c r="G156" i="6"/>
  <c r="M155" i="6"/>
  <c r="G155" i="6"/>
  <c r="M154" i="6"/>
  <c r="G154" i="6"/>
  <c r="M153" i="6"/>
  <c r="G153" i="6"/>
  <c r="M152" i="6"/>
  <c r="G152" i="6"/>
  <c r="M151" i="6"/>
  <c r="G151" i="6"/>
  <c r="B151" i="6"/>
  <c r="B152" i="6" s="1"/>
  <c r="B153" i="6" s="1"/>
  <c r="B154" i="6" s="1"/>
  <c r="B155" i="6" s="1"/>
  <c r="B156" i="6" s="1"/>
  <c r="B157" i="6" s="1"/>
  <c r="B158" i="6" s="1"/>
  <c r="B159" i="6" s="1"/>
  <c r="B160" i="6" s="1"/>
  <c r="B161" i="6" s="1"/>
  <c r="M150" i="6"/>
  <c r="G150" i="6"/>
  <c r="F149" i="6"/>
  <c r="E149" i="6"/>
  <c r="M148" i="6"/>
  <c r="G148" i="6"/>
  <c r="M147" i="6"/>
  <c r="G147" i="6"/>
  <c r="M146" i="6"/>
  <c r="G146" i="6"/>
  <c r="M145" i="6"/>
  <c r="G145" i="6"/>
  <c r="M144" i="6"/>
  <c r="G144" i="6"/>
  <c r="M143" i="6"/>
  <c r="G143" i="6"/>
  <c r="M142" i="6"/>
  <c r="G142" i="6"/>
  <c r="M141" i="6"/>
  <c r="G141" i="6"/>
  <c r="M140" i="6"/>
  <c r="G140" i="6"/>
  <c r="M139" i="6"/>
  <c r="G139" i="6"/>
  <c r="M138" i="6"/>
  <c r="G138" i="6"/>
  <c r="B138" i="6"/>
  <c r="B139" i="6" s="1"/>
  <c r="B140" i="6" s="1"/>
  <c r="B141" i="6" s="1"/>
  <c r="B142" i="6" s="1"/>
  <c r="B143" i="6" s="1"/>
  <c r="B144" i="6" s="1"/>
  <c r="B145" i="6" s="1"/>
  <c r="B146" i="6" s="1"/>
  <c r="B147" i="6" s="1"/>
  <c r="B148" i="6" s="1"/>
  <c r="M137" i="6"/>
  <c r="G137" i="6"/>
  <c r="G149" i="6" s="1"/>
  <c r="O136" i="6"/>
  <c r="F8" i="1" s="1"/>
  <c r="F135" i="6"/>
  <c r="E135" i="6"/>
  <c r="M134" i="6"/>
  <c r="G134" i="6"/>
  <c r="M133" i="6"/>
  <c r="G133" i="6"/>
  <c r="M132" i="6"/>
  <c r="G132" i="6"/>
  <c r="M131" i="6"/>
  <c r="G131" i="6"/>
  <c r="M130" i="6"/>
  <c r="G130" i="6"/>
  <c r="M129" i="6"/>
  <c r="G129" i="6"/>
  <c r="M128" i="6"/>
  <c r="G128" i="6"/>
  <c r="M127" i="6"/>
  <c r="G127" i="6"/>
  <c r="M126" i="6"/>
  <c r="G126" i="6"/>
  <c r="M125" i="6"/>
  <c r="G125" i="6"/>
  <c r="M124" i="6"/>
  <c r="G124" i="6"/>
  <c r="B124" i="6"/>
  <c r="B125" i="6" s="1"/>
  <c r="B126" i="6" s="1"/>
  <c r="B127" i="6" s="1"/>
  <c r="B128" i="6" s="1"/>
  <c r="B129" i="6" s="1"/>
  <c r="B130" i="6" s="1"/>
  <c r="B131" i="6" s="1"/>
  <c r="B132" i="6" s="1"/>
  <c r="B133" i="6" s="1"/>
  <c r="B134" i="6" s="1"/>
  <c r="M123" i="6"/>
  <c r="G123" i="6"/>
  <c r="F122" i="6"/>
  <c r="E122" i="6"/>
  <c r="E136" i="6" s="1"/>
  <c r="M121" i="6"/>
  <c r="G121" i="6"/>
  <c r="M120" i="6"/>
  <c r="G120" i="6"/>
  <c r="M119" i="6"/>
  <c r="G119" i="6"/>
  <c r="M118" i="6"/>
  <c r="G118" i="6"/>
  <c r="M117" i="6"/>
  <c r="G117" i="6"/>
  <c r="M116" i="6"/>
  <c r="G116" i="6"/>
  <c r="M115" i="6"/>
  <c r="G115" i="6"/>
  <c r="M114" i="6"/>
  <c r="G114" i="6"/>
  <c r="M113" i="6"/>
  <c r="G113" i="6"/>
  <c r="M112" i="6"/>
  <c r="G112" i="6"/>
  <c r="M111" i="6"/>
  <c r="G111" i="6"/>
  <c r="B111" i="6"/>
  <c r="B112" i="6" s="1"/>
  <c r="B113" i="6" s="1"/>
  <c r="B114" i="6" s="1"/>
  <c r="B115" i="6" s="1"/>
  <c r="B116" i="6" s="1"/>
  <c r="B117" i="6" s="1"/>
  <c r="B118" i="6" s="1"/>
  <c r="B119" i="6" s="1"/>
  <c r="B120" i="6" s="1"/>
  <c r="B121" i="6" s="1"/>
  <c r="M110" i="6"/>
  <c r="G110" i="6"/>
  <c r="O109" i="6"/>
  <c r="F7" i="1" s="1"/>
  <c r="F108" i="6"/>
  <c r="E108" i="6"/>
  <c r="M107" i="6"/>
  <c r="M106" i="6"/>
  <c r="M105" i="6"/>
  <c r="M104" i="6"/>
  <c r="M103" i="6"/>
  <c r="M102" i="6"/>
  <c r="M101" i="6"/>
  <c r="M100" i="6"/>
  <c r="M99" i="6"/>
  <c r="M98" i="6"/>
  <c r="M97" i="6"/>
  <c r="G97" i="6"/>
  <c r="B97" i="6"/>
  <c r="B98" i="6" s="1"/>
  <c r="B99" i="6" s="1"/>
  <c r="B100" i="6" s="1"/>
  <c r="B101" i="6" s="1"/>
  <c r="B102" i="6" s="1"/>
  <c r="B103" i="6" s="1"/>
  <c r="B104" i="6" s="1"/>
  <c r="B105" i="6" s="1"/>
  <c r="B106" i="6" s="1"/>
  <c r="B107" i="6" s="1"/>
  <c r="M96" i="6"/>
  <c r="G96" i="6"/>
  <c r="F95" i="6"/>
  <c r="F109" i="6" s="1"/>
  <c r="E95" i="6"/>
  <c r="E109" i="6" s="1"/>
  <c r="M94" i="6"/>
  <c r="G94" i="6"/>
  <c r="M93" i="6"/>
  <c r="G93" i="6"/>
  <c r="M92" i="6"/>
  <c r="G92" i="6"/>
  <c r="M91" i="6"/>
  <c r="G91" i="6"/>
  <c r="M90" i="6"/>
  <c r="G90" i="6"/>
  <c r="M89" i="6"/>
  <c r="G89" i="6"/>
  <c r="M88" i="6"/>
  <c r="G88" i="6"/>
  <c r="M87" i="6"/>
  <c r="G87" i="6"/>
  <c r="M86" i="6"/>
  <c r="G86" i="6"/>
  <c r="M85" i="6"/>
  <c r="G85" i="6"/>
  <c r="M84" i="6"/>
  <c r="G84" i="6"/>
  <c r="B84" i="6"/>
  <c r="B85" i="6" s="1"/>
  <c r="B86" i="6" s="1"/>
  <c r="B87" i="6" s="1"/>
  <c r="B88" i="6" s="1"/>
  <c r="B89" i="6" s="1"/>
  <c r="B90" i="6" s="1"/>
  <c r="B91" i="6" s="1"/>
  <c r="B92" i="6" s="1"/>
  <c r="B93" i="6" s="1"/>
  <c r="B94" i="6" s="1"/>
  <c r="M83" i="6"/>
  <c r="G83" i="6"/>
  <c r="G95" i="6" s="1"/>
  <c r="O82" i="6"/>
  <c r="F6" i="1" s="1"/>
  <c r="F81" i="6"/>
  <c r="E81" i="6"/>
  <c r="M80" i="6"/>
  <c r="G80" i="6"/>
  <c r="M79" i="6"/>
  <c r="G79" i="6"/>
  <c r="M78" i="6"/>
  <c r="G78" i="6"/>
  <c r="M77" i="6"/>
  <c r="G77" i="6"/>
  <c r="M76" i="6"/>
  <c r="G76" i="6"/>
  <c r="M75" i="6"/>
  <c r="G75" i="6"/>
  <c r="M74" i="6"/>
  <c r="G74" i="6"/>
  <c r="M73" i="6"/>
  <c r="G73" i="6"/>
  <c r="M72" i="6"/>
  <c r="G72" i="6"/>
  <c r="M71" i="6"/>
  <c r="G71" i="6"/>
  <c r="M70" i="6"/>
  <c r="G70" i="6"/>
  <c r="B70" i="6"/>
  <c r="B71" i="6" s="1"/>
  <c r="B72" i="6" s="1"/>
  <c r="B73" i="6" s="1"/>
  <c r="B74" i="6" s="1"/>
  <c r="B75" i="6" s="1"/>
  <c r="B76" i="6" s="1"/>
  <c r="B77" i="6" s="1"/>
  <c r="B78" i="6" s="1"/>
  <c r="B79" i="6" s="1"/>
  <c r="B80" i="6" s="1"/>
  <c r="M69" i="6"/>
  <c r="G69" i="6"/>
  <c r="G81" i="6" s="1"/>
  <c r="F68" i="6"/>
  <c r="E68" i="6"/>
  <c r="E82" i="6" s="1"/>
  <c r="M67" i="6"/>
  <c r="G67" i="6"/>
  <c r="M66" i="6"/>
  <c r="G66" i="6"/>
  <c r="M65" i="6"/>
  <c r="G65" i="6"/>
  <c r="M64" i="6"/>
  <c r="G64" i="6"/>
  <c r="M63" i="6"/>
  <c r="G63" i="6"/>
  <c r="M62" i="6"/>
  <c r="G62" i="6"/>
  <c r="M61" i="6"/>
  <c r="G61" i="6"/>
  <c r="M60" i="6"/>
  <c r="G60" i="6"/>
  <c r="M59" i="6"/>
  <c r="G59" i="6"/>
  <c r="M58" i="6"/>
  <c r="G58" i="6"/>
  <c r="M57" i="6"/>
  <c r="G57" i="6"/>
  <c r="B57" i="6"/>
  <c r="B58" i="6" s="1"/>
  <c r="B59" i="6" s="1"/>
  <c r="B60" i="6" s="1"/>
  <c r="B61" i="6" s="1"/>
  <c r="B62" i="6" s="1"/>
  <c r="B63" i="6" s="1"/>
  <c r="B64" i="6" s="1"/>
  <c r="B65" i="6" s="1"/>
  <c r="B66" i="6" s="1"/>
  <c r="B67" i="6" s="1"/>
  <c r="M56" i="6"/>
  <c r="G56" i="6"/>
  <c r="G68" i="6" s="1"/>
  <c r="O55" i="6"/>
  <c r="F5" i="1" s="1"/>
  <c r="G5" i="1" s="1"/>
  <c r="F54" i="6"/>
  <c r="E54" i="6"/>
  <c r="G53" i="6"/>
  <c r="G52" i="6"/>
  <c r="G51" i="6"/>
  <c r="G50" i="6"/>
  <c r="G49" i="6"/>
  <c r="G48" i="6"/>
  <c r="G47" i="6"/>
  <c r="G46" i="6"/>
  <c r="G45" i="6"/>
  <c r="G44" i="6"/>
  <c r="G43" i="6"/>
  <c r="B43" i="6"/>
  <c r="B44" i="6" s="1"/>
  <c r="B45" i="6" s="1"/>
  <c r="B46" i="6" s="1"/>
  <c r="B47" i="6" s="1"/>
  <c r="B48" i="6" s="1"/>
  <c r="B49" i="6" s="1"/>
  <c r="B50" i="6" s="1"/>
  <c r="B51" i="6" s="1"/>
  <c r="B52" i="6" s="1"/>
  <c r="B53" i="6" s="1"/>
  <c r="G42" i="6"/>
  <c r="F41" i="6"/>
  <c r="F55" i="6" s="1"/>
  <c r="E41" i="6"/>
  <c r="E55" i="6" s="1"/>
  <c r="M40" i="6"/>
  <c r="G40" i="6"/>
  <c r="M39" i="6"/>
  <c r="G39" i="6"/>
  <c r="M38" i="6"/>
  <c r="G38" i="6"/>
  <c r="M37" i="6"/>
  <c r="G37" i="6"/>
  <c r="M36" i="6"/>
  <c r="G36" i="6"/>
  <c r="M35" i="6"/>
  <c r="G35" i="6"/>
  <c r="M34" i="6"/>
  <c r="G34" i="6"/>
  <c r="M33" i="6"/>
  <c r="G33" i="6"/>
  <c r="M32" i="6"/>
  <c r="G32" i="6"/>
  <c r="M31" i="6"/>
  <c r="G31" i="6"/>
  <c r="M30" i="6"/>
  <c r="G30" i="6"/>
  <c r="B30" i="6"/>
  <c r="B31" i="6" s="1"/>
  <c r="B32" i="6" s="1"/>
  <c r="B33" i="6" s="1"/>
  <c r="B34" i="6" s="1"/>
  <c r="B35" i="6" s="1"/>
  <c r="B36" i="6" s="1"/>
  <c r="B37" i="6" s="1"/>
  <c r="B38" i="6" s="1"/>
  <c r="B39" i="6" s="1"/>
  <c r="B40" i="6" s="1"/>
  <c r="M29" i="6"/>
  <c r="G29" i="6"/>
  <c r="O28" i="6"/>
  <c r="F4" i="1" s="1"/>
  <c r="F27" i="6"/>
  <c r="M26" i="6"/>
  <c r="G26" i="6"/>
  <c r="M25" i="6"/>
  <c r="G25" i="6"/>
  <c r="M24" i="6"/>
  <c r="G24" i="6"/>
  <c r="M23" i="6"/>
  <c r="G23" i="6"/>
  <c r="M22" i="6"/>
  <c r="G22" i="6"/>
  <c r="M21" i="6"/>
  <c r="G21" i="6"/>
  <c r="M20" i="6"/>
  <c r="G20" i="6"/>
  <c r="M19" i="6"/>
  <c r="G19" i="6"/>
  <c r="M18" i="6"/>
  <c r="G18" i="6"/>
  <c r="M17" i="6"/>
  <c r="G17" i="6"/>
  <c r="G16" i="6"/>
  <c r="B16" i="6"/>
  <c r="B17" i="6" s="1"/>
  <c r="B18" i="6" s="1"/>
  <c r="B19" i="6" s="1"/>
  <c r="B20" i="6" s="1"/>
  <c r="B21" i="6" s="1"/>
  <c r="B22" i="6" s="1"/>
  <c r="B23" i="6" s="1"/>
  <c r="B24" i="6" s="1"/>
  <c r="B25" i="6" s="1"/>
  <c r="B26" i="6" s="1"/>
  <c r="M15" i="6"/>
  <c r="G15" i="6"/>
  <c r="G27" i="6" s="1"/>
  <c r="F14" i="6"/>
  <c r="F28" i="6" s="1"/>
  <c r="M13" i="6"/>
  <c r="G13" i="6"/>
  <c r="M12" i="6"/>
  <c r="G12" i="6"/>
  <c r="M11" i="6"/>
  <c r="G11" i="6"/>
  <c r="M10" i="6"/>
  <c r="G10" i="6"/>
  <c r="M9" i="6"/>
  <c r="G9" i="6"/>
  <c r="M8" i="6"/>
  <c r="G8" i="6"/>
  <c r="M7" i="6"/>
  <c r="G7" i="6"/>
  <c r="M6" i="6"/>
  <c r="G6" i="6"/>
  <c r="M5" i="6"/>
  <c r="G5" i="6"/>
  <c r="M4" i="6"/>
  <c r="G4" i="6"/>
  <c r="M3" i="6"/>
  <c r="G3" i="6"/>
  <c r="B3" i="6"/>
  <c r="B4" i="6" s="1"/>
  <c r="B5" i="6" s="1"/>
  <c r="B6" i="6" s="1"/>
  <c r="B7" i="6" s="1"/>
  <c r="B8" i="6" s="1"/>
  <c r="B9" i="6" s="1"/>
  <c r="B10" i="6" s="1"/>
  <c r="B11" i="6" s="1"/>
  <c r="B12" i="6" s="1"/>
  <c r="B13" i="6" s="1"/>
  <c r="M2" i="6"/>
  <c r="G2" i="6"/>
  <c r="G14" i="6" s="1"/>
  <c r="G28" i="6" s="1"/>
  <c r="G32" i="1" l="1"/>
  <c r="F136" i="6"/>
  <c r="E163" i="6"/>
  <c r="G230" i="6"/>
  <c r="G243" i="6"/>
  <c r="G270" i="6"/>
  <c r="F271" i="6"/>
  <c r="E352" i="6"/>
  <c r="G378" i="6"/>
  <c r="G459" i="6"/>
  <c r="E460" i="6"/>
  <c r="F460" i="6"/>
  <c r="G473" i="6"/>
  <c r="E541" i="6"/>
  <c r="G554" i="6"/>
  <c r="G567" i="6"/>
  <c r="G581" i="6"/>
  <c r="G595" i="6" s="1"/>
  <c r="G621" i="6"/>
  <c r="E757" i="6"/>
  <c r="G770" i="6"/>
  <c r="G783" i="6"/>
  <c r="G9" i="1"/>
  <c r="G13" i="1"/>
  <c r="G19" i="1"/>
  <c r="G20" i="1"/>
  <c r="G24" i="1"/>
  <c r="G31" i="1"/>
  <c r="G6" i="1"/>
  <c r="G22" i="1"/>
  <c r="E109" i="5"/>
  <c r="E136" i="5"/>
  <c r="E244" i="5"/>
  <c r="E271" i="5"/>
  <c r="E325" i="5"/>
  <c r="E460" i="5"/>
  <c r="E487" i="5"/>
  <c r="E514" i="5"/>
  <c r="E649" i="5"/>
  <c r="E703" i="5"/>
  <c r="E730" i="5"/>
  <c r="G54" i="5"/>
  <c r="G55" i="5" s="1"/>
  <c r="G68" i="5"/>
  <c r="G95" i="5"/>
  <c r="G108" i="5"/>
  <c r="F109" i="5"/>
  <c r="G135" i="5"/>
  <c r="G149" i="5"/>
  <c r="G163" i="5" s="1"/>
  <c r="G189" i="5"/>
  <c r="F217" i="5"/>
  <c r="G230" i="5"/>
  <c r="G244" i="5" s="1"/>
  <c r="G270" i="5"/>
  <c r="F271" i="5"/>
  <c r="G311" i="5"/>
  <c r="G325" i="5" s="1"/>
  <c r="F325" i="5"/>
  <c r="G351" i="5"/>
  <c r="F352" i="5"/>
  <c r="G365" i="5"/>
  <c r="G392" i="5"/>
  <c r="G405" i="5"/>
  <c r="F406" i="5"/>
  <c r="G432" i="5"/>
  <c r="G433" i="5" s="1"/>
  <c r="G446" i="5"/>
  <c r="G460" i="5" s="1"/>
  <c r="G486" i="5"/>
  <c r="F487" i="5"/>
  <c r="F514" i="5"/>
  <c r="G527" i="5"/>
  <c r="G567" i="5"/>
  <c r="F568" i="5"/>
  <c r="G608" i="5"/>
  <c r="G622" i="5" s="1"/>
  <c r="G648" i="5"/>
  <c r="F649" i="5"/>
  <c r="G662" i="5"/>
  <c r="G676" i="5" s="1"/>
  <c r="G689" i="5"/>
  <c r="G702" i="5"/>
  <c r="F703" i="5"/>
  <c r="G729" i="5"/>
  <c r="G730" i="5" s="1"/>
  <c r="G743" i="5"/>
  <c r="G757" i="5" s="1"/>
  <c r="G770" i="5"/>
  <c r="G783" i="5"/>
  <c r="F784" i="5"/>
  <c r="E55" i="5"/>
  <c r="F55" i="5"/>
  <c r="G10" i="1"/>
  <c r="G14" i="1"/>
  <c r="G34" i="1"/>
  <c r="G16" i="1"/>
  <c r="G17" i="1"/>
  <c r="E55" i="4"/>
  <c r="E82" i="4"/>
  <c r="E136" i="4"/>
  <c r="E244" i="4"/>
  <c r="E271" i="4"/>
  <c r="E298" i="4"/>
  <c r="E325" i="4"/>
  <c r="E460" i="4"/>
  <c r="E649" i="4"/>
  <c r="E703" i="4"/>
  <c r="E730" i="4"/>
  <c r="G41" i="4"/>
  <c r="G54" i="4"/>
  <c r="F55" i="4"/>
  <c r="G81" i="4"/>
  <c r="G82" i="4" s="1"/>
  <c r="G95" i="4"/>
  <c r="G109" i="4" s="1"/>
  <c r="G135" i="4"/>
  <c r="G136" i="4" s="1"/>
  <c r="F136" i="4"/>
  <c r="F217" i="4"/>
  <c r="G230" i="4"/>
  <c r="G244" i="4" s="1"/>
  <c r="G270" i="4"/>
  <c r="G271" i="4" s="1"/>
  <c r="F271" i="4"/>
  <c r="G311" i="4"/>
  <c r="G325" i="4" s="1"/>
  <c r="G338" i="4"/>
  <c r="G351" i="4"/>
  <c r="F352" i="4"/>
  <c r="G378" i="4"/>
  <c r="G379" i="4" s="1"/>
  <c r="G392" i="4"/>
  <c r="G432" i="4"/>
  <c r="F433" i="4"/>
  <c r="F514" i="4"/>
  <c r="G527" i="4"/>
  <c r="G541" i="4" s="1"/>
  <c r="G567" i="4"/>
  <c r="F568" i="4"/>
  <c r="G608" i="4"/>
  <c r="G622" i="4" s="1"/>
  <c r="G648" i="4"/>
  <c r="G649" i="4" s="1"/>
  <c r="F649" i="4"/>
  <c r="G689" i="4"/>
  <c r="G729" i="4"/>
  <c r="F730" i="4"/>
  <c r="G770" i="4"/>
  <c r="G784" i="4" s="1"/>
  <c r="G14" i="5"/>
  <c r="G28" i="5" s="1"/>
  <c r="F28" i="5"/>
  <c r="G14" i="4"/>
  <c r="G28" i="4" s="1"/>
  <c r="E82" i="3"/>
  <c r="E109" i="3"/>
  <c r="E136" i="3"/>
  <c r="E460" i="3"/>
  <c r="E487" i="3"/>
  <c r="E514" i="3"/>
  <c r="E676" i="3"/>
  <c r="E703" i="3"/>
  <c r="E730" i="3"/>
  <c r="E784" i="3"/>
  <c r="F55" i="3"/>
  <c r="G68" i="3"/>
  <c r="G82" i="3" s="1"/>
  <c r="G95" i="3"/>
  <c r="G108" i="3"/>
  <c r="F109" i="3"/>
  <c r="G122" i="3"/>
  <c r="G135" i="3"/>
  <c r="G149" i="3"/>
  <c r="G162" i="3"/>
  <c r="G189" i="3"/>
  <c r="G190" i="3" s="1"/>
  <c r="G230" i="3"/>
  <c r="G244" i="3" s="1"/>
  <c r="G270" i="3"/>
  <c r="F271" i="3"/>
  <c r="G284" i="3"/>
  <c r="G324" i="3"/>
  <c r="G325" i="3" s="1"/>
  <c r="F325" i="3"/>
  <c r="F352" i="3"/>
  <c r="G365" i="3"/>
  <c r="G379" i="3" s="1"/>
  <c r="G392" i="3"/>
  <c r="G405" i="3"/>
  <c r="F406" i="3"/>
  <c r="G419" i="3"/>
  <c r="G432" i="3"/>
  <c r="G446" i="3"/>
  <c r="G459" i="3"/>
  <c r="G486" i="3"/>
  <c r="G487" i="3" s="1"/>
  <c r="G527" i="3"/>
  <c r="G567" i="3"/>
  <c r="F568" i="3"/>
  <c r="G581" i="3"/>
  <c r="G595" i="3" s="1"/>
  <c r="G621" i="3"/>
  <c r="G622" i="3" s="1"/>
  <c r="F649" i="3"/>
  <c r="G662" i="3"/>
  <c r="G702" i="3"/>
  <c r="F703" i="3"/>
  <c r="G743" i="3"/>
  <c r="G757" i="3" s="1"/>
  <c r="F757" i="3"/>
  <c r="G783" i="3"/>
  <c r="G810" i="3"/>
  <c r="G811" i="3" s="1"/>
  <c r="G14" i="3"/>
  <c r="G28" i="3" s="1"/>
  <c r="F28" i="3"/>
  <c r="G784" i="3"/>
  <c r="G271" i="3"/>
  <c r="G541" i="3"/>
  <c r="G406" i="3"/>
  <c r="G703" i="3"/>
  <c r="G568" i="3"/>
  <c r="G676" i="3"/>
  <c r="G109" i="3"/>
  <c r="G136" i="3"/>
  <c r="G298" i="3"/>
  <c r="G406" i="4"/>
  <c r="G433" i="4"/>
  <c r="G568" i="4"/>
  <c r="G730" i="4"/>
  <c r="G703" i="4"/>
  <c r="G55" i="4"/>
  <c r="G487" i="5"/>
  <c r="G649" i="5"/>
  <c r="G109" i="5"/>
  <c r="G136" i="5"/>
  <c r="G271" i="5"/>
  <c r="G82" i="5"/>
  <c r="G406" i="5"/>
  <c r="G568" i="5"/>
  <c r="G352" i="5"/>
  <c r="G541" i="5"/>
  <c r="G379" i="5"/>
  <c r="G703" i="5"/>
  <c r="G190" i="5"/>
  <c r="E541" i="3"/>
  <c r="E784" i="5"/>
  <c r="M554" i="4"/>
  <c r="M621" i="4"/>
  <c r="M594" i="4"/>
  <c r="M14" i="3"/>
  <c r="M756" i="4"/>
  <c r="M405" i="5"/>
  <c r="M27" i="4"/>
  <c r="M297" i="3"/>
  <c r="M135" i="5"/>
  <c r="M162" i="4"/>
  <c r="M230" i="5"/>
  <c r="M743" i="3"/>
  <c r="M81" i="4"/>
  <c r="M419" i="6"/>
  <c r="M459" i="6"/>
  <c r="M702" i="6"/>
  <c r="M797" i="6"/>
  <c r="M135" i="3"/>
  <c r="M95" i="6"/>
  <c r="M324" i="3"/>
  <c r="M527" i="5"/>
  <c r="M122" i="6"/>
  <c r="M797" i="5"/>
  <c r="M95" i="4"/>
  <c r="M176" i="6"/>
  <c r="M230" i="6"/>
  <c r="M270" i="6"/>
  <c r="M554" i="6"/>
  <c r="M783" i="6"/>
  <c r="M68" i="4"/>
  <c r="M41" i="5"/>
  <c r="M365" i="3"/>
  <c r="M756" i="5"/>
  <c r="M54" i="4"/>
  <c r="M689" i="5"/>
  <c r="M500" i="3"/>
  <c r="M635" i="6"/>
  <c r="M122" i="4"/>
  <c r="M540" i="3"/>
  <c r="M68" i="5"/>
  <c r="M338" i="5"/>
  <c r="M513" i="4"/>
  <c r="M527" i="4"/>
  <c r="M567" i="5"/>
  <c r="M378" i="6"/>
  <c r="M216" i="3"/>
  <c r="M716" i="5"/>
  <c r="M702" i="3"/>
  <c r="M473" i="4"/>
  <c r="M648" i="5"/>
  <c r="M41" i="3"/>
  <c r="M108" i="3"/>
  <c r="M675" i="3"/>
  <c r="M270" i="5"/>
  <c r="M311" i="5"/>
  <c r="M608" i="4"/>
  <c r="M189" i="5"/>
  <c r="M392" i="6"/>
  <c r="M473" i="6"/>
  <c r="M54" i="3"/>
  <c r="M230" i="3"/>
  <c r="M527" i="6"/>
  <c r="M338" i="6"/>
  <c r="M783" i="3"/>
  <c r="M149" i="6"/>
  <c r="M729" i="6"/>
  <c r="M770" i="6"/>
  <c r="M162" i="3"/>
  <c r="M797" i="3"/>
  <c r="M378" i="5"/>
  <c r="M716" i="3"/>
  <c r="M243" i="3"/>
  <c r="M405" i="4"/>
  <c r="M432" i="6"/>
  <c r="M14" i="6"/>
  <c r="M27" i="5"/>
  <c r="M419" i="3"/>
  <c r="M446" i="3"/>
  <c r="G784" i="6"/>
  <c r="M297" i="6"/>
  <c r="G135" i="6"/>
  <c r="G392" i="6"/>
  <c r="M392" i="3"/>
  <c r="M162" i="6"/>
  <c r="M41" i="6"/>
  <c r="M216" i="6"/>
  <c r="G460" i="6"/>
  <c r="M311" i="3"/>
  <c r="M621" i="3"/>
  <c r="D35" i="1"/>
  <c r="G4" i="1"/>
  <c r="M203" i="4"/>
  <c r="M203" i="5"/>
  <c r="M243" i="5"/>
  <c r="G162" i="6"/>
  <c r="G189" i="6"/>
  <c r="M189" i="3"/>
  <c r="G54" i="6"/>
  <c r="M189" i="6"/>
  <c r="M41" i="4"/>
  <c r="M675" i="5"/>
  <c r="M54" i="6"/>
  <c r="G311" i="6"/>
  <c r="G33" i="1"/>
  <c r="M284" i="4"/>
  <c r="F163" i="6"/>
  <c r="M621" i="6"/>
  <c r="G8" i="1"/>
  <c r="G25" i="1"/>
  <c r="M513" i="3"/>
  <c r="M554" i="3"/>
  <c r="M257" i="4"/>
  <c r="M648" i="4"/>
  <c r="M176" i="5"/>
  <c r="M95" i="5"/>
  <c r="G82" i="6"/>
  <c r="M135" i="6"/>
  <c r="G338" i="6"/>
  <c r="M648" i="3"/>
  <c r="M540" i="6"/>
  <c r="M459" i="4"/>
  <c r="M500" i="6"/>
  <c r="M770" i="3"/>
  <c r="G730" i="6"/>
  <c r="M716" i="6"/>
  <c r="G216" i="6"/>
  <c r="M338" i="3"/>
  <c r="M743" i="4"/>
  <c r="M702" i="5"/>
  <c r="G190" i="6"/>
  <c r="G689" i="6"/>
  <c r="G163" i="6"/>
  <c r="G662" i="6"/>
  <c r="E811" i="6"/>
  <c r="M297" i="4"/>
  <c r="M675" i="4"/>
  <c r="M486" i="5"/>
  <c r="M743" i="5"/>
  <c r="M594" i="6"/>
  <c r="M27" i="3"/>
  <c r="M729" i="3"/>
  <c r="M135" i="4"/>
  <c r="G27" i="1"/>
  <c r="M513" i="6"/>
  <c r="G635" i="6"/>
  <c r="C35" i="1"/>
  <c r="M729" i="4"/>
  <c r="M149" i="5"/>
  <c r="M257" i="6"/>
  <c r="G743" i="6"/>
  <c r="M810" i="6"/>
  <c r="M203" i="3"/>
  <c r="M405" i="3"/>
  <c r="M230" i="4"/>
  <c r="M54" i="5"/>
  <c r="M122" i="5"/>
  <c r="M486" i="6"/>
  <c r="G756" i="6"/>
  <c r="M581" i="4"/>
  <c r="M797" i="4"/>
  <c r="M446" i="5"/>
  <c r="G608" i="6"/>
  <c r="G622" i="6" s="1"/>
  <c r="G675" i="6"/>
  <c r="M756" i="6"/>
  <c r="G23" i="1"/>
  <c r="M702" i="4"/>
  <c r="M540" i="5"/>
  <c r="M594" i="5"/>
  <c r="M81" i="6"/>
  <c r="M108" i="6"/>
  <c r="G432" i="6"/>
  <c r="G486" i="6"/>
  <c r="G487" i="6" s="1"/>
  <c r="G405" i="6"/>
  <c r="G648" i="6"/>
  <c r="F703" i="6"/>
  <c r="M594" i="3"/>
  <c r="M108" i="4"/>
  <c r="M392" i="5"/>
  <c r="M419" i="5"/>
  <c r="M648" i="6"/>
  <c r="M770" i="4"/>
  <c r="M176" i="3"/>
  <c r="M351" i="3"/>
  <c r="M378" i="4"/>
  <c r="M81" i="5"/>
  <c r="M216" i="5"/>
  <c r="M365" i="5"/>
  <c r="M608" i="5"/>
  <c r="G513" i="6"/>
  <c r="G514" i="6" s="1"/>
  <c r="M68" i="3"/>
  <c r="M297" i="5"/>
  <c r="M513" i="5"/>
  <c r="M675" i="6"/>
  <c r="G21" i="1"/>
  <c r="M95" i="3"/>
  <c r="M405" i="6"/>
  <c r="G324" i="6"/>
  <c r="G7" i="1"/>
  <c r="G15" i="1"/>
  <c r="M486" i="4"/>
  <c r="M108" i="5"/>
  <c r="M68" i="6"/>
  <c r="M689" i="3"/>
  <c r="G28" i="1"/>
  <c r="M27" i="6"/>
  <c r="M446" i="6"/>
  <c r="M378" i="3"/>
  <c r="M581" i="5"/>
  <c r="M270" i="3"/>
  <c r="M662" i="4"/>
  <c r="G257" i="6"/>
  <c r="G271" i="6" s="1"/>
  <c r="G365" i="6"/>
  <c r="G379" i="6" s="1"/>
  <c r="G527" i="6"/>
  <c r="M608" i="6"/>
  <c r="M81" i="3"/>
  <c r="M432" i="3"/>
  <c r="M527" i="3"/>
  <c r="M540" i="4"/>
  <c r="G26" i="1"/>
  <c r="M14" i="5"/>
  <c r="M257" i="5"/>
  <c r="M365" i="6"/>
  <c r="M149" i="3"/>
  <c r="M432" i="4"/>
  <c r="M810" i="5"/>
  <c r="G203" i="6"/>
  <c r="G702" i="6"/>
  <c r="M743" i="6"/>
  <c r="M473" i="3"/>
  <c r="M810" i="3"/>
  <c r="M216" i="4"/>
  <c r="M689" i="4"/>
  <c r="M473" i="5"/>
  <c r="M203" i="6"/>
  <c r="E35" i="1"/>
  <c r="M608" i="3"/>
  <c r="M338" i="4"/>
  <c r="M567" i="4"/>
  <c r="M783" i="4"/>
  <c r="M324" i="5"/>
  <c r="F35" i="1"/>
  <c r="M257" i="3"/>
  <c r="G29" i="1"/>
  <c r="G30" i="1"/>
  <c r="M432" i="5"/>
  <c r="F82" i="6"/>
  <c r="M662" i="6"/>
  <c r="M270" i="4"/>
  <c r="M284" i="5"/>
  <c r="M284" i="6"/>
  <c r="M567" i="3"/>
  <c r="M635" i="3"/>
  <c r="M459" i="5"/>
  <c r="M500" i="5"/>
  <c r="G122" i="6"/>
  <c r="M243" i="6"/>
  <c r="G351" i="6"/>
  <c r="M176" i="4"/>
  <c r="M311" i="4"/>
  <c r="M446" i="4"/>
  <c r="M770" i="5"/>
  <c r="M311" i="6"/>
  <c r="M351" i="6"/>
  <c r="G540" i="6"/>
  <c r="M581" i="6"/>
  <c r="M459" i="3"/>
  <c r="M419" i="4"/>
  <c r="M500" i="4"/>
  <c r="G108" i="6"/>
  <c r="G109" i="6" s="1"/>
  <c r="G284" i="6"/>
  <c r="G298" i="6" s="1"/>
  <c r="M662" i="5"/>
  <c r="F514" i="6"/>
  <c r="M581" i="3"/>
  <c r="M756" i="3"/>
  <c r="M810" i="4"/>
  <c r="G41" i="6"/>
  <c r="G55" i="6" s="1"/>
  <c r="M567" i="6"/>
  <c r="M365" i="4"/>
  <c r="G419" i="6"/>
  <c r="M122" i="3"/>
  <c r="M621" i="5"/>
  <c r="M324" i="6"/>
  <c r="M689" i="6"/>
  <c r="G810" i="6"/>
  <c r="G811" i="6" s="1"/>
  <c r="M729" i="5"/>
  <c r="M783" i="5"/>
  <c r="M351" i="5"/>
  <c r="M486" i="3"/>
  <c r="M662" i="3"/>
  <c r="M14" i="4"/>
  <c r="M162" i="5"/>
  <c r="M284" i="3"/>
  <c r="M189" i="4"/>
  <c r="M243" i="4"/>
  <c r="M351" i="4"/>
  <c r="M554" i="5"/>
  <c r="M716" i="4"/>
  <c r="M635" i="5"/>
  <c r="M149" i="4"/>
  <c r="M324" i="4"/>
  <c r="M392" i="4"/>
  <c r="M635" i="4"/>
  <c r="G541" i="6" l="1"/>
  <c r="G757" i="6"/>
  <c r="G406" i="6"/>
  <c r="G568" i="6"/>
  <c r="G244" i="6"/>
  <c r="G784" i="5"/>
  <c r="G352" i="4"/>
  <c r="G460" i="3"/>
  <c r="G433" i="3"/>
  <c r="G163" i="3"/>
  <c r="M28" i="5"/>
  <c r="M244" i="5"/>
  <c r="M244" i="3"/>
  <c r="M406" i="5"/>
  <c r="M271" i="6"/>
  <c r="M703" i="3"/>
  <c r="M244" i="6"/>
  <c r="M190" i="6"/>
  <c r="M811" i="3"/>
  <c r="M28" i="6"/>
  <c r="M325" i="5"/>
  <c r="M676" i="3"/>
  <c r="M217" i="6"/>
  <c r="M217" i="3"/>
  <c r="M136" i="4"/>
  <c r="M703" i="5"/>
  <c r="M163" i="4"/>
  <c r="M82" i="4"/>
  <c r="M487" i="4"/>
  <c r="M595" i="4"/>
  <c r="M379" i="5"/>
  <c r="M28" i="3"/>
  <c r="M730" i="5"/>
  <c r="M568" i="6"/>
  <c r="M622" i="4"/>
  <c r="M649" i="5"/>
  <c r="M757" i="4"/>
  <c r="M136" i="3"/>
  <c r="M568" i="4"/>
  <c r="M190" i="3"/>
  <c r="M541" i="5"/>
  <c r="M811" i="6"/>
  <c r="M271" i="5"/>
  <c r="M541" i="6"/>
  <c r="M325" i="3"/>
  <c r="M55" i="5"/>
  <c r="M433" i="6"/>
  <c r="M217" i="5"/>
  <c r="M730" i="3"/>
  <c r="M703" i="6"/>
  <c r="M784" i="6"/>
  <c r="M649" i="4"/>
  <c r="M109" i="4"/>
  <c r="M163" i="6"/>
  <c r="M541" i="4"/>
  <c r="M406" i="4"/>
  <c r="M703" i="4"/>
  <c r="M730" i="4"/>
  <c r="M433" i="4"/>
  <c r="M217" i="4"/>
  <c r="M649" i="6"/>
  <c r="M352" i="5"/>
  <c r="M433" i="3"/>
  <c r="M136" i="6"/>
  <c r="M514" i="3"/>
  <c r="M757" i="3"/>
  <c r="M649" i="3"/>
  <c r="M352" i="4"/>
  <c r="M136" i="5"/>
  <c r="M352" i="3"/>
  <c r="M163" i="3"/>
  <c r="M757" i="5"/>
  <c r="M109" i="5"/>
  <c r="M109" i="6"/>
  <c r="M55" i="3"/>
  <c r="M379" i="3"/>
  <c r="M298" i="3"/>
  <c r="M460" i="4"/>
  <c r="M460" i="6"/>
  <c r="M28" i="4"/>
  <c r="M325" i="4"/>
  <c r="M487" i="3"/>
  <c r="M757" i="6"/>
  <c r="M82" i="5"/>
  <c r="M460" i="3"/>
  <c r="M595" i="6"/>
  <c r="M811" i="5"/>
  <c r="M298" i="5"/>
  <c r="M352" i="6"/>
  <c r="M514" i="4"/>
  <c r="M163" i="5"/>
  <c r="M784" i="3"/>
  <c r="M595" i="3"/>
  <c r="M406" i="6"/>
  <c r="M541" i="3"/>
  <c r="M514" i="5"/>
  <c r="M622" i="6"/>
  <c r="M730" i="6"/>
  <c r="M55" i="4"/>
  <c r="M190" i="5"/>
  <c r="M568" i="5"/>
  <c r="M595" i="5"/>
  <c r="M676" i="5"/>
  <c r="M676" i="6"/>
  <c r="M109" i="3"/>
  <c r="M487" i="6"/>
  <c r="M379" i="6"/>
  <c r="G217" i="6"/>
  <c r="M298" i="4"/>
  <c r="M325" i="6"/>
  <c r="G325" i="6"/>
  <c r="G649" i="6"/>
  <c r="M433" i="5"/>
  <c r="G433" i="6"/>
  <c r="M487" i="5"/>
  <c r="M55" i="6"/>
  <c r="M298" i="6"/>
  <c r="G676" i="6"/>
  <c r="M784" i="4"/>
  <c r="M784" i="5"/>
  <c r="M622" i="3"/>
  <c r="M244" i="4"/>
  <c r="M271" i="4"/>
  <c r="G35" i="1"/>
  <c r="M676" i="4"/>
  <c r="M460" i="5"/>
  <c r="M811" i="4"/>
  <c r="G703" i="6"/>
  <c r="M514" i="6"/>
  <c r="M190" i="4"/>
  <c r="M271" i="3"/>
  <c r="M82" i="3"/>
  <c r="M379" i="4"/>
  <c r="M82" i="6"/>
  <c r="M622" i="5"/>
  <c r="G352" i="6"/>
  <c r="M568" i="3"/>
  <c r="G136" i="6"/>
  <c r="M406" i="3"/>
</calcChain>
</file>

<file path=xl/sharedStrings.xml><?xml version="1.0" encoding="utf-8"?>
<sst xmlns="http://schemas.openxmlformats.org/spreadsheetml/2006/main" count="12463" uniqueCount="443">
  <si>
    <t>📊  RESUMO — TOTALIZADOR DA BALANÇA  |  JULHO 2026</t>
  </si>
  <si>
    <t>⚙  BRITADOR</t>
  </si>
  <si>
    <t>🟢  LINHA 1</t>
  </si>
  <si>
    <t>🟠  LINHA 2</t>
  </si>
  <si>
    <t>🟣  LINHA 3</t>
  </si>
  <si>
    <t>∑  TOTAL
LINHAS 1+2+3</t>
  </si>
  <si>
    <t>Dia</t>
  </si>
  <si>
    <t>Data</t>
  </si>
  <si>
    <t>Balança (t)</t>
  </si>
  <si>
    <t>📋  TOTAL MÊS</t>
  </si>
  <si>
    <t>📋  CADASTRO DE OPÇÕES — LISTAS DE SELEÇÃO</t>
  </si>
  <si>
    <t>📌  DESCRIÇÕES POR TIPO DE PARADA  (listas dependentes — )</t>
  </si>
  <si>
    <t>Supervisor</t>
  </si>
  <si>
    <t>Tipo de Material</t>
  </si>
  <si>
    <t>Tipo de Parada</t>
  </si>
  <si>
    <t>Equipamento</t>
  </si>
  <si>
    <t>Preventiva</t>
  </si>
  <si>
    <t>Corretiva elétrica</t>
  </si>
  <si>
    <t>Corretiva mecânica</t>
  </si>
  <si>
    <t>Troca de componente de desgaste</t>
  </si>
  <si>
    <t>Operacional</t>
  </si>
  <si>
    <t>Victor</t>
  </si>
  <si>
    <t>Alto teor</t>
  </si>
  <si>
    <t>Britador de facas</t>
  </si>
  <si>
    <t>Manutenção preventiva programada</t>
  </si>
  <si>
    <t>Queda de energia elétrica</t>
  </si>
  <si>
    <t>Obstrução no ciclone ou hidrociclone</t>
  </si>
  <si>
    <t>Troca de martelo</t>
  </si>
  <si>
    <t>Obstrução de bica do moinho</t>
  </si>
  <si>
    <t>Douglas</t>
  </si>
  <si>
    <t>Baixo teor</t>
  </si>
  <si>
    <t>Moinho de martelo 01</t>
  </si>
  <si>
    <t>Lubrificação de rolamento / mancal</t>
  </si>
  <si>
    <t>Motor queimado / superaquecido</t>
  </si>
  <si>
    <t>Troca de rolamento</t>
  </si>
  <si>
    <t>Troca de grelha</t>
  </si>
  <si>
    <t>Obstrução interna do moinho</t>
  </si>
  <si>
    <t>Antônio</t>
  </si>
  <si>
    <t>Rabo de bica</t>
  </si>
  <si>
    <t>Moinho de martelo 02</t>
  </si>
  <si>
    <t>Lubrificação geral</t>
  </si>
  <si>
    <t>Falha no inversor / variador de frequência</t>
  </si>
  <si>
    <t>Troca de eixo</t>
  </si>
  <si>
    <t>Troca de revestimento</t>
  </si>
  <si>
    <t>Obsobstrução da caixa de recebimento dos moinhos</t>
  </si>
  <si>
    <t>Marcos</t>
  </si>
  <si>
    <t>Goiânia</t>
  </si>
  <si>
    <t>Moinho de martelo 03</t>
  </si>
  <si>
    <t>Aperto de parafusos do mancal</t>
  </si>
  <si>
    <t>Manutenção elétrica — falha ao partir</t>
  </si>
  <si>
    <t>Troca de balata</t>
  </si>
  <si>
    <t>Material não britável no moinho (ferro / objeto estranho)</t>
  </si>
  <si>
    <t>Moinho de martelo 04</t>
  </si>
  <si>
    <t>Inspeção de martelos e grelhas</t>
  </si>
  <si>
    <t>Falha na automação / sistema de controle</t>
  </si>
  <si>
    <t>troca de queixo (barra de fechamento)</t>
  </si>
  <si>
    <t>Moinho moendo grosso</t>
  </si>
  <si>
    <t>Moinho de martelo 05</t>
  </si>
  <si>
    <t>Inspeção Geral</t>
  </si>
  <si>
    <t xml:space="preserve">Ajuste na pressão </t>
  </si>
  <si>
    <t>Chaveta solta / quebrada / soldada</t>
  </si>
  <si>
    <t>Troca de correia da bomba</t>
  </si>
  <si>
    <t>Pedra grande presa na boca / bica do moinho</t>
  </si>
  <si>
    <t>Alimentadora de correia 01</t>
  </si>
  <si>
    <t>BRITAGEM PARADA QUEBROU O ROLETE DA TC 2</t>
  </si>
  <si>
    <t>corrente alta / centrífuga parando</t>
  </si>
  <si>
    <t>Manutenção / troca de flange ou acoplamento</t>
  </si>
  <si>
    <t>Troca de Facas</t>
  </si>
  <si>
    <t>Obstrução na caixa de saída do moinho</t>
  </si>
  <si>
    <t>Alimentadora de sapata 02</t>
  </si>
  <si>
    <t>Limpeza na TC 2</t>
  </si>
  <si>
    <t>Corretiva no motor</t>
  </si>
  <si>
    <t>Rotor solto / livre (chaveta escapou)</t>
  </si>
  <si>
    <t>Reposição de Bola</t>
  </si>
  <si>
    <t>Ajuste do nível da caixa de polpa</t>
  </si>
  <si>
    <t>Alimentadora de correia 03</t>
  </si>
  <si>
    <t>Recolocado saco do moinho</t>
  </si>
  <si>
    <t>Falha na guilhotina</t>
  </si>
  <si>
    <t>Reposição de Grelha</t>
  </si>
  <si>
    <t>Ineficiência da bomba</t>
  </si>
  <si>
    <t>Centrífuga (RD) 01 L1</t>
  </si>
  <si>
    <t>Não operando na potência correta</t>
  </si>
  <si>
    <t>Troca / reparo de eixo e rotor da bomba</t>
  </si>
  <si>
    <t>instalando revestimento de borracha na caixa</t>
  </si>
  <si>
    <t>Caixa de polpa cheia</t>
  </si>
  <si>
    <t>Centrífuga (RD) 02 L1</t>
  </si>
  <si>
    <t>Manutenção Programada</t>
  </si>
  <si>
    <t>Inspeção elétrica</t>
  </si>
  <si>
    <t>Troca / reparo de tubulação da bomba</t>
  </si>
  <si>
    <t>Inversão das facas</t>
  </si>
  <si>
    <t>Caixa do ciclone / Rejeito transbordando</t>
  </si>
  <si>
    <t>Centrífuga (RD) 03 L2</t>
  </si>
  <si>
    <t>Colocado borracha na sapata</t>
  </si>
  <si>
    <t>vai ter que faze isolamento no cabo do moto moinho02</t>
  </si>
  <si>
    <t>Serviço de solda na bomba / tubulação de rejeito</t>
  </si>
  <si>
    <t>martelo desbulhou</t>
  </si>
  <si>
    <t>Bomba d'água limpa / suja parou</t>
  </si>
  <si>
    <t>Centrífuga (RD) 04 L3</t>
  </si>
  <si>
    <t>Sanar vazamento na bica</t>
  </si>
  <si>
    <t>tc2 desarmou</t>
  </si>
  <si>
    <t>Correia desalinhada / patinando</t>
  </si>
  <si>
    <t>arrebentou a orelha do martelo</t>
  </si>
  <si>
    <t>Obstrução da correia transportadora</t>
  </si>
  <si>
    <t>Centrífuga (RD) 05 L3</t>
  </si>
  <si>
    <t>serviço de solda na tubulação da àgua</t>
  </si>
  <si>
    <t>Finalização na solda do encanamento</t>
  </si>
  <si>
    <t>Correia rasgada / danificada</t>
  </si>
  <si>
    <t>troca  de pino</t>
  </si>
  <si>
    <t>Obstrução no moinho de bola</t>
  </si>
  <si>
    <t>Centrífuga (RD) 06 L3 bola</t>
  </si>
  <si>
    <t>Iluminação</t>
  </si>
  <si>
    <t>Manutenção no redutor da TC</t>
  </si>
  <si>
    <t>virar as faca</t>
  </si>
  <si>
    <t>Moinho de bola jogando material para fora / derramando</t>
  </si>
  <si>
    <t>Centrífuga (Falcon) 06 L1 bola</t>
  </si>
  <si>
    <t>troca do desjuntor</t>
  </si>
  <si>
    <t>Troca de Bomba</t>
  </si>
  <si>
    <t>Aguardando material britado</t>
  </si>
  <si>
    <t>Centrífuga (Falcon) 07 L1 bola</t>
  </si>
  <si>
    <t>Solda na bica</t>
  </si>
  <si>
    <t>Moega cheia</t>
  </si>
  <si>
    <t>Moinho de bola 01</t>
  </si>
  <si>
    <t>Solda na Grelha</t>
  </si>
  <si>
    <t>Falta de operador de pá carregadeira</t>
  </si>
  <si>
    <t>Moinho de bola 02</t>
  </si>
  <si>
    <t>Vazamento na bica do moinho</t>
  </si>
  <si>
    <t>Falta do operador do painel da britagem</t>
  </si>
  <si>
    <t>Moinho de bola 03</t>
  </si>
  <si>
    <t>Serviço de solda — outros</t>
  </si>
  <si>
    <t>Obstrução bica</t>
  </si>
  <si>
    <t>Moinho de bola 04</t>
  </si>
  <si>
    <t>Troca de motor-redutor</t>
  </si>
  <si>
    <t>Obstrução</t>
  </si>
  <si>
    <t>Bomba de polpa 01 (8x6) CX 01</t>
  </si>
  <si>
    <t>Troca de motor</t>
  </si>
  <si>
    <t>Engaiolamento de mataco</t>
  </si>
  <si>
    <t>Bomba de polpa 02 (6x4) CX 01</t>
  </si>
  <si>
    <t>Falha ao partir - Moinho de bola parou cheio</t>
  </si>
  <si>
    <t>Bomba de polpa 03 (8x6) CX 02</t>
  </si>
  <si>
    <t>Bomba de polpa 04 (6x4) CX 02</t>
  </si>
  <si>
    <t>intervalo do almoco</t>
  </si>
  <si>
    <t>Bomba de rejeito</t>
  </si>
  <si>
    <t>Retirada Bypass</t>
  </si>
  <si>
    <t>Pedra grande presa na caixa do britador</t>
  </si>
  <si>
    <t>TC 02 britagem</t>
  </si>
  <si>
    <t>Realizando Bypass</t>
  </si>
  <si>
    <t>Pá carregadeira em manutenção</t>
  </si>
  <si>
    <t>Hidrociclone L1</t>
  </si>
  <si>
    <t xml:space="preserve">Vazamento na tubulação </t>
  </si>
  <si>
    <t>caiu a janela de inspecao parte de tras</t>
  </si>
  <si>
    <t>Hidrociclone L3</t>
  </si>
  <si>
    <t>Manutenção volante do Britador</t>
  </si>
  <si>
    <t>intervalo da janta</t>
  </si>
  <si>
    <t>Moega</t>
  </si>
  <si>
    <t>Manutenção na balata</t>
  </si>
  <si>
    <t>Caixa de Polpa</t>
  </si>
  <si>
    <t>faze um sevico de solda na bica</t>
  </si>
  <si>
    <t>Moinho de martelo 1 e 2</t>
  </si>
  <si>
    <t xml:space="preserve">troca do rolamento do volante </t>
  </si>
  <si>
    <t>falta de material</t>
  </si>
  <si>
    <t>moinho de martelo 4 e 5</t>
  </si>
  <si>
    <t>Troca de volante</t>
  </si>
  <si>
    <t>Moinho vibrando</t>
  </si>
  <si>
    <t>bomba de água limpa</t>
  </si>
  <si>
    <t>Apertar parafuso do mancal</t>
  </si>
  <si>
    <t>Martelo soltou</t>
  </si>
  <si>
    <t>bomba dágua suja (10"x8")</t>
  </si>
  <si>
    <t>Colocar parafuso do revestimento</t>
  </si>
  <si>
    <t xml:space="preserve">Desobstrução tubulação da goiania </t>
  </si>
  <si>
    <t>Quebra da orelha do martelo</t>
  </si>
  <si>
    <t>ajuste no forro/ vazamento</t>
  </si>
  <si>
    <t>Recolocado borracha do moinho de bola</t>
  </si>
  <si>
    <t>Tampa do britador abriu</t>
  </si>
  <si>
    <t>Solda nos cavalete dos rolete</t>
  </si>
  <si>
    <t>despesca manual</t>
  </si>
  <si>
    <t>Arrebentou acoplamento do bola 01</t>
  </si>
  <si>
    <t>Material preso na esteira</t>
  </si>
  <si>
    <t>reapertar bucha do rolamento</t>
  </si>
  <si>
    <t>parada inicial</t>
  </si>
  <si>
    <t>troca do bico do ciclone</t>
  </si>
  <si>
    <t>Bico do ciclone entupido</t>
  </si>
  <si>
    <t>Inspeção</t>
  </si>
  <si>
    <t>fazendo um servico de solda no cavalete da tc02</t>
  </si>
  <si>
    <t>Encanamento do hidrociclone obstruído</t>
  </si>
  <si>
    <t>emenda da tc 03</t>
  </si>
  <si>
    <t>ajuste de grelha</t>
  </si>
  <si>
    <t>reforço de solda nas orelhas dos martelos</t>
  </si>
  <si>
    <t>Obstrução na TC2</t>
  </si>
  <si>
    <t>TC3 travada</t>
  </si>
  <si>
    <t>Escavadeira operando na planta</t>
  </si>
  <si>
    <t>ℹ  Cada coluna corresponde a um Tipo de Parada. Adicione descrições nas linhas vazias de cada coluna.</t>
  </si>
  <si>
    <t>anel de vedaçao encostando na trampa</t>
  </si>
  <si>
    <t>Planta sem maquina para abastecer</t>
  </si>
  <si>
    <t>solda na luva do moinho</t>
  </si>
  <si>
    <t>forramento de moinho</t>
  </si>
  <si>
    <t>Acoplamento solto</t>
  </si>
  <si>
    <t>material acumulado na bica</t>
  </si>
  <si>
    <t>Parafuso do acoplamento solto</t>
  </si>
  <si>
    <t>Orelha do martelo quebrou</t>
  </si>
  <si>
    <t>Borracha da correia alimentadora fora do lugar</t>
  </si>
  <si>
    <t>Limpeza na TC2</t>
  </si>
  <si>
    <t>emenda da tc 02</t>
  </si>
  <si>
    <t>Material caindo com alimentação desligada</t>
  </si>
  <si>
    <t>Recolocação de parafuso</t>
  </si>
  <si>
    <t>material muito molhado esta preso na caixa do britador</t>
  </si>
  <si>
    <t>Bomba não jogando material pro hidrociclone</t>
  </si>
  <si>
    <t>Revisão geral</t>
  </si>
  <si>
    <t>mangueira do ar comprimido estorou</t>
  </si>
  <si>
    <t>Ajuste na bica</t>
  </si>
  <si>
    <t>troca da graxeta da bomba</t>
  </si>
  <si>
    <t xml:space="preserve">manutencao no eixo do moinho </t>
  </si>
  <si>
    <t>FAZE REPARO NA CORREIA DA MOEGA</t>
  </si>
  <si>
    <t>colocar os rolete da tc 03</t>
  </si>
  <si>
    <t>Recolocação de rolete</t>
  </si>
  <si>
    <t>Troca do copo da RD7 do bola 1</t>
  </si>
  <si>
    <t xml:space="preserve">troca da bomba centrífuga (10"x8") </t>
  </si>
  <si>
    <t>Inspeção de rolamento</t>
  </si>
  <si>
    <t>Inspeção de mancal</t>
  </si>
  <si>
    <t>disco esta pegando na tampa</t>
  </si>
  <si>
    <t>caixa do ciclone</t>
  </si>
  <si>
    <t>Manutenção no rolo da alimentação</t>
  </si>
  <si>
    <t>Manutenção na correia</t>
  </si>
  <si>
    <t>parada programada</t>
  </si>
  <si>
    <t>Hora</t>
  </si>
  <si>
    <t>Pá Carregadeira</t>
  </si>
  <si>
    <t>N° de Conchadas</t>
  </si>
  <si>
    <t>Produção Linha 3
(Hora a Hora)</t>
  </si>
  <si>
    <t>Descrição do Apontamento</t>
  </si>
  <si>
    <t>Horário
Inicial</t>
  </si>
  <si>
    <t>Horário
Final</t>
  </si>
  <si>
    <t>Tempo Total
da Parada</t>
  </si>
  <si>
    <t>Observação</t>
  </si>
  <si>
    <t>Totalizador
da Balança</t>
  </si>
  <si>
    <t>baixo teor</t>
  </si>
  <si>
    <t>PC 19</t>
  </si>
  <si>
    <t>limpeza na tc 2</t>
  </si>
  <si>
    <t>☀  TURNO DIURNO</t>
  </si>
  <si>
    <t>Totalizador da balança  ➜</t>
  </si>
  <si>
    <t>🌙  TURNO NOTURNO</t>
  </si>
  <si>
    <t>TOTAL GLOBAL DO DIA</t>
  </si>
  <si>
    <t>Totalizador global  ➜</t>
  </si>
  <si>
    <t>fechamento de grelha</t>
  </si>
  <si>
    <t>troca de pino, virada das facas</t>
  </si>
  <si>
    <t>apertar parafuso do mancal</t>
  </si>
  <si>
    <t>pc 19 em manutenção, escavadeira alimentando britagem</t>
  </si>
  <si>
    <t>quebrou os pinos da facas,troca de facas</t>
  </si>
  <si>
    <t>e 5s na britagem</t>
  </si>
  <si>
    <t>TROCA DE 2 PINOS QUEBRADO</t>
  </si>
  <si>
    <t>CARREGANDO COM CAMINHÃO</t>
  </si>
  <si>
    <t>NA TC2</t>
  </si>
  <si>
    <t>na tc 3</t>
  </si>
  <si>
    <t>carregando com caminhão</t>
  </si>
  <si>
    <t>troca de balata</t>
  </si>
  <si>
    <t>reaperto, engraxamento, revisão</t>
  </si>
  <si>
    <t>aperto de parafuso</t>
  </si>
  <si>
    <t>desobstrução do britador</t>
  </si>
  <si>
    <t>5;26</t>
  </si>
  <si>
    <t>obstrucao na tc 3</t>
  </si>
  <si>
    <t>troca de pino</t>
  </si>
  <si>
    <t>jogado 4 caminhões basculantes</t>
  </si>
  <si>
    <t>inspeção nos mancais</t>
  </si>
  <si>
    <t>PC 17</t>
  </si>
  <si>
    <t>troca de facas, engraxamento dos mancais,, troca de balata</t>
  </si>
  <si>
    <t>teve que a fasta o roto um pouco prolado</t>
  </si>
  <si>
    <t>ajuste no rolamento do rotor do britador, 5s, feito tampa do chute do britador, colocado rolete na TC1</t>
  </si>
  <si>
    <t>ajuste na bucha do mancal  do britado</t>
  </si>
  <si>
    <t>engraxamento dos mancais, troca de parafuso dos mancais</t>
  </si>
  <si>
    <t>chute do britador obstruído, troca de pino e virada de faca</t>
  </si>
  <si>
    <t>troca das balatas</t>
  </si>
  <si>
    <t>desobstrução no britador</t>
  </si>
  <si>
    <t>ajuste no rolamento do rotor, solda na franja do motor do britador, aperto do mancal, solda na tampa do mancal</t>
  </si>
  <si>
    <t>troca de faca, pino e engraxamento dos mancais</t>
  </si>
  <si>
    <t>caminhão basculante</t>
  </si>
  <si>
    <t>desobstrução</t>
  </si>
  <si>
    <t>apertar parafuso do mancal,manutenção na balata e colocar borracha</t>
  </si>
  <si>
    <t>apertar parafuso mancal</t>
  </si>
  <si>
    <t>troca dos parafuso dos mancais e lubrificação dos mancais</t>
  </si>
  <si>
    <t>foram feitas 8 viagens com caminhão</t>
  </si>
  <si>
    <t>foi feito troca de rolamento um sevico no chute do britado</t>
  </si>
  <si>
    <t>martelo soltou, troca de martelo, aperto de parafuso do mancal, manutenção bomba de rejeito</t>
  </si>
  <si>
    <t>obs: trocar parafuso do mancal</t>
  </si>
  <si>
    <t>centrifrica 7 parada pra reparo eletrico</t>
  </si>
  <si>
    <t>troca do martelo do moinhio 01,manuteçâo no alimentado</t>
  </si>
  <si>
    <t>troca de grelha,solda na chapa</t>
  </si>
  <si>
    <t>sendo trocado rolamento do moinho 1 , operando apenas MM2</t>
  </si>
  <si>
    <t>mm1 e mm2 operando</t>
  </si>
  <si>
    <t>balata soltou</t>
  </si>
  <si>
    <t>troca de grelha</t>
  </si>
  <si>
    <t>passado graxa</t>
  </si>
  <si>
    <t>balata solta</t>
  </si>
  <si>
    <t>02:00 PC19 furou pneu, caminhão basculante jogando e escavadeira empurrando o material</t>
  </si>
  <si>
    <t>arrebetou balata,troca de martelo moinho 1</t>
  </si>
  <si>
    <t>manuteçao programada ,serviço de solda na tubulaçao da agua das alimentçoes</t>
  </si>
  <si>
    <t>troca de martelo moinho 2</t>
  </si>
  <si>
    <t>22:00 alimentação baixa, pouco material britado</t>
  </si>
  <si>
    <t>01:30 rolamento do moinho 2 estourou, operando apenas moinho 1</t>
  </si>
  <si>
    <t>manutenção no rolamento mm2, caindo material na manutenção</t>
  </si>
  <si>
    <t>manutenção no rolamento mm2</t>
  </si>
  <si>
    <t>troca de martelo mm1</t>
  </si>
  <si>
    <t xml:space="preserve">Sanar vazamento </t>
  </si>
  <si>
    <t>engraxamento dos rolamento do moinhos e troca de martelo</t>
  </si>
  <si>
    <t>um sevico de solda na bica  e troca de martelo do moiho 02</t>
  </si>
  <si>
    <t>e troca de grelhas no moinho 02 e teve que coloca outra balata  e troca de martelo</t>
  </si>
  <si>
    <t>VAZAMENTO NO MOINHO</t>
  </si>
  <si>
    <t>tava com material</t>
  </si>
  <si>
    <t>troca de balata ,manutenção na balata</t>
  </si>
  <si>
    <t>troca do redutor do alimentador da linha 1</t>
  </si>
  <si>
    <t>moinho de bola 1 jogando material pra fora, troca de martelo</t>
  </si>
  <si>
    <t>solda no eixo</t>
  </si>
  <si>
    <t>solda no eixo,moinho moendo grosso</t>
  </si>
  <si>
    <t>desobstrução da bica, sendo colocado passarela</t>
  </si>
  <si>
    <t>instalação de passarela</t>
  </si>
  <si>
    <t xml:space="preserve">A obstrução foi devido a falha na bomba d'agua </t>
  </si>
  <si>
    <t>deso</t>
  </si>
  <si>
    <t>obstrução no moinho 2</t>
  </si>
  <si>
    <t>troca de martelo</t>
  </si>
  <si>
    <t>borracha da bica caiu no moinho 1</t>
  </si>
  <si>
    <t>solda na grelha, troca de martelo 1 e 2</t>
  </si>
  <si>
    <t>troca de martelo moinho 1</t>
  </si>
  <si>
    <t>e troca de martelo 1e2</t>
  </si>
  <si>
    <t>troca de martelo moinho 2 e solda na grelha</t>
  </si>
  <si>
    <t xml:space="preserve">obstrução no moinho 1 </t>
  </si>
  <si>
    <t>solda para sanar vazamento</t>
  </si>
  <si>
    <t>e troca de martelo mm1</t>
  </si>
  <si>
    <t xml:space="preserve">16:41, centrífuga do bola1 </t>
  </si>
  <si>
    <t>troca de martelos mm1 e 2,aperto dos parafusos do revestimento</t>
  </si>
  <si>
    <t>pc19</t>
  </si>
  <si>
    <t>troca de martelo ,grelha</t>
  </si>
  <si>
    <t>solda na caixa de recebimeto do hidrociclone</t>
  </si>
  <si>
    <t>solda na grelha</t>
  </si>
  <si>
    <t>adicionado mais 1 grelha</t>
  </si>
  <si>
    <t>serviço de solda na grelha</t>
  </si>
  <si>
    <t>15;05</t>
  </si>
  <si>
    <t>solda e recolocação de grelha</t>
  </si>
  <si>
    <t>troca de martelo mm1 e mm2</t>
  </si>
  <si>
    <t>reajuste das grelhas</t>
  </si>
  <si>
    <t xml:space="preserve">manutenção no shutt </t>
  </si>
  <si>
    <t>operando com m2</t>
  </si>
  <si>
    <t>bola 1 vomitando, recolocação de grelha</t>
  </si>
  <si>
    <t>troca de martelo mm2</t>
  </si>
  <si>
    <t>serviço de solda no queixo e grelha</t>
  </si>
  <si>
    <t>adicionou 2 grelhas e solda no queixo</t>
  </si>
  <si>
    <t>9;15</t>
  </si>
  <si>
    <t>solda no queixo mm 2</t>
  </si>
  <si>
    <t>barramento bomba de rejeito 03</t>
  </si>
  <si>
    <t>desobstrução do buraco do zé</t>
  </si>
  <si>
    <t>colocar chapa</t>
  </si>
  <si>
    <t>baixa produtividade,ajustar nivel da caixa de polpa</t>
  </si>
  <si>
    <t xml:space="preserve">obstrução interna mm2 </t>
  </si>
  <si>
    <t>arrebentou as balata</t>
  </si>
  <si>
    <t>solda na tampa do moinho</t>
  </si>
  <si>
    <t>troca de grelha e martelo, manutenção bomba de rejeito</t>
  </si>
  <si>
    <t>material processado Blend rabo de bica com baixo teor</t>
  </si>
  <si>
    <t>material processando blend  rabo de bica com alto teor</t>
  </si>
  <si>
    <t>foramento de moinho</t>
  </si>
  <si>
    <t>17;51</t>
  </si>
  <si>
    <t>reposição de grelha</t>
  </si>
  <si>
    <t>00:020:00</t>
  </si>
  <si>
    <t>martelo pegando no revestimento</t>
  </si>
  <si>
    <t>TROCA DE GRELHA</t>
  </si>
  <si>
    <t>blend com material da goiana</t>
  </si>
  <si>
    <t>troca de 2 grelha e solda na grelha</t>
  </si>
  <si>
    <t>(02 grelhas adicionadas/trocadas)</t>
  </si>
  <si>
    <t>SERVIÇO DE SOLDA NAS GRELHAS</t>
  </si>
  <si>
    <t>e troca de martelo</t>
  </si>
  <si>
    <t>troca de 3 grelhas</t>
  </si>
  <si>
    <t>5;44</t>
  </si>
  <si>
    <t xml:space="preserve">troca de balata, solda na grelha </t>
  </si>
  <si>
    <t>troca de martelo, troca de motor</t>
  </si>
  <si>
    <t>troca de martelo moinho 3</t>
  </si>
  <si>
    <t>um sevico de solda nas grelhas</t>
  </si>
  <si>
    <t>coloca grelha no moinho moendo grosso</t>
  </si>
  <si>
    <t>arrebentou as balata e quebrou as grelhas e teve troca de martelo</t>
  </si>
  <si>
    <t>solda na tampa do mancal</t>
  </si>
  <si>
    <t>nos martelo</t>
  </si>
  <si>
    <t xml:space="preserve">troca de grelha e martelo </t>
  </si>
  <si>
    <t>troca de grelha,martelo e serviço de solda</t>
  </si>
  <si>
    <t>solda na caixa de recebimento do hidrociclone</t>
  </si>
  <si>
    <t>forramento do mm3</t>
  </si>
  <si>
    <t>material preso caiu de uma vez e fez moinho entupir</t>
  </si>
  <si>
    <t>alimentação da linha 2 no 5%,  material caindo com alimentação parada</t>
  </si>
  <si>
    <t>solda na grelha e queixo</t>
  </si>
  <si>
    <t>barramento da bomba de rejeito 03</t>
  </si>
  <si>
    <t>solda no queixo</t>
  </si>
  <si>
    <t>manutençao no rolamento do moinho 4</t>
  </si>
  <si>
    <t>OBS: APENAS MM 05 EM OPERACÃO</t>
  </si>
  <si>
    <t>bola 4 entupido, acoplamento do bola 3 solto, troca de martelo</t>
  </si>
  <si>
    <t>martelo quebrou</t>
  </si>
  <si>
    <t>11;29</t>
  </si>
  <si>
    <t>orelha do martelo quebrou,troca de grelha e aperto no parafuso do mancal</t>
  </si>
  <si>
    <t>solda na grelha, troca de martelo</t>
  </si>
  <si>
    <t>troca de martelo, manutenção no acoplamento do MB3</t>
  </si>
  <si>
    <t xml:space="preserve">troca de martelo   </t>
  </si>
  <si>
    <t>troca de martelo moinho 4 e 5</t>
  </si>
  <si>
    <t>troca de grelha,aperto de parafuso</t>
  </si>
  <si>
    <t>aperto no parafuso do mancal,solda na chapa</t>
  </si>
  <si>
    <t>tc3 patinando</t>
  </si>
  <si>
    <t>desobstrução do hidrociclone</t>
  </si>
  <si>
    <t xml:space="preserve">solda na grelha </t>
  </si>
  <si>
    <t>troca de martelo, 22:00 alimentação baixa, pouco material britado</t>
  </si>
  <si>
    <t>troca de martelo moinho 4</t>
  </si>
  <si>
    <t>furo na turbulaçâo,colocar graxeta na bomba de polpa 03</t>
  </si>
  <si>
    <t>moinho 4 com novo martelo;para teste</t>
  </si>
  <si>
    <t xml:space="preserve">forramento do moinho </t>
  </si>
  <si>
    <t>martelo novo</t>
  </si>
  <si>
    <t>solda na bica</t>
  </si>
  <si>
    <t>18;08</t>
  </si>
  <si>
    <t>moinho vibrando, aperto de parafuso do mancal</t>
  </si>
  <si>
    <t>engraxamento dos rolamento dos moinhos</t>
  </si>
  <si>
    <t>CORREIA DA MOEGA ESTA RASGADA TEVE TROCA DE MARTELO DO MOINHO 5</t>
  </si>
  <si>
    <t>22;01</t>
  </si>
  <si>
    <t>moinho moedo grosso,solda no eixo</t>
  </si>
  <si>
    <t>21;27</t>
  </si>
  <si>
    <t>moinho de martelo 4 sendo trocado rolamento</t>
  </si>
  <si>
    <t>tensionamento da correia</t>
  </si>
  <si>
    <t>reparo na bica</t>
  </si>
  <si>
    <t>adicionado 5 grelhas</t>
  </si>
  <si>
    <t>desobstrução do moinho de bola 4, troca de martelo moinho 4</t>
  </si>
  <si>
    <t>troca de martelo 4</t>
  </si>
  <si>
    <t>reajute nas grelhas correia da moega esta rasgada</t>
  </si>
  <si>
    <t xml:space="preserve">manutenção no acoplamento do moinho de bola 3, solda na chapa da alimentação </t>
  </si>
  <si>
    <t>mm4 e mm5 trocado martelo</t>
  </si>
  <si>
    <t>ajuste para limpar caixa e trocar a bomba de pola 3</t>
  </si>
  <si>
    <t>solda no anel de vedação do mancal</t>
  </si>
  <si>
    <t>troca de rolamento mm5</t>
  </si>
  <si>
    <t>correia esta patinando</t>
  </si>
  <si>
    <t>colocado borracha para sanar vazamento nos moinhos, troca de revestimento</t>
  </si>
  <si>
    <t>solda na grelha mm 4</t>
  </si>
  <si>
    <t>alimentaçâo parada para colar adesivo identificação da moega</t>
  </si>
  <si>
    <t>troca de martelo mm 4 e mm5</t>
  </si>
  <si>
    <t>correia rasgada</t>
  </si>
  <si>
    <t>trocado cone do ciclone</t>
  </si>
  <si>
    <t>recolocação de grelha no queixo</t>
  </si>
  <si>
    <t>troca de martelo mm4 e mm5</t>
  </si>
  <si>
    <t>recolocação de grelha</t>
  </si>
  <si>
    <t>solda  na grelha, reajuste no queixo</t>
  </si>
  <si>
    <t>falha na bomba de polpa 3</t>
  </si>
  <si>
    <t>manutenção programada</t>
  </si>
  <si>
    <t>foi trocado martelo as 10:55</t>
  </si>
  <si>
    <t xml:space="preserve">foi feito colagem na correia transportadora </t>
  </si>
  <si>
    <t>a linha 3 ficou parada para manutenção programada e para manuenção na correia</t>
  </si>
  <si>
    <t>pedra na bica</t>
  </si>
  <si>
    <t>e um servico de solda na tubulacao da bomba de polpa 04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</si>
</sst>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164" formatCode="m/d/yyyy"/>
    <numFmt numFmtId="165" formatCode="[$-F400]h:mm:ss\ AM/PM"/>
    <numFmt numFmtId="166" formatCode="h:mm"/>
    <numFmt numFmtId="167" formatCode="0&quot;Kg&quot;"/>
  </numFmts>
  <fonts count="25">
    <font>
      <sz val="11"/>
      <color theme="1"/>
      <name val="Calibri"/>
      <family val="2"/>
      <charset val="1"/>
    </font>
    <font>
      <b/>
      <sz val="13"/>
      <color rgb="FFFFFFFF"/>
      <name val="Arial"/>
      <charset val="1"/>
    </font>
    <font>
      <b/>
      <sz val="10"/>
      <color rgb="FFFFFFFF"/>
      <name val="Arial"/>
      <charset val="1"/>
    </font>
    <font>
      <b/>
      <sz val="9"/>
      <color rgb="FFFFFFFF"/>
      <name val="Arial"/>
      <charset val="1"/>
    </font>
    <font>
      <b/>
      <sz val="9"/>
      <color rgb="FF2E75B6"/>
      <name val="Arial"/>
      <charset val="1"/>
    </font>
    <font>
      <sz val="9"/>
      <name val="Arial"/>
      <charset val="1"/>
    </font>
    <font>
      <sz val="9"/>
      <color rgb="FF1A1A1A"/>
      <name val="Arial"/>
      <charset val="1"/>
    </font>
    <font>
      <b/>
      <sz val="9"/>
      <color rgb="FF1A1A1A"/>
      <name val="Arial"/>
      <charset val="1"/>
    </font>
    <font>
      <b/>
      <sz val="11"/>
      <color rgb="FFFFFFFF"/>
      <name val="Arial"/>
      <family val="2"/>
      <charset val="1"/>
    </font>
    <font>
      <b/>
      <sz val="10"/>
      <color rgb="FFFFFFFF"/>
      <name val="Arial"/>
      <family val="2"/>
      <charset val="1"/>
    </font>
    <font>
      <b/>
      <sz val="9"/>
      <color rgb="FFFFFFFF"/>
      <name val="Arial"/>
      <family val="2"/>
      <charset val="1"/>
    </font>
    <font>
      <sz val="9"/>
      <name val="Arial"/>
      <family val="2"/>
      <charset val="1"/>
    </font>
    <font>
      <i/>
      <sz val="9"/>
      <color rgb="FF444444"/>
      <name val="Arial"/>
      <family val="2"/>
      <charset val="1"/>
    </font>
    <font>
      <b/>
      <sz val="10"/>
      <color rgb="FF1B3A6B"/>
      <name val="Arial"/>
      <family val="2"/>
      <charset val="1"/>
    </font>
    <font>
      <b/>
      <sz val="14"/>
      <color theme="1"/>
      <name val="Calibri"/>
      <family val="2"/>
      <charset val="1"/>
    </font>
    <font>
      <b/>
      <sz val="10"/>
      <color rgb="FF1B3A6B"/>
      <name val="Arial"/>
      <charset val="1"/>
    </font>
    <font>
      <sz val="9"/>
      <color rgb="FFFF0000"/>
      <name val="Arial"/>
      <family val="2"/>
      <charset val="1"/>
    </font>
    <font>
      <b/>
      <sz val="16"/>
      <color rgb="FF000000"/>
      <name val="Calibri"/>
      <family val="2"/>
      <charset val="1"/>
    </font>
    <font>
      <sz val="8"/>
      <name val="Calibri"/>
      <family val="2"/>
      <charset val="1"/>
    </font>
    <font>
      <b/>
      <sz val="10"/>
      <color rgb="FF1B3A6B"/>
      <name val="Arial"/>
    </font>
    <font>
      <sz val="9"/>
      <name val="Arial"/>
    </font>
    <font>
      <b/>
      <sz val="10"/>
      <color rgb="FFFFFFFF"/>
      <name val="Arial"/>
    </font>
    <font>
      <b/>
      <sz val="12"/>
      <color rgb="FF1B3A6B"/>
      <name val="Arial"/>
    </font>
    <font>
      <sz val="9"/>
      <color rgb="FF000000"/>
      <name val="Arial"/>
      <charset val="1"/>
    </font>
    <font>
      <b/>
      <sz val="9"/>
      <color rgb="FFFFFFFF"/>
      <name val="Arial"/>
    </font>
  </fonts>
  <fills count="16">
    <fill>
      <patternFill patternType="none"/>
    </fill>
    <fill>
      <patternFill patternType="gray125"/>
    </fill>
    <fill>
      <patternFill patternType="solid">
        <fgColor rgb="FF1B3A6B"/>
        <bgColor rgb="FF1F497D"/>
      </patternFill>
    </fill>
    <fill>
      <patternFill patternType="solid">
        <fgColor rgb="FF2E75B6"/>
        <bgColor rgb="FF0066CC"/>
      </patternFill>
    </fill>
    <fill>
      <patternFill patternType="solid">
        <fgColor rgb="FF1E6B3A"/>
        <bgColor rgb="FF008080"/>
      </patternFill>
    </fill>
    <fill>
      <patternFill patternType="solid">
        <fgColor rgb="FFB34700"/>
        <bgColor rgb="FFC0504D"/>
      </patternFill>
    </fill>
    <fill>
      <patternFill patternType="solid">
        <fgColor rgb="FF7B1FA2"/>
        <bgColor rgb="FF800080"/>
      </patternFill>
    </fill>
    <fill>
      <patternFill patternType="solid">
        <fgColor rgb="FFFFC000"/>
        <bgColor rgb="FFFF9900"/>
      </patternFill>
    </fill>
    <fill>
      <patternFill patternType="solid">
        <fgColor rgb="FFFFFFFF"/>
        <bgColor rgb="FFFFFDE7"/>
      </patternFill>
    </fill>
    <fill>
      <patternFill patternType="solid">
        <fgColor rgb="FFF2F7FC"/>
        <bgColor rgb="FFFFFFFF"/>
      </patternFill>
    </fill>
    <fill>
      <patternFill patternType="solid">
        <fgColor theme="3"/>
        <bgColor rgb="FF1B3A6B"/>
      </patternFill>
    </fill>
    <fill>
      <patternFill patternType="solid">
        <fgColor rgb="FFD6E4F0"/>
        <bgColor rgb="FFDDD9C3"/>
      </patternFill>
    </fill>
    <fill>
      <patternFill patternType="solid">
        <fgColor rgb="FFFFF9E3"/>
        <bgColor rgb="FFFFFDE7"/>
      </patternFill>
    </fill>
    <fill>
      <patternFill patternType="solid">
        <fgColor rgb="FFFFFDE7"/>
        <bgColor rgb="FFFFF9E3"/>
      </patternFill>
    </fill>
    <fill>
      <patternFill patternType="solid">
        <fgColor theme="2" tint="-9.9978637043366805E-2"/>
        <bgColor rgb="FFD0CECE"/>
      </patternFill>
    </fill>
    <fill>
      <patternFill patternType="solid">
        <fgColor rgb="FFD0CECE"/>
        <bgColor rgb="FFDDD9C3"/>
      </patternFill>
    </fill>
  </fills>
  <borders count="10">
    <border>
      <left/>
      <right/>
      <top/>
      <bottom/>
      <diagonal/>
    </border>
    <border>
      <left style="thin">
        <color rgb="FFBFBFBF"/>
      </left>
      <right/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  <border>
      <left/>
      <right/>
      <top style="thin">
        <color rgb="FFBFBFBF"/>
      </top>
      <bottom/>
      <diagonal/>
    </border>
    <border>
      <left/>
      <right style="thin">
        <color rgb="FFBFBFBF"/>
      </right>
      <top style="thin">
        <color rgb="FFBFBFBF"/>
      </top>
      <bottom style="thin">
        <color rgb="FFBFBFBF"/>
      </bottom>
      <diagonal/>
    </border>
    <border>
      <left style="medium">
        <color rgb="FF2E75B6"/>
      </left>
      <right style="medium">
        <color rgb="FF2E75B6"/>
      </right>
      <top style="medium">
        <color rgb="FF2E75B6"/>
      </top>
      <bottom style="medium">
        <color rgb="FF2E75B6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/>
      <diagonal/>
    </border>
    <border>
      <left/>
      <right/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/>
      <bottom style="thin">
        <color rgb="FFBFBFBF"/>
      </bottom>
      <diagonal/>
    </border>
  </borders>
  <cellStyleXfs count="1">
    <xf numFmtId="0" fontId="0" fillId="0" borderId="0"/>
  </cellStyleXfs>
  <cellXfs count="131">
    <xf numFmtId="0" fontId="0" fillId="0" borderId="0" xfId="0"/>
    <xf numFmtId="0" fontId="2" fillId="3" borderId="2" xfId="0" applyFont="1" applyFill="1" applyBorder="1" applyAlignment="1">
      <alignment horizontal="center" vertical="center" wrapText="1"/>
    </xf>
    <xf numFmtId="0" fontId="2" fillId="4" borderId="2" xfId="0" applyFont="1" applyFill="1" applyBorder="1" applyAlignment="1">
      <alignment horizontal="center" vertical="center" wrapText="1"/>
    </xf>
    <xf numFmtId="0" fontId="2" fillId="5" borderId="2" xfId="0" applyFont="1" applyFill="1" applyBorder="1" applyAlignment="1">
      <alignment horizontal="center" vertical="center" wrapText="1"/>
    </xf>
    <xf numFmtId="0" fontId="2" fillId="6" borderId="2" xfId="0" applyFont="1" applyFill="1" applyBorder="1" applyAlignment="1">
      <alignment horizontal="center" vertical="center" wrapText="1"/>
    </xf>
    <xf numFmtId="0" fontId="2" fillId="7" borderId="2" xfId="0" applyFont="1" applyFill="1" applyBorder="1" applyAlignment="1">
      <alignment horizontal="center" vertical="center" wrapText="1"/>
    </xf>
    <xf numFmtId="0" fontId="3" fillId="2" borderId="2" xfId="0" applyFont="1" applyFill="1" applyBorder="1" applyAlignment="1">
      <alignment horizontal="center" vertical="center" wrapText="1"/>
    </xf>
    <xf numFmtId="0" fontId="4" fillId="8" borderId="2" xfId="0" applyFont="1" applyFill="1" applyBorder="1" applyAlignment="1">
      <alignment horizontal="center" vertical="center"/>
    </xf>
    <xf numFmtId="3" fontId="6" fillId="8" borderId="2" xfId="0" applyNumberFormat="1" applyFont="1" applyFill="1" applyBorder="1" applyAlignment="1">
      <alignment horizontal="center" vertical="center"/>
    </xf>
    <xf numFmtId="3" fontId="7" fillId="8" borderId="2" xfId="0" applyNumberFormat="1" applyFont="1" applyFill="1" applyBorder="1" applyAlignment="1">
      <alignment horizontal="center" vertical="center"/>
    </xf>
    <xf numFmtId="0" fontId="4" fillId="9" borderId="2" xfId="0" applyFont="1" applyFill="1" applyBorder="1" applyAlignment="1">
      <alignment horizontal="center" vertical="center"/>
    </xf>
    <xf numFmtId="3" fontId="6" fillId="9" borderId="2" xfId="0" applyNumberFormat="1" applyFont="1" applyFill="1" applyBorder="1" applyAlignment="1">
      <alignment horizontal="center" vertical="center"/>
    </xf>
    <xf numFmtId="3" fontId="7" fillId="9" borderId="2" xfId="0" applyNumberFormat="1" applyFont="1" applyFill="1" applyBorder="1" applyAlignment="1">
      <alignment horizontal="center" vertical="center"/>
    </xf>
    <xf numFmtId="3" fontId="2" fillId="2" borderId="2" xfId="0" applyNumberFormat="1" applyFont="1" applyFill="1" applyBorder="1" applyAlignment="1">
      <alignment horizontal="center" vertical="center"/>
    </xf>
    <xf numFmtId="0" fontId="9" fillId="3" borderId="2" xfId="0" applyFont="1" applyFill="1" applyBorder="1" applyAlignment="1">
      <alignment horizontal="center" vertical="center" wrapText="1"/>
    </xf>
    <xf numFmtId="0" fontId="10" fillId="3" borderId="2" xfId="0" applyFont="1" applyFill="1" applyBorder="1" applyAlignment="1">
      <alignment horizontal="center" vertical="center" wrapText="1"/>
    </xf>
    <xf numFmtId="0" fontId="11" fillId="8" borderId="2" xfId="0" applyFont="1" applyFill="1" applyBorder="1" applyAlignment="1">
      <alignment horizontal="left" vertical="center"/>
    </xf>
    <xf numFmtId="0" fontId="11" fillId="11" borderId="2" xfId="0" applyFont="1" applyFill="1" applyBorder="1" applyAlignment="1">
      <alignment horizontal="left" vertical="center"/>
    </xf>
    <xf numFmtId="0" fontId="5" fillId="11" borderId="2" xfId="0" applyFont="1" applyFill="1" applyBorder="1" applyAlignment="1">
      <alignment horizontal="left" vertical="center"/>
    </xf>
    <xf numFmtId="0" fontId="12" fillId="12" borderId="0" xfId="0" applyFont="1" applyFill="1" applyAlignment="1">
      <alignment vertical="center"/>
    </xf>
    <xf numFmtId="0" fontId="0" fillId="0" borderId="0" xfId="0" applyAlignment="1">
      <alignment horizontal="center" vertical="center"/>
    </xf>
    <xf numFmtId="165" fontId="0" fillId="0" borderId="0" xfId="0" applyNumberFormat="1" applyAlignment="1">
      <alignment horizontal="center" vertical="center"/>
    </xf>
    <xf numFmtId="164" fontId="9" fillId="2" borderId="2" xfId="0" applyNumberFormat="1" applyFont="1" applyFill="1" applyBorder="1" applyAlignment="1">
      <alignment horizontal="center" vertical="center" wrapText="1"/>
    </xf>
    <xf numFmtId="0" fontId="9" fillId="2" borderId="2" xfId="0" applyFont="1" applyFill="1" applyBorder="1" applyAlignment="1">
      <alignment horizontal="center" vertical="center" wrapText="1"/>
    </xf>
    <xf numFmtId="165" fontId="9" fillId="2" borderId="2" xfId="0" applyNumberFormat="1" applyFont="1" applyFill="1" applyBorder="1" applyAlignment="1">
      <alignment horizontal="center" vertical="center" wrapText="1"/>
    </xf>
    <xf numFmtId="166" fontId="11" fillId="11" borderId="2" xfId="0" applyNumberFormat="1" applyFont="1" applyFill="1" applyBorder="1" applyAlignment="1">
      <alignment horizontal="center" vertical="center"/>
    </xf>
    <xf numFmtId="0" fontId="11" fillId="11" borderId="2" xfId="0" applyFont="1" applyFill="1" applyBorder="1" applyAlignment="1" applyProtection="1">
      <alignment horizontal="center" vertical="center"/>
      <protection locked="0"/>
    </xf>
    <xf numFmtId="0" fontId="11" fillId="13" borderId="2" xfId="0" applyFont="1" applyFill="1" applyBorder="1" applyAlignment="1" applyProtection="1">
      <alignment horizontal="center" vertical="center"/>
      <protection locked="0"/>
    </xf>
    <xf numFmtId="3" fontId="11" fillId="11" borderId="2" xfId="0" applyNumberFormat="1" applyFont="1" applyFill="1" applyBorder="1" applyAlignment="1">
      <alignment horizontal="center" vertical="center"/>
    </xf>
    <xf numFmtId="166" fontId="11" fillId="13" borderId="2" xfId="0" applyNumberFormat="1" applyFont="1" applyFill="1" applyBorder="1" applyAlignment="1" applyProtection="1">
      <alignment horizontal="center" vertical="center"/>
      <protection locked="0"/>
    </xf>
    <xf numFmtId="165" fontId="11" fillId="11" borderId="2" xfId="0" applyNumberFormat="1" applyFont="1" applyFill="1" applyBorder="1" applyAlignment="1">
      <alignment horizontal="center" vertical="center"/>
    </xf>
    <xf numFmtId="0" fontId="0" fillId="0" borderId="0" xfId="0" applyProtection="1">
      <protection locked="0"/>
    </xf>
    <xf numFmtId="166" fontId="11" fillId="8" borderId="2" xfId="0" applyNumberFormat="1" applyFont="1" applyFill="1" applyBorder="1" applyAlignment="1">
      <alignment horizontal="center" vertical="center"/>
    </xf>
    <xf numFmtId="0" fontId="11" fillId="8" borderId="2" xfId="0" applyFont="1" applyFill="1" applyBorder="1" applyAlignment="1" applyProtection="1">
      <alignment horizontal="center" vertical="center"/>
      <protection locked="0"/>
    </xf>
    <xf numFmtId="3" fontId="11" fillId="8" borderId="2" xfId="0" applyNumberFormat="1" applyFont="1" applyFill="1" applyBorder="1" applyAlignment="1">
      <alignment horizontal="center" vertical="center"/>
    </xf>
    <xf numFmtId="165" fontId="11" fillId="8" borderId="2" xfId="0" applyNumberFormat="1" applyFont="1" applyFill="1" applyBorder="1" applyAlignment="1">
      <alignment horizontal="center" vertical="center"/>
    </xf>
    <xf numFmtId="0" fontId="10" fillId="3" borderId="2" xfId="0" applyFont="1" applyFill="1" applyBorder="1" applyAlignment="1">
      <alignment horizontal="center" vertical="center"/>
    </xf>
    <xf numFmtId="0" fontId="0" fillId="3" borderId="2" xfId="0" applyFill="1" applyBorder="1" applyAlignment="1">
      <alignment horizontal="center" vertical="center"/>
    </xf>
    <xf numFmtId="165" fontId="10" fillId="3" borderId="2" xfId="0" applyNumberFormat="1" applyFont="1" applyFill="1" applyBorder="1" applyAlignment="1">
      <alignment horizontal="center" vertical="center"/>
    </xf>
    <xf numFmtId="3" fontId="13" fillId="13" borderId="5" xfId="0" applyNumberFormat="1" applyFont="1" applyFill="1" applyBorder="1" applyAlignment="1" applyProtection="1">
      <alignment horizontal="center" vertical="center"/>
      <protection locked="0"/>
    </xf>
    <xf numFmtId="0" fontId="10" fillId="2" borderId="2" xfId="0" applyFont="1" applyFill="1" applyBorder="1" applyAlignment="1">
      <alignment horizontal="center" vertical="center"/>
    </xf>
    <xf numFmtId="0" fontId="0" fillId="2" borderId="2" xfId="0" applyFill="1" applyBorder="1" applyAlignment="1">
      <alignment horizontal="center" vertical="center"/>
    </xf>
    <xf numFmtId="165" fontId="10" fillId="2" borderId="2" xfId="0" applyNumberFormat="1" applyFont="1" applyFill="1" applyBorder="1" applyAlignment="1">
      <alignment horizontal="center" vertical="center"/>
    </xf>
    <xf numFmtId="3" fontId="9" fillId="2" borderId="2" xfId="0" applyNumberFormat="1" applyFont="1" applyFill="1" applyBorder="1" applyAlignment="1">
      <alignment horizontal="center" vertical="center"/>
    </xf>
    <xf numFmtId="0" fontId="14" fillId="14" borderId="6" xfId="0" applyFont="1" applyFill="1" applyBorder="1" applyAlignment="1" applyProtection="1">
      <alignment horizontal="center"/>
      <protection locked="0"/>
    </xf>
    <xf numFmtId="3" fontId="15" fillId="13" borderId="5" xfId="0" applyNumberFormat="1" applyFont="1" applyFill="1" applyBorder="1" applyAlignment="1" applyProtection="1">
      <alignment horizontal="center" vertical="center"/>
      <protection locked="0"/>
    </xf>
    <xf numFmtId="0" fontId="11" fillId="13" borderId="1" xfId="0" applyFont="1" applyFill="1" applyBorder="1" applyAlignment="1" applyProtection="1">
      <alignment horizontal="center" vertical="center"/>
      <protection locked="0"/>
    </xf>
    <xf numFmtId="0" fontId="0" fillId="8" borderId="0" xfId="0" applyFill="1" applyAlignment="1" applyProtection="1">
      <alignment horizontal="center" vertical="center"/>
      <protection locked="0"/>
    </xf>
    <xf numFmtId="3" fontId="9" fillId="2" borderId="7" xfId="0" applyNumberFormat="1" applyFont="1" applyFill="1" applyBorder="1" applyAlignment="1">
      <alignment horizontal="center" vertical="center"/>
    </xf>
    <xf numFmtId="0" fontId="5" fillId="8" borderId="2" xfId="0" applyFont="1" applyFill="1" applyBorder="1" applyAlignment="1" applyProtection="1">
      <alignment horizontal="center" vertical="center"/>
      <protection locked="0"/>
    </xf>
    <xf numFmtId="0" fontId="5" fillId="11" borderId="2" xfId="0" applyFont="1" applyFill="1" applyBorder="1" applyAlignment="1" applyProtection="1">
      <alignment horizontal="center" vertical="center"/>
      <protection locked="0"/>
    </xf>
    <xf numFmtId="165" fontId="5" fillId="11" borderId="2" xfId="0" applyNumberFormat="1" applyFont="1" applyFill="1" applyBorder="1" applyAlignment="1">
      <alignment horizontal="center" vertical="center"/>
    </xf>
    <xf numFmtId="0" fontId="5" fillId="13" borderId="1" xfId="0" applyFont="1" applyFill="1" applyBorder="1" applyAlignment="1" applyProtection="1">
      <alignment horizontal="center" vertical="center"/>
      <protection locked="0"/>
    </xf>
    <xf numFmtId="0" fontId="16" fillId="13" borderId="1" xfId="0" applyFont="1" applyFill="1" applyBorder="1" applyAlignment="1" applyProtection="1">
      <alignment horizontal="center" vertical="center"/>
      <protection locked="0"/>
    </xf>
    <xf numFmtId="167" fontId="17" fillId="15" borderId="6" xfId="0" applyNumberFormat="1" applyFont="1" applyFill="1" applyBorder="1" applyAlignment="1" applyProtection="1">
      <alignment horizontal="center" wrapText="1"/>
      <protection locked="0"/>
    </xf>
    <xf numFmtId="0" fontId="5" fillId="13" borderId="2" xfId="0" applyFont="1" applyFill="1" applyBorder="1" applyAlignment="1" applyProtection="1">
      <alignment horizontal="center" vertical="center"/>
      <protection locked="0"/>
    </xf>
    <xf numFmtId="164" fontId="0" fillId="0" borderId="0" xfId="0" applyNumberFormat="1" applyAlignment="1">
      <alignment horizontal="center"/>
    </xf>
    <xf numFmtId="0" fontId="0" fillId="0" borderId="0" xfId="0" applyAlignment="1">
      <alignment horizontal="center"/>
    </xf>
    <xf numFmtId="165" fontId="0" fillId="0" borderId="0" xfId="0" applyNumberFormat="1" applyAlignment="1">
      <alignment horizontal="center"/>
    </xf>
    <xf numFmtId="164" fontId="11" fillId="11" borderId="2" xfId="0" applyNumberFormat="1" applyFont="1" applyFill="1" applyBorder="1" applyAlignment="1" applyProtection="1">
      <alignment horizontal="center" vertical="center"/>
      <protection locked="0"/>
    </xf>
    <xf numFmtId="0" fontId="0" fillId="8" borderId="0" xfId="0" applyFill="1" applyAlignment="1" applyProtection="1">
      <alignment horizontal="center"/>
      <protection locked="0"/>
    </xf>
    <xf numFmtId="0" fontId="0" fillId="3" borderId="2" xfId="0" applyFill="1" applyBorder="1" applyAlignment="1">
      <alignment horizontal="center"/>
    </xf>
    <xf numFmtId="164" fontId="11" fillId="8" borderId="2" xfId="0" applyNumberFormat="1" applyFont="1" applyFill="1" applyBorder="1" applyAlignment="1" applyProtection="1">
      <alignment horizontal="center" vertical="center"/>
      <protection locked="0"/>
    </xf>
    <xf numFmtId="0" fontId="0" fillId="2" borderId="2" xfId="0" applyFill="1" applyBorder="1" applyAlignment="1">
      <alignment horizontal="center"/>
    </xf>
    <xf numFmtId="165" fontId="5" fillId="8" borderId="2" xfId="0" applyNumberFormat="1" applyFont="1" applyFill="1" applyBorder="1" applyAlignment="1">
      <alignment horizontal="center" vertical="center"/>
    </xf>
    <xf numFmtId="166" fontId="5" fillId="13" borderId="2" xfId="0" applyNumberFormat="1" applyFont="1" applyFill="1" applyBorder="1" applyAlignment="1" applyProtection="1">
      <alignment horizontal="center" vertical="center"/>
      <protection locked="0"/>
    </xf>
    <xf numFmtId="3" fontId="0" fillId="0" borderId="0" xfId="0" applyNumberFormat="1"/>
    <xf numFmtId="14" fontId="9" fillId="2" borderId="2" xfId="0" applyNumberFormat="1" applyFont="1" applyFill="1" applyBorder="1" applyAlignment="1">
      <alignment horizontal="center" vertical="center" wrapText="1"/>
    </xf>
    <xf numFmtId="14" fontId="11" fillId="11" borderId="2" xfId="0" applyNumberFormat="1" applyFont="1" applyFill="1" applyBorder="1" applyAlignment="1">
      <alignment horizontal="center" vertical="center"/>
    </xf>
    <xf numFmtId="14" fontId="11" fillId="8" borderId="2" xfId="0" applyNumberFormat="1" applyFont="1" applyFill="1" applyBorder="1" applyAlignment="1">
      <alignment horizontal="center" vertical="center"/>
    </xf>
    <xf numFmtId="14" fontId="0" fillId="0" borderId="0" xfId="0" applyNumberFormat="1"/>
    <xf numFmtId="14" fontId="3" fillId="2" borderId="2" xfId="0" applyNumberFormat="1" applyFont="1" applyFill="1" applyBorder="1" applyAlignment="1">
      <alignment horizontal="center" vertical="center" wrapText="1"/>
    </xf>
    <xf numFmtId="14" fontId="5" fillId="8" borderId="2" xfId="0" applyNumberFormat="1" applyFont="1" applyFill="1" applyBorder="1" applyAlignment="1">
      <alignment horizontal="center" vertical="center"/>
    </xf>
    <xf numFmtId="14" fontId="5" fillId="9" borderId="2" xfId="0" applyNumberFormat="1" applyFont="1" applyFill="1" applyBorder="1" applyAlignment="1">
      <alignment horizontal="center" vertical="center"/>
    </xf>
    <xf numFmtId="14" fontId="0" fillId="0" borderId="0" xfId="0" applyNumberFormat="1" applyAlignment="1">
      <alignment horizontal="center" vertical="center"/>
    </xf>
    <xf numFmtId="14" fontId="0" fillId="0" borderId="0" xfId="0" applyNumberFormat="1" applyAlignment="1">
      <alignment horizontal="center"/>
    </xf>
    <xf numFmtId="0" fontId="11" fillId="13" borderId="2" xfId="0" applyFont="1" applyFill="1" applyBorder="1" applyAlignment="1" applyProtection="1">
      <alignment horizontal="center" vertical="center" wrapText="1"/>
      <protection locked="0"/>
    </xf>
    <xf numFmtId="3" fontId="19" fillId="13" borderId="5" xfId="0" applyNumberFormat="1" applyFont="1" applyFill="1" applyBorder="1" applyAlignment="1" applyProtection="1">
      <alignment horizontal="center" vertical="center"/>
      <protection locked="0"/>
    </xf>
    <xf numFmtId="165" fontId="20" fillId="8" borderId="2" xfId="0" applyNumberFormat="1" applyFont="1" applyFill="1" applyBorder="1" applyAlignment="1">
      <alignment horizontal="center" vertical="center"/>
    </xf>
    <xf numFmtId="165" fontId="20" fillId="11" borderId="2" xfId="0" applyNumberFormat="1" applyFont="1" applyFill="1" applyBorder="1" applyAlignment="1">
      <alignment horizontal="center" vertical="center"/>
    </xf>
    <xf numFmtId="0" fontId="20" fillId="8" borderId="2" xfId="0" applyFont="1" applyFill="1" applyBorder="1" applyAlignment="1" applyProtection="1">
      <alignment horizontal="center" vertical="center"/>
      <protection locked="0"/>
    </xf>
    <xf numFmtId="0" fontId="20" fillId="11" borderId="2" xfId="0" applyFont="1" applyFill="1" applyBorder="1" applyAlignment="1" applyProtection="1">
      <alignment horizontal="center" vertical="center"/>
      <protection locked="0"/>
    </xf>
    <xf numFmtId="3" fontId="21" fillId="2" borderId="2" xfId="0" applyNumberFormat="1" applyFont="1" applyFill="1" applyBorder="1" applyAlignment="1">
      <alignment horizontal="center" vertical="center"/>
    </xf>
    <xf numFmtId="3" fontId="21" fillId="2" borderId="7" xfId="0" applyNumberFormat="1" applyFont="1" applyFill="1" applyBorder="1" applyAlignment="1">
      <alignment horizontal="center" vertical="center"/>
    </xf>
    <xf numFmtId="3" fontId="22" fillId="13" borderId="5" xfId="0" applyNumberFormat="1" applyFont="1" applyFill="1" applyBorder="1" applyAlignment="1" applyProtection="1">
      <alignment horizontal="center" vertical="center"/>
      <protection locked="0"/>
    </xf>
    <xf numFmtId="20" fontId="11" fillId="13" borderId="1" xfId="0" applyNumberFormat="1" applyFont="1" applyFill="1" applyBorder="1" applyAlignment="1" applyProtection="1">
      <alignment horizontal="center" vertical="center"/>
      <protection locked="0"/>
    </xf>
    <xf numFmtId="0" fontId="23" fillId="0" borderId="0" xfId="0" applyFont="1"/>
    <xf numFmtId="0" fontId="10" fillId="3" borderId="1" xfId="0" applyFont="1" applyFill="1" applyBorder="1" applyAlignment="1">
      <alignment horizontal="center" vertical="center"/>
    </xf>
    <xf numFmtId="0" fontId="10" fillId="3" borderId="8" xfId="0" applyFont="1" applyFill="1" applyBorder="1" applyAlignment="1">
      <alignment horizontal="center" vertical="center"/>
    </xf>
    <xf numFmtId="0" fontId="10" fillId="3" borderId="4" xfId="0" applyFont="1" applyFill="1" applyBorder="1" applyAlignment="1">
      <alignment horizontal="center" vertical="center"/>
    </xf>
    <xf numFmtId="3" fontId="10" fillId="3" borderId="2" xfId="0" applyNumberFormat="1" applyFont="1" applyFill="1" applyBorder="1" applyAlignment="1">
      <alignment horizontal="center" vertical="center"/>
    </xf>
    <xf numFmtId="0" fontId="10" fillId="2" borderId="8" xfId="0" applyFont="1" applyFill="1" applyBorder="1" applyAlignment="1">
      <alignment horizontal="center" vertical="center"/>
    </xf>
    <xf numFmtId="0" fontId="10" fillId="2" borderId="1" xfId="0" applyFont="1" applyFill="1" applyBorder="1" applyAlignment="1">
      <alignment horizontal="center" vertical="center"/>
    </xf>
    <xf numFmtId="0" fontId="11" fillId="13" borderId="9" xfId="0" applyFont="1" applyFill="1" applyBorder="1" applyAlignment="1" applyProtection="1">
      <alignment horizontal="center" vertical="center"/>
      <protection locked="0"/>
    </xf>
    <xf numFmtId="165" fontId="11" fillId="8" borderId="1" xfId="0" applyNumberFormat="1" applyFont="1" applyFill="1" applyBorder="1" applyAlignment="1">
      <alignment horizontal="center" vertical="center"/>
    </xf>
    <xf numFmtId="0" fontId="11" fillId="13" borderId="7" xfId="0" applyFont="1" applyFill="1" applyBorder="1" applyAlignment="1" applyProtection="1">
      <alignment horizontal="center" vertical="center"/>
      <protection locked="0"/>
    </xf>
    <xf numFmtId="0" fontId="11" fillId="13" borderId="6" xfId="0" applyFont="1" applyFill="1" applyBorder="1" applyAlignment="1" applyProtection="1">
      <alignment horizontal="center" vertical="center"/>
      <protection locked="0"/>
    </xf>
    <xf numFmtId="3" fontId="10" fillId="2" borderId="2" xfId="0" applyNumberFormat="1" applyFont="1" applyFill="1" applyBorder="1" applyAlignment="1">
      <alignment horizontal="center" vertical="center"/>
    </xf>
    <xf numFmtId="166" fontId="20" fillId="13" borderId="2" xfId="0" applyNumberFormat="1" applyFont="1" applyFill="1" applyBorder="1" applyAlignment="1" applyProtection="1">
      <alignment horizontal="center" vertical="center"/>
      <protection locked="0"/>
    </xf>
    <xf numFmtId="164" fontId="20" fillId="8" borderId="2" xfId="0" applyNumberFormat="1" applyFont="1" applyFill="1" applyBorder="1" applyAlignment="1" applyProtection="1">
      <alignment horizontal="center" vertical="center"/>
      <protection locked="0"/>
    </xf>
    <xf numFmtId="0" fontId="20" fillId="13" borderId="2" xfId="0" applyFont="1" applyFill="1" applyBorder="1" applyAlignment="1" applyProtection="1">
      <alignment horizontal="center" vertical="center"/>
      <protection locked="0"/>
    </xf>
    <xf numFmtId="3" fontId="20" fillId="11" borderId="2" xfId="0" applyNumberFormat="1" applyFont="1" applyFill="1" applyBorder="1" applyAlignment="1">
      <alignment horizontal="center" vertical="center"/>
    </xf>
    <xf numFmtId="14" fontId="20" fillId="8" borderId="2" xfId="0" applyNumberFormat="1" applyFont="1" applyFill="1" applyBorder="1" applyAlignment="1">
      <alignment horizontal="center" vertical="center"/>
    </xf>
    <xf numFmtId="166" fontId="20" fillId="8" borderId="2" xfId="0" applyNumberFormat="1" applyFont="1" applyFill="1" applyBorder="1" applyAlignment="1">
      <alignment horizontal="center" vertical="center"/>
    </xf>
    <xf numFmtId="3" fontId="20" fillId="8" borderId="2" xfId="0" applyNumberFormat="1" applyFont="1" applyFill="1" applyBorder="1" applyAlignment="1">
      <alignment horizontal="center" vertical="center"/>
    </xf>
    <xf numFmtId="0" fontId="20" fillId="13" borderId="1" xfId="0" applyFont="1" applyFill="1" applyBorder="1" applyAlignment="1" applyProtection="1">
      <alignment horizontal="center" vertical="center"/>
      <protection locked="0"/>
    </xf>
    <xf numFmtId="14" fontId="20" fillId="11" borderId="2" xfId="0" applyNumberFormat="1" applyFont="1" applyFill="1" applyBorder="1" applyAlignment="1">
      <alignment horizontal="center" vertical="center"/>
    </xf>
    <xf numFmtId="166" fontId="20" fillId="11" borderId="2" xfId="0" applyNumberFormat="1" applyFont="1" applyFill="1" applyBorder="1" applyAlignment="1">
      <alignment horizontal="center" vertical="center"/>
    </xf>
    <xf numFmtId="164" fontId="20" fillId="11" borderId="2" xfId="0" applyNumberFormat="1" applyFont="1" applyFill="1" applyBorder="1" applyAlignment="1" applyProtection="1">
      <alignment horizontal="center" vertical="center"/>
      <protection locked="0"/>
    </xf>
    <xf numFmtId="0" fontId="24" fillId="3" borderId="2" xfId="0" applyFont="1" applyFill="1" applyBorder="1" applyAlignment="1">
      <alignment horizontal="center" vertical="center"/>
    </xf>
    <xf numFmtId="165" fontId="24" fillId="3" borderId="2" xfId="0" applyNumberFormat="1" applyFont="1" applyFill="1" applyBorder="1" applyAlignment="1">
      <alignment horizontal="center" vertical="center"/>
    </xf>
    <xf numFmtId="0" fontId="24" fillId="2" borderId="2" xfId="0" applyFont="1" applyFill="1" applyBorder="1" applyAlignment="1">
      <alignment horizontal="center" vertical="center"/>
    </xf>
    <xf numFmtId="165" fontId="24" fillId="2" borderId="2" xfId="0" applyNumberFormat="1" applyFont="1" applyFill="1" applyBorder="1" applyAlignment="1">
      <alignment horizontal="center" vertical="center"/>
    </xf>
    <xf numFmtId="0" fontId="24" fillId="3" borderId="1" xfId="0" applyFont="1" applyFill="1" applyBorder="1" applyAlignment="1">
      <alignment horizontal="center" vertical="center"/>
    </xf>
    <xf numFmtId="0" fontId="24" fillId="3" borderId="8" xfId="0" applyFont="1" applyFill="1" applyBorder="1" applyAlignment="1">
      <alignment horizontal="center" vertical="center"/>
    </xf>
    <xf numFmtId="0" fontId="24" fillId="3" borderId="4" xfId="0" applyFont="1" applyFill="1" applyBorder="1" applyAlignment="1">
      <alignment horizontal="center" vertical="center"/>
    </xf>
    <xf numFmtId="0" fontId="24" fillId="2" borderId="1" xfId="0" applyFont="1" applyFill="1" applyBorder="1" applyAlignment="1">
      <alignment horizontal="center" vertical="center"/>
    </xf>
    <xf numFmtId="0" fontId="24" fillId="2" borderId="8" xfId="0" applyFont="1" applyFill="1" applyBorder="1" applyAlignment="1">
      <alignment horizontal="center" vertical="center"/>
    </xf>
    <xf numFmtId="0" fontId="24" fillId="2" borderId="4" xfId="0" applyFont="1" applyFill="1" applyBorder="1" applyAlignment="1">
      <alignment horizontal="center" vertical="center"/>
    </xf>
    <xf numFmtId="0" fontId="10" fillId="3" borderId="1" xfId="0" applyFont="1" applyFill="1" applyBorder="1" applyAlignment="1">
      <alignment horizontal="center" vertical="center"/>
    </xf>
    <xf numFmtId="0" fontId="10" fillId="3" borderId="8" xfId="0" applyFont="1" applyFill="1" applyBorder="1" applyAlignment="1">
      <alignment horizontal="center" vertical="center"/>
    </xf>
    <xf numFmtId="0" fontId="10" fillId="3" borderId="4" xfId="0" applyFont="1" applyFill="1" applyBorder="1" applyAlignment="1">
      <alignment horizontal="center" vertical="center"/>
    </xf>
    <xf numFmtId="0" fontId="10" fillId="2" borderId="1" xfId="0" applyFont="1" applyFill="1" applyBorder="1" applyAlignment="1">
      <alignment horizontal="center" vertical="center"/>
    </xf>
    <xf numFmtId="0" fontId="10" fillId="2" borderId="8" xfId="0" applyFont="1" applyFill="1" applyBorder="1" applyAlignment="1">
      <alignment horizontal="center" vertical="center"/>
    </xf>
    <xf numFmtId="0" fontId="10" fillId="2" borderId="4" xfId="0" applyFont="1" applyFill="1" applyBorder="1" applyAlignment="1">
      <alignment horizontal="center" vertical="center"/>
    </xf>
    <xf numFmtId="0" fontId="1" fillId="2" borderId="1" xfId="0" applyFont="1" applyFill="1" applyBorder="1" applyAlignment="1">
      <alignment horizontal="center" vertical="center"/>
    </xf>
    <xf numFmtId="0" fontId="2" fillId="2" borderId="1" xfId="0" applyFont="1" applyFill="1" applyBorder="1" applyAlignment="1">
      <alignment horizontal="center" vertical="center" wrapText="1"/>
    </xf>
    <xf numFmtId="0" fontId="2" fillId="2" borderId="2" xfId="0" applyFont="1" applyFill="1" applyBorder="1" applyAlignment="1">
      <alignment horizontal="center" vertical="center"/>
    </xf>
    <xf numFmtId="0" fontId="8" fillId="2" borderId="2" xfId="0" applyFont="1" applyFill="1" applyBorder="1" applyAlignment="1">
      <alignment horizontal="center" vertical="center" wrapText="1"/>
    </xf>
    <xf numFmtId="0" fontId="8" fillId="10" borderId="3" xfId="0" applyFont="1" applyFill="1" applyBorder="1" applyAlignment="1">
      <alignment horizontal="center" vertical="center" wrapText="1"/>
    </xf>
    <xf numFmtId="0" fontId="9" fillId="2" borderId="2" xfId="0" applyFont="1" applyFill="1" applyBorder="1" applyAlignment="1">
      <alignment horizontal="left" vertical="center" wrapText="1"/>
    </xf>
  </cellXfs>
  <cellStyles count="1">
    <cellStyle name="Normal" xfId="0" builtinId="0"/>
  </cellStyles>
  <dxfs count="0"/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1E6B3A"/>
      <rgbColor rgb="FF000080"/>
      <rgbColor rgb="FF808000"/>
      <rgbColor rgb="FF7B1FA2"/>
      <rgbColor rgb="FF008080"/>
      <rgbColor rgb="FFBFBFBF"/>
      <rgbColor rgb="FF757575"/>
      <rgbColor rgb="FF9999FF"/>
      <rgbColor rgb="FFC0504D"/>
      <rgbColor rgb="FFFFF9E3"/>
      <rgbColor rgb="FFF2F7FC"/>
      <rgbColor rgb="FF660066"/>
      <rgbColor rgb="FFFF8080"/>
      <rgbColor rgb="FF0066CC"/>
      <rgbColor rgb="FFD0CECE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D6E4F0"/>
      <rgbColor rgb="FFCCFFCC"/>
      <rgbColor rgb="FFFFFDE7"/>
      <rgbColor rgb="FF99CCFF"/>
      <rgbColor rgb="FFFF99CC"/>
      <rgbColor rgb="FFCC99FF"/>
      <rgbColor rgb="FFDDD9C3"/>
      <rgbColor rgb="FF2E75B6"/>
      <rgbColor rgb="FF4BACC6"/>
      <rgbColor rgb="FF9BBB59"/>
      <rgbColor rgb="FFFFC000"/>
      <rgbColor rgb="FFFF9900"/>
      <rgbColor rgb="FFFF6600"/>
      <rgbColor rgb="FF666699"/>
      <rgbColor rgb="FF969696"/>
      <rgbColor rgb="FF1B3A6B"/>
      <rgbColor rgb="FF339966"/>
      <rgbColor rgb="FF003300"/>
      <rgbColor rgb="FF1A1A1A"/>
      <rgbColor rgb="FFB34700"/>
      <rgbColor rgb="FF993366"/>
      <rgbColor rgb="FF1F497D"/>
      <rgbColor rgb="FF444444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tyles" Target="styles.xml"/><Relationship Id="rId13" Type="http://schemas.openxmlformats.org/officeDocument/2006/relationships/customXml" Target="../customXml/item3.xml"/><Relationship Id="rId3" Type="http://schemas.openxmlformats.org/officeDocument/2006/relationships/worksheet" Target="worksheets/sheet3.xml"/><Relationship Id="rId7" Type="http://schemas.openxmlformats.org/officeDocument/2006/relationships/theme" Target="theme/theme1.xml"/><Relationship Id="rId12" Type="http://schemas.openxmlformats.org/officeDocument/2006/relationships/customXml" Target="../customXml/item2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customXml" Target="../customXml/item1.xml"/><Relationship Id="rId5" Type="http://schemas.openxmlformats.org/officeDocument/2006/relationships/worksheet" Target="worksheets/sheet5.xml"/><Relationship Id="rId10" Type="http://schemas.openxmlformats.org/officeDocument/2006/relationships/calcChain" Target="calcChain.xml"/><Relationship Id="rId4" Type="http://schemas.openxmlformats.org/officeDocument/2006/relationships/worksheet" Target="worksheets/sheet4.xml"/><Relationship Id="rId9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G35"/>
  <sheetViews>
    <sheetView showGridLines="0" zoomScaleNormal="100" workbookViewId="0">
      <pane ySplit="3" topLeftCell="A8" activePane="bottomLeft" state="frozen"/>
      <selection pane="bottomLeft" activeCell="G33" sqref="G33"/>
    </sheetView>
  </sheetViews>
  <sheetFormatPr defaultColWidth="8.5703125" defaultRowHeight="14.45"/>
  <cols>
    <col min="1" max="1" width="17.5703125" customWidth="1"/>
    <col min="2" max="2" width="21" style="70" customWidth="1"/>
    <col min="3" max="3" width="19.5703125" customWidth="1"/>
    <col min="4" max="4" width="23.5703125" customWidth="1"/>
    <col min="5" max="5" width="26" customWidth="1"/>
    <col min="6" max="6" width="26.42578125" customWidth="1"/>
    <col min="7" max="7" width="32" customWidth="1"/>
  </cols>
  <sheetData>
    <row r="1" spans="1:7" ht="31.5" customHeight="1">
      <c r="A1" s="125" t="s">
        <v>0</v>
      </c>
      <c r="B1" s="125"/>
      <c r="C1" s="125"/>
      <c r="D1" s="125"/>
      <c r="E1" s="125"/>
      <c r="F1" s="125"/>
      <c r="G1" s="125"/>
    </row>
    <row r="2" spans="1:7" ht="24.75" customHeight="1">
      <c r="A2" s="126"/>
      <c r="B2" s="126"/>
      <c r="C2" s="1" t="s">
        <v>1</v>
      </c>
      <c r="D2" s="2" t="s">
        <v>2</v>
      </c>
      <c r="E2" s="3" t="s">
        <v>3</v>
      </c>
      <c r="F2" s="4" t="s">
        <v>4</v>
      </c>
      <c r="G2" s="5" t="s">
        <v>5</v>
      </c>
    </row>
    <row r="3" spans="1:7" ht="19.5" customHeight="1">
      <c r="A3" s="6" t="s">
        <v>6</v>
      </c>
      <c r="B3" s="71" t="s">
        <v>7</v>
      </c>
      <c r="C3" s="6" t="s">
        <v>8</v>
      </c>
      <c r="D3" s="6" t="s">
        <v>8</v>
      </c>
      <c r="E3" s="6" t="s">
        <v>8</v>
      </c>
      <c r="F3" s="6" t="s">
        <v>8</v>
      </c>
      <c r="G3" s="6" t="s">
        <v>8</v>
      </c>
    </row>
    <row r="4" spans="1:7" ht="15.75" customHeight="1">
      <c r="A4" s="7">
        <v>1</v>
      </c>
      <c r="B4" s="72">
        <v>46204</v>
      </c>
      <c r="C4" s="8">
        <f>IFERROR(Britador!O28,"")</f>
        <v>2672480</v>
      </c>
      <c r="D4" s="8">
        <f>IFERROR('Linha 1'!O28,"")</f>
        <v>1020460</v>
      </c>
      <c r="E4" s="8">
        <f>IFERROR('Linha 2'!O28,"")</f>
        <v>601030</v>
      </c>
      <c r="F4" s="8">
        <f>IFERROR('Linha 3'!O28,"")</f>
        <v>529300</v>
      </c>
      <c r="G4" s="9">
        <f t="shared" ref="G4:G34" si="0">IFERROR(D4+E4+F4,"")</f>
        <v>2150790</v>
      </c>
    </row>
    <row r="5" spans="1:7" ht="15.75" customHeight="1">
      <c r="A5" s="10">
        <v>2</v>
      </c>
      <c r="B5" s="73">
        <v>46205</v>
      </c>
      <c r="C5" s="11">
        <f>IFERROR(Britador!O55,"")</f>
        <v>1067910</v>
      </c>
      <c r="D5" s="11">
        <f>IFERROR('Linha 1'!O55,"")</f>
        <v>628100</v>
      </c>
      <c r="E5" s="11">
        <f>IFERROR('Linha 2'!O55,"")</f>
        <v>329880</v>
      </c>
      <c r="F5" s="11">
        <f>IFERROR('Linha 3'!O55,"")</f>
        <v>778900</v>
      </c>
      <c r="G5" s="12">
        <f t="shared" si="0"/>
        <v>1736880</v>
      </c>
    </row>
    <row r="6" spans="1:7" ht="15.75" customHeight="1">
      <c r="A6" s="7">
        <v>3</v>
      </c>
      <c r="B6" s="72">
        <v>46206</v>
      </c>
      <c r="C6" s="8">
        <f>IFERROR(Britador!O82,"")</f>
        <v>2831180</v>
      </c>
      <c r="D6" s="8">
        <f>IFERROR('Linha 1'!O82,"")</f>
        <v>787860</v>
      </c>
      <c r="E6" s="8">
        <f>IFERROR('Linha 2'!O82,"")</f>
        <v>837780</v>
      </c>
      <c r="F6" s="8">
        <f>IFERROR('Linha 3'!O82,"")</f>
        <v>1328490</v>
      </c>
      <c r="G6" s="9">
        <f t="shared" si="0"/>
        <v>2954130</v>
      </c>
    </row>
    <row r="7" spans="1:7" ht="15.75" customHeight="1">
      <c r="A7" s="10">
        <v>4</v>
      </c>
      <c r="B7" s="73">
        <v>46207</v>
      </c>
      <c r="C7" s="11">
        <f>IFERROR(Britador!O109,"")</f>
        <v>3404450</v>
      </c>
      <c r="D7" s="11">
        <f>IFERROR('Linha 1'!O109,"")</f>
        <v>1664690</v>
      </c>
      <c r="E7" s="11">
        <f>IFERROR('Linha 2'!O109,"")</f>
        <v>577520</v>
      </c>
      <c r="F7" s="11">
        <f>IFERROR('Linha 3'!O109,"")</f>
        <v>1335500</v>
      </c>
      <c r="G7" s="12">
        <f t="shared" si="0"/>
        <v>3577710</v>
      </c>
    </row>
    <row r="8" spans="1:7" ht="15.75" customHeight="1">
      <c r="A8" s="7">
        <v>5</v>
      </c>
      <c r="B8" s="72">
        <v>46208</v>
      </c>
      <c r="C8" s="8">
        <f>IFERROR(Britador!O136,"")</f>
        <v>2487750</v>
      </c>
      <c r="D8" s="8">
        <f>IFERROR('Linha 1'!O136,"")</f>
        <v>1663740</v>
      </c>
      <c r="E8" s="8">
        <f>IFERROR('Linha 2'!O136,"")</f>
        <v>432380</v>
      </c>
      <c r="F8" s="8">
        <f>IFERROR('Linha 3'!O136,"")</f>
        <v>1003740</v>
      </c>
      <c r="G8" s="9">
        <f t="shared" si="0"/>
        <v>3099860</v>
      </c>
    </row>
    <row r="9" spans="1:7" ht="15.75" customHeight="1">
      <c r="A9" s="10">
        <v>6</v>
      </c>
      <c r="B9" s="73">
        <v>46209</v>
      </c>
      <c r="C9" s="11">
        <f>IFERROR(Britador!O163,"")</f>
        <v>2667300</v>
      </c>
      <c r="D9" s="11">
        <f>IFERROR('Linha 1'!O163,"")</f>
        <v>1474080</v>
      </c>
      <c r="E9" s="11">
        <f>IFERROR('Linha 2'!O163,"")</f>
        <v>921800</v>
      </c>
      <c r="F9" s="11">
        <f>IFERROR('Linha 3'!O163,"")</f>
        <v>1755660</v>
      </c>
      <c r="G9" s="12">
        <f t="shared" si="0"/>
        <v>4151540</v>
      </c>
    </row>
    <row r="10" spans="1:7" ht="15.75" customHeight="1">
      <c r="A10" s="7">
        <v>7</v>
      </c>
      <c r="B10" s="72">
        <v>46210</v>
      </c>
      <c r="C10" s="8">
        <f>IFERROR(Britador!O190,"")</f>
        <v>4302240</v>
      </c>
      <c r="D10" s="8">
        <f>IFERROR('Linha 1'!O190,"")</f>
        <v>0</v>
      </c>
      <c r="E10" s="8">
        <f>IFERROR('Linha 2'!O190,"")</f>
        <v>938160</v>
      </c>
      <c r="F10" s="8">
        <f>IFERROR('Linha 3'!O190,"")</f>
        <v>1473950</v>
      </c>
      <c r="G10" s="9">
        <f t="shared" si="0"/>
        <v>2412110</v>
      </c>
    </row>
    <row r="11" spans="1:7" ht="15.75" customHeight="1">
      <c r="A11" s="10">
        <v>8</v>
      </c>
      <c r="B11" s="73">
        <v>46211</v>
      </c>
      <c r="C11" s="11">
        <f>IFERROR(Britador!O217,"")</f>
        <v>3908370</v>
      </c>
      <c r="D11" s="11">
        <f>IFERROR('Linha 1'!O217,"")</f>
        <v>648410</v>
      </c>
      <c r="E11" s="11">
        <f>IFERROR('Linha 2'!O217,"")</f>
        <v>793270</v>
      </c>
      <c r="F11" s="11">
        <f>IFERROR('Linha 3'!O217,"")</f>
        <v>1735070</v>
      </c>
      <c r="G11" s="12">
        <f t="shared" si="0"/>
        <v>3176750</v>
      </c>
    </row>
    <row r="12" spans="1:7" ht="15.75" customHeight="1">
      <c r="A12" s="7">
        <v>9</v>
      </c>
      <c r="B12" s="72">
        <v>46212</v>
      </c>
      <c r="C12" s="8">
        <f>IFERROR(Britador!O244,"")</f>
        <v>2981650</v>
      </c>
      <c r="D12" s="8">
        <f>IFERROR('Linha 1'!O244,"")</f>
        <v>1331170</v>
      </c>
      <c r="E12" s="8">
        <f>IFERROR('Linha 2'!O244,"")</f>
        <v>1045450</v>
      </c>
      <c r="F12" s="8">
        <f>IFERROR('Linha 3'!O244,"")</f>
        <v>1569570</v>
      </c>
      <c r="G12" s="9">
        <f t="shared" si="0"/>
        <v>3946190</v>
      </c>
    </row>
    <row r="13" spans="1:7" ht="15.75" customHeight="1">
      <c r="A13" s="10">
        <v>10</v>
      </c>
      <c r="B13" s="73">
        <v>46213</v>
      </c>
      <c r="C13" s="11">
        <f>IFERROR(Britador!O271,"")</f>
        <v>3252750</v>
      </c>
      <c r="D13" s="11">
        <f>IFERROR('Linha 1'!O271,"")</f>
        <v>1256650</v>
      </c>
      <c r="E13" s="11">
        <f>IFERROR('Linha 2'!O271,"")</f>
        <v>939780</v>
      </c>
      <c r="F13" s="11">
        <f>IFERROR('Linha 3'!O271,"")</f>
        <v>2082930</v>
      </c>
      <c r="G13" s="12">
        <f t="shared" si="0"/>
        <v>4279360</v>
      </c>
    </row>
    <row r="14" spans="1:7" ht="15.75" customHeight="1">
      <c r="A14" s="7">
        <v>11</v>
      </c>
      <c r="B14" s="72">
        <v>46214</v>
      </c>
      <c r="C14" s="8">
        <f>IFERROR(Britador!O298,"")</f>
        <v>4291460</v>
      </c>
      <c r="D14" s="8">
        <f>IFERROR('Linha 1'!O298,"")</f>
        <v>1385120</v>
      </c>
      <c r="E14" s="8">
        <f>IFERROR('Linha 2'!O298,"")</f>
        <v>791700</v>
      </c>
      <c r="F14" s="8">
        <f>IFERROR('Linha 3'!O298,"")</f>
        <v>1836090</v>
      </c>
      <c r="G14" s="9">
        <f t="shared" si="0"/>
        <v>4012910</v>
      </c>
    </row>
    <row r="15" spans="1:7" ht="15.75" customHeight="1">
      <c r="A15" s="10">
        <v>12</v>
      </c>
      <c r="B15" s="73">
        <v>46215</v>
      </c>
      <c r="C15" s="11">
        <f>IFERROR(Britador!O325,"")</f>
        <v>2895688</v>
      </c>
      <c r="D15" s="11">
        <f>IFERROR('Linha 1'!O325,"")</f>
        <v>1129970</v>
      </c>
      <c r="E15" s="11">
        <f>IFERROR('Linha 2'!O325,"")</f>
        <v>982760</v>
      </c>
      <c r="F15" s="11">
        <f>IFERROR('Linha 3'!O325,"")</f>
        <v>1209300</v>
      </c>
      <c r="G15" s="12">
        <f t="shared" si="0"/>
        <v>3322030</v>
      </c>
    </row>
    <row r="16" spans="1:7" ht="15.75" customHeight="1">
      <c r="A16" s="7">
        <v>13</v>
      </c>
      <c r="B16" s="72">
        <v>46216</v>
      </c>
      <c r="C16" s="8">
        <f>IFERROR(Britador!O352,"")</f>
        <v>2226874</v>
      </c>
      <c r="D16" s="8">
        <f>IFERROR('Linha 1'!O352,"")</f>
        <v>1435420</v>
      </c>
      <c r="E16" s="8">
        <f>IFERROR('Linha 2'!O352,"")</f>
        <v>605940</v>
      </c>
      <c r="F16" s="8">
        <f>IFERROR('Linha 3'!O352,"")</f>
        <v>1476140</v>
      </c>
      <c r="G16" s="9">
        <f t="shared" si="0"/>
        <v>3517500</v>
      </c>
    </row>
    <row r="17" spans="1:7" ht="15.75" customHeight="1">
      <c r="A17" s="10">
        <v>14</v>
      </c>
      <c r="B17" s="73">
        <v>46217</v>
      </c>
      <c r="C17" s="11">
        <f>IFERROR(Britador!O379,"")</f>
        <v>3152920</v>
      </c>
      <c r="D17" s="11">
        <f>IFERROR('Linha 1'!O379,"")</f>
        <v>1320530</v>
      </c>
      <c r="E17" s="11">
        <f>IFERROR('Linha 2'!O379,"")</f>
        <v>502440</v>
      </c>
      <c r="F17" s="11">
        <f>IFERROR('Linha 3'!O379,"")</f>
        <v>1302680</v>
      </c>
      <c r="G17" s="12">
        <f t="shared" si="0"/>
        <v>3125650</v>
      </c>
    </row>
    <row r="18" spans="1:7" ht="15.75" customHeight="1">
      <c r="A18" s="7">
        <v>15</v>
      </c>
      <c r="B18" s="72">
        <v>46218</v>
      </c>
      <c r="C18" s="8">
        <f>IFERROR(Britador!O406,"")</f>
        <v>2778340</v>
      </c>
      <c r="D18" s="8">
        <f>IFERROR('Linha 1'!O406,"")</f>
        <v>834390</v>
      </c>
      <c r="E18" s="8">
        <f>IFERROR('Linha 2'!O406,"")</f>
        <v>907390</v>
      </c>
      <c r="F18" s="8">
        <f>IFERROR('Linha 3'!O406,"")</f>
        <v>1523700</v>
      </c>
      <c r="G18" s="9">
        <f>IFERROR(D18+E18+F18,"")</f>
        <v>3265480</v>
      </c>
    </row>
    <row r="19" spans="1:7" ht="15.75" customHeight="1">
      <c r="A19" s="10">
        <v>16</v>
      </c>
      <c r="B19" s="73">
        <v>46219</v>
      </c>
      <c r="C19" s="11">
        <f>IFERROR(Britador!O433,"")</f>
        <v>3402600</v>
      </c>
      <c r="D19" s="11">
        <f>IFERROR('Linha 1'!O433,"")</f>
        <v>1184540</v>
      </c>
      <c r="E19" s="11">
        <f>IFERROR('Linha 2'!O433,"")</f>
        <v>438150</v>
      </c>
      <c r="F19" s="11">
        <f>IFERROR('Linha 3'!O433,"")</f>
        <v>1096740</v>
      </c>
      <c r="G19" s="12">
        <f t="shared" si="0"/>
        <v>2719430</v>
      </c>
    </row>
    <row r="20" spans="1:7" ht="15.75" customHeight="1">
      <c r="A20" s="7">
        <v>17</v>
      </c>
      <c r="B20" s="72">
        <v>46220</v>
      </c>
      <c r="C20" s="8">
        <f>IFERROR(Britador!O460,"")</f>
        <v>3916480</v>
      </c>
      <c r="D20" s="8">
        <f>IFERROR('Linha 1'!O460,"")</f>
        <v>1480620</v>
      </c>
      <c r="E20" s="8">
        <f>IFERROR('Linha 2'!O460,"")</f>
        <v>601310</v>
      </c>
      <c r="F20" s="8">
        <f>IFERROR('Linha 3'!O460,"")</f>
        <v>1493700</v>
      </c>
      <c r="G20" s="9">
        <f t="shared" si="0"/>
        <v>3575630</v>
      </c>
    </row>
    <row r="21" spans="1:7" ht="15.75" customHeight="1">
      <c r="A21" s="10">
        <v>18</v>
      </c>
      <c r="B21" s="73">
        <v>46221</v>
      </c>
      <c r="C21" s="11">
        <f>IFERROR(Britador!O487,"")</f>
        <v>4344880</v>
      </c>
      <c r="D21" s="11">
        <f>IFERROR('Linha 1'!O487,"")</f>
        <v>1840440</v>
      </c>
      <c r="E21" s="11">
        <f>IFERROR('Linha 2'!O487,"")</f>
        <v>570490</v>
      </c>
      <c r="F21" s="11">
        <f>IFERROR('Linha 3'!O487,"")</f>
        <v>1895030</v>
      </c>
      <c r="G21" s="12">
        <f t="shared" si="0"/>
        <v>4305960</v>
      </c>
    </row>
    <row r="22" spans="1:7" ht="15.75" customHeight="1">
      <c r="A22" s="7">
        <v>19</v>
      </c>
      <c r="B22" s="72">
        <v>46222</v>
      </c>
      <c r="C22" s="8">
        <f>IFERROR(Britador!O514,"")</f>
        <v>3397119</v>
      </c>
      <c r="D22" s="8">
        <f>IFERROR('Linha 1'!O514,"")</f>
        <v>1307150</v>
      </c>
      <c r="E22" s="8">
        <f>IFERROR('Linha 2'!O514,"")</f>
        <v>593040</v>
      </c>
      <c r="F22" s="8">
        <f>IFERROR('Linha 3'!O514,"")</f>
        <v>1447870</v>
      </c>
      <c r="G22" s="9">
        <f t="shared" si="0"/>
        <v>3348060</v>
      </c>
    </row>
    <row r="23" spans="1:7" ht="15.75" customHeight="1">
      <c r="A23" s="10">
        <v>20</v>
      </c>
      <c r="B23" s="73">
        <v>46223</v>
      </c>
      <c r="C23" s="11">
        <f>IFERROR(Britador!O541,"")</f>
        <v>2402710</v>
      </c>
      <c r="D23" s="11">
        <f>IFERROR('Linha 1'!O541,"")</f>
        <v>1375020</v>
      </c>
      <c r="E23" s="11">
        <f>IFERROR('Linha 2'!O541,"")</f>
        <v>429840</v>
      </c>
      <c r="F23" s="11">
        <f>IFERROR('Linha 3'!O541,"")</f>
        <v>766880</v>
      </c>
      <c r="G23" s="12">
        <f t="shared" si="0"/>
        <v>2571740</v>
      </c>
    </row>
    <row r="24" spans="1:7" ht="15.75" customHeight="1">
      <c r="A24" s="7">
        <v>21</v>
      </c>
      <c r="B24" s="72">
        <v>46224</v>
      </c>
      <c r="C24" s="8">
        <f>IFERROR(Britador!O568,"")</f>
        <v>2208200</v>
      </c>
      <c r="D24" s="8">
        <f>IFERROR('Linha 1'!O568,"")</f>
        <v>1725890</v>
      </c>
      <c r="E24" s="8">
        <f>IFERROR('Linha 2'!O568,"")</f>
        <v>487780</v>
      </c>
      <c r="F24" s="8">
        <f>IFERROR('Linha 3'!O568,"")</f>
        <v>1083200</v>
      </c>
      <c r="G24" s="9">
        <f t="shared" si="0"/>
        <v>3296870</v>
      </c>
    </row>
    <row r="25" spans="1:7" ht="15.75" customHeight="1">
      <c r="A25" s="10">
        <v>22</v>
      </c>
      <c r="B25" s="73">
        <v>46225</v>
      </c>
      <c r="C25" s="11">
        <f>IFERROR(Britador!O595,"")</f>
        <v>2666800</v>
      </c>
      <c r="D25" s="11">
        <f>IFERROR('Linha 1'!O595,"")</f>
        <v>1610900</v>
      </c>
      <c r="E25" s="11">
        <f>IFERROR('Linha 2'!O595,"")</f>
        <v>647530</v>
      </c>
      <c r="F25" s="11">
        <f>IFERROR('Linha 3'!O595,"")</f>
        <v>572580</v>
      </c>
      <c r="G25" s="12">
        <f t="shared" si="0"/>
        <v>2831010</v>
      </c>
    </row>
    <row r="26" spans="1:7" ht="15.75" customHeight="1">
      <c r="A26" s="7">
        <v>23</v>
      </c>
      <c r="B26" s="72">
        <v>46226</v>
      </c>
      <c r="C26" s="8">
        <f>IFERROR(Britador!O622,"")</f>
        <v>3728847</v>
      </c>
      <c r="D26" s="8">
        <f>IFERROR('Linha 1'!O622,"")</f>
        <v>1111290</v>
      </c>
      <c r="E26" s="8">
        <f>IFERROR('Linha 2'!O622,"")</f>
        <v>1109480</v>
      </c>
      <c r="F26" s="8">
        <f>IFERROR('Linha 3'!O622,"")</f>
        <v>1100720</v>
      </c>
      <c r="G26" s="9">
        <f t="shared" si="0"/>
        <v>3321490</v>
      </c>
    </row>
    <row r="27" spans="1:7" ht="15.75" customHeight="1">
      <c r="A27" s="10">
        <v>24</v>
      </c>
      <c r="B27" s="73">
        <v>46227</v>
      </c>
      <c r="C27" s="11">
        <f>IFERROR(Britador!O649,"")</f>
        <v>4167800</v>
      </c>
      <c r="D27" s="11">
        <f>IFERROR('Linha 1'!O649,"")</f>
        <v>1265250</v>
      </c>
      <c r="E27" s="11">
        <f>IFERROR('Linha 2'!O649,"")</f>
        <v>978870</v>
      </c>
      <c r="F27" s="11">
        <f>IFERROR('Linha 3'!O649,"")</f>
        <v>645270</v>
      </c>
      <c r="G27" s="12">
        <f t="shared" si="0"/>
        <v>2889390</v>
      </c>
    </row>
    <row r="28" spans="1:7" ht="15.75" customHeight="1">
      <c r="A28" s="7">
        <v>25</v>
      </c>
      <c r="B28" s="72">
        <v>46228</v>
      </c>
      <c r="C28" s="8">
        <f>IFERROR(Britador!O676,"")</f>
        <v>1398950</v>
      </c>
      <c r="D28" s="8">
        <f>IFERROR('Linha 1'!O676,"")</f>
        <v>1277320</v>
      </c>
      <c r="E28" s="8">
        <f>IFERROR('Linha 2'!O676,"")</f>
        <v>770460</v>
      </c>
      <c r="F28" s="8">
        <f>IFERROR('Linha 3'!O676,"")</f>
        <v>486620</v>
      </c>
      <c r="G28" s="9">
        <f t="shared" si="0"/>
        <v>2534400</v>
      </c>
    </row>
    <row r="29" spans="1:7" ht="15.75" customHeight="1">
      <c r="A29" s="10">
        <v>26</v>
      </c>
      <c r="B29" s="73">
        <v>46229</v>
      </c>
      <c r="C29" s="11">
        <f>IFERROR(Britador!O703,"")</f>
        <v>2973470</v>
      </c>
      <c r="D29" s="11">
        <f>IFERROR('Linha 1'!O703,"")</f>
        <v>1330200</v>
      </c>
      <c r="E29" s="11">
        <f>IFERROR('Linha 2'!O703,"")</f>
        <v>935030</v>
      </c>
      <c r="F29" s="11">
        <f>IFERROR('Linha 3'!O703,"")</f>
        <v>1826850</v>
      </c>
      <c r="G29" s="12">
        <f t="shared" si="0"/>
        <v>4092080</v>
      </c>
    </row>
    <row r="30" spans="1:7" ht="15.75" customHeight="1">
      <c r="A30" s="7">
        <v>27</v>
      </c>
      <c r="B30" s="72">
        <v>46230</v>
      </c>
      <c r="C30" s="8">
        <f>IFERROR(Britador!O730,"")</f>
        <v>2713590</v>
      </c>
      <c r="D30" s="8">
        <f>IFERROR('Linha 1'!O730,"")</f>
        <v>1246180</v>
      </c>
      <c r="E30" s="8">
        <f>IFERROR('Linha 2'!O730,"")</f>
        <v>509240</v>
      </c>
      <c r="F30" s="8">
        <f>IFERROR('Linha 3'!O730,"")</f>
        <v>1465730</v>
      </c>
      <c r="G30" s="9">
        <f t="shared" si="0"/>
        <v>3221150</v>
      </c>
    </row>
    <row r="31" spans="1:7" ht="15.75" customHeight="1">
      <c r="A31" s="10">
        <v>28</v>
      </c>
      <c r="B31" s="73">
        <v>46231</v>
      </c>
      <c r="C31" s="11">
        <f>IFERROR(Britador!O757,"")</f>
        <v>3538220</v>
      </c>
      <c r="D31" s="11">
        <f>IFERROR('Linha 1'!O757,"")</f>
        <v>1264410</v>
      </c>
      <c r="E31" s="11">
        <f>IFERROR('Linha 2'!O757,"")</f>
        <v>426160</v>
      </c>
      <c r="F31" s="11">
        <f>IFERROR('Linha 3'!O757,"")</f>
        <v>1181050</v>
      </c>
      <c r="G31" s="12">
        <f t="shared" si="0"/>
        <v>2871620</v>
      </c>
    </row>
    <row r="32" spans="1:7" ht="15.75" customHeight="1">
      <c r="A32" s="7">
        <v>29</v>
      </c>
      <c r="B32" s="72">
        <v>46232</v>
      </c>
      <c r="C32" s="8">
        <f>IFERROR(Britador!O784,"")</f>
        <v>4249590</v>
      </c>
      <c r="D32" s="8">
        <f>IFERROR('Linha 1'!O784,"")</f>
        <v>1493020</v>
      </c>
      <c r="E32" s="8">
        <f>IFERROR('Linha 2'!O784,"")</f>
        <v>437880</v>
      </c>
      <c r="F32" s="8">
        <f>IFERROR('Linha 3'!O784,"")</f>
        <v>786740</v>
      </c>
      <c r="G32" s="9">
        <f>IFERROR(D32+E32+F32,"")</f>
        <v>2717640</v>
      </c>
    </row>
    <row r="33" spans="1:7" ht="15.75" customHeight="1">
      <c r="A33" s="10">
        <v>30</v>
      </c>
      <c r="B33" s="73">
        <v>46233</v>
      </c>
      <c r="C33" s="11">
        <f>IFERROR(Britador!O811,"")</f>
        <v>3994160</v>
      </c>
      <c r="D33" s="11">
        <f>IFERROR('Linha 1'!O811,"")</f>
        <v>1467270</v>
      </c>
      <c r="E33" s="11">
        <f>IFERROR('Linha 2'!O811,"")</f>
        <v>711440</v>
      </c>
      <c r="F33" s="11">
        <f>IFERROR('Linha 3'!O811,"")</f>
        <v>883430</v>
      </c>
      <c r="G33" s="12">
        <f t="shared" si="0"/>
        <v>3062140</v>
      </c>
    </row>
    <row r="34" spans="1:7" ht="21.75" customHeight="1">
      <c r="A34" s="10">
        <v>31</v>
      </c>
      <c r="B34" s="73">
        <v>46234</v>
      </c>
      <c r="C34" s="11">
        <f>IFERROR(Britador!O838,"")</f>
        <v>656110</v>
      </c>
      <c r="D34" s="11">
        <f>IFERROR('Linha 1'!O838,"")</f>
        <v>741170</v>
      </c>
      <c r="E34" s="11">
        <f>IFERROR('Linha 2'!O838,"")</f>
        <v>441270</v>
      </c>
      <c r="F34" s="11">
        <f>IFERROR('Linha 3'!O838,"")</f>
        <v>545810</v>
      </c>
      <c r="G34" s="12">
        <f t="shared" si="0"/>
        <v>1728250</v>
      </c>
    </row>
    <row r="35" spans="1:7" ht="14.25" customHeight="1">
      <c r="A35" s="127" t="s">
        <v>9</v>
      </c>
      <c r="B35" s="127"/>
      <c r="C35" s="13">
        <f>IFERROR(SUM(C4:C34),"")</f>
        <v>94680888</v>
      </c>
      <c r="D35" s="13">
        <f>IFERROR(SUM(D4:D34),"")</f>
        <v>38301260</v>
      </c>
      <c r="E35" s="13">
        <f>IFERROR(SUM(E4:E34),"")</f>
        <v>21295250</v>
      </c>
      <c r="F35" s="13">
        <f>IFERROR(SUM(F4:F34),"")</f>
        <v>38219240</v>
      </c>
      <c r="G35" s="13">
        <f>IFERROR(SUM(G4:G34),"")</f>
        <v>97815750</v>
      </c>
    </row>
  </sheetData>
  <mergeCells count="3">
    <mergeCell ref="A1:G1"/>
    <mergeCell ref="A2:B2"/>
    <mergeCell ref="A35:B35"/>
  </mergeCells>
  <pageMargins left="0.75" right="0.75" top="1" bottom="1" header="0.511811023622047" footer="0.511811023622047"/>
  <pageSetup paperSize="9" orientation="portrait" horizontalDpi="300" verticalDpi="300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tabColor rgb="FF757575"/>
  </sheetPr>
  <dimension ref="A1:M113"/>
  <sheetViews>
    <sheetView showGridLines="0" topLeftCell="D45" zoomScale="85" zoomScaleNormal="85" workbookViewId="0">
      <selection activeCell="K75" sqref="K75"/>
    </sheetView>
  </sheetViews>
  <sheetFormatPr defaultColWidth="8.5703125" defaultRowHeight="14.45"/>
  <cols>
    <col min="1" max="1" width="14" customWidth="1"/>
    <col min="2" max="2" width="2" customWidth="1"/>
    <col min="3" max="3" width="17.5703125" customWidth="1"/>
    <col min="4" max="4" width="2" customWidth="1"/>
    <col min="5" max="5" width="28" customWidth="1"/>
    <col min="6" max="6" width="2" customWidth="1"/>
    <col min="7" max="7" width="28" customWidth="1"/>
    <col min="8" max="8" width="4" customWidth="1"/>
    <col min="9" max="9" width="53.140625" customWidth="1"/>
    <col min="10" max="10" width="45.42578125" customWidth="1"/>
    <col min="11" max="11" width="42.140625" customWidth="1"/>
    <col min="12" max="12" width="36" customWidth="1"/>
    <col min="13" max="13" width="45.85546875" customWidth="1"/>
  </cols>
  <sheetData>
    <row r="1" spans="1:13" ht="27.75" customHeight="1">
      <c r="A1" s="128" t="s">
        <v>10</v>
      </c>
      <c r="B1" s="128"/>
      <c r="C1" s="128"/>
      <c r="D1" s="128"/>
      <c r="E1" s="128"/>
      <c r="F1" s="128"/>
      <c r="G1" s="128"/>
      <c r="H1" s="129"/>
      <c r="I1" s="130" t="s">
        <v>11</v>
      </c>
      <c r="J1" s="130"/>
      <c r="K1" s="130"/>
      <c r="L1" s="130"/>
      <c r="M1" s="130"/>
    </row>
    <row r="2" spans="1:13" ht="4.5" customHeight="1">
      <c r="H2" s="129"/>
    </row>
    <row r="3" spans="1:13" ht="21.75" customHeight="1">
      <c r="A3" s="14" t="s">
        <v>12</v>
      </c>
      <c r="C3" s="14" t="s">
        <v>13</v>
      </c>
      <c r="E3" s="14" t="s">
        <v>14</v>
      </c>
      <c r="G3" s="14" t="s">
        <v>15</v>
      </c>
      <c r="H3" s="129"/>
      <c r="I3" s="15" t="s">
        <v>16</v>
      </c>
      <c r="J3" s="15" t="s">
        <v>17</v>
      </c>
      <c r="K3" s="15" t="s">
        <v>18</v>
      </c>
      <c r="L3" s="15" t="s">
        <v>19</v>
      </c>
      <c r="M3" s="15" t="s">
        <v>20</v>
      </c>
    </row>
    <row r="4" spans="1:13" ht="15.75" customHeight="1">
      <c r="A4" s="16" t="s">
        <v>21</v>
      </c>
      <c r="C4" s="16" t="s">
        <v>22</v>
      </c>
      <c r="E4" s="16" t="s">
        <v>16</v>
      </c>
      <c r="G4" s="16" t="s">
        <v>23</v>
      </c>
      <c r="H4" s="129"/>
      <c r="I4" s="16" t="s">
        <v>24</v>
      </c>
      <c r="J4" s="16" t="s">
        <v>25</v>
      </c>
      <c r="K4" s="16" t="s">
        <v>26</v>
      </c>
      <c r="L4" s="16" t="s">
        <v>27</v>
      </c>
      <c r="M4" s="16" t="s">
        <v>28</v>
      </c>
    </row>
    <row r="5" spans="1:13" ht="15.75" customHeight="1">
      <c r="A5" s="17" t="s">
        <v>29</v>
      </c>
      <c r="C5" s="17" t="s">
        <v>30</v>
      </c>
      <c r="E5" s="17" t="s">
        <v>17</v>
      </c>
      <c r="G5" s="17" t="s">
        <v>31</v>
      </c>
      <c r="H5" s="129"/>
      <c r="I5" s="17" t="s">
        <v>32</v>
      </c>
      <c r="J5" s="17" t="s">
        <v>33</v>
      </c>
      <c r="K5" s="17" t="s">
        <v>34</v>
      </c>
      <c r="L5" s="17" t="s">
        <v>35</v>
      </c>
      <c r="M5" s="17" t="s">
        <v>36</v>
      </c>
    </row>
    <row r="6" spans="1:13" ht="15.75" customHeight="1">
      <c r="A6" s="16" t="s">
        <v>37</v>
      </c>
      <c r="C6" s="16" t="s">
        <v>38</v>
      </c>
      <c r="E6" s="16" t="s">
        <v>18</v>
      </c>
      <c r="G6" s="16" t="s">
        <v>39</v>
      </c>
      <c r="H6" s="129"/>
      <c r="I6" s="16" t="s">
        <v>40</v>
      </c>
      <c r="J6" s="16" t="s">
        <v>41</v>
      </c>
      <c r="K6" s="16" t="s">
        <v>42</v>
      </c>
      <c r="L6" s="16" t="s">
        <v>43</v>
      </c>
      <c r="M6" s="16" t="s">
        <v>44</v>
      </c>
    </row>
    <row r="7" spans="1:13" ht="15.75" customHeight="1">
      <c r="A7" s="17" t="s">
        <v>45</v>
      </c>
      <c r="C7" s="17" t="s">
        <v>46</v>
      </c>
      <c r="E7" s="16" t="s">
        <v>19</v>
      </c>
      <c r="G7" s="17" t="s">
        <v>47</v>
      </c>
      <c r="H7" s="129"/>
      <c r="I7" s="17" t="s">
        <v>48</v>
      </c>
      <c r="J7" s="17" t="s">
        <v>49</v>
      </c>
      <c r="K7" s="17" t="s">
        <v>34</v>
      </c>
      <c r="L7" s="17" t="s">
        <v>50</v>
      </c>
      <c r="M7" s="17" t="s">
        <v>51</v>
      </c>
    </row>
    <row r="8" spans="1:13" ht="15.75" customHeight="1">
      <c r="A8" s="16"/>
      <c r="C8" s="16"/>
      <c r="E8" s="17" t="s">
        <v>20</v>
      </c>
      <c r="G8" s="16" t="s">
        <v>52</v>
      </c>
      <c r="H8" s="129"/>
      <c r="I8" s="16" t="s">
        <v>53</v>
      </c>
      <c r="J8" s="16" t="s">
        <v>54</v>
      </c>
      <c r="K8" s="16" t="s">
        <v>42</v>
      </c>
      <c r="L8" s="16" t="s">
        <v>55</v>
      </c>
      <c r="M8" s="16" t="s">
        <v>56</v>
      </c>
    </row>
    <row r="9" spans="1:13" ht="15.75" customHeight="1">
      <c r="A9" s="17"/>
      <c r="C9" s="17"/>
      <c r="E9" s="17"/>
      <c r="G9" s="17" t="s">
        <v>57</v>
      </c>
      <c r="H9" s="129"/>
      <c r="I9" s="17" t="s">
        <v>58</v>
      </c>
      <c r="J9" s="17" t="s">
        <v>59</v>
      </c>
      <c r="K9" s="17" t="s">
        <v>60</v>
      </c>
      <c r="L9" s="17" t="s">
        <v>61</v>
      </c>
      <c r="M9" s="17" t="s">
        <v>62</v>
      </c>
    </row>
    <row r="10" spans="1:13" ht="15.75" customHeight="1">
      <c r="A10" s="16"/>
      <c r="C10" s="16"/>
      <c r="E10" s="16"/>
      <c r="G10" s="16" t="s">
        <v>63</v>
      </c>
      <c r="H10" s="129"/>
      <c r="I10" s="16" t="s">
        <v>64</v>
      </c>
      <c r="J10" s="16" t="s">
        <v>65</v>
      </c>
      <c r="K10" s="16" t="s">
        <v>66</v>
      </c>
      <c r="L10" s="16" t="s">
        <v>67</v>
      </c>
      <c r="M10" s="16" t="s">
        <v>68</v>
      </c>
    </row>
    <row r="11" spans="1:13" ht="15.75" customHeight="1">
      <c r="A11" s="17"/>
      <c r="C11" s="17"/>
      <c r="E11" s="17"/>
      <c r="G11" s="17" t="s">
        <v>69</v>
      </c>
      <c r="H11" s="129"/>
      <c r="I11" s="17" t="s">
        <v>70</v>
      </c>
      <c r="J11" s="17" t="s">
        <v>71</v>
      </c>
      <c r="K11" s="17" t="s">
        <v>72</v>
      </c>
      <c r="L11" s="17" t="s">
        <v>73</v>
      </c>
      <c r="M11" s="17" t="s">
        <v>74</v>
      </c>
    </row>
    <row r="12" spans="1:13" ht="15.75" customHeight="1">
      <c r="A12" s="16"/>
      <c r="C12" s="16"/>
      <c r="E12" s="16"/>
      <c r="G12" s="16" t="s">
        <v>75</v>
      </c>
      <c r="H12" s="129"/>
      <c r="I12" s="16" t="s">
        <v>76</v>
      </c>
      <c r="J12" s="16" t="s">
        <v>77</v>
      </c>
      <c r="K12" s="16" t="s">
        <v>61</v>
      </c>
      <c r="L12" s="16" t="s">
        <v>78</v>
      </c>
      <c r="M12" s="16" t="s">
        <v>79</v>
      </c>
    </row>
    <row r="13" spans="1:13" ht="15.75" customHeight="1">
      <c r="A13" s="17"/>
      <c r="C13" s="17"/>
      <c r="E13" s="17"/>
      <c r="G13" s="17" t="s">
        <v>80</v>
      </c>
      <c r="H13" s="129"/>
      <c r="I13" s="17"/>
      <c r="J13" s="17" t="s">
        <v>81</v>
      </c>
      <c r="K13" s="17" t="s">
        <v>82</v>
      </c>
      <c r="L13" s="17" t="s">
        <v>83</v>
      </c>
      <c r="M13" s="17" t="s">
        <v>84</v>
      </c>
    </row>
    <row r="14" spans="1:13" ht="15.75" customHeight="1">
      <c r="A14" s="16"/>
      <c r="C14" s="16"/>
      <c r="E14" s="16"/>
      <c r="G14" s="16" t="s">
        <v>85</v>
      </c>
      <c r="H14" s="129"/>
      <c r="I14" s="16" t="s">
        <v>86</v>
      </c>
      <c r="J14" s="16" t="s">
        <v>87</v>
      </c>
      <c r="K14" s="16" t="s">
        <v>88</v>
      </c>
      <c r="L14" s="16" t="s">
        <v>89</v>
      </c>
      <c r="M14" s="16" t="s">
        <v>90</v>
      </c>
    </row>
    <row r="15" spans="1:13" ht="15.75" customHeight="1">
      <c r="A15" s="17"/>
      <c r="C15" s="17"/>
      <c r="E15" s="17"/>
      <c r="G15" s="17" t="s">
        <v>91</v>
      </c>
      <c r="H15" s="129"/>
      <c r="I15" s="17" t="s">
        <v>92</v>
      </c>
      <c r="J15" s="17" t="s">
        <v>93</v>
      </c>
      <c r="K15" s="17" t="s">
        <v>94</v>
      </c>
      <c r="L15" s="17" t="s">
        <v>95</v>
      </c>
      <c r="M15" s="17" t="s">
        <v>96</v>
      </c>
    </row>
    <row r="16" spans="1:13" ht="15.75" customHeight="1">
      <c r="A16" s="16"/>
      <c r="C16" s="16"/>
      <c r="E16" s="16"/>
      <c r="G16" s="16" t="s">
        <v>97</v>
      </c>
      <c r="H16" s="129"/>
      <c r="I16" s="16" t="s">
        <v>98</v>
      </c>
      <c r="J16" s="16" t="s">
        <v>99</v>
      </c>
      <c r="K16" s="16" t="s">
        <v>100</v>
      </c>
      <c r="L16" s="16" t="s">
        <v>101</v>
      </c>
      <c r="M16" s="16" t="s">
        <v>102</v>
      </c>
    </row>
    <row r="17" spans="1:13" ht="15.75" customHeight="1">
      <c r="A17" s="17"/>
      <c r="C17" s="17"/>
      <c r="E17" s="17"/>
      <c r="G17" s="17" t="s">
        <v>103</v>
      </c>
      <c r="H17" s="129"/>
      <c r="I17" s="17" t="s">
        <v>104</v>
      </c>
      <c r="J17" s="17" t="s">
        <v>105</v>
      </c>
      <c r="K17" s="17" t="s">
        <v>106</v>
      </c>
      <c r="L17" s="17" t="s">
        <v>107</v>
      </c>
      <c r="M17" s="17" t="s">
        <v>108</v>
      </c>
    </row>
    <row r="18" spans="1:13" ht="15.75" customHeight="1">
      <c r="A18" s="16"/>
      <c r="C18" s="16"/>
      <c r="E18" s="16"/>
      <c r="G18" s="16" t="s">
        <v>109</v>
      </c>
      <c r="H18" s="129"/>
      <c r="I18" s="16"/>
      <c r="J18" s="16" t="s">
        <v>110</v>
      </c>
      <c r="K18" s="16" t="s">
        <v>111</v>
      </c>
      <c r="L18" s="16" t="s">
        <v>112</v>
      </c>
      <c r="M18" s="16" t="s">
        <v>113</v>
      </c>
    </row>
    <row r="19" spans="1:13" ht="15.75" customHeight="1">
      <c r="A19" s="17"/>
      <c r="C19" s="17"/>
      <c r="E19" s="17"/>
      <c r="G19" s="17" t="s">
        <v>114</v>
      </c>
      <c r="H19" s="129"/>
      <c r="I19" s="17"/>
      <c r="J19" s="17" t="s">
        <v>115</v>
      </c>
      <c r="K19" s="17" t="s">
        <v>116</v>
      </c>
      <c r="L19" s="17"/>
      <c r="M19" s="17" t="s">
        <v>117</v>
      </c>
    </row>
    <row r="20" spans="1:13" ht="15.75" customHeight="1">
      <c r="A20" s="16"/>
      <c r="C20" s="16"/>
      <c r="E20" s="16"/>
      <c r="G20" s="16" t="s">
        <v>118</v>
      </c>
      <c r="H20" s="129"/>
      <c r="I20" s="16"/>
      <c r="J20" s="16"/>
      <c r="K20" s="16" t="s">
        <v>119</v>
      </c>
      <c r="L20" s="16"/>
      <c r="M20" s="16" t="s">
        <v>120</v>
      </c>
    </row>
    <row r="21" spans="1:13" ht="15.75" customHeight="1">
      <c r="A21" s="17"/>
      <c r="C21" s="17"/>
      <c r="E21" s="17"/>
      <c r="G21" s="17" t="s">
        <v>121</v>
      </c>
      <c r="H21" s="129"/>
      <c r="I21" s="17"/>
      <c r="J21" s="17"/>
      <c r="K21" s="17" t="s">
        <v>122</v>
      </c>
      <c r="L21" s="17"/>
      <c r="M21" s="17" t="s">
        <v>123</v>
      </c>
    </row>
    <row r="22" spans="1:13" ht="15.75" customHeight="1">
      <c r="A22" s="16"/>
      <c r="C22" s="16"/>
      <c r="E22" s="16"/>
      <c r="G22" s="16" t="s">
        <v>124</v>
      </c>
      <c r="H22" s="129"/>
      <c r="I22" s="16"/>
      <c r="J22" s="16"/>
      <c r="K22" s="16" t="s">
        <v>125</v>
      </c>
      <c r="L22" s="16"/>
      <c r="M22" s="16" t="s">
        <v>126</v>
      </c>
    </row>
    <row r="23" spans="1:13" ht="15.75" customHeight="1">
      <c r="A23" s="17"/>
      <c r="C23" s="17"/>
      <c r="E23" s="17"/>
      <c r="G23" s="17" t="s">
        <v>127</v>
      </c>
      <c r="H23" s="129"/>
      <c r="I23" s="17"/>
      <c r="J23" s="17"/>
      <c r="K23" s="17" t="s">
        <v>128</v>
      </c>
      <c r="L23" s="17"/>
      <c r="M23" s="17" t="s">
        <v>129</v>
      </c>
    </row>
    <row r="24" spans="1:13" ht="15.75" customHeight="1">
      <c r="A24" s="16"/>
      <c r="C24" s="16"/>
      <c r="E24" s="16"/>
      <c r="G24" s="16" t="s">
        <v>130</v>
      </c>
      <c r="H24" s="129"/>
      <c r="I24" s="16"/>
      <c r="J24" s="16"/>
      <c r="K24" s="16" t="s">
        <v>131</v>
      </c>
      <c r="L24" s="16"/>
      <c r="M24" s="16" t="s">
        <v>132</v>
      </c>
    </row>
    <row r="25" spans="1:13" ht="15.75" customHeight="1">
      <c r="A25" s="17"/>
      <c r="C25" s="17"/>
      <c r="E25" s="17"/>
      <c r="G25" s="17" t="s">
        <v>133</v>
      </c>
      <c r="H25" s="129"/>
      <c r="I25" s="17"/>
      <c r="J25" s="17"/>
      <c r="K25" s="17" t="s">
        <v>134</v>
      </c>
      <c r="L25" s="17"/>
      <c r="M25" s="17" t="s">
        <v>135</v>
      </c>
    </row>
    <row r="26" spans="1:13" ht="15.75" customHeight="1">
      <c r="A26" s="16"/>
      <c r="C26" s="16"/>
      <c r="E26" s="16"/>
      <c r="G26" s="16" t="s">
        <v>136</v>
      </c>
      <c r="H26" s="129"/>
      <c r="I26" s="16"/>
      <c r="J26" s="16"/>
      <c r="K26" s="16" t="s">
        <v>137</v>
      </c>
      <c r="L26" s="16"/>
      <c r="M26" s="16"/>
    </row>
    <row r="27" spans="1:13" ht="15.75" customHeight="1">
      <c r="A27" s="17"/>
      <c r="C27" s="17"/>
      <c r="E27" s="17"/>
      <c r="G27" s="17" t="s">
        <v>138</v>
      </c>
      <c r="H27" s="129"/>
      <c r="I27" s="17"/>
      <c r="J27" s="17"/>
      <c r="K27" s="17" t="s">
        <v>129</v>
      </c>
      <c r="L27" s="17"/>
      <c r="M27" s="17" t="s">
        <v>62</v>
      </c>
    </row>
    <row r="28" spans="1:13" ht="15.75" customHeight="1">
      <c r="A28" s="16"/>
      <c r="C28" s="16"/>
      <c r="E28" s="16"/>
      <c r="G28" s="16" t="s">
        <v>139</v>
      </c>
      <c r="H28" s="129"/>
      <c r="I28" s="16"/>
      <c r="J28" s="16"/>
      <c r="K28" s="16" t="s">
        <v>132</v>
      </c>
      <c r="L28" s="16"/>
      <c r="M28" s="16" t="s">
        <v>140</v>
      </c>
    </row>
    <row r="29" spans="1:13" ht="15.75" customHeight="1">
      <c r="A29" s="17"/>
      <c r="C29" s="17"/>
      <c r="E29" s="17"/>
      <c r="G29" s="17" t="s">
        <v>141</v>
      </c>
      <c r="H29" s="129"/>
      <c r="I29" s="17"/>
      <c r="J29" s="17"/>
      <c r="K29" s="17" t="s">
        <v>142</v>
      </c>
      <c r="L29" s="17"/>
      <c r="M29" s="17" t="s">
        <v>143</v>
      </c>
    </row>
    <row r="30" spans="1:13" ht="15.75" customHeight="1">
      <c r="A30" s="16"/>
      <c r="C30" s="16"/>
      <c r="E30" s="16"/>
      <c r="G30" s="16" t="s">
        <v>144</v>
      </c>
      <c r="H30" s="129"/>
      <c r="I30" s="16"/>
      <c r="J30" s="16"/>
      <c r="K30" s="16" t="s">
        <v>145</v>
      </c>
      <c r="L30" s="16"/>
      <c r="M30" s="16" t="s">
        <v>146</v>
      </c>
    </row>
    <row r="31" spans="1:13" ht="15.75" customHeight="1">
      <c r="A31" s="17"/>
      <c r="C31" s="17"/>
      <c r="E31" s="17"/>
      <c r="G31" s="17" t="s">
        <v>147</v>
      </c>
      <c r="H31" s="129"/>
      <c r="I31" s="17"/>
      <c r="J31" s="17"/>
      <c r="K31" s="18" t="s">
        <v>148</v>
      </c>
      <c r="L31" s="17"/>
      <c r="M31" s="17" t="s">
        <v>149</v>
      </c>
    </row>
    <row r="32" spans="1:13" ht="15.75" customHeight="1">
      <c r="A32" s="16"/>
      <c r="C32" s="16"/>
      <c r="E32" s="16"/>
      <c r="G32" s="16" t="s">
        <v>150</v>
      </c>
      <c r="H32" s="129"/>
      <c r="I32" s="16"/>
      <c r="J32" s="16"/>
      <c r="K32" s="16" t="s">
        <v>151</v>
      </c>
      <c r="L32" s="16"/>
      <c r="M32" t="s">
        <v>152</v>
      </c>
    </row>
    <row r="33" spans="1:13" ht="15.75" customHeight="1">
      <c r="A33" s="17"/>
      <c r="C33" s="17"/>
      <c r="E33" s="17"/>
      <c r="G33" s="17" t="s">
        <v>153</v>
      </c>
      <c r="H33" s="129"/>
      <c r="I33" s="17"/>
      <c r="J33" s="17"/>
      <c r="K33" s="18" t="s">
        <v>154</v>
      </c>
      <c r="L33" s="17"/>
      <c r="M33" s="17" t="s">
        <v>20</v>
      </c>
    </row>
    <row r="34" spans="1:13" ht="15.75" customHeight="1">
      <c r="A34" s="16"/>
      <c r="C34" s="16"/>
      <c r="E34" s="16"/>
      <c r="G34" s="16" t="s">
        <v>155</v>
      </c>
      <c r="H34" s="129"/>
      <c r="I34" s="16"/>
      <c r="J34" s="16"/>
      <c r="K34" s="16" t="s">
        <v>79</v>
      </c>
      <c r="L34" s="16"/>
      <c r="M34" s="16" t="s">
        <v>156</v>
      </c>
    </row>
    <row r="35" spans="1:13" ht="15.75" customHeight="1">
      <c r="A35" s="17"/>
      <c r="C35" s="17"/>
      <c r="E35" s="17"/>
      <c r="G35" s="17" t="s">
        <v>157</v>
      </c>
      <c r="H35" s="129"/>
      <c r="I35" s="17"/>
      <c r="J35" s="17"/>
      <c r="K35" s="17" t="s">
        <v>158</v>
      </c>
      <c r="L35" s="17"/>
      <c r="M35" s="17" t="s">
        <v>159</v>
      </c>
    </row>
    <row r="36" spans="1:13" ht="15.75" customHeight="1">
      <c r="A36" s="16"/>
      <c r="C36" s="16"/>
      <c r="E36" s="16"/>
      <c r="G36" s="16" t="s">
        <v>160</v>
      </c>
      <c r="H36" s="129"/>
      <c r="I36" s="16"/>
      <c r="J36" s="16"/>
      <c r="K36" s="16" t="s">
        <v>161</v>
      </c>
      <c r="L36" s="16"/>
      <c r="M36" s="16" t="s">
        <v>162</v>
      </c>
    </row>
    <row r="37" spans="1:13" ht="15.75" customHeight="1">
      <c r="A37" s="17"/>
      <c r="C37" s="17"/>
      <c r="E37" s="17"/>
      <c r="G37" s="17" t="s">
        <v>163</v>
      </c>
      <c r="H37" s="129"/>
      <c r="I37" s="17"/>
      <c r="J37" s="17"/>
      <c r="K37" s="17" t="s">
        <v>164</v>
      </c>
      <c r="L37" s="17"/>
      <c r="M37" s="17" t="s">
        <v>165</v>
      </c>
    </row>
    <row r="38" spans="1:13" ht="15.75" customHeight="1">
      <c r="A38" s="16"/>
      <c r="C38" s="16"/>
      <c r="E38" s="16"/>
      <c r="G38" s="16" t="s">
        <v>166</v>
      </c>
      <c r="H38" s="129"/>
      <c r="I38" s="16"/>
      <c r="J38" s="16"/>
      <c r="K38" s="16" t="s">
        <v>167</v>
      </c>
      <c r="L38" s="16"/>
      <c r="M38" s="16" t="s">
        <v>168</v>
      </c>
    </row>
    <row r="39" spans="1:13" ht="15.75" customHeight="1">
      <c r="A39" s="17"/>
      <c r="C39" s="17"/>
      <c r="E39" s="17"/>
      <c r="G39" s="17"/>
      <c r="H39" s="129"/>
      <c r="I39" s="17"/>
      <c r="J39" s="17"/>
      <c r="K39" s="17" t="s">
        <v>169</v>
      </c>
      <c r="L39" s="17"/>
      <c r="M39" s="17" t="s">
        <v>170</v>
      </c>
    </row>
    <row r="40" spans="1:13" ht="15.75" customHeight="1">
      <c r="A40" s="16"/>
      <c r="C40" s="16"/>
      <c r="E40" s="16"/>
      <c r="G40" s="16"/>
      <c r="H40" s="129"/>
      <c r="I40" s="16"/>
      <c r="J40" s="16"/>
      <c r="K40" s="16" t="s">
        <v>171</v>
      </c>
      <c r="L40" s="16"/>
      <c r="M40" s="16" t="s">
        <v>172</v>
      </c>
    </row>
    <row r="41" spans="1:13" ht="15.75" customHeight="1">
      <c r="A41" s="17"/>
      <c r="C41" s="17"/>
      <c r="E41" s="17"/>
      <c r="G41" s="17"/>
      <c r="H41" s="129"/>
      <c r="I41" s="17"/>
      <c r="J41" s="17"/>
      <c r="K41" s="17" t="s">
        <v>173</v>
      </c>
      <c r="L41" s="17"/>
      <c r="M41" s="17" t="s">
        <v>174</v>
      </c>
    </row>
    <row r="42" spans="1:13" ht="15.75" customHeight="1">
      <c r="A42" s="16"/>
      <c r="C42" s="16"/>
      <c r="E42" s="16"/>
      <c r="G42" s="16"/>
      <c r="H42" s="129"/>
      <c r="I42" s="16"/>
      <c r="J42" s="16"/>
      <c r="K42" s="16" t="s">
        <v>175</v>
      </c>
      <c r="L42" s="16"/>
      <c r="M42" s="16" t="s">
        <v>176</v>
      </c>
    </row>
    <row r="43" spans="1:13" ht="15.75" customHeight="1">
      <c r="A43" s="17"/>
      <c r="C43" s="17"/>
      <c r="E43" s="17"/>
      <c r="G43" s="17"/>
      <c r="H43" s="129"/>
      <c r="I43" s="17"/>
      <c r="J43" s="17"/>
      <c r="K43" s="17" t="s">
        <v>177</v>
      </c>
      <c r="L43" s="17"/>
      <c r="M43" s="17" t="s">
        <v>178</v>
      </c>
    </row>
    <row r="44" spans="1:13" ht="15.75" customHeight="1">
      <c r="A44" s="16"/>
      <c r="C44" s="16"/>
      <c r="E44" s="16"/>
      <c r="G44" s="16"/>
      <c r="H44" s="129"/>
      <c r="I44" s="16"/>
      <c r="J44" s="16"/>
      <c r="K44" s="16" t="s">
        <v>179</v>
      </c>
      <c r="L44" s="16"/>
      <c r="M44" s="16" t="s">
        <v>180</v>
      </c>
    </row>
    <row r="45" spans="1:13" ht="15.75" customHeight="1">
      <c r="A45" s="17"/>
      <c r="C45" s="17"/>
      <c r="E45" s="17"/>
      <c r="G45" s="17"/>
      <c r="H45" s="129"/>
      <c r="I45" s="17"/>
      <c r="J45" s="17"/>
      <c r="K45" s="17"/>
      <c r="L45" s="17"/>
      <c r="M45" s="17" t="s">
        <v>181</v>
      </c>
    </row>
    <row r="46" spans="1:13" ht="15.75" customHeight="1">
      <c r="A46" s="16"/>
      <c r="C46" s="16"/>
      <c r="E46" s="16"/>
      <c r="G46" s="16"/>
      <c r="H46" s="129"/>
      <c r="I46" s="16"/>
      <c r="J46" s="16"/>
      <c r="K46" s="16" t="s">
        <v>182</v>
      </c>
      <c r="L46" s="16"/>
      <c r="M46" s="16" t="s">
        <v>183</v>
      </c>
    </row>
    <row r="47" spans="1:13" ht="15.75" customHeight="1">
      <c r="A47" s="17"/>
      <c r="C47" s="17"/>
      <c r="E47" s="17"/>
      <c r="G47" s="17"/>
      <c r="H47" s="129"/>
      <c r="I47" s="17"/>
      <c r="J47" s="17"/>
      <c r="K47" s="17" t="s">
        <v>184</v>
      </c>
      <c r="L47" s="17"/>
      <c r="M47" s="17" t="s">
        <v>185</v>
      </c>
    </row>
    <row r="48" spans="1:13" ht="15.75" customHeight="1">
      <c r="A48" s="16"/>
      <c r="C48" s="16"/>
      <c r="E48" s="16"/>
      <c r="G48" s="16"/>
      <c r="H48" s="129"/>
      <c r="I48" s="16"/>
      <c r="J48" s="16"/>
      <c r="K48" s="16" t="s">
        <v>186</v>
      </c>
      <c r="L48" s="16"/>
      <c r="M48" s="16" t="s">
        <v>187</v>
      </c>
    </row>
    <row r="49" spans="1:13" ht="18" customHeight="1">
      <c r="H49" s="129"/>
      <c r="I49" s="17"/>
      <c r="J49" s="17"/>
      <c r="K49" s="17" t="s">
        <v>188</v>
      </c>
      <c r="L49" s="17"/>
      <c r="M49" s="17" t="s">
        <v>189</v>
      </c>
    </row>
    <row r="50" spans="1:13" ht="21" customHeight="1">
      <c r="A50" s="19" t="s">
        <v>190</v>
      </c>
      <c r="B50" s="19"/>
      <c r="C50" s="19"/>
      <c r="D50" s="19"/>
      <c r="E50" s="19"/>
      <c r="F50" s="19"/>
      <c r="G50" s="19"/>
      <c r="H50" s="129"/>
      <c r="I50" s="16"/>
      <c r="J50" s="16"/>
      <c r="K50" s="16" t="s">
        <v>191</v>
      </c>
      <c r="L50" s="16"/>
      <c r="M50" s="16" t="s">
        <v>192</v>
      </c>
    </row>
    <row r="51" spans="1:13" ht="24" customHeight="1">
      <c r="H51" s="129"/>
      <c r="I51" s="17"/>
      <c r="J51" s="17"/>
      <c r="K51" s="17" t="s">
        <v>193</v>
      </c>
      <c r="L51" s="17"/>
      <c r="M51" s="17" t="s">
        <v>194</v>
      </c>
    </row>
    <row r="52" spans="1:13" ht="24" customHeight="1">
      <c r="H52" s="129"/>
      <c r="I52" s="16"/>
      <c r="J52" s="16"/>
      <c r="K52" s="16" t="s">
        <v>195</v>
      </c>
      <c r="L52" s="16"/>
      <c r="M52" s="16" t="s">
        <v>196</v>
      </c>
    </row>
    <row r="53" spans="1:13" ht="36" customHeight="1">
      <c r="H53" s="129"/>
      <c r="I53" s="17"/>
      <c r="J53" s="17"/>
      <c r="K53" s="17" t="s">
        <v>197</v>
      </c>
      <c r="L53" s="17"/>
      <c r="M53" s="17" t="s">
        <v>198</v>
      </c>
    </row>
    <row r="54" spans="1:13" ht="15" customHeight="1">
      <c r="H54" s="129"/>
      <c r="I54" s="16"/>
      <c r="J54" s="16"/>
      <c r="K54" s="16" t="s">
        <v>199</v>
      </c>
      <c r="L54" s="16"/>
      <c r="M54" s="16" t="s">
        <v>200</v>
      </c>
    </row>
    <row r="55" spans="1:13" ht="15" customHeight="1">
      <c r="H55" s="129"/>
      <c r="I55" s="17"/>
      <c r="J55" s="17"/>
      <c r="K55" s="17" t="s">
        <v>201</v>
      </c>
      <c r="L55" s="17"/>
      <c r="M55" s="17" t="s">
        <v>202</v>
      </c>
    </row>
    <row r="56" spans="1:13" ht="15" customHeight="1">
      <c r="H56" s="129"/>
      <c r="I56" s="16"/>
      <c r="J56" s="16"/>
      <c r="K56" s="16" t="s">
        <v>203</v>
      </c>
      <c r="L56" s="16"/>
      <c r="M56" s="16" t="s">
        <v>204</v>
      </c>
    </row>
    <row r="57" spans="1:13" ht="15" customHeight="1">
      <c r="H57" s="129"/>
      <c r="I57" s="17"/>
      <c r="J57" s="17"/>
      <c r="K57" s="17" t="s">
        <v>50</v>
      </c>
      <c r="L57" s="17"/>
      <c r="M57" s="17" t="s">
        <v>205</v>
      </c>
    </row>
    <row r="58" spans="1:13" ht="15" customHeight="1">
      <c r="H58" s="129"/>
      <c r="I58" s="16"/>
      <c r="J58" s="16"/>
      <c r="K58" s="16" t="s">
        <v>206</v>
      </c>
      <c r="L58" s="16"/>
      <c r="M58" s="16" t="s">
        <v>207</v>
      </c>
    </row>
    <row r="59" spans="1:13" ht="15" customHeight="1">
      <c r="H59" s="129"/>
      <c r="I59" s="17"/>
      <c r="J59" s="17"/>
      <c r="K59" s="17" t="s">
        <v>208</v>
      </c>
      <c r="L59" s="17"/>
      <c r="M59" s="17"/>
    </row>
    <row r="60" spans="1:13" ht="15" customHeight="1">
      <c r="H60" s="129"/>
      <c r="I60" s="16"/>
      <c r="J60" s="16"/>
      <c r="K60" s="86" t="s">
        <v>105</v>
      </c>
      <c r="L60" s="16"/>
      <c r="M60" s="16"/>
    </row>
    <row r="61" spans="1:13" ht="15" customHeight="1">
      <c r="H61" s="129"/>
      <c r="I61" s="17"/>
      <c r="J61" s="17"/>
      <c r="K61" s="17" t="s">
        <v>209</v>
      </c>
      <c r="L61" s="17"/>
      <c r="M61" s="17"/>
    </row>
    <row r="62" spans="1:13" ht="15" customHeight="1">
      <c r="H62" s="129"/>
      <c r="I62" s="16"/>
      <c r="J62" s="16"/>
      <c r="K62" s="16" t="s">
        <v>210</v>
      </c>
      <c r="L62" s="16"/>
      <c r="M62" s="16"/>
    </row>
    <row r="63" spans="1:13" ht="15" customHeight="1">
      <c r="H63" s="129"/>
      <c r="I63" s="17"/>
      <c r="J63" s="17"/>
      <c r="K63" s="17" t="s">
        <v>211</v>
      </c>
      <c r="L63" s="17"/>
      <c r="M63" s="17"/>
    </row>
    <row r="64" spans="1:13" ht="15" customHeight="1">
      <c r="H64" s="129"/>
      <c r="I64" s="16"/>
      <c r="J64" s="16"/>
      <c r="K64" s="16" t="s">
        <v>212</v>
      </c>
      <c r="L64" s="16"/>
      <c r="M64" s="16"/>
    </row>
    <row r="65" spans="8:13" ht="15" customHeight="1">
      <c r="H65" s="129"/>
      <c r="I65" s="17"/>
      <c r="J65" s="17"/>
      <c r="K65" s="17" t="s">
        <v>213</v>
      </c>
      <c r="L65" s="17"/>
      <c r="M65" s="17"/>
    </row>
    <row r="66" spans="8:13" ht="15" customHeight="1">
      <c r="H66" s="129"/>
      <c r="I66" s="16"/>
      <c r="J66" s="16"/>
      <c r="K66" s="16" t="s">
        <v>214</v>
      </c>
      <c r="L66" s="16"/>
      <c r="M66" s="16"/>
    </row>
    <row r="67" spans="8:13" ht="15" customHeight="1">
      <c r="H67" s="129"/>
      <c r="I67" s="17"/>
      <c r="J67" s="17"/>
      <c r="K67" s="17" t="s">
        <v>215</v>
      </c>
      <c r="L67" s="17"/>
      <c r="M67" s="17"/>
    </row>
    <row r="68" spans="8:13" ht="15" customHeight="1">
      <c r="H68" s="129"/>
      <c r="I68" s="16"/>
      <c r="J68" s="16"/>
      <c r="K68" s="16" t="s">
        <v>216</v>
      </c>
      <c r="L68" s="16"/>
      <c r="M68" s="16"/>
    </row>
    <row r="69" spans="8:13" ht="15" customHeight="1">
      <c r="H69" s="129"/>
      <c r="I69" s="17"/>
      <c r="J69" s="17"/>
      <c r="K69" s="17" t="s">
        <v>217</v>
      </c>
      <c r="L69" s="17"/>
      <c r="M69" s="17"/>
    </row>
    <row r="70" spans="8:13" ht="15" customHeight="1">
      <c r="H70" s="129"/>
      <c r="I70" s="16"/>
      <c r="J70" s="16"/>
      <c r="K70" s="16" t="s">
        <v>218</v>
      </c>
      <c r="L70" s="16"/>
      <c r="M70" s="16"/>
    </row>
    <row r="71" spans="8:13" ht="15" customHeight="1">
      <c r="H71" s="129"/>
      <c r="I71" s="17"/>
      <c r="J71" s="17"/>
      <c r="K71" s="17" t="s">
        <v>219</v>
      </c>
      <c r="L71" s="17"/>
      <c r="M71" s="17"/>
    </row>
    <row r="72" spans="8:13" ht="15" customHeight="1">
      <c r="H72" s="129"/>
      <c r="I72" s="16"/>
      <c r="J72" s="16"/>
      <c r="K72" s="16" t="s">
        <v>220</v>
      </c>
      <c r="L72" s="16"/>
      <c r="M72" s="16"/>
    </row>
    <row r="73" spans="8:13" ht="15" customHeight="1">
      <c r="H73" s="129"/>
      <c r="I73" s="17"/>
      <c r="J73" s="17"/>
      <c r="K73" s="17" t="s">
        <v>221</v>
      </c>
      <c r="L73" s="17"/>
      <c r="M73" s="17"/>
    </row>
    <row r="74" spans="8:13" ht="15" customHeight="1">
      <c r="H74" s="129"/>
      <c r="I74" s="16"/>
      <c r="J74" s="16"/>
      <c r="K74" s="16" t="s">
        <v>222</v>
      </c>
      <c r="L74" s="16"/>
      <c r="M74" s="16"/>
    </row>
    <row r="75" spans="8:13" ht="15" customHeight="1">
      <c r="H75" s="129"/>
      <c r="I75" s="17"/>
      <c r="J75" s="17"/>
      <c r="K75" s="17"/>
      <c r="L75" s="17"/>
      <c r="M75" s="17"/>
    </row>
    <row r="76" spans="8:13" ht="15" customHeight="1"/>
    <row r="77" spans="8:13" ht="15" customHeight="1"/>
    <row r="78" spans="8:13" ht="15" customHeight="1"/>
    <row r="79" spans="8:13" ht="15" customHeight="1"/>
    <row r="80" spans="8:13" ht="15" customHeight="1"/>
    <row r="81" ht="15" customHeight="1"/>
    <row r="82" ht="15" customHeight="1"/>
    <row r="83" ht="15" customHeight="1"/>
    <row r="84" ht="15" customHeight="1"/>
    <row r="85" ht="15" customHeight="1"/>
    <row r="86" ht="15" customHeight="1"/>
    <row r="87" ht="15" customHeight="1"/>
    <row r="88" ht="15" customHeight="1"/>
    <row r="89" ht="15" customHeight="1"/>
    <row r="90" ht="15" customHeight="1"/>
    <row r="91" ht="15" customHeight="1"/>
    <row r="92" ht="15" customHeight="1"/>
    <row r="93" ht="15" customHeight="1"/>
    <row r="94" ht="15" customHeight="1"/>
    <row r="95" ht="15" customHeight="1"/>
    <row r="96" ht="15" customHeight="1"/>
    <row r="97" ht="15" customHeight="1"/>
    <row r="98" ht="15" customHeight="1"/>
    <row r="99" ht="15" customHeight="1"/>
    <row r="100" ht="15" customHeight="1"/>
    <row r="101" ht="15" customHeight="1"/>
    <row r="102" ht="15" customHeight="1"/>
    <row r="103" ht="15" customHeight="1"/>
    <row r="104" ht="15" customHeight="1"/>
    <row r="105" ht="15" customHeight="1"/>
    <row r="106" ht="15" customHeight="1"/>
    <row r="107" ht="15" customHeight="1"/>
    <row r="108" ht="15" customHeight="1"/>
    <row r="109" ht="15" customHeight="1"/>
    <row r="110" ht="15" customHeight="1"/>
    <row r="111" ht="15" customHeight="1"/>
    <row r="112" ht="15" customHeight="1"/>
    <row r="113" ht="15" customHeight="1"/>
  </sheetData>
  <mergeCells count="3">
    <mergeCell ref="A1:G1"/>
    <mergeCell ref="H1:H75"/>
    <mergeCell ref="I1:M1"/>
  </mergeCells>
  <pageMargins left="0.75" right="0.75" top="1" bottom="1" header="0.511811023622047" footer="0.511811023622047"/>
  <pageSetup paperSize="9" orientation="portrait" horizontalDpi="300" verticalDpi="300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tabColor rgb="FF1F497D"/>
  </sheetPr>
  <dimension ref="A1:O838"/>
  <sheetViews>
    <sheetView showGridLines="0" tabSelected="1" zoomScale="60" zoomScaleNormal="60" workbookViewId="0">
      <pane ySplit="1" topLeftCell="A810" activePane="bottomLeft" state="frozen"/>
      <selection pane="bottomLeft" activeCell="F826" sqref="F826"/>
    </sheetView>
  </sheetViews>
  <sheetFormatPr defaultColWidth="8.5703125" defaultRowHeight="14.45"/>
  <cols>
    <col min="1" max="1" width="13" style="70" customWidth="1"/>
    <col min="2" max="2" width="9" style="20" customWidth="1"/>
    <col min="3" max="3" width="14" style="20" customWidth="1"/>
    <col min="4" max="5" width="16" style="20" customWidth="1"/>
    <col min="6" max="6" width="13" style="20" customWidth="1"/>
    <col min="7" max="7" width="14" style="20" customWidth="1"/>
    <col min="8" max="8" width="33.140625" style="20" customWidth="1"/>
    <col min="9" max="9" width="23.42578125" style="20" customWidth="1"/>
    <col min="10" max="10" width="43.140625" style="20" customWidth="1"/>
    <col min="11" max="11" width="14" style="20" customWidth="1"/>
    <col min="12" max="12" width="13.140625" style="21" customWidth="1"/>
    <col min="13" max="13" width="14" style="20" customWidth="1"/>
    <col min="14" max="14" width="79.42578125" style="20" customWidth="1"/>
    <col min="15" max="15" width="14" customWidth="1"/>
  </cols>
  <sheetData>
    <row r="1" spans="1:15" ht="37.5" customHeight="1">
      <c r="A1" s="67" t="s">
        <v>7</v>
      </c>
      <c r="B1" s="23" t="s">
        <v>223</v>
      </c>
      <c r="C1" s="23" t="s">
        <v>12</v>
      </c>
      <c r="D1" s="22" t="s">
        <v>13</v>
      </c>
      <c r="E1" s="22" t="s">
        <v>224</v>
      </c>
      <c r="F1" s="23" t="s">
        <v>225</v>
      </c>
      <c r="G1" s="23" t="s">
        <v>226</v>
      </c>
      <c r="H1" s="23" t="s">
        <v>14</v>
      </c>
      <c r="I1" s="23" t="s">
        <v>15</v>
      </c>
      <c r="J1" s="23" t="s">
        <v>227</v>
      </c>
      <c r="K1" s="23" t="s">
        <v>228</v>
      </c>
      <c r="L1" s="23" t="s">
        <v>229</v>
      </c>
      <c r="M1" s="24" t="s">
        <v>230</v>
      </c>
      <c r="N1" s="23" t="s">
        <v>231</v>
      </c>
      <c r="O1" s="23" t="s">
        <v>232</v>
      </c>
    </row>
    <row r="2" spans="1:15" ht="15" customHeight="1">
      <c r="A2" s="68">
        <v>46204</v>
      </c>
      <c r="B2" s="25">
        <v>0.33333333333333298</v>
      </c>
      <c r="C2" s="26" t="s">
        <v>29</v>
      </c>
      <c r="D2" s="20" t="s">
        <v>233</v>
      </c>
      <c r="E2" s="59" t="s">
        <v>234</v>
      </c>
      <c r="F2" s="27">
        <v>0</v>
      </c>
      <c r="G2" s="28">
        <f t="shared" ref="G2:G13" si="0">IF(F2="","",IF(E2="PC 17",F2*4.2,IF(E2="PC 19",F2*5,"")))</f>
        <v>0</v>
      </c>
      <c r="H2" s="26" t="s">
        <v>19</v>
      </c>
      <c r="I2" s="26" t="s">
        <v>23</v>
      </c>
      <c r="J2" s="26" t="s">
        <v>107</v>
      </c>
      <c r="K2" s="29">
        <v>0.29166666666666669</v>
      </c>
      <c r="L2" s="29">
        <v>0.37152777777777779</v>
      </c>
      <c r="M2" s="30">
        <f ca="1">IFERROR(IF(K2="","",IF(L2="",MOD(NOW()-K2,1),IF(L2&gt;=K2,L2-K2,L2+1-K2))),"")</f>
        <v>7.9861111111111105E-2</v>
      </c>
      <c r="N2" s="27" t="s">
        <v>235</v>
      </c>
      <c r="O2" s="31"/>
    </row>
    <row r="3" spans="1:15" ht="15" customHeight="1">
      <c r="A3" s="69">
        <v>46204</v>
      </c>
      <c r="B3" s="32">
        <f t="shared" ref="B3:B13" si="1">B2+TIME(0,60,0)</f>
        <v>0.37499999999999967</v>
      </c>
      <c r="C3" s="26" t="s">
        <v>29</v>
      </c>
      <c r="D3" s="59" t="s">
        <v>30</v>
      </c>
      <c r="E3" s="59" t="s">
        <v>234</v>
      </c>
      <c r="F3" s="27">
        <v>0</v>
      </c>
      <c r="G3" s="34">
        <f t="shared" si="0"/>
        <v>0</v>
      </c>
      <c r="H3" s="33" t="s">
        <v>20</v>
      </c>
      <c r="I3" s="33" t="s">
        <v>23</v>
      </c>
      <c r="J3" s="33" t="s">
        <v>143</v>
      </c>
      <c r="K3" s="29">
        <v>0.40694444444444444</v>
      </c>
      <c r="L3" s="29">
        <v>0.4548611111111111</v>
      </c>
      <c r="M3" s="35">
        <f t="shared" ref="M2:M13" ca="1" si="2">IFERROR(IF(K3="","",IF(L3="",MOD(NOW()-K3,1),IF(L3&gt;=K3,L3-K3,L3+1-K3))),"")</f>
        <v>4.7916666666666663E-2</v>
      </c>
      <c r="N3" s="27"/>
      <c r="O3" s="31"/>
    </row>
    <row r="4" spans="1:15" ht="15" customHeight="1">
      <c r="A4" s="68">
        <v>46204</v>
      </c>
      <c r="B4" s="25">
        <f t="shared" si="1"/>
        <v>0.41666666666666635</v>
      </c>
      <c r="C4" s="26" t="s">
        <v>29</v>
      </c>
      <c r="D4" s="59" t="s">
        <v>30</v>
      </c>
      <c r="E4" s="59" t="s">
        <v>234</v>
      </c>
      <c r="F4" s="27">
        <v>0</v>
      </c>
      <c r="G4" s="28">
        <f t="shared" si="0"/>
        <v>0</v>
      </c>
      <c r="H4" s="26"/>
      <c r="I4" s="26"/>
      <c r="J4" s="26"/>
      <c r="K4" s="29"/>
      <c r="L4" s="29"/>
      <c r="M4" s="30" t="str">
        <f t="shared" ca="1" si="2"/>
        <v/>
      </c>
      <c r="N4" s="27"/>
      <c r="O4" s="31"/>
    </row>
    <row r="5" spans="1:15" ht="15" customHeight="1">
      <c r="A5" s="69">
        <v>46204</v>
      </c>
      <c r="B5" s="32">
        <f t="shared" si="1"/>
        <v>0.45833333333333304</v>
      </c>
      <c r="C5" s="26" t="s">
        <v>29</v>
      </c>
      <c r="D5" s="59" t="s">
        <v>30</v>
      </c>
      <c r="E5" s="59" t="s">
        <v>234</v>
      </c>
      <c r="F5" s="27">
        <v>25</v>
      </c>
      <c r="G5" s="34">
        <f t="shared" si="0"/>
        <v>125</v>
      </c>
      <c r="H5" s="33"/>
      <c r="I5" s="33"/>
      <c r="J5" s="33"/>
      <c r="K5" s="29"/>
      <c r="L5" s="29"/>
      <c r="M5" s="35" t="str">
        <f t="shared" ca="1" si="2"/>
        <v/>
      </c>
      <c r="N5" s="27"/>
      <c r="O5" s="31"/>
    </row>
    <row r="6" spans="1:15" ht="15" customHeight="1">
      <c r="A6" s="68">
        <v>46204</v>
      </c>
      <c r="B6" s="25">
        <f t="shared" si="1"/>
        <v>0.49999999999999972</v>
      </c>
      <c r="C6" s="26" t="s">
        <v>29</v>
      </c>
      <c r="D6" s="59" t="s">
        <v>30</v>
      </c>
      <c r="E6" s="59" t="s">
        <v>234</v>
      </c>
      <c r="F6" s="27">
        <v>50</v>
      </c>
      <c r="G6" s="28">
        <f t="shared" si="0"/>
        <v>250</v>
      </c>
      <c r="H6" s="26"/>
      <c r="I6" s="26"/>
      <c r="J6" s="26"/>
      <c r="K6" s="29"/>
      <c r="L6" s="29"/>
      <c r="M6" s="30" t="str">
        <f t="shared" ca="1" si="2"/>
        <v/>
      </c>
      <c r="N6" s="27"/>
      <c r="O6" s="31"/>
    </row>
    <row r="7" spans="1:15" ht="15" customHeight="1">
      <c r="A7" s="69">
        <v>46204</v>
      </c>
      <c r="B7" s="32">
        <f t="shared" si="1"/>
        <v>0.54166666666666641</v>
      </c>
      <c r="C7" s="26" t="s">
        <v>29</v>
      </c>
      <c r="D7" s="59" t="s">
        <v>30</v>
      </c>
      <c r="E7" s="59" t="s">
        <v>234</v>
      </c>
      <c r="F7" s="27">
        <v>28</v>
      </c>
      <c r="G7" s="34">
        <f t="shared" si="0"/>
        <v>140</v>
      </c>
      <c r="H7" s="33"/>
      <c r="I7" s="33"/>
      <c r="J7" s="33"/>
      <c r="K7" s="29"/>
      <c r="L7" s="29"/>
      <c r="M7" s="35" t="str">
        <f t="shared" ca="1" si="2"/>
        <v/>
      </c>
      <c r="N7" s="27"/>
      <c r="O7" s="31"/>
    </row>
    <row r="8" spans="1:15" ht="15" customHeight="1">
      <c r="A8" s="68">
        <v>46204</v>
      </c>
      <c r="B8" s="25">
        <f t="shared" si="1"/>
        <v>0.58333333333333304</v>
      </c>
      <c r="C8" s="26" t="s">
        <v>29</v>
      </c>
      <c r="D8" s="59" t="s">
        <v>30</v>
      </c>
      <c r="E8" s="59" t="s">
        <v>234</v>
      </c>
      <c r="F8" s="27">
        <v>32</v>
      </c>
      <c r="G8" s="28">
        <f t="shared" si="0"/>
        <v>160</v>
      </c>
      <c r="H8" s="26"/>
      <c r="I8" s="26"/>
      <c r="J8" s="26"/>
      <c r="K8" s="29"/>
      <c r="L8" s="29"/>
      <c r="M8" s="30" t="str">
        <f t="shared" ca="1" si="2"/>
        <v/>
      </c>
      <c r="N8" s="27"/>
      <c r="O8" s="31"/>
    </row>
    <row r="9" spans="1:15" ht="15" customHeight="1">
      <c r="A9" s="69">
        <v>46204</v>
      </c>
      <c r="B9" s="32">
        <f t="shared" si="1"/>
        <v>0.62499999999999967</v>
      </c>
      <c r="C9" s="26" t="s">
        <v>29</v>
      </c>
      <c r="D9" s="59" t="s">
        <v>30</v>
      </c>
      <c r="E9" s="59" t="s">
        <v>234</v>
      </c>
      <c r="F9" s="27">
        <v>27</v>
      </c>
      <c r="G9" s="34">
        <f t="shared" si="0"/>
        <v>135</v>
      </c>
      <c r="H9" s="33"/>
      <c r="I9" s="33"/>
      <c r="J9" s="33"/>
      <c r="K9" s="29"/>
      <c r="L9" s="29"/>
      <c r="M9" s="35" t="str">
        <f t="shared" ca="1" si="2"/>
        <v/>
      </c>
      <c r="N9" s="27"/>
      <c r="O9" s="31"/>
    </row>
    <row r="10" spans="1:15" ht="15" customHeight="1">
      <c r="A10" s="68">
        <v>46204</v>
      </c>
      <c r="B10" s="25">
        <f t="shared" si="1"/>
        <v>0.6666666666666663</v>
      </c>
      <c r="C10" s="26" t="s">
        <v>29</v>
      </c>
      <c r="D10" s="59" t="s">
        <v>30</v>
      </c>
      <c r="E10" s="59" t="s">
        <v>234</v>
      </c>
      <c r="F10" s="27">
        <v>40</v>
      </c>
      <c r="G10" s="28">
        <f t="shared" si="0"/>
        <v>200</v>
      </c>
      <c r="H10" s="26"/>
      <c r="I10" s="26"/>
      <c r="J10" s="26"/>
      <c r="K10" s="29"/>
      <c r="L10" s="29"/>
      <c r="M10" s="30" t="str">
        <f t="shared" ca="1" si="2"/>
        <v/>
      </c>
      <c r="N10" s="27"/>
      <c r="O10" s="31"/>
    </row>
    <row r="11" spans="1:15" ht="15" customHeight="1">
      <c r="A11" s="69">
        <v>46204</v>
      </c>
      <c r="B11" s="32">
        <f t="shared" si="1"/>
        <v>0.70833333333333293</v>
      </c>
      <c r="C11" s="26" t="s">
        <v>29</v>
      </c>
      <c r="D11" s="59" t="s">
        <v>30</v>
      </c>
      <c r="E11" s="59" t="s">
        <v>234</v>
      </c>
      <c r="F11" s="27">
        <v>30</v>
      </c>
      <c r="G11" s="34">
        <f t="shared" si="0"/>
        <v>150</v>
      </c>
      <c r="H11" s="33"/>
      <c r="I11" s="33"/>
      <c r="J11" s="33"/>
      <c r="K11" s="29"/>
      <c r="L11" s="29"/>
      <c r="M11" s="35" t="str">
        <f t="shared" ca="1" si="2"/>
        <v/>
      </c>
      <c r="N11" s="27"/>
      <c r="O11" s="31"/>
    </row>
    <row r="12" spans="1:15" ht="15" customHeight="1">
      <c r="A12" s="68">
        <v>46204</v>
      </c>
      <c r="B12" s="25">
        <f t="shared" si="1"/>
        <v>0.74999999999999956</v>
      </c>
      <c r="C12" s="26" t="s">
        <v>29</v>
      </c>
      <c r="D12" s="59" t="s">
        <v>30</v>
      </c>
      <c r="E12" s="59" t="s">
        <v>234</v>
      </c>
      <c r="F12" s="27">
        <v>30</v>
      </c>
      <c r="G12" s="28">
        <f t="shared" si="0"/>
        <v>150</v>
      </c>
      <c r="H12" s="26"/>
      <c r="I12" s="26"/>
      <c r="J12" s="26"/>
      <c r="K12" s="29"/>
      <c r="L12" s="29"/>
      <c r="M12" s="30" t="str">
        <f t="shared" ca="1" si="2"/>
        <v/>
      </c>
      <c r="N12" s="27"/>
      <c r="O12" s="31"/>
    </row>
    <row r="13" spans="1:15" ht="15" customHeight="1">
      <c r="A13" s="69">
        <v>46204</v>
      </c>
      <c r="B13" s="32">
        <f t="shared" si="1"/>
        <v>0.79166666666666619</v>
      </c>
      <c r="C13" s="26" t="s">
        <v>29</v>
      </c>
      <c r="D13" s="59" t="s">
        <v>30</v>
      </c>
      <c r="E13" s="59" t="s">
        <v>234</v>
      </c>
      <c r="F13" s="27">
        <v>10</v>
      </c>
      <c r="G13" s="34">
        <f t="shared" si="0"/>
        <v>50</v>
      </c>
      <c r="H13" s="33"/>
      <c r="I13" s="33"/>
      <c r="J13" s="33"/>
      <c r="K13" s="29"/>
      <c r="L13" s="29"/>
      <c r="M13" s="35" t="str">
        <f t="shared" ca="1" si="2"/>
        <v/>
      </c>
      <c r="N13" s="27"/>
      <c r="O13" s="31"/>
    </row>
    <row r="14" spans="1:15" ht="15.75" customHeight="1">
      <c r="A14" s="119" t="s">
        <v>236</v>
      </c>
      <c r="B14" s="120"/>
      <c r="C14" s="120"/>
      <c r="D14" s="120"/>
      <c r="E14" s="121"/>
      <c r="F14" s="36">
        <f>SUM(F2:F13)</f>
        <v>272</v>
      </c>
      <c r="G14" s="36">
        <f>SUM(G2:G13)</f>
        <v>1360</v>
      </c>
      <c r="H14" s="37"/>
      <c r="I14" s="37"/>
      <c r="J14" s="37"/>
      <c r="K14" s="37"/>
      <c r="L14" s="37"/>
      <c r="M14" s="38">
        <f ca="1">IFERROR(SUM(M2:M13),"")</f>
        <v>0.12777777777777777</v>
      </c>
      <c r="N14" s="36" t="s">
        <v>237</v>
      </c>
      <c r="O14" s="39">
        <v>1489420</v>
      </c>
    </row>
    <row r="15" spans="1:15" ht="15" customHeight="1">
      <c r="A15" s="69">
        <v>46204</v>
      </c>
      <c r="B15" s="32">
        <v>0.83333333333333304</v>
      </c>
      <c r="C15" s="33" t="s">
        <v>45</v>
      </c>
      <c r="D15" s="62" t="s">
        <v>30</v>
      </c>
      <c r="E15" s="62" t="s">
        <v>234</v>
      </c>
      <c r="F15" s="27">
        <v>12</v>
      </c>
      <c r="G15" s="34">
        <f t="shared" ref="G15:G26" si="3">IF(F15="","",IF(E15="PC 17",F15*4.2,IF(E15="PC 19",F15*5,"")))</f>
        <v>60</v>
      </c>
      <c r="H15" s="33"/>
      <c r="I15" s="33"/>
      <c r="J15" s="33"/>
      <c r="K15" s="29"/>
      <c r="L15" s="29"/>
      <c r="M15" s="35" t="str">
        <f t="shared" ref="M15:M26" ca="1" si="4">IFERROR(IF(K15="","",IF(L15="",MOD(NOW()-K15,1),IF(L15&gt;=K15,L15-K15,L15+1-K15))),"")</f>
        <v/>
      </c>
      <c r="N15" s="27"/>
      <c r="O15" s="31"/>
    </row>
    <row r="16" spans="1:15" ht="15" customHeight="1">
      <c r="A16" s="68">
        <v>46204</v>
      </c>
      <c r="B16" s="25">
        <f t="shared" ref="B16:B26" si="5">B15+TIME(0,60,0)</f>
        <v>0.87499999999999967</v>
      </c>
      <c r="C16" s="33" t="s">
        <v>45</v>
      </c>
      <c r="D16" s="62" t="s">
        <v>30</v>
      </c>
      <c r="E16" s="62" t="s">
        <v>234</v>
      </c>
      <c r="F16" s="27">
        <v>15</v>
      </c>
      <c r="G16" s="34">
        <f t="shared" si="3"/>
        <v>75</v>
      </c>
      <c r="H16" s="26"/>
      <c r="I16" s="26"/>
      <c r="J16" s="26"/>
      <c r="K16" s="29"/>
      <c r="L16" s="29"/>
      <c r="M16" s="30" t="str">
        <f t="shared" ca="1" si="4"/>
        <v/>
      </c>
      <c r="N16" s="27"/>
      <c r="O16" s="31"/>
    </row>
    <row r="17" spans="1:15" ht="15" customHeight="1">
      <c r="A17" s="69">
        <v>46204</v>
      </c>
      <c r="B17" s="32">
        <f t="shared" si="5"/>
        <v>0.9166666666666663</v>
      </c>
      <c r="C17" s="33" t="s">
        <v>45</v>
      </c>
      <c r="D17" s="62" t="s">
        <v>30</v>
      </c>
      <c r="E17" s="62" t="s">
        <v>234</v>
      </c>
      <c r="F17" s="27">
        <v>17</v>
      </c>
      <c r="G17" s="34">
        <f t="shared" si="3"/>
        <v>85</v>
      </c>
      <c r="H17" s="33"/>
      <c r="I17" s="33"/>
      <c r="J17" s="33"/>
      <c r="K17" s="29"/>
      <c r="L17" s="29"/>
      <c r="M17" s="35" t="str">
        <f t="shared" ca="1" si="4"/>
        <v/>
      </c>
      <c r="N17" s="27"/>
      <c r="O17" s="31"/>
    </row>
    <row r="18" spans="1:15" ht="15" customHeight="1">
      <c r="A18" s="68">
        <v>46204</v>
      </c>
      <c r="B18" s="25">
        <f t="shared" si="5"/>
        <v>0.95833333333333293</v>
      </c>
      <c r="C18" s="33" t="s">
        <v>45</v>
      </c>
      <c r="D18" s="62" t="s">
        <v>30</v>
      </c>
      <c r="E18" s="62" t="s">
        <v>234</v>
      </c>
      <c r="F18" s="27">
        <v>26</v>
      </c>
      <c r="G18" s="34">
        <f t="shared" si="3"/>
        <v>130</v>
      </c>
      <c r="H18" s="26"/>
      <c r="I18" s="26"/>
      <c r="J18" s="26"/>
      <c r="K18" s="29"/>
      <c r="L18" s="29"/>
      <c r="M18" s="30" t="str">
        <f t="shared" ca="1" si="4"/>
        <v/>
      </c>
      <c r="N18" s="27"/>
      <c r="O18" s="31"/>
    </row>
    <row r="19" spans="1:15" ht="15" customHeight="1">
      <c r="A19" s="69">
        <v>46204</v>
      </c>
      <c r="B19" s="32">
        <f t="shared" si="5"/>
        <v>0.99999999999999956</v>
      </c>
      <c r="C19" s="33" t="s">
        <v>45</v>
      </c>
      <c r="D19" s="62" t="s">
        <v>30</v>
      </c>
      <c r="E19" s="62" t="s">
        <v>234</v>
      </c>
      <c r="F19" s="27">
        <v>18</v>
      </c>
      <c r="G19" s="34">
        <f t="shared" si="3"/>
        <v>90</v>
      </c>
      <c r="H19" s="33"/>
      <c r="I19" s="33"/>
      <c r="J19" s="33"/>
      <c r="K19" s="29"/>
      <c r="L19" s="29"/>
      <c r="M19" s="35" t="str">
        <f t="shared" ca="1" si="4"/>
        <v/>
      </c>
      <c r="N19" s="27"/>
      <c r="O19" s="31"/>
    </row>
    <row r="20" spans="1:15" ht="15" customHeight="1">
      <c r="A20" s="68">
        <v>46204</v>
      </c>
      <c r="B20" s="25">
        <f t="shared" si="5"/>
        <v>1.0416666666666663</v>
      </c>
      <c r="C20" s="33" t="s">
        <v>45</v>
      </c>
      <c r="D20" s="62" t="s">
        <v>30</v>
      </c>
      <c r="E20" s="62" t="s">
        <v>234</v>
      </c>
      <c r="F20" s="27">
        <v>25</v>
      </c>
      <c r="G20" s="34">
        <f t="shared" si="3"/>
        <v>125</v>
      </c>
      <c r="H20" s="26"/>
      <c r="I20" s="26"/>
      <c r="J20" s="26"/>
      <c r="K20" s="29"/>
      <c r="L20" s="29"/>
      <c r="M20" s="30" t="str">
        <f t="shared" ca="1" si="4"/>
        <v/>
      </c>
      <c r="N20" s="27"/>
      <c r="O20" s="31"/>
    </row>
    <row r="21" spans="1:15" ht="15" customHeight="1">
      <c r="A21" s="69">
        <v>46204</v>
      </c>
      <c r="B21" s="32">
        <f t="shared" si="5"/>
        <v>1.083333333333333</v>
      </c>
      <c r="C21" s="33" t="s">
        <v>45</v>
      </c>
      <c r="D21" s="62" t="s">
        <v>30</v>
      </c>
      <c r="E21" s="62" t="s">
        <v>234</v>
      </c>
      <c r="F21" s="27">
        <v>23</v>
      </c>
      <c r="G21" s="34">
        <f t="shared" si="3"/>
        <v>115</v>
      </c>
      <c r="H21" s="33"/>
      <c r="I21" s="33"/>
      <c r="J21" s="33"/>
      <c r="K21" s="29"/>
      <c r="L21" s="29"/>
      <c r="M21" s="35" t="str">
        <f t="shared" ca="1" si="4"/>
        <v/>
      </c>
      <c r="N21" s="27"/>
      <c r="O21" s="31"/>
    </row>
    <row r="22" spans="1:15" ht="15" customHeight="1">
      <c r="A22" s="68">
        <v>46204</v>
      </c>
      <c r="B22" s="25">
        <f t="shared" si="5"/>
        <v>1.1249999999999998</v>
      </c>
      <c r="C22" s="33" t="s">
        <v>45</v>
      </c>
      <c r="D22" s="62" t="s">
        <v>30</v>
      </c>
      <c r="E22" s="62" t="s">
        <v>234</v>
      </c>
      <c r="F22" s="27">
        <v>26</v>
      </c>
      <c r="G22" s="34">
        <f t="shared" si="3"/>
        <v>130</v>
      </c>
      <c r="H22" s="26"/>
      <c r="I22" s="26"/>
      <c r="J22" s="26"/>
      <c r="K22" s="29"/>
      <c r="L22" s="29"/>
      <c r="M22" s="30" t="str">
        <f t="shared" ca="1" si="4"/>
        <v/>
      </c>
      <c r="N22" s="27"/>
      <c r="O22" s="31"/>
    </row>
    <row r="23" spans="1:15" ht="15" customHeight="1">
      <c r="A23" s="69">
        <v>46204</v>
      </c>
      <c r="B23" s="32">
        <f t="shared" si="5"/>
        <v>1.1666666666666665</v>
      </c>
      <c r="C23" s="33" t="s">
        <v>45</v>
      </c>
      <c r="D23" s="62" t="s">
        <v>30</v>
      </c>
      <c r="E23" s="62" t="s">
        <v>234</v>
      </c>
      <c r="F23" s="27">
        <v>19</v>
      </c>
      <c r="G23" s="34">
        <f t="shared" si="3"/>
        <v>95</v>
      </c>
      <c r="H23" s="33"/>
      <c r="I23" s="33"/>
      <c r="J23" s="33"/>
      <c r="K23" s="29"/>
      <c r="L23" s="29"/>
      <c r="M23" s="35" t="str">
        <f t="shared" ca="1" si="4"/>
        <v/>
      </c>
      <c r="N23" s="27"/>
      <c r="O23" s="31"/>
    </row>
    <row r="24" spans="1:15" ht="15" customHeight="1">
      <c r="A24" s="68">
        <v>46204</v>
      </c>
      <c r="B24" s="25">
        <f t="shared" si="5"/>
        <v>1.2083333333333333</v>
      </c>
      <c r="C24" s="33" t="s">
        <v>45</v>
      </c>
      <c r="D24" s="62" t="s">
        <v>30</v>
      </c>
      <c r="E24" s="62" t="s">
        <v>234</v>
      </c>
      <c r="F24" s="27">
        <v>21</v>
      </c>
      <c r="G24" s="34">
        <f t="shared" si="3"/>
        <v>105</v>
      </c>
      <c r="H24" s="26"/>
      <c r="I24" s="26"/>
      <c r="J24" s="26"/>
      <c r="K24" s="29"/>
      <c r="L24" s="29"/>
      <c r="M24" s="30" t="str">
        <f t="shared" ca="1" si="4"/>
        <v/>
      </c>
      <c r="N24" s="27"/>
      <c r="O24" s="31"/>
    </row>
    <row r="25" spans="1:15" ht="15" customHeight="1">
      <c r="A25" s="69">
        <v>46204</v>
      </c>
      <c r="B25" s="32">
        <f t="shared" si="5"/>
        <v>1.25</v>
      </c>
      <c r="C25" s="33" t="s">
        <v>45</v>
      </c>
      <c r="D25" s="62" t="s">
        <v>30</v>
      </c>
      <c r="E25" s="62" t="s">
        <v>234</v>
      </c>
      <c r="F25" s="27">
        <v>25</v>
      </c>
      <c r="G25" s="34">
        <f t="shared" si="3"/>
        <v>125</v>
      </c>
      <c r="H25" s="33"/>
      <c r="I25" s="33"/>
      <c r="J25" s="33"/>
      <c r="K25" s="29"/>
      <c r="L25" s="29"/>
      <c r="M25" s="35" t="str">
        <f t="shared" ca="1" si="4"/>
        <v/>
      </c>
      <c r="N25" s="27"/>
      <c r="O25" s="31"/>
    </row>
    <row r="26" spans="1:15" ht="15" customHeight="1">
      <c r="A26" s="68">
        <v>46204</v>
      </c>
      <c r="B26" s="25">
        <f t="shared" si="5"/>
        <v>1.2916666666666667</v>
      </c>
      <c r="C26" s="33" t="s">
        <v>45</v>
      </c>
      <c r="D26" s="62" t="s">
        <v>30</v>
      </c>
      <c r="E26" s="62" t="s">
        <v>234</v>
      </c>
      <c r="F26" s="27">
        <v>8</v>
      </c>
      <c r="G26" s="34">
        <f t="shared" si="3"/>
        <v>40</v>
      </c>
      <c r="H26" s="26"/>
      <c r="I26" s="26"/>
      <c r="J26" s="26"/>
      <c r="K26" s="29"/>
      <c r="L26" s="29"/>
      <c r="M26" s="30" t="str">
        <f t="shared" ca="1" si="4"/>
        <v/>
      </c>
      <c r="N26" s="27"/>
      <c r="O26" s="31"/>
    </row>
    <row r="27" spans="1:15" ht="15.75" customHeight="1">
      <c r="A27" s="119" t="s">
        <v>238</v>
      </c>
      <c r="B27" s="120"/>
      <c r="C27" s="120"/>
      <c r="D27" s="120"/>
      <c r="E27" s="121"/>
      <c r="F27" s="36">
        <f>SUM(F15:F26)</f>
        <v>235</v>
      </c>
      <c r="G27" s="36">
        <f>SUM(G15:G26)</f>
        <v>1175</v>
      </c>
      <c r="H27" s="37"/>
      <c r="I27" s="37"/>
      <c r="J27" s="37"/>
      <c r="K27" s="37"/>
      <c r="L27" s="37"/>
      <c r="M27" s="38">
        <f ca="1">IFERROR(SUM(M15:M26),"")</f>
        <v>0</v>
      </c>
      <c r="N27" s="36" t="s">
        <v>237</v>
      </c>
      <c r="O27" s="39">
        <v>1183060</v>
      </c>
    </row>
    <row r="28" spans="1:15" ht="18" customHeight="1">
      <c r="A28" s="122" t="s">
        <v>239</v>
      </c>
      <c r="B28" s="123"/>
      <c r="C28" s="123"/>
      <c r="D28" s="123"/>
      <c r="E28" s="124"/>
      <c r="F28" s="40">
        <f>F14+F27</f>
        <v>507</v>
      </c>
      <c r="G28" s="40">
        <f>G14+G27</f>
        <v>2535</v>
      </c>
      <c r="H28" s="41"/>
      <c r="I28" s="41"/>
      <c r="J28" s="41"/>
      <c r="K28" s="41"/>
      <c r="L28" s="41"/>
      <c r="M28" s="42">
        <f ca="1">IFERROR(M14+M27,"")</f>
        <v>0.12777777777777777</v>
      </c>
      <c r="N28" s="40" t="s">
        <v>240</v>
      </c>
      <c r="O28" s="43">
        <f>IFERROR(O14+O27,"")</f>
        <v>2672480</v>
      </c>
    </row>
    <row r="29" spans="1:15" ht="15" customHeight="1">
      <c r="A29" s="68">
        <v>46205</v>
      </c>
      <c r="B29" s="25">
        <v>0.33333333333333298</v>
      </c>
      <c r="C29" s="26" t="s">
        <v>21</v>
      </c>
      <c r="D29" s="59" t="s">
        <v>30</v>
      </c>
      <c r="E29" s="59" t="s">
        <v>234</v>
      </c>
      <c r="F29" s="27">
        <v>11</v>
      </c>
      <c r="G29" s="28">
        <f t="shared" ref="G29:G40" si="6">IF(F29="","",IF(E29="PC 17",F29*4.2,IF(E29="PC 19",F29*5,"")))</f>
        <v>55</v>
      </c>
      <c r="H29" s="33" t="s">
        <v>19</v>
      </c>
      <c r="I29" s="33" t="s">
        <v>31</v>
      </c>
      <c r="J29" s="33" t="s">
        <v>50</v>
      </c>
      <c r="K29" s="29">
        <v>0.32083333333333336</v>
      </c>
      <c r="L29" s="29">
        <v>0.36805555555555558</v>
      </c>
      <c r="M29" s="35">
        <f t="shared" ref="M29:M40" ca="1" si="7">IFERROR(IF(K29="","",IF(L29="",MOD(NOW()-K29,1),IF(L29&gt;=K29,L29-K29,L29+1-K29))),"")</f>
        <v>4.7222222222222221E-2</v>
      </c>
      <c r="N29" s="27"/>
      <c r="O29" s="31"/>
    </row>
    <row r="30" spans="1:15" ht="15" customHeight="1">
      <c r="A30" s="69">
        <v>46205</v>
      </c>
      <c r="B30" s="32">
        <f t="shared" ref="B30:B40" si="8">B29+TIME(0,60,0)</f>
        <v>0.37499999999999967</v>
      </c>
      <c r="C30" s="26" t="s">
        <v>21</v>
      </c>
      <c r="D30" s="59" t="s">
        <v>30</v>
      </c>
      <c r="E30" s="59" t="s">
        <v>234</v>
      </c>
      <c r="F30" s="27">
        <v>10</v>
      </c>
      <c r="G30" s="34">
        <f t="shared" si="6"/>
        <v>50</v>
      </c>
      <c r="H30" s="26" t="s">
        <v>18</v>
      </c>
      <c r="I30" s="26" t="s">
        <v>23</v>
      </c>
      <c r="J30" s="26" t="s">
        <v>184</v>
      </c>
      <c r="K30" s="29">
        <v>0.37916666666666665</v>
      </c>
      <c r="L30" s="29">
        <v>0.79166666666666663</v>
      </c>
      <c r="M30" s="30">
        <f t="shared" ca="1" si="7"/>
        <v>0.41249999999999998</v>
      </c>
      <c r="N30" s="27" t="s">
        <v>241</v>
      </c>
      <c r="O30" s="31"/>
    </row>
    <row r="31" spans="1:15" ht="15" customHeight="1">
      <c r="A31" s="68">
        <v>46205</v>
      </c>
      <c r="B31" s="25">
        <f t="shared" si="8"/>
        <v>0.41666666666666635</v>
      </c>
      <c r="C31" s="26" t="s">
        <v>21</v>
      </c>
      <c r="D31" s="59" t="s">
        <v>30</v>
      </c>
      <c r="E31" s="59" t="s">
        <v>234</v>
      </c>
      <c r="F31" s="27">
        <v>0</v>
      </c>
      <c r="G31" s="28">
        <f t="shared" si="6"/>
        <v>0</v>
      </c>
      <c r="H31" s="33"/>
      <c r="I31" s="33"/>
      <c r="J31" s="33"/>
      <c r="K31" s="29"/>
      <c r="L31" s="29"/>
      <c r="M31" s="35" t="str">
        <f t="shared" ca="1" si="7"/>
        <v/>
      </c>
      <c r="N31" s="27"/>
      <c r="O31" s="31"/>
    </row>
    <row r="32" spans="1:15" ht="15" customHeight="1">
      <c r="A32" s="69">
        <v>46205</v>
      </c>
      <c r="B32" s="32">
        <f t="shared" si="8"/>
        <v>0.45833333333333304</v>
      </c>
      <c r="C32" s="26" t="s">
        <v>21</v>
      </c>
      <c r="D32" s="59" t="s">
        <v>30</v>
      </c>
      <c r="E32" s="59" t="s">
        <v>234</v>
      </c>
      <c r="F32" s="27">
        <v>0</v>
      </c>
      <c r="G32" s="34">
        <f t="shared" si="6"/>
        <v>0</v>
      </c>
      <c r="H32" s="26"/>
      <c r="I32" s="26"/>
      <c r="J32" s="26"/>
      <c r="K32" s="29"/>
      <c r="L32" s="29"/>
      <c r="M32" s="30" t="str">
        <f t="shared" ca="1" si="7"/>
        <v/>
      </c>
      <c r="N32" s="27"/>
      <c r="O32" s="31"/>
    </row>
    <row r="33" spans="1:15" ht="15" customHeight="1">
      <c r="A33" s="68">
        <v>46205</v>
      </c>
      <c r="B33" s="25">
        <f t="shared" si="8"/>
        <v>0.49999999999999972</v>
      </c>
      <c r="C33" s="26" t="s">
        <v>21</v>
      </c>
      <c r="D33" s="59" t="s">
        <v>30</v>
      </c>
      <c r="E33" s="59" t="s">
        <v>234</v>
      </c>
      <c r="F33" s="27">
        <v>0</v>
      </c>
      <c r="G33" s="28">
        <f t="shared" si="6"/>
        <v>0</v>
      </c>
      <c r="H33" s="33"/>
      <c r="I33" s="33"/>
      <c r="J33" s="33"/>
      <c r="K33" s="29"/>
      <c r="L33" s="29"/>
      <c r="M33" s="35" t="str">
        <f t="shared" ca="1" si="7"/>
        <v/>
      </c>
      <c r="N33" s="27"/>
      <c r="O33" s="31"/>
    </row>
    <row r="34" spans="1:15" ht="15" customHeight="1">
      <c r="A34" s="69">
        <v>46205</v>
      </c>
      <c r="B34" s="32">
        <f t="shared" si="8"/>
        <v>0.54166666666666641</v>
      </c>
      <c r="C34" s="26" t="s">
        <v>21</v>
      </c>
      <c r="D34" s="59" t="s">
        <v>30</v>
      </c>
      <c r="E34" s="59" t="s">
        <v>234</v>
      </c>
      <c r="F34" s="27">
        <v>0</v>
      </c>
      <c r="G34" s="34">
        <f t="shared" si="6"/>
        <v>0</v>
      </c>
      <c r="H34" s="26"/>
      <c r="I34" s="26"/>
      <c r="J34" s="26"/>
      <c r="K34" s="29"/>
      <c r="L34" s="29"/>
      <c r="M34" s="30" t="str">
        <f t="shared" ca="1" si="7"/>
        <v/>
      </c>
      <c r="N34" s="27"/>
      <c r="O34" s="31"/>
    </row>
    <row r="35" spans="1:15" ht="15" customHeight="1">
      <c r="A35" s="68">
        <v>46205</v>
      </c>
      <c r="B35" s="25">
        <f t="shared" si="8"/>
        <v>0.58333333333333304</v>
      </c>
      <c r="C35" s="26" t="s">
        <v>21</v>
      </c>
      <c r="D35" s="59" t="s">
        <v>30</v>
      </c>
      <c r="E35" s="59" t="s">
        <v>234</v>
      </c>
      <c r="F35" s="27">
        <v>0</v>
      </c>
      <c r="G35" s="28">
        <f t="shared" si="6"/>
        <v>0</v>
      </c>
      <c r="H35" s="33"/>
      <c r="I35" s="33"/>
      <c r="J35" s="33"/>
      <c r="K35" s="29"/>
      <c r="L35" s="29"/>
      <c r="M35" s="35" t="str">
        <f t="shared" ca="1" si="7"/>
        <v/>
      </c>
      <c r="N35" s="27"/>
      <c r="O35" s="31"/>
    </row>
    <row r="36" spans="1:15" ht="15" customHeight="1">
      <c r="A36" s="69">
        <v>46205</v>
      </c>
      <c r="B36" s="32">
        <f t="shared" si="8"/>
        <v>0.62499999999999967</v>
      </c>
      <c r="C36" s="26" t="s">
        <v>21</v>
      </c>
      <c r="D36" s="59" t="s">
        <v>30</v>
      </c>
      <c r="E36" s="59" t="s">
        <v>234</v>
      </c>
      <c r="F36" s="27">
        <v>0</v>
      </c>
      <c r="G36" s="34">
        <f t="shared" si="6"/>
        <v>0</v>
      </c>
      <c r="H36" s="26"/>
      <c r="I36" s="26"/>
      <c r="J36" s="26"/>
      <c r="K36" s="29"/>
      <c r="L36" s="29"/>
      <c r="M36" s="30" t="str">
        <f t="shared" ca="1" si="7"/>
        <v/>
      </c>
      <c r="N36" s="27"/>
      <c r="O36" s="31"/>
    </row>
    <row r="37" spans="1:15" ht="15" customHeight="1">
      <c r="A37" s="68">
        <v>46205</v>
      </c>
      <c r="B37" s="25">
        <f t="shared" si="8"/>
        <v>0.6666666666666663</v>
      </c>
      <c r="C37" s="26" t="s">
        <v>21</v>
      </c>
      <c r="D37" s="59" t="s">
        <v>30</v>
      </c>
      <c r="E37" s="59" t="s">
        <v>234</v>
      </c>
      <c r="F37" s="27">
        <v>0</v>
      </c>
      <c r="G37" s="28">
        <f t="shared" si="6"/>
        <v>0</v>
      </c>
      <c r="H37" s="33"/>
      <c r="I37" s="33"/>
      <c r="J37" s="33"/>
      <c r="K37" s="29"/>
      <c r="L37" s="29"/>
      <c r="M37" s="35" t="str">
        <f t="shared" ca="1" si="7"/>
        <v/>
      </c>
      <c r="N37" s="27"/>
      <c r="O37" s="31"/>
    </row>
    <row r="38" spans="1:15" ht="15" customHeight="1">
      <c r="A38" s="69">
        <v>46205</v>
      </c>
      <c r="B38" s="32">
        <f t="shared" si="8"/>
        <v>0.70833333333333293</v>
      </c>
      <c r="C38" s="26" t="s">
        <v>21</v>
      </c>
      <c r="D38" s="59" t="s">
        <v>30</v>
      </c>
      <c r="E38" s="59" t="s">
        <v>234</v>
      </c>
      <c r="F38" s="27">
        <v>0</v>
      </c>
      <c r="G38" s="34">
        <f t="shared" si="6"/>
        <v>0</v>
      </c>
      <c r="H38" s="26"/>
      <c r="I38" s="26"/>
      <c r="J38" s="26"/>
      <c r="K38" s="29"/>
      <c r="L38" s="29"/>
      <c r="M38" s="30" t="str">
        <f t="shared" ca="1" si="7"/>
        <v/>
      </c>
      <c r="N38" s="27"/>
      <c r="O38" s="31"/>
    </row>
    <row r="39" spans="1:15" ht="15" customHeight="1">
      <c r="A39" s="68">
        <v>46205</v>
      </c>
      <c r="B39" s="25">
        <f t="shared" si="8"/>
        <v>0.74999999999999956</v>
      </c>
      <c r="C39" s="26" t="s">
        <v>21</v>
      </c>
      <c r="D39" s="59" t="s">
        <v>30</v>
      </c>
      <c r="E39" s="59" t="s">
        <v>234</v>
      </c>
      <c r="F39" s="27">
        <v>0</v>
      </c>
      <c r="G39" s="28">
        <f t="shared" si="6"/>
        <v>0</v>
      </c>
      <c r="H39" s="33"/>
      <c r="I39" s="33"/>
      <c r="J39" s="33"/>
      <c r="K39" s="29"/>
      <c r="L39" s="29"/>
      <c r="M39" s="35" t="str">
        <f t="shared" ca="1" si="7"/>
        <v/>
      </c>
      <c r="N39" s="27"/>
      <c r="O39" s="31"/>
    </row>
    <row r="40" spans="1:15" ht="15" customHeight="1">
      <c r="A40" s="69">
        <v>46205</v>
      </c>
      <c r="B40" s="32">
        <f t="shared" si="8"/>
        <v>0.79166666666666619</v>
      </c>
      <c r="C40" s="26" t="s">
        <v>21</v>
      </c>
      <c r="D40" s="59" t="s">
        <v>30</v>
      </c>
      <c r="E40" s="59" t="s">
        <v>234</v>
      </c>
      <c r="F40" s="27">
        <v>0</v>
      </c>
      <c r="G40" s="34">
        <f t="shared" si="6"/>
        <v>0</v>
      </c>
      <c r="H40" s="26"/>
      <c r="I40" s="26"/>
      <c r="J40" s="26"/>
      <c r="K40" s="29"/>
      <c r="L40" s="29"/>
      <c r="M40" s="30" t="str">
        <f t="shared" ca="1" si="7"/>
        <v/>
      </c>
      <c r="N40" s="27"/>
      <c r="O40" s="31"/>
    </row>
    <row r="41" spans="1:15" ht="15.75" customHeight="1">
      <c r="A41" s="119" t="s">
        <v>236</v>
      </c>
      <c r="B41" s="120"/>
      <c r="C41" s="120"/>
      <c r="D41" s="120"/>
      <c r="E41" s="121">
        <f>SUM(E29:E40)</f>
        <v>0</v>
      </c>
      <c r="F41" s="36">
        <f>SUM(F29:F40)</f>
        <v>21</v>
      </c>
      <c r="G41" s="36">
        <f>SUM(G29:G40)</f>
        <v>105</v>
      </c>
      <c r="H41" s="37"/>
      <c r="I41" s="37"/>
      <c r="J41" s="37"/>
      <c r="K41" s="37"/>
      <c r="L41" s="37"/>
      <c r="M41" s="38">
        <f ca="1">IFERROR(SUM(M29:M40),"")</f>
        <v>0.4597222222222222</v>
      </c>
      <c r="N41" s="36" t="s">
        <v>237</v>
      </c>
      <c r="O41" s="39">
        <v>108620</v>
      </c>
    </row>
    <row r="42" spans="1:15" ht="15" customHeight="1">
      <c r="A42" s="69">
        <v>46205</v>
      </c>
      <c r="B42" s="32">
        <v>0.83333333333333304</v>
      </c>
      <c r="C42" s="33" t="s">
        <v>45</v>
      </c>
      <c r="D42" s="62" t="s">
        <v>30</v>
      </c>
      <c r="E42" s="62" t="s">
        <v>234</v>
      </c>
      <c r="F42" s="27">
        <v>0</v>
      </c>
      <c r="G42" s="34">
        <f t="shared" ref="G42:G53" si="9">IF(F42="","",IF(E42="PC 17",F42*4.2,IF(E42="PC 19",F42*5,"")))</f>
        <v>0</v>
      </c>
      <c r="H42" s="26"/>
      <c r="I42" s="26"/>
      <c r="J42" s="26"/>
      <c r="K42" s="29">
        <v>0.79166666666666663</v>
      </c>
      <c r="L42" s="29">
        <v>0.875</v>
      </c>
      <c r="M42" s="30">
        <f t="shared" ref="M42:M53" ca="1" si="10">IFERROR(IF(K42="","",IF(L42="",MOD(NOW()-K42,1),IF(L42&gt;=K42,L42-K42,L42+1-K42))),"")</f>
        <v>8.333333333333337E-2</v>
      </c>
      <c r="N42" s="27"/>
      <c r="O42" s="31"/>
    </row>
    <row r="43" spans="1:15" ht="15" customHeight="1">
      <c r="A43" s="68">
        <v>46205</v>
      </c>
      <c r="B43" s="25">
        <f t="shared" ref="B43:B53" si="11">B42+TIME(0,60,0)</f>
        <v>0.87499999999999967</v>
      </c>
      <c r="C43" s="33" t="s">
        <v>45</v>
      </c>
      <c r="D43" s="62" t="s">
        <v>30</v>
      </c>
      <c r="E43" s="62" t="s">
        <v>234</v>
      </c>
      <c r="F43" s="27">
        <v>0</v>
      </c>
      <c r="G43" s="28">
        <f t="shared" si="9"/>
        <v>0</v>
      </c>
      <c r="H43" s="33" t="s">
        <v>20</v>
      </c>
      <c r="I43" s="33" t="s">
        <v>23</v>
      </c>
      <c r="J43" s="33" t="s">
        <v>28</v>
      </c>
      <c r="K43" s="29">
        <v>3.125E-2</v>
      </c>
      <c r="L43" s="29">
        <v>5.4166666666666669E-2</v>
      </c>
      <c r="M43" s="35">
        <f t="shared" ca="1" si="10"/>
        <v>2.2916666666666669E-2</v>
      </c>
      <c r="N43" s="27"/>
      <c r="O43" s="31"/>
    </row>
    <row r="44" spans="1:15" ht="15" customHeight="1">
      <c r="A44" s="69">
        <v>46205</v>
      </c>
      <c r="B44" s="32">
        <f t="shared" si="11"/>
        <v>0.9166666666666663</v>
      </c>
      <c r="C44" s="33" t="s">
        <v>45</v>
      </c>
      <c r="D44" s="62" t="s">
        <v>30</v>
      </c>
      <c r="E44" s="62" t="s">
        <v>234</v>
      </c>
      <c r="F44" s="27">
        <v>13</v>
      </c>
      <c r="G44" s="34">
        <f t="shared" si="9"/>
        <v>65</v>
      </c>
      <c r="H44" s="26"/>
      <c r="I44" s="26"/>
      <c r="J44" s="26"/>
      <c r="K44" s="29"/>
      <c r="L44" s="29"/>
      <c r="M44" s="30" t="str">
        <f t="shared" ca="1" si="10"/>
        <v/>
      </c>
      <c r="N44" s="27"/>
      <c r="O44" s="31"/>
    </row>
    <row r="45" spans="1:15" ht="15" customHeight="1">
      <c r="A45" s="68">
        <v>46205</v>
      </c>
      <c r="B45" s="25">
        <f t="shared" si="11"/>
        <v>0.95833333333333293</v>
      </c>
      <c r="C45" s="33" t="s">
        <v>45</v>
      </c>
      <c r="D45" s="62" t="s">
        <v>30</v>
      </c>
      <c r="E45" s="62" t="s">
        <v>234</v>
      </c>
      <c r="F45" s="27">
        <v>25</v>
      </c>
      <c r="G45" s="28">
        <f t="shared" si="9"/>
        <v>125</v>
      </c>
      <c r="H45" s="33"/>
      <c r="I45" s="33"/>
      <c r="J45" s="33"/>
      <c r="K45" s="29"/>
      <c r="L45" s="29"/>
      <c r="M45" s="35" t="str">
        <f t="shared" ca="1" si="10"/>
        <v/>
      </c>
      <c r="N45" s="27"/>
      <c r="O45" s="31"/>
    </row>
    <row r="46" spans="1:15" ht="15" customHeight="1">
      <c r="A46" s="69">
        <v>46205</v>
      </c>
      <c r="B46" s="32">
        <f t="shared" si="11"/>
        <v>0.99999999999999956</v>
      </c>
      <c r="C46" s="33" t="s">
        <v>45</v>
      </c>
      <c r="D46" s="62" t="s">
        <v>30</v>
      </c>
      <c r="E46" s="62" t="s">
        <v>234</v>
      </c>
      <c r="F46" s="27">
        <v>33</v>
      </c>
      <c r="G46" s="34">
        <f t="shared" si="9"/>
        <v>165</v>
      </c>
      <c r="H46" s="26"/>
      <c r="I46" s="26"/>
      <c r="J46" s="26"/>
      <c r="K46" s="29"/>
      <c r="L46" s="29"/>
      <c r="M46" s="30" t="str">
        <f t="shared" ca="1" si="10"/>
        <v/>
      </c>
      <c r="N46" s="27"/>
      <c r="O46" s="31"/>
    </row>
    <row r="47" spans="1:15" ht="15" customHeight="1">
      <c r="A47" s="68">
        <v>46205</v>
      </c>
      <c r="B47" s="25">
        <f t="shared" si="11"/>
        <v>1.0416666666666663</v>
      </c>
      <c r="C47" s="33" t="s">
        <v>45</v>
      </c>
      <c r="D47" s="62" t="s">
        <v>30</v>
      </c>
      <c r="E47" s="62" t="s">
        <v>234</v>
      </c>
      <c r="F47" s="27">
        <v>16</v>
      </c>
      <c r="G47" s="28">
        <f t="shared" si="9"/>
        <v>80</v>
      </c>
      <c r="H47" s="33"/>
      <c r="I47" s="33"/>
      <c r="J47" s="33"/>
      <c r="K47" s="29"/>
      <c r="L47" s="29"/>
      <c r="M47" s="35" t="str">
        <f t="shared" ca="1" si="10"/>
        <v/>
      </c>
      <c r="N47" s="27"/>
      <c r="O47" s="31"/>
    </row>
    <row r="48" spans="1:15" ht="15" customHeight="1">
      <c r="A48" s="69">
        <v>46205</v>
      </c>
      <c r="B48" s="32">
        <f t="shared" si="11"/>
        <v>1.083333333333333</v>
      </c>
      <c r="C48" s="33" t="s">
        <v>45</v>
      </c>
      <c r="D48" s="62" t="s">
        <v>30</v>
      </c>
      <c r="E48" s="62" t="s">
        <v>234</v>
      </c>
      <c r="F48" s="27">
        <v>10</v>
      </c>
      <c r="G48" s="34">
        <f t="shared" si="9"/>
        <v>50</v>
      </c>
      <c r="H48" s="26"/>
      <c r="I48" s="26"/>
      <c r="J48" s="26"/>
      <c r="K48" s="29"/>
      <c r="L48" s="29"/>
      <c r="M48" s="30" t="str">
        <f t="shared" ca="1" si="10"/>
        <v/>
      </c>
      <c r="N48" s="27"/>
      <c r="O48" s="31"/>
    </row>
    <row r="49" spans="1:15" ht="15" customHeight="1">
      <c r="A49" s="68">
        <v>46205</v>
      </c>
      <c r="B49" s="25">
        <f t="shared" si="11"/>
        <v>1.1249999999999998</v>
      </c>
      <c r="C49" s="33" t="s">
        <v>45</v>
      </c>
      <c r="D49" s="62" t="s">
        <v>30</v>
      </c>
      <c r="E49" s="62" t="s">
        <v>234</v>
      </c>
      <c r="F49" s="27">
        <v>0</v>
      </c>
      <c r="G49" s="28">
        <f t="shared" si="9"/>
        <v>0</v>
      </c>
      <c r="H49" s="33"/>
      <c r="I49" s="33"/>
      <c r="J49" s="33"/>
      <c r="K49" s="29"/>
      <c r="L49" s="29"/>
      <c r="M49" s="35" t="str">
        <f t="shared" ca="1" si="10"/>
        <v/>
      </c>
      <c r="N49" s="27"/>
      <c r="O49" s="31"/>
    </row>
    <row r="50" spans="1:15" ht="15" customHeight="1">
      <c r="A50" s="69">
        <v>46205</v>
      </c>
      <c r="B50" s="32">
        <f t="shared" si="11"/>
        <v>1.1666666666666665</v>
      </c>
      <c r="C50" s="33" t="s">
        <v>45</v>
      </c>
      <c r="D50" s="62" t="s">
        <v>30</v>
      </c>
      <c r="E50" s="62" t="s">
        <v>234</v>
      </c>
      <c r="F50" s="27">
        <v>29</v>
      </c>
      <c r="G50" s="34">
        <f t="shared" si="9"/>
        <v>145</v>
      </c>
      <c r="H50" s="26"/>
      <c r="I50" s="26"/>
      <c r="J50" s="26"/>
      <c r="K50" s="29"/>
      <c r="L50" s="29"/>
      <c r="M50" s="30" t="str">
        <f t="shared" ca="1" si="10"/>
        <v/>
      </c>
      <c r="N50" s="27"/>
      <c r="O50" s="31"/>
    </row>
    <row r="51" spans="1:15" ht="15" customHeight="1">
      <c r="A51" s="68">
        <v>46205</v>
      </c>
      <c r="B51" s="25">
        <f t="shared" si="11"/>
        <v>1.2083333333333333</v>
      </c>
      <c r="C51" s="33" t="s">
        <v>45</v>
      </c>
      <c r="D51" s="62" t="s">
        <v>30</v>
      </c>
      <c r="E51" s="62" t="s">
        <v>234</v>
      </c>
      <c r="F51" s="27">
        <v>30</v>
      </c>
      <c r="G51" s="28">
        <f t="shared" si="9"/>
        <v>150</v>
      </c>
      <c r="H51" s="33"/>
      <c r="I51" s="33"/>
      <c r="J51" s="33"/>
      <c r="K51" s="29"/>
      <c r="L51" s="29"/>
      <c r="M51" s="35" t="str">
        <f t="shared" ca="1" si="10"/>
        <v/>
      </c>
      <c r="N51" s="27"/>
      <c r="O51" s="31"/>
    </row>
    <row r="52" spans="1:15" ht="15" customHeight="1">
      <c r="A52" s="69">
        <v>46205</v>
      </c>
      <c r="B52" s="32">
        <f t="shared" si="11"/>
        <v>1.25</v>
      </c>
      <c r="C52" s="33" t="s">
        <v>45</v>
      </c>
      <c r="D52" s="62" t="s">
        <v>30</v>
      </c>
      <c r="E52" s="62" t="s">
        <v>234</v>
      </c>
      <c r="F52" s="27">
        <v>35</v>
      </c>
      <c r="G52" s="34">
        <f t="shared" si="9"/>
        <v>175</v>
      </c>
      <c r="H52" s="26"/>
      <c r="I52" s="26"/>
      <c r="J52" s="26"/>
      <c r="K52" s="29"/>
      <c r="L52" s="29"/>
      <c r="M52" s="30" t="str">
        <f t="shared" ca="1" si="10"/>
        <v/>
      </c>
      <c r="N52" s="27"/>
      <c r="O52" s="31"/>
    </row>
    <row r="53" spans="1:15" ht="15" customHeight="1">
      <c r="A53" s="68">
        <v>46205</v>
      </c>
      <c r="B53" s="25">
        <f t="shared" si="11"/>
        <v>1.2916666666666667</v>
      </c>
      <c r="C53" s="33" t="s">
        <v>45</v>
      </c>
      <c r="D53" s="62" t="s">
        <v>30</v>
      </c>
      <c r="E53" s="62" t="s">
        <v>234</v>
      </c>
      <c r="F53" s="27">
        <v>12</v>
      </c>
      <c r="G53" s="28">
        <f t="shared" si="9"/>
        <v>60</v>
      </c>
      <c r="H53" s="33"/>
      <c r="I53" s="33"/>
      <c r="J53" s="33"/>
      <c r="K53" s="29"/>
      <c r="L53" s="29"/>
      <c r="M53" s="35" t="str">
        <f t="shared" ca="1" si="10"/>
        <v/>
      </c>
      <c r="N53" s="27"/>
      <c r="O53" s="31"/>
    </row>
    <row r="54" spans="1:15" ht="15.75" customHeight="1">
      <c r="A54" s="119" t="s">
        <v>238</v>
      </c>
      <c r="B54" s="120"/>
      <c r="C54" s="120"/>
      <c r="D54" s="120"/>
      <c r="E54" s="121">
        <f>SUM(E42:E53)</f>
        <v>0</v>
      </c>
      <c r="F54" s="36">
        <f>SUM(F42:F53)</f>
        <v>203</v>
      </c>
      <c r="G54" s="36">
        <f>SUM(G42:G53)</f>
        <v>1015</v>
      </c>
      <c r="H54" s="37"/>
      <c r="I54" s="37"/>
      <c r="J54" s="37"/>
      <c r="K54" s="37"/>
      <c r="L54" s="37"/>
      <c r="M54" s="38">
        <f ca="1">IFERROR(SUM(M42:M53),"")</f>
        <v>0.10625000000000004</v>
      </c>
      <c r="N54" s="36" t="s">
        <v>237</v>
      </c>
      <c r="O54" s="39">
        <v>959290</v>
      </c>
    </row>
    <row r="55" spans="1:15" ht="18" customHeight="1">
      <c r="A55" s="122" t="s">
        <v>239</v>
      </c>
      <c r="B55" s="123"/>
      <c r="C55" s="123"/>
      <c r="D55" s="123"/>
      <c r="E55" s="124">
        <f>E41+E54</f>
        <v>0</v>
      </c>
      <c r="F55" s="40">
        <f>F41+F54</f>
        <v>224</v>
      </c>
      <c r="G55" s="40">
        <f>G41+G54</f>
        <v>1120</v>
      </c>
      <c r="H55" s="41"/>
      <c r="I55" s="41"/>
      <c r="J55" s="41"/>
      <c r="K55" s="41"/>
      <c r="L55" s="41"/>
      <c r="M55" s="42">
        <f ca="1">IFERROR(M41+M54,"")</f>
        <v>0.56597222222222221</v>
      </c>
      <c r="N55" s="40" t="s">
        <v>240</v>
      </c>
      <c r="O55" s="43">
        <f>IFERROR(O41+O54,"")</f>
        <v>1067910</v>
      </c>
    </row>
    <row r="56" spans="1:15" ht="15" customHeight="1">
      <c r="A56" s="68">
        <v>46206</v>
      </c>
      <c r="B56" s="25">
        <v>0.33333333333333298</v>
      </c>
      <c r="C56" s="26" t="s">
        <v>29</v>
      </c>
      <c r="D56" s="59" t="s">
        <v>30</v>
      </c>
      <c r="E56" s="59" t="s">
        <v>234</v>
      </c>
      <c r="F56" s="27">
        <v>12</v>
      </c>
      <c r="G56" s="28">
        <f t="shared" ref="G56:G67" si="12">IF(F56="","",IF(E56="PC 17",F56*4.2,IF(E56="PC 19",F56*5,"")))</f>
        <v>60</v>
      </c>
      <c r="H56" s="26"/>
      <c r="I56" s="26"/>
      <c r="J56" s="26"/>
      <c r="K56" s="29"/>
      <c r="L56" s="29"/>
      <c r="M56" s="30" t="str">
        <f t="shared" ref="M56:M67" ca="1" si="13">IFERROR(IF(K56="","",IF(L56="",MOD(NOW()-K56,1),IF(L56&gt;=K56,L56-K56,L56+1-K56))),"")</f>
        <v/>
      </c>
      <c r="N56" s="27"/>
      <c r="O56" s="31"/>
    </row>
    <row r="57" spans="1:15" ht="15" customHeight="1">
      <c r="A57" s="69">
        <v>46206</v>
      </c>
      <c r="B57" s="32">
        <f t="shared" ref="B57:B67" si="14">B56+TIME(0,60,0)</f>
        <v>0.37499999999999967</v>
      </c>
      <c r="C57" s="26" t="s">
        <v>29</v>
      </c>
      <c r="D57" s="59" t="s">
        <v>30</v>
      </c>
      <c r="E57" s="59" t="s">
        <v>234</v>
      </c>
      <c r="F57" s="27">
        <v>45</v>
      </c>
      <c r="G57" s="34">
        <f t="shared" si="12"/>
        <v>225</v>
      </c>
      <c r="H57" s="33"/>
      <c r="I57" s="33"/>
      <c r="J57" s="33"/>
      <c r="K57" s="29"/>
      <c r="L57" s="29"/>
      <c r="M57" s="35" t="str">
        <f t="shared" ca="1" si="13"/>
        <v/>
      </c>
      <c r="N57" s="27"/>
      <c r="O57" s="31"/>
    </row>
    <row r="58" spans="1:15" ht="15" customHeight="1">
      <c r="A58" s="68">
        <v>46206</v>
      </c>
      <c r="B58" s="25">
        <f t="shared" si="14"/>
        <v>0.41666666666666635</v>
      </c>
      <c r="C58" s="26" t="s">
        <v>29</v>
      </c>
      <c r="D58" s="59" t="s">
        <v>30</v>
      </c>
      <c r="E58" s="59" t="s">
        <v>234</v>
      </c>
      <c r="F58" s="27">
        <v>40</v>
      </c>
      <c r="G58" s="28">
        <f t="shared" si="12"/>
        <v>200</v>
      </c>
      <c r="H58" s="26"/>
      <c r="I58" s="26"/>
      <c r="J58" s="26"/>
      <c r="K58" s="29"/>
      <c r="L58" s="29"/>
      <c r="M58" s="30" t="str">
        <f t="shared" ca="1" si="13"/>
        <v/>
      </c>
      <c r="N58" s="27"/>
      <c r="O58" s="31"/>
    </row>
    <row r="59" spans="1:15" ht="15" customHeight="1">
      <c r="A59" s="69">
        <v>46206</v>
      </c>
      <c r="B59" s="32">
        <f t="shared" si="14"/>
        <v>0.45833333333333304</v>
      </c>
      <c r="C59" s="26" t="s">
        <v>29</v>
      </c>
      <c r="D59" s="59" t="s">
        <v>30</v>
      </c>
      <c r="E59" s="59" t="s">
        <v>234</v>
      </c>
      <c r="F59" s="27">
        <v>30</v>
      </c>
      <c r="G59" s="34">
        <f t="shared" si="12"/>
        <v>150</v>
      </c>
      <c r="H59" s="33"/>
      <c r="I59" s="33"/>
      <c r="J59" s="33"/>
      <c r="K59" s="29"/>
      <c r="L59" s="29"/>
      <c r="M59" s="35" t="str">
        <f t="shared" ca="1" si="13"/>
        <v/>
      </c>
      <c r="N59" s="27"/>
      <c r="O59" s="31"/>
    </row>
    <row r="60" spans="1:15" ht="15" customHeight="1">
      <c r="A60" s="68">
        <v>46206</v>
      </c>
      <c r="B60" s="25">
        <f t="shared" si="14"/>
        <v>0.49999999999999972</v>
      </c>
      <c r="C60" s="26" t="s">
        <v>29</v>
      </c>
      <c r="D60" s="59" t="s">
        <v>30</v>
      </c>
      <c r="E60" s="59" t="s">
        <v>234</v>
      </c>
      <c r="F60" s="27">
        <v>30</v>
      </c>
      <c r="G60" s="28">
        <f t="shared" si="12"/>
        <v>150</v>
      </c>
      <c r="H60" s="26"/>
      <c r="I60" s="26"/>
      <c r="J60" s="26"/>
      <c r="K60" s="29"/>
      <c r="L60" s="29"/>
      <c r="M60" s="30" t="str">
        <f t="shared" ca="1" si="13"/>
        <v/>
      </c>
      <c r="N60" s="27"/>
      <c r="O60" s="31"/>
    </row>
    <row r="61" spans="1:15" ht="15" customHeight="1">
      <c r="A61" s="69">
        <v>46206</v>
      </c>
      <c r="B61" s="32">
        <f t="shared" si="14"/>
        <v>0.54166666666666641</v>
      </c>
      <c r="C61" s="26" t="s">
        <v>29</v>
      </c>
      <c r="D61" s="59" t="s">
        <v>30</v>
      </c>
      <c r="E61" s="59" t="s">
        <v>234</v>
      </c>
      <c r="F61" s="27">
        <v>28</v>
      </c>
      <c r="G61" s="34">
        <f t="shared" si="12"/>
        <v>140</v>
      </c>
      <c r="H61" s="33"/>
      <c r="I61" s="33"/>
      <c r="J61" s="33"/>
      <c r="K61" s="29"/>
      <c r="L61" s="29"/>
      <c r="M61" s="35" t="str">
        <f t="shared" ca="1" si="13"/>
        <v/>
      </c>
      <c r="N61" s="27"/>
      <c r="O61" s="31"/>
    </row>
    <row r="62" spans="1:15" ht="15" customHeight="1">
      <c r="A62" s="68">
        <v>46206</v>
      </c>
      <c r="B62" s="25">
        <f t="shared" si="14"/>
        <v>0.58333333333333304</v>
      </c>
      <c r="C62" s="26" t="s">
        <v>29</v>
      </c>
      <c r="D62" s="59" t="s">
        <v>30</v>
      </c>
      <c r="E62" s="59" t="s">
        <v>234</v>
      </c>
      <c r="F62" s="27">
        <v>32</v>
      </c>
      <c r="G62" s="28">
        <f t="shared" si="12"/>
        <v>160</v>
      </c>
      <c r="H62" s="26"/>
      <c r="I62" s="26"/>
      <c r="J62" s="26"/>
      <c r="K62" s="29"/>
      <c r="L62" s="29"/>
      <c r="M62" s="30" t="str">
        <f t="shared" ca="1" si="13"/>
        <v/>
      </c>
      <c r="N62" s="27"/>
      <c r="O62" s="31"/>
    </row>
    <row r="63" spans="1:15" ht="15" customHeight="1">
      <c r="A63" s="69">
        <v>46206</v>
      </c>
      <c r="B63" s="32">
        <f t="shared" si="14"/>
        <v>0.62499999999999967</v>
      </c>
      <c r="C63" s="26" t="s">
        <v>29</v>
      </c>
      <c r="D63" s="59" t="s">
        <v>30</v>
      </c>
      <c r="E63" s="59" t="s">
        <v>234</v>
      </c>
      <c r="F63" s="27">
        <v>35</v>
      </c>
      <c r="G63" s="34">
        <f t="shared" si="12"/>
        <v>175</v>
      </c>
      <c r="H63" s="33"/>
      <c r="I63" s="33"/>
      <c r="J63" s="33"/>
      <c r="K63" s="29"/>
      <c r="L63" s="29"/>
      <c r="M63" s="35" t="str">
        <f t="shared" ca="1" si="13"/>
        <v/>
      </c>
      <c r="N63" s="27"/>
      <c r="O63" s="31"/>
    </row>
    <row r="64" spans="1:15" ht="15" customHeight="1">
      <c r="A64" s="68">
        <v>46206</v>
      </c>
      <c r="B64" s="25">
        <f t="shared" si="14"/>
        <v>0.6666666666666663</v>
      </c>
      <c r="C64" s="26" t="s">
        <v>29</v>
      </c>
      <c r="D64" s="59" t="s">
        <v>30</v>
      </c>
      <c r="E64" s="59" t="s">
        <v>234</v>
      </c>
      <c r="F64" s="27">
        <v>35</v>
      </c>
      <c r="G64" s="28">
        <f t="shared" si="12"/>
        <v>175</v>
      </c>
      <c r="H64" s="26"/>
      <c r="I64" s="26"/>
      <c r="J64" s="26"/>
      <c r="K64" s="29"/>
      <c r="L64" s="29"/>
      <c r="M64" s="30" t="str">
        <f t="shared" ca="1" si="13"/>
        <v/>
      </c>
      <c r="N64" s="27"/>
      <c r="O64" s="31"/>
    </row>
    <row r="65" spans="1:15" ht="15" customHeight="1">
      <c r="A65" s="69">
        <v>46206</v>
      </c>
      <c r="B65" s="32">
        <f t="shared" si="14"/>
        <v>0.70833333333333293</v>
      </c>
      <c r="C65" s="26" t="s">
        <v>29</v>
      </c>
      <c r="D65" s="59" t="s">
        <v>30</v>
      </c>
      <c r="E65" s="59" t="s">
        <v>234</v>
      </c>
      <c r="F65" s="27">
        <v>35</v>
      </c>
      <c r="G65" s="34">
        <f t="shared" si="12"/>
        <v>175</v>
      </c>
      <c r="H65" s="33"/>
      <c r="I65" s="33"/>
      <c r="J65" s="33"/>
      <c r="K65" s="29"/>
      <c r="L65" s="29"/>
      <c r="M65" s="35" t="str">
        <f t="shared" ca="1" si="13"/>
        <v/>
      </c>
      <c r="N65" s="27"/>
      <c r="O65" s="31"/>
    </row>
    <row r="66" spans="1:15" ht="15" customHeight="1">
      <c r="A66" s="68">
        <v>46206</v>
      </c>
      <c r="B66" s="25">
        <f t="shared" si="14"/>
        <v>0.74999999999999956</v>
      </c>
      <c r="C66" s="26" t="s">
        <v>29</v>
      </c>
      <c r="D66" s="59" t="s">
        <v>30</v>
      </c>
      <c r="E66" s="59" t="s">
        <v>234</v>
      </c>
      <c r="F66" s="27">
        <v>30</v>
      </c>
      <c r="G66" s="28">
        <f t="shared" si="12"/>
        <v>150</v>
      </c>
      <c r="H66" s="26"/>
      <c r="I66" s="26"/>
      <c r="J66" s="26"/>
      <c r="K66" s="29"/>
      <c r="L66" s="29"/>
      <c r="M66" s="30" t="str">
        <f t="shared" ca="1" si="13"/>
        <v/>
      </c>
      <c r="N66" s="27"/>
      <c r="O66" s="31"/>
    </row>
    <row r="67" spans="1:15" ht="15" customHeight="1">
      <c r="A67" s="69">
        <v>46206</v>
      </c>
      <c r="B67" s="32">
        <f t="shared" si="14"/>
        <v>0.79166666666666619</v>
      </c>
      <c r="C67" s="26" t="s">
        <v>29</v>
      </c>
      <c r="D67" s="59" t="s">
        <v>30</v>
      </c>
      <c r="E67" s="59" t="s">
        <v>234</v>
      </c>
      <c r="F67" s="27">
        <v>17</v>
      </c>
      <c r="G67" s="34">
        <f t="shared" si="12"/>
        <v>85</v>
      </c>
      <c r="H67" s="33"/>
      <c r="I67" s="33"/>
      <c r="J67" s="33"/>
      <c r="K67" s="29"/>
      <c r="L67" s="29"/>
      <c r="M67" s="35" t="str">
        <f t="shared" ca="1" si="13"/>
        <v/>
      </c>
      <c r="N67" s="27"/>
      <c r="O67" s="31"/>
    </row>
    <row r="68" spans="1:15" ht="15.75" customHeight="1">
      <c r="A68" s="119" t="s">
        <v>236</v>
      </c>
      <c r="B68" s="120"/>
      <c r="C68" s="120"/>
      <c r="D68" s="120"/>
      <c r="E68" s="121">
        <f>SUM(E56:E67)</f>
        <v>0</v>
      </c>
      <c r="F68" s="36">
        <f>SUM(F56:F67)</f>
        <v>369</v>
      </c>
      <c r="G68" s="36">
        <f>SUM(G56:G67)</f>
        <v>1845</v>
      </c>
      <c r="H68" s="37"/>
      <c r="I68" s="37"/>
      <c r="J68" s="37"/>
      <c r="K68" s="37"/>
      <c r="L68" s="37"/>
      <c r="M68" s="38">
        <f ca="1">IFERROR(SUM(M56:M67),"")</f>
        <v>0</v>
      </c>
      <c r="N68" s="36" t="s">
        <v>237</v>
      </c>
      <c r="O68" s="39">
        <v>1953130</v>
      </c>
    </row>
    <row r="69" spans="1:15" ht="15" customHeight="1">
      <c r="A69" s="69">
        <v>46206</v>
      </c>
      <c r="B69" s="32">
        <v>0.83333333333333304</v>
      </c>
      <c r="C69" s="33" t="s">
        <v>21</v>
      </c>
      <c r="D69" s="62" t="s">
        <v>30</v>
      </c>
      <c r="E69" s="62" t="s">
        <v>234</v>
      </c>
      <c r="F69" s="27">
        <v>30</v>
      </c>
      <c r="G69" s="34">
        <f t="shared" ref="G69:G80" si="15">IF(F69="","",IF(E69="PC 17",F69*4.2,IF(E69="PC 19",F69*5,"")))</f>
        <v>150</v>
      </c>
      <c r="H69" s="33" t="s">
        <v>20</v>
      </c>
      <c r="I69" s="33" t="s">
        <v>23</v>
      </c>
      <c r="J69" s="33" t="s">
        <v>181</v>
      </c>
      <c r="K69" s="29">
        <v>0.98611111111111116</v>
      </c>
      <c r="L69" s="29">
        <v>1.9444444444444445E-2</v>
      </c>
      <c r="M69" s="35">
        <f t="shared" ref="M69:M80" ca="1" si="16">IFERROR(IF(K69="","",IF(L69="",MOD(NOW()-K69,1),IF(L69&gt;=K69,L69-K69,L69+1-K69))),"")</f>
        <v>3.3333333333333215E-2</v>
      </c>
      <c r="N69" s="27"/>
      <c r="O69" s="31"/>
    </row>
    <row r="70" spans="1:15" ht="15" customHeight="1">
      <c r="A70" s="68">
        <v>46206</v>
      </c>
      <c r="B70" s="25">
        <f t="shared" ref="B70:B80" si="17">B69+TIME(0,60,0)</f>
        <v>0.87499999999999967</v>
      </c>
      <c r="C70" s="33" t="s">
        <v>21</v>
      </c>
      <c r="D70" s="62" t="s">
        <v>30</v>
      </c>
      <c r="E70" s="62" t="s">
        <v>234</v>
      </c>
      <c r="F70" s="27">
        <v>12</v>
      </c>
      <c r="G70" s="28">
        <f t="shared" si="15"/>
        <v>60</v>
      </c>
      <c r="H70" s="26" t="s">
        <v>20</v>
      </c>
      <c r="I70" s="26" t="s">
        <v>23</v>
      </c>
      <c r="J70" s="26" t="s">
        <v>132</v>
      </c>
      <c r="K70" s="29">
        <v>0.1388888888888889</v>
      </c>
      <c r="L70" s="29">
        <v>0.22222222222222221</v>
      </c>
      <c r="M70" s="30">
        <f t="shared" ca="1" si="16"/>
        <v>8.3333333333333315E-2</v>
      </c>
      <c r="N70" s="27" t="s">
        <v>242</v>
      </c>
      <c r="O70" s="31"/>
    </row>
    <row r="71" spans="1:15" ht="15" customHeight="1">
      <c r="A71" s="69">
        <v>46206</v>
      </c>
      <c r="B71" s="32">
        <f t="shared" si="17"/>
        <v>0.9166666666666663</v>
      </c>
      <c r="C71" s="33" t="s">
        <v>21</v>
      </c>
      <c r="D71" s="62" t="s">
        <v>30</v>
      </c>
      <c r="E71" s="62" t="s">
        <v>234</v>
      </c>
      <c r="F71" s="27">
        <v>13</v>
      </c>
      <c r="G71" s="34">
        <f t="shared" si="15"/>
        <v>65</v>
      </c>
      <c r="H71" s="33"/>
      <c r="I71" s="33"/>
      <c r="J71" s="33"/>
      <c r="K71" s="29"/>
      <c r="L71" s="29"/>
      <c r="M71" s="35" t="str">
        <f t="shared" ca="1" si="16"/>
        <v/>
      </c>
      <c r="N71" s="27"/>
      <c r="O71" s="31"/>
    </row>
    <row r="72" spans="1:15" ht="15" customHeight="1">
      <c r="A72" s="68">
        <v>46206</v>
      </c>
      <c r="B72" s="25">
        <f t="shared" si="17"/>
        <v>0.95833333333333293</v>
      </c>
      <c r="C72" s="33" t="s">
        <v>21</v>
      </c>
      <c r="D72" s="62" t="s">
        <v>30</v>
      </c>
      <c r="E72" s="62" t="s">
        <v>234</v>
      </c>
      <c r="F72" s="27">
        <v>23</v>
      </c>
      <c r="G72" s="28">
        <f t="shared" si="15"/>
        <v>115</v>
      </c>
      <c r="H72" s="26"/>
      <c r="I72" s="26"/>
      <c r="J72" s="26"/>
      <c r="K72" s="29"/>
      <c r="L72" s="29"/>
      <c r="M72" s="30" t="str">
        <f t="shared" ca="1" si="16"/>
        <v/>
      </c>
      <c r="N72" s="27"/>
      <c r="O72" s="31"/>
    </row>
    <row r="73" spans="1:15" ht="15" customHeight="1">
      <c r="A73" s="69">
        <v>46206</v>
      </c>
      <c r="B73" s="32">
        <f t="shared" si="17"/>
        <v>0.99999999999999956</v>
      </c>
      <c r="C73" s="33" t="s">
        <v>21</v>
      </c>
      <c r="D73" s="62" t="s">
        <v>30</v>
      </c>
      <c r="E73" s="62" t="s">
        <v>234</v>
      </c>
      <c r="F73" s="27">
        <v>0</v>
      </c>
      <c r="G73" s="34">
        <f t="shared" si="15"/>
        <v>0</v>
      </c>
      <c r="H73" s="33"/>
      <c r="I73" s="33"/>
      <c r="J73" s="33"/>
      <c r="K73" s="29"/>
      <c r="L73" s="29"/>
      <c r="M73" s="35" t="str">
        <f t="shared" ca="1" si="16"/>
        <v/>
      </c>
      <c r="N73" s="27"/>
      <c r="O73" s="31"/>
    </row>
    <row r="74" spans="1:15" ht="15" customHeight="1">
      <c r="A74" s="68">
        <v>46206</v>
      </c>
      <c r="B74" s="25">
        <f t="shared" si="17"/>
        <v>1.0416666666666663</v>
      </c>
      <c r="C74" s="33" t="s">
        <v>21</v>
      </c>
      <c r="D74" s="62" t="s">
        <v>30</v>
      </c>
      <c r="E74" s="62" t="s">
        <v>234</v>
      </c>
      <c r="F74" s="27">
        <v>30</v>
      </c>
      <c r="G74" s="28">
        <f t="shared" si="15"/>
        <v>150</v>
      </c>
      <c r="H74" s="26"/>
      <c r="I74" s="26"/>
      <c r="J74" s="26"/>
      <c r="K74" s="29"/>
      <c r="L74" s="29"/>
      <c r="M74" s="30" t="str">
        <f t="shared" ca="1" si="16"/>
        <v/>
      </c>
      <c r="N74" s="27"/>
      <c r="O74" s="31"/>
    </row>
    <row r="75" spans="1:15" ht="15" customHeight="1">
      <c r="A75" s="69">
        <v>46206</v>
      </c>
      <c r="B75" s="32">
        <f t="shared" si="17"/>
        <v>1.083333333333333</v>
      </c>
      <c r="C75" s="33" t="s">
        <v>21</v>
      </c>
      <c r="D75" s="62" t="s">
        <v>30</v>
      </c>
      <c r="E75" s="62" t="s">
        <v>234</v>
      </c>
      <c r="F75" s="27">
        <v>40</v>
      </c>
      <c r="G75" s="34">
        <f t="shared" si="15"/>
        <v>200</v>
      </c>
      <c r="H75" s="33"/>
      <c r="I75" s="33"/>
      <c r="J75" s="33"/>
      <c r="K75" s="29"/>
      <c r="L75" s="29"/>
      <c r="M75" s="35" t="str">
        <f t="shared" ca="1" si="16"/>
        <v/>
      </c>
      <c r="N75" s="27"/>
      <c r="O75" s="31"/>
    </row>
    <row r="76" spans="1:15" ht="15" customHeight="1">
      <c r="A76" s="68">
        <v>46206</v>
      </c>
      <c r="B76" s="25">
        <f t="shared" si="17"/>
        <v>1.1249999999999998</v>
      </c>
      <c r="C76" s="33" t="s">
        <v>21</v>
      </c>
      <c r="D76" s="62" t="s">
        <v>30</v>
      </c>
      <c r="E76" s="62" t="s">
        <v>234</v>
      </c>
      <c r="F76" s="27">
        <v>20</v>
      </c>
      <c r="G76" s="28">
        <f t="shared" si="15"/>
        <v>100</v>
      </c>
      <c r="H76" s="26"/>
      <c r="I76" s="26"/>
      <c r="J76" s="26"/>
      <c r="K76" s="29"/>
      <c r="L76" s="29"/>
      <c r="M76" s="30" t="str">
        <f t="shared" ca="1" si="16"/>
        <v/>
      </c>
      <c r="N76" s="27"/>
      <c r="O76" s="31"/>
    </row>
    <row r="77" spans="1:15" ht="15" customHeight="1">
      <c r="A77" s="69">
        <v>46206</v>
      </c>
      <c r="B77" s="32">
        <f t="shared" si="17"/>
        <v>1.1666666666666665</v>
      </c>
      <c r="C77" s="33" t="s">
        <v>21</v>
      </c>
      <c r="D77" s="62" t="s">
        <v>30</v>
      </c>
      <c r="E77" s="62" t="s">
        <v>234</v>
      </c>
      <c r="F77" s="27">
        <v>0</v>
      </c>
      <c r="G77" s="34">
        <f t="shared" si="15"/>
        <v>0</v>
      </c>
      <c r="H77" s="33"/>
      <c r="I77" s="33"/>
      <c r="J77" s="33"/>
      <c r="K77" s="29"/>
      <c r="L77" s="29"/>
      <c r="M77" s="35" t="str">
        <f t="shared" ca="1" si="16"/>
        <v/>
      </c>
      <c r="N77" s="27"/>
      <c r="O77" s="31"/>
    </row>
    <row r="78" spans="1:15" ht="15" customHeight="1">
      <c r="A78" s="68">
        <v>46206</v>
      </c>
      <c r="B78" s="25">
        <f t="shared" si="17"/>
        <v>1.2083333333333333</v>
      </c>
      <c r="C78" s="33" t="s">
        <v>21</v>
      </c>
      <c r="D78" s="62" t="s">
        <v>30</v>
      </c>
      <c r="E78" s="62" t="s">
        <v>234</v>
      </c>
      <c r="F78" s="27">
        <v>0</v>
      </c>
      <c r="G78" s="28">
        <f t="shared" si="15"/>
        <v>0</v>
      </c>
      <c r="H78" s="26"/>
      <c r="I78" s="26"/>
      <c r="J78" s="26"/>
      <c r="K78" s="29"/>
      <c r="L78" s="29"/>
      <c r="M78" s="30" t="str">
        <f t="shared" ca="1" si="16"/>
        <v/>
      </c>
      <c r="N78" s="27"/>
      <c r="O78" s="31"/>
    </row>
    <row r="79" spans="1:15" ht="15" customHeight="1">
      <c r="A79" s="69">
        <v>46206</v>
      </c>
      <c r="B79" s="32">
        <f t="shared" si="17"/>
        <v>1.25</v>
      </c>
      <c r="C79" s="33" t="s">
        <v>21</v>
      </c>
      <c r="D79" s="62" t="s">
        <v>22</v>
      </c>
      <c r="E79" s="62" t="s">
        <v>234</v>
      </c>
      <c r="F79" s="27">
        <v>26</v>
      </c>
      <c r="G79" s="34">
        <f t="shared" si="15"/>
        <v>130</v>
      </c>
      <c r="H79" s="33"/>
      <c r="I79" s="33"/>
      <c r="J79" s="33"/>
      <c r="K79" s="29"/>
      <c r="L79" s="29"/>
      <c r="M79" s="35" t="str">
        <f t="shared" ca="1" si="16"/>
        <v/>
      </c>
      <c r="N79" s="27"/>
      <c r="O79" s="31"/>
    </row>
    <row r="80" spans="1:15" ht="15" customHeight="1">
      <c r="A80" s="68">
        <v>46206</v>
      </c>
      <c r="B80" s="25">
        <f t="shared" si="17"/>
        <v>1.2916666666666667</v>
      </c>
      <c r="C80" s="33" t="s">
        <v>21</v>
      </c>
      <c r="D80" s="62" t="s">
        <v>22</v>
      </c>
      <c r="E80" s="62" t="s">
        <v>234</v>
      </c>
      <c r="F80" s="27">
        <v>0</v>
      </c>
      <c r="G80" s="28">
        <f t="shared" si="15"/>
        <v>0</v>
      </c>
      <c r="H80" s="26"/>
      <c r="I80" s="26"/>
      <c r="J80" s="26"/>
      <c r="K80" s="29"/>
      <c r="L80" s="29"/>
      <c r="M80" s="30" t="str">
        <f t="shared" ca="1" si="16"/>
        <v/>
      </c>
      <c r="N80" s="27"/>
      <c r="O80" s="31"/>
    </row>
    <row r="81" spans="1:15" ht="15.75" customHeight="1">
      <c r="A81" s="119" t="s">
        <v>238</v>
      </c>
      <c r="B81" s="120"/>
      <c r="C81" s="120"/>
      <c r="D81" s="120"/>
      <c r="E81" s="121">
        <f>SUM(E69:E80)</f>
        <v>0</v>
      </c>
      <c r="F81" s="36">
        <f>SUM(F69:F80)</f>
        <v>194</v>
      </c>
      <c r="G81" s="36">
        <f>SUM(G69:G80)</f>
        <v>970</v>
      </c>
      <c r="H81" s="37"/>
      <c r="I81" s="37"/>
      <c r="J81" s="37"/>
      <c r="K81" s="37"/>
      <c r="L81" s="37"/>
      <c r="M81" s="38">
        <f ca="1">IFERROR(SUM(M69:M80),"")</f>
        <v>0.11666666666666653</v>
      </c>
      <c r="N81" s="36" t="s">
        <v>237</v>
      </c>
      <c r="O81" s="39">
        <v>878050</v>
      </c>
    </row>
    <row r="82" spans="1:15" ht="18" customHeight="1">
      <c r="A82" s="122" t="s">
        <v>239</v>
      </c>
      <c r="B82" s="123"/>
      <c r="C82" s="123"/>
      <c r="D82" s="123"/>
      <c r="E82" s="124">
        <f>E68+E81</f>
        <v>0</v>
      </c>
      <c r="F82" s="40">
        <f>F68+F81</f>
        <v>563</v>
      </c>
      <c r="G82" s="40">
        <f>G68+G81</f>
        <v>2815</v>
      </c>
      <c r="H82" s="41"/>
      <c r="I82" s="41"/>
      <c r="J82" s="41"/>
      <c r="K82" s="41"/>
      <c r="L82" s="41"/>
      <c r="M82" s="42">
        <f ca="1">IFERROR(M68+M81,"")</f>
        <v>0.11666666666666653</v>
      </c>
      <c r="N82" s="40" t="s">
        <v>240</v>
      </c>
      <c r="O82" s="43">
        <f>IFERROR(O68+O81,"")</f>
        <v>2831180</v>
      </c>
    </row>
    <row r="83" spans="1:15" ht="15" customHeight="1">
      <c r="A83" s="68">
        <v>46207</v>
      </c>
      <c r="B83" s="25">
        <v>0.33333333333333298</v>
      </c>
      <c r="C83" s="26" t="s">
        <v>29</v>
      </c>
      <c r="D83" s="59" t="s">
        <v>22</v>
      </c>
      <c r="E83" s="59" t="s">
        <v>234</v>
      </c>
      <c r="F83" s="27">
        <v>25</v>
      </c>
      <c r="G83" s="28">
        <f t="shared" ref="G83:G94" si="18">IF(F83="","",IF(E83="PC 17",F83*4.2,IF(E83="PC 19",F83*5,"")))</f>
        <v>125</v>
      </c>
      <c r="H83" s="33" t="s">
        <v>18</v>
      </c>
      <c r="I83" s="33"/>
      <c r="J83" s="33" t="s">
        <v>167</v>
      </c>
      <c r="K83" s="29">
        <v>0.29722222222222222</v>
      </c>
      <c r="L83" s="29">
        <v>0.31319444444444444</v>
      </c>
      <c r="M83" s="35">
        <f t="shared" ref="M83:M94" ca="1" si="19">IFERROR(IF(K83="","",IF(L83="",MOD(NOW()-K83,1),IF(L83&gt;=K83,L83-K83,L83+1-K83))),"")</f>
        <v>1.5972222222222221E-2</v>
      </c>
      <c r="N83" s="27" t="s">
        <v>243</v>
      </c>
      <c r="O83" s="31"/>
    </row>
    <row r="84" spans="1:15" ht="15" customHeight="1">
      <c r="A84" s="69">
        <v>46207</v>
      </c>
      <c r="B84" s="32">
        <f t="shared" ref="B84:B94" si="20">B83+TIME(0,60,0)</f>
        <v>0.37499999999999967</v>
      </c>
      <c r="C84" s="26" t="s">
        <v>29</v>
      </c>
      <c r="D84" s="59" t="s">
        <v>22</v>
      </c>
      <c r="E84" s="59" t="s">
        <v>234</v>
      </c>
      <c r="F84" s="27">
        <v>25</v>
      </c>
      <c r="G84" s="34">
        <f t="shared" si="18"/>
        <v>125</v>
      </c>
      <c r="H84" s="26" t="s">
        <v>19</v>
      </c>
      <c r="I84" s="26" t="s">
        <v>23</v>
      </c>
      <c r="J84" s="26" t="s">
        <v>50</v>
      </c>
      <c r="K84" s="29">
        <v>0.37291666666666667</v>
      </c>
      <c r="L84" s="29">
        <v>0.41944444444444445</v>
      </c>
      <c r="M84" s="30">
        <f t="shared" ca="1" si="19"/>
        <v>4.6527777777777779E-2</v>
      </c>
      <c r="N84" s="27"/>
      <c r="O84" s="31"/>
    </row>
    <row r="85" spans="1:15" ht="15" customHeight="1">
      <c r="A85" s="68">
        <v>46207</v>
      </c>
      <c r="B85" s="25">
        <f t="shared" si="20"/>
        <v>0.41666666666666635</v>
      </c>
      <c r="C85" s="26" t="s">
        <v>29</v>
      </c>
      <c r="D85" s="59" t="s">
        <v>22</v>
      </c>
      <c r="E85" s="59" t="s">
        <v>234</v>
      </c>
      <c r="F85" s="27">
        <v>0</v>
      </c>
      <c r="G85" s="28">
        <f t="shared" si="18"/>
        <v>0</v>
      </c>
      <c r="H85" s="33" t="s">
        <v>20</v>
      </c>
      <c r="I85" s="33" t="s">
        <v>144</v>
      </c>
      <c r="J85" s="33" t="s">
        <v>129</v>
      </c>
      <c r="K85" s="29">
        <v>0.48402777777777778</v>
      </c>
      <c r="L85" s="29">
        <v>0.53333333333333333</v>
      </c>
      <c r="M85" s="35">
        <f t="shared" ca="1" si="19"/>
        <v>4.9305555555555547E-2</v>
      </c>
      <c r="N85" s="27"/>
      <c r="O85" s="31"/>
    </row>
    <row r="86" spans="1:15" ht="15" customHeight="1">
      <c r="A86" s="69">
        <v>46207</v>
      </c>
      <c r="B86" s="32">
        <f t="shared" si="20"/>
        <v>0.45833333333333304</v>
      </c>
      <c r="C86" s="26" t="s">
        <v>29</v>
      </c>
      <c r="D86" s="59" t="s">
        <v>22</v>
      </c>
      <c r="E86" s="59" t="s">
        <v>234</v>
      </c>
      <c r="F86" s="27">
        <v>15</v>
      </c>
      <c r="G86" s="34">
        <f t="shared" si="18"/>
        <v>75</v>
      </c>
      <c r="H86" s="26" t="s">
        <v>18</v>
      </c>
      <c r="I86" s="26" t="s">
        <v>23</v>
      </c>
      <c r="J86" s="26" t="s">
        <v>193</v>
      </c>
      <c r="K86" s="29">
        <v>0.60624999999999996</v>
      </c>
      <c r="L86" s="29">
        <v>0.66041666666666665</v>
      </c>
      <c r="M86" s="30">
        <f t="shared" ca="1" si="19"/>
        <v>5.4166666666666696E-2</v>
      </c>
      <c r="N86" s="27"/>
      <c r="O86" s="31"/>
    </row>
    <row r="87" spans="1:15" ht="15" customHeight="1">
      <c r="A87" s="68">
        <v>46207</v>
      </c>
      <c r="B87" s="25">
        <f t="shared" si="20"/>
        <v>0.49999999999999972</v>
      </c>
      <c r="C87" s="26" t="s">
        <v>29</v>
      </c>
      <c r="D87" s="59" t="s">
        <v>22</v>
      </c>
      <c r="E87" s="59" t="s">
        <v>234</v>
      </c>
      <c r="F87" s="27">
        <v>17</v>
      </c>
      <c r="G87" s="28">
        <f t="shared" si="18"/>
        <v>85</v>
      </c>
      <c r="H87" s="33"/>
      <c r="I87" s="33"/>
      <c r="J87" s="33"/>
      <c r="K87" s="29"/>
      <c r="L87" s="29"/>
      <c r="M87" s="35" t="str">
        <f t="shared" ca="1" si="19"/>
        <v/>
      </c>
      <c r="N87" s="27"/>
      <c r="O87" s="31"/>
    </row>
    <row r="88" spans="1:15" ht="15" customHeight="1">
      <c r="A88" s="69">
        <v>46207</v>
      </c>
      <c r="B88" s="32">
        <f t="shared" si="20"/>
        <v>0.54166666666666641</v>
      </c>
      <c r="C88" s="26" t="s">
        <v>29</v>
      </c>
      <c r="D88" s="59" t="s">
        <v>22</v>
      </c>
      <c r="E88" s="59" t="s">
        <v>234</v>
      </c>
      <c r="F88" s="27">
        <v>24</v>
      </c>
      <c r="G88" s="34">
        <f t="shared" si="18"/>
        <v>120</v>
      </c>
      <c r="H88" s="26"/>
      <c r="I88" s="26"/>
      <c r="J88" s="26"/>
      <c r="K88" s="29"/>
      <c r="L88" s="29"/>
      <c r="M88" s="30" t="str">
        <f t="shared" ca="1" si="19"/>
        <v/>
      </c>
      <c r="N88" s="27"/>
      <c r="O88" s="31"/>
    </row>
    <row r="89" spans="1:15" ht="15" customHeight="1">
      <c r="A89" s="68">
        <v>46207</v>
      </c>
      <c r="B89" s="25">
        <f t="shared" si="20"/>
        <v>0.58333333333333304</v>
      </c>
      <c r="C89" s="26" t="s">
        <v>29</v>
      </c>
      <c r="D89" s="59" t="s">
        <v>22</v>
      </c>
      <c r="E89" s="59" t="s">
        <v>234</v>
      </c>
      <c r="F89" s="27">
        <v>15</v>
      </c>
      <c r="G89" s="28">
        <f t="shared" si="18"/>
        <v>75</v>
      </c>
      <c r="H89" s="33"/>
      <c r="I89" s="33"/>
      <c r="J89" s="33"/>
      <c r="K89" s="29"/>
      <c r="L89" s="29"/>
      <c r="M89" s="35" t="str">
        <f t="shared" ca="1" si="19"/>
        <v/>
      </c>
      <c r="N89" s="27"/>
      <c r="O89" s="31"/>
    </row>
    <row r="90" spans="1:15" ht="15" customHeight="1">
      <c r="A90" s="69">
        <v>46207</v>
      </c>
      <c r="B90" s="32">
        <f t="shared" si="20"/>
        <v>0.62499999999999967</v>
      </c>
      <c r="C90" s="26" t="s">
        <v>29</v>
      </c>
      <c r="D90" s="59" t="s">
        <v>22</v>
      </c>
      <c r="E90" s="59" t="s">
        <v>234</v>
      </c>
      <c r="F90" s="27">
        <v>0</v>
      </c>
      <c r="G90" s="34">
        <f t="shared" si="18"/>
        <v>0</v>
      </c>
      <c r="H90" s="26"/>
      <c r="I90" s="26"/>
      <c r="J90" s="26"/>
      <c r="K90" s="29"/>
      <c r="L90" s="29"/>
      <c r="M90" s="30" t="str">
        <f t="shared" ca="1" si="19"/>
        <v/>
      </c>
      <c r="N90" s="27"/>
      <c r="O90" s="31"/>
    </row>
    <row r="91" spans="1:15" ht="15" customHeight="1">
      <c r="A91" s="68">
        <v>46207</v>
      </c>
      <c r="B91" s="25">
        <f t="shared" si="20"/>
        <v>0.6666666666666663</v>
      </c>
      <c r="C91" s="26" t="s">
        <v>29</v>
      </c>
      <c r="D91" s="59" t="s">
        <v>22</v>
      </c>
      <c r="E91" s="59" t="s">
        <v>234</v>
      </c>
      <c r="F91" s="27">
        <v>0</v>
      </c>
      <c r="G91" s="28">
        <f t="shared" si="18"/>
        <v>0</v>
      </c>
      <c r="H91" s="33"/>
      <c r="I91" s="33"/>
      <c r="J91" s="33"/>
      <c r="K91" s="29"/>
      <c r="L91" s="29"/>
      <c r="M91" s="35" t="str">
        <f t="shared" ca="1" si="19"/>
        <v/>
      </c>
      <c r="N91" s="27"/>
      <c r="O91" s="31"/>
    </row>
    <row r="92" spans="1:15" ht="15" customHeight="1">
      <c r="A92" s="69">
        <v>46207</v>
      </c>
      <c r="B92" s="32">
        <f t="shared" si="20"/>
        <v>0.70833333333333293</v>
      </c>
      <c r="C92" s="26" t="s">
        <v>29</v>
      </c>
      <c r="D92" s="59" t="s">
        <v>22</v>
      </c>
      <c r="E92" s="59" t="s">
        <v>234</v>
      </c>
      <c r="F92" s="27">
        <v>0</v>
      </c>
      <c r="G92" s="34">
        <f t="shared" si="18"/>
        <v>0</v>
      </c>
      <c r="H92" s="26"/>
      <c r="I92" s="26"/>
      <c r="J92" s="26"/>
      <c r="K92" s="29"/>
      <c r="L92" s="29"/>
      <c r="M92" s="30" t="str">
        <f t="shared" ca="1" si="19"/>
        <v/>
      </c>
      <c r="N92" s="27"/>
      <c r="O92" s="31"/>
    </row>
    <row r="93" spans="1:15" ht="15" customHeight="1">
      <c r="A93" s="68">
        <v>46207</v>
      </c>
      <c r="B93" s="25">
        <f t="shared" si="20"/>
        <v>0.74999999999999956</v>
      </c>
      <c r="C93" s="26" t="s">
        <v>29</v>
      </c>
      <c r="D93" s="59" t="s">
        <v>22</v>
      </c>
      <c r="E93" s="59" t="s">
        <v>234</v>
      </c>
      <c r="F93" s="27">
        <v>23</v>
      </c>
      <c r="G93" s="28">
        <f t="shared" si="18"/>
        <v>115</v>
      </c>
      <c r="H93" s="33"/>
      <c r="I93" s="33"/>
      <c r="J93" s="33"/>
      <c r="K93" s="29"/>
      <c r="L93" s="29"/>
      <c r="M93" s="35" t="str">
        <f t="shared" ca="1" si="19"/>
        <v/>
      </c>
      <c r="N93" s="27"/>
      <c r="O93" s="31"/>
    </row>
    <row r="94" spans="1:15" ht="15" customHeight="1">
      <c r="A94" s="69">
        <v>46207</v>
      </c>
      <c r="B94" s="32">
        <f t="shared" si="20"/>
        <v>0.79166666666666619</v>
      </c>
      <c r="C94" s="26" t="s">
        <v>29</v>
      </c>
      <c r="D94" s="59" t="s">
        <v>22</v>
      </c>
      <c r="E94" s="59" t="s">
        <v>234</v>
      </c>
      <c r="F94" s="27">
        <v>22</v>
      </c>
      <c r="G94" s="34">
        <f t="shared" si="18"/>
        <v>110</v>
      </c>
      <c r="H94" s="26"/>
      <c r="I94" s="26"/>
      <c r="J94" s="26"/>
      <c r="K94" s="29"/>
      <c r="L94" s="29"/>
      <c r="M94" s="30" t="str">
        <f t="shared" ca="1" si="19"/>
        <v/>
      </c>
      <c r="N94" s="27"/>
      <c r="O94" s="31"/>
    </row>
    <row r="95" spans="1:15" ht="15.75" customHeight="1">
      <c r="A95" s="119" t="s">
        <v>236</v>
      </c>
      <c r="B95" s="120"/>
      <c r="C95" s="120"/>
      <c r="D95" s="120"/>
      <c r="E95" s="121">
        <f>SUM(E83:E94)</f>
        <v>0</v>
      </c>
      <c r="F95" s="36">
        <f>SUM(F83:F94)</f>
        <v>166</v>
      </c>
      <c r="G95" s="36">
        <f>SUM(G83:G94)</f>
        <v>830</v>
      </c>
      <c r="H95" s="37"/>
      <c r="I95" s="37"/>
      <c r="J95" s="37"/>
      <c r="K95" s="37"/>
      <c r="L95" s="37"/>
      <c r="M95" s="38">
        <f ca="1">IFERROR(SUM(M83:M94),"")</f>
        <v>0.16597222222222224</v>
      </c>
      <c r="N95" s="36" t="s">
        <v>237</v>
      </c>
      <c r="O95" s="39">
        <v>1704450</v>
      </c>
    </row>
    <row r="96" spans="1:15" ht="15" customHeight="1">
      <c r="A96" s="69">
        <v>46207</v>
      </c>
      <c r="B96" s="32">
        <v>0.83333333333333304</v>
      </c>
      <c r="C96" s="33" t="s">
        <v>21</v>
      </c>
      <c r="D96" s="62" t="s">
        <v>30</v>
      </c>
      <c r="E96" s="62"/>
      <c r="F96" s="27"/>
      <c r="G96" s="34" t="str">
        <f t="shared" ref="G96:G107" si="21">IF(F96="","",IF(E96="PC 17",F96*4.2,IF(E96="PC 19",F96*5,"")))</f>
        <v/>
      </c>
      <c r="H96" s="26"/>
      <c r="I96" s="26"/>
      <c r="J96" s="26"/>
      <c r="K96" s="29"/>
      <c r="L96" s="29"/>
      <c r="M96" s="30" t="str">
        <f t="shared" ref="M96:M107" ca="1" si="22">IFERROR(IF(K96="","",IF(L96="",MOD(NOW()-K96,1),IF(L96&gt;=K96,L96-K96,L96+1-K96))),"")</f>
        <v/>
      </c>
      <c r="N96" s="27" t="s">
        <v>244</v>
      </c>
      <c r="O96" s="31"/>
    </row>
    <row r="97" spans="1:15" ht="15" customHeight="1">
      <c r="A97" s="68">
        <v>46207</v>
      </c>
      <c r="B97" s="25">
        <f t="shared" ref="B97:B107" si="23">B96+TIME(0,60,0)</f>
        <v>0.87499999999999967</v>
      </c>
      <c r="C97" s="33" t="s">
        <v>21</v>
      </c>
      <c r="D97" s="62" t="s">
        <v>30</v>
      </c>
      <c r="E97" s="62"/>
      <c r="F97" s="27"/>
      <c r="G97" s="28" t="str">
        <f t="shared" si="21"/>
        <v/>
      </c>
      <c r="H97" s="33"/>
      <c r="I97" s="33"/>
      <c r="J97" s="33"/>
      <c r="K97" s="29"/>
      <c r="L97" s="29"/>
      <c r="M97" s="35" t="str">
        <f t="shared" ca="1" si="22"/>
        <v/>
      </c>
      <c r="N97" s="27"/>
      <c r="O97" s="31"/>
    </row>
    <row r="98" spans="1:15" ht="15" customHeight="1">
      <c r="A98" s="69">
        <v>46207</v>
      </c>
      <c r="B98" s="32">
        <f t="shared" si="23"/>
        <v>0.9166666666666663</v>
      </c>
      <c r="C98" s="33" t="s">
        <v>21</v>
      </c>
      <c r="D98" s="62" t="s">
        <v>30</v>
      </c>
      <c r="E98" s="62"/>
      <c r="F98" s="27"/>
      <c r="G98" s="34" t="str">
        <f t="shared" si="21"/>
        <v/>
      </c>
      <c r="H98" s="26"/>
      <c r="I98" s="26"/>
      <c r="J98" s="26"/>
      <c r="K98" s="29"/>
      <c r="L98" s="29"/>
      <c r="M98" s="30" t="str">
        <f t="shared" ca="1" si="22"/>
        <v/>
      </c>
      <c r="N98" s="27"/>
      <c r="O98" s="31"/>
    </row>
    <row r="99" spans="1:15" ht="15" customHeight="1">
      <c r="A99" s="68">
        <v>46207</v>
      </c>
      <c r="B99" s="25">
        <f t="shared" si="23"/>
        <v>0.95833333333333293</v>
      </c>
      <c r="C99" s="33" t="s">
        <v>21</v>
      </c>
      <c r="D99" s="62" t="s">
        <v>30</v>
      </c>
      <c r="E99" s="62"/>
      <c r="F99" s="27"/>
      <c r="G99" s="28" t="str">
        <f t="shared" si="21"/>
        <v/>
      </c>
      <c r="H99" s="33"/>
      <c r="I99" s="33"/>
      <c r="J99" s="33"/>
      <c r="K99" s="29"/>
      <c r="L99" s="29"/>
      <c r="M99" s="35" t="str">
        <f t="shared" ca="1" si="22"/>
        <v/>
      </c>
      <c r="N99" s="27"/>
      <c r="O99" s="31"/>
    </row>
    <row r="100" spans="1:15" ht="15" customHeight="1">
      <c r="A100" s="69">
        <v>46207</v>
      </c>
      <c r="B100" s="32">
        <f t="shared" si="23"/>
        <v>0.99999999999999956</v>
      </c>
      <c r="C100" s="33" t="s">
        <v>21</v>
      </c>
      <c r="D100" s="62" t="s">
        <v>30</v>
      </c>
      <c r="E100" s="62"/>
      <c r="F100" s="27"/>
      <c r="G100" s="34" t="str">
        <f t="shared" si="21"/>
        <v/>
      </c>
      <c r="H100" s="26"/>
      <c r="I100" s="26"/>
      <c r="J100" s="26"/>
      <c r="K100" s="29"/>
      <c r="L100" s="29"/>
      <c r="M100" s="30" t="str">
        <f t="shared" ca="1" si="22"/>
        <v/>
      </c>
      <c r="N100" s="27"/>
      <c r="O100" s="31"/>
    </row>
    <row r="101" spans="1:15" ht="15" customHeight="1">
      <c r="A101" s="68">
        <v>46207</v>
      </c>
      <c r="B101" s="25">
        <f t="shared" si="23"/>
        <v>1.0416666666666663</v>
      </c>
      <c r="C101" s="33" t="s">
        <v>21</v>
      </c>
      <c r="D101" s="62" t="s">
        <v>30</v>
      </c>
      <c r="E101" s="62"/>
      <c r="F101" s="27"/>
      <c r="G101" s="28" t="str">
        <f t="shared" si="21"/>
        <v/>
      </c>
      <c r="H101" s="33"/>
      <c r="I101" s="33"/>
      <c r="J101" s="33"/>
      <c r="K101" s="29"/>
      <c r="L101" s="29"/>
      <c r="M101" s="35" t="str">
        <f t="shared" ca="1" si="22"/>
        <v/>
      </c>
      <c r="N101" s="27"/>
      <c r="O101" s="31"/>
    </row>
    <row r="102" spans="1:15" ht="15" customHeight="1">
      <c r="A102" s="69">
        <v>46207</v>
      </c>
      <c r="B102" s="32">
        <f t="shared" si="23"/>
        <v>1.083333333333333</v>
      </c>
      <c r="C102" s="33" t="s">
        <v>21</v>
      </c>
      <c r="D102" s="62" t="s">
        <v>30</v>
      </c>
      <c r="E102" s="62"/>
      <c r="F102" s="27"/>
      <c r="G102" s="34" t="str">
        <f t="shared" si="21"/>
        <v/>
      </c>
      <c r="H102" s="26"/>
      <c r="I102" s="26"/>
      <c r="J102" s="26"/>
      <c r="K102" s="29"/>
      <c r="L102" s="29"/>
      <c r="M102" s="30" t="str">
        <f t="shared" ca="1" si="22"/>
        <v/>
      </c>
      <c r="N102" s="27"/>
      <c r="O102" s="31"/>
    </row>
    <row r="103" spans="1:15" ht="15" customHeight="1">
      <c r="A103" s="68">
        <v>46207</v>
      </c>
      <c r="B103" s="25">
        <f t="shared" si="23"/>
        <v>1.1249999999999998</v>
      </c>
      <c r="C103" s="33" t="s">
        <v>21</v>
      </c>
      <c r="D103" s="62" t="s">
        <v>30</v>
      </c>
      <c r="E103" s="62"/>
      <c r="F103" s="27"/>
      <c r="G103" s="28" t="str">
        <f t="shared" si="21"/>
        <v/>
      </c>
      <c r="H103" s="33"/>
      <c r="I103" s="33"/>
      <c r="J103" s="33"/>
      <c r="K103" s="29"/>
      <c r="L103" s="29"/>
      <c r="M103" s="35" t="str">
        <f t="shared" ca="1" si="22"/>
        <v/>
      </c>
      <c r="N103" s="27"/>
      <c r="O103" s="31"/>
    </row>
    <row r="104" spans="1:15" ht="15" customHeight="1">
      <c r="A104" s="69">
        <v>46207</v>
      </c>
      <c r="B104" s="32">
        <f t="shared" si="23"/>
        <v>1.1666666666666665</v>
      </c>
      <c r="C104" s="33" t="s">
        <v>21</v>
      </c>
      <c r="D104" s="62" t="s">
        <v>30</v>
      </c>
      <c r="E104" s="62"/>
      <c r="F104" s="27"/>
      <c r="G104" s="34" t="str">
        <f t="shared" si="21"/>
        <v/>
      </c>
      <c r="H104" s="26"/>
      <c r="I104" s="26"/>
      <c r="J104" s="26"/>
      <c r="K104" s="29"/>
      <c r="L104" s="29"/>
      <c r="M104" s="30" t="str">
        <f t="shared" ca="1" si="22"/>
        <v/>
      </c>
      <c r="N104" s="27"/>
      <c r="O104" s="31"/>
    </row>
    <row r="105" spans="1:15" ht="15" customHeight="1">
      <c r="A105" s="68">
        <v>46207</v>
      </c>
      <c r="B105" s="25">
        <f t="shared" si="23"/>
        <v>1.2083333333333333</v>
      </c>
      <c r="C105" s="33" t="s">
        <v>21</v>
      </c>
      <c r="D105" s="62" t="s">
        <v>30</v>
      </c>
      <c r="E105" s="62"/>
      <c r="F105" s="27"/>
      <c r="G105" s="28" t="str">
        <f t="shared" si="21"/>
        <v/>
      </c>
      <c r="H105" s="33"/>
      <c r="I105" s="33"/>
      <c r="J105" s="33"/>
      <c r="K105" s="29"/>
      <c r="L105" s="29"/>
      <c r="M105" s="35" t="str">
        <f t="shared" ca="1" si="22"/>
        <v/>
      </c>
      <c r="N105" s="27"/>
      <c r="O105" s="31"/>
    </row>
    <row r="106" spans="1:15" ht="15" customHeight="1">
      <c r="A106" s="69">
        <v>46207</v>
      </c>
      <c r="B106" s="32">
        <f t="shared" si="23"/>
        <v>1.25</v>
      </c>
      <c r="C106" s="33" t="s">
        <v>21</v>
      </c>
      <c r="D106" s="62" t="s">
        <v>30</v>
      </c>
      <c r="E106" s="62"/>
      <c r="F106" s="27"/>
      <c r="G106" s="34" t="str">
        <f t="shared" si="21"/>
        <v/>
      </c>
      <c r="H106" s="26"/>
      <c r="I106" s="26"/>
      <c r="J106" s="26"/>
      <c r="K106" s="29"/>
      <c r="L106" s="29"/>
      <c r="M106" s="30" t="str">
        <f t="shared" ca="1" si="22"/>
        <v/>
      </c>
      <c r="N106" s="27"/>
      <c r="O106" s="31"/>
    </row>
    <row r="107" spans="1:15" ht="15" customHeight="1">
      <c r="A107" s="68">
        <v>46207</v>
      </c>
      <c r="B107" s="25">
        <f t="shared" si="23"/>
        <v>1.2916666666666667</v>
      </c>
      <c r="C107" s="33" t="s">
        <v>21</v>
      </c>
      <c r="D107" s="62" t="s">
        <v>30</v>
      </c>
      <c r="E107" s="62"/>
      <c r="F107" s="27"/>
      <c r="G107" s="28" t="str">
        <f t="shared" si="21"/>
        <v/>
      </c>
      <c r="H107" s="33"/>
      <c r="I107" s="33"/>
      <c r="J107" s="33"/>
      <c r="K107" s="29"/>
      <c r="L107" s="29"/>
      <c r="M107" s="35" t="str">
        <f t="shared" ca="1" si="22"/>
        <v/>
      </c>
      <c r="N107" s="27"/>
      <c r="O107" s="31"/>
    </row>
    <row r="108" spans="1:15" ht="15.75" customHeight="1">
      <c r="A108" s="119" t="s">
        <v>238</v>
      </c>
      <c r="B108" s="120"/>
      <c r="C108" s="120"/>
      <c r="D108" s="120"/>
      <c r="E108" s="121">
        <f>SUM(E96:E107)</f>
        <v>0</v>
      </c>
      <c r="F108" s="36">
        <f>SUM(F96:F107)</f>
        <v>0</v>
      </c>
      <c r="G108" s="36">
        <f>SUM(G96:G107)</f>
        <v>0</v>
      </c>
      <c r="H108" s="37"/>
      <c r="I108" s="37"/>
      <c r="J108" s="37"/>
      <c r="K108" s="37"/>
      <c r="L108" s="37"/>
      <c r="M108" s="38">
        <f ca="1">IFERROR(SUM(M96:M107),"")</f>
        <v>0</v>
      </c>
      <c r="N108" s="36" t="s">
        <v>237</v>
      </c>
      <c r="O108" s="39">
        <v>1700000</v>
      </c>
    </row>
    <row r="109" spans="1:15" ht="18" customHeight="1">
      <c r="A109" s="122" t="s">
        <v>239</v>
      </c>
      <c r="B109" s="123"/>
      <c r="C109" s="123"/>
      <c r="D109" s="123"/>
      <c r="E109" s="124">
        <f>E95+E108</f>
        <v>0</v>
      </c>
      <c r="F109" s="40">
        <f>F95+F108</f>
        <v>166</v>
      </c>
      <c r="G109" s="40">
        <f>G95+G108</f>
        <v>830</v>
      </c>
      <c r="H109" s="41"/>
      <c r="I109" s="41"/>
      <c r="J109" s="41"/>
      <c r="K109" s="41"/>
      <c r="L109" s="41"/>
      <c r="M109" s="42">
        <f ca="1">IFERROR(M95+M108,"")</f>
        <v>0.16597222222222224</v>
      </c>
      <c r="N109" s="40" t="s">
        <v>240</v>
      </c>
      <c r="O109" s="43">
        <f>IFERROR(O95+O108,"")</f>
        <v>3404450</v>
      </c>
    </row>
    <row r="110" spans="1:15" ht="15" customHeight="1">
      <c r="A110" s="68">
        <v>46208</v>
      </c>
      <c r="B110" s="25">
        <v>0.33333333333333298</v>
      </c>
      <c r="C110" s="26" t="s">
        <v>29</v>
      </c>
      <c r="D110" s="59" t="s">
        <v>30</v>
      </c>
      <c r="E110" s="59" t="s">
        <v>234</v>
      </c>
      <c r="F110" s="27">
        <v>20</v>
      </c>
      <c r="G110" s="28">
        <f t="shared" ref="G110:G121" si="24">IF(F110="","",IF(E110="PC 17",F110*4.2,IF(E110="PC 19",F110*5,"")))</f>
        <v>100</v>
      </c>
      <c r="H110" s="26" t="s">
        <v>18</v>
      </c>
      <c r="I110" s="26" t="s">
        <v>23</v>
      </c>
      <c r="J110" s="26" t="s">
        <v>201</v>
      </c>
      <c r="K110" s="29">
        <v>0.46875</v>
      </c>
      <c r="L110" s="29">
        <v>0.4826388888888889</v>
      </c>
      <c r="M110" s="30">
        <f t="shared" ref="M110:M121" ca="1" si="25">IFERROR(IF(K110="","",IF(L110="",MOD(NOW()-K110,1),IF(L110&gt;=K110,L110-K110,L110+1-K110))),"")</f>
        <v>1.3888888888888895E-2</v>
      </c>
      <c r="N110" s="27"/>
      <c r="O110" s="31"/>
    </row>
    <row r="111" spans="1:15" ht="15" customHeight="1">
      <c r="A111" s="69">
        <v>46208</v>
      </c>
      <c r="B111" s="32">
        <f t="shared" ref="B111:B121" si="26">B110+TIME(0,60,0)</f>
        <v>0.37499999999999967</v>
      </c>
      <c r="C111" s="26" t="s">
        <v>29</v>
      </c>
      <c r="D111" s="59" t="s">
        <v>30</v>
      </c>
      <c r="E111" s="59" t="s">
        <v>234</v>
      </c>
      <c r="F111" s="27">
        <v>30</v>
      </c>
      <c r="G111" s="34">
        <f t="shared" si="24"/>
        <v>150</v>
      </c>
      <c r="H111" s="33"/>
      <c r="I111" s="33"/>
      <c r="J111" s="33"/>
      <c r="K111" s="29"/>
      <c r="L111" s="29"/>
      <c r="M111" s="35" t="str">
        <f t="shared" ca="1" si="25"/>
        <v/>
      </c>
      <c r="N111" s="27"/>
      <c r="O111" s="31"/>
    </row>
    <row r="112" spans="1:15" ht="15" customHeight="1">
      <c r="A112" s="68">
        <v>46208</v>
      </c>
      <c r="B112" s="25">
        <f t="shared" si="26"/>
        <v>0.41666666666666635</v>
      </c>
      <c r="C112" s="26" t="s">
        <v>29</v>
      </c>
      <c r="D112" s="59" t="s">
        <v>30</v>
      </c>
      <c r="E112" s="59" t="s">
        <v>234</v>
      </c>
      <c r="F112" s="27">
        <v>40</v>
      </c>
      <c r="G112" s="28">
        <f t="shared" si="24"/>
        <v>200</v>
      </c>
      <c r="H112" s="26"/>
      <c r="I112" s="26"/>
      <c r="J112" s="26"/>
      <c r="K112" s="29"/>
      <c r="L112" s="29"/>
      <c r="M112" s="30" t="str">
        <f t="shared" ca="1" si="25"/>
        <v/>
      </c>
      <c r="N112" s="27"/>
      <c r="O112" s="31"/>
    </row>
    <row r="113" spans="1:15" ht="15" customHeight="1">
      <c r="A113" s="69">
        <v>46208</v>
      </c>
      <c r="B113" s="32">
        <f t="shared" si="26"/>
        <v>0.45833333333333304</v>
      </c>
      <c r="C113" s="26" t="s">
        <v>29</v>
      </c>
      <c r="D113" s="59" t="s">
        <v>30</v>
      </c>
      <c r="E113" s="59" t="s">
        <v>234</v>
      </c>
      <c r="F113" s="27">
        <v>40</v>
      </c>
      <c r="G113" s="34">
        <f t="shared" si="24"/>
        <v>200</v>
      </c>
      <c r="H113" s="33"/>
      <c r="I113" s="33"/>
      <c r="J113" s="33"/>
      <c r="K113" s="29"/>
      <c r="L113" s="29"/>
      <c r="M113" s="35" t="str">
        <f t="shared" ca="1" si="25"/>
        <v/>
      </c>
      <c r="N113" s="27"/>
      <c r="O113" s="31"/>
    </row>
    <row r="114" spans="1:15" ht="15" customHeight="1">
      <c r="A114" s="68">
        <v>46208</v>
      </c>
      <c r="B114" s="25">
        <f t="shared" si="26"/>
        <v>0.49999999999999972</v>
      </c>
      <c r="C114" s="26" t="s">
        <v>29</v>
      </c>
      <c r="D114" s="59" t="s">
        <v>30</v>
      </c>
      <c r="E114" s="59" t="s">
        <v>234</v>
      </c>
      <c r="F114" s="27">
        <v>20</v>
      </c>
      <c r="G114" s="28">
        <f t="shared" si="24"/>
        <v>100</v>
      </c>
      <c r="H114" s="26"/>
      <c r="I114" s="26"/>
      <c r="J114" s="26"/>
      <c r="K114" s="29"/>
      <c r="L114" s="29"/>
      <c r="M114" s="30" t="str">
        <f t="shared" ca="1" si="25"/>
        <v/>
      </c>
      <c r="N114" s="27"/>
      <c r="O114" s="31"/>
    </row>
    <row r="115" spans="1:15" ht="15" customHeight="1">
      <c r="A115" s="69">
        <v>46208</v>
      </c>
      <c r="B115" s="32">
        <f t="shared" si="26"/>
        <v>0.54166666666666641</v>
      </c>
      <c r="C115" s="26" t="s">
        <v>29</v>
      </c>
      <c r="D115" s="59" t="s">
        <v>30</v>
      </c>
      <c r="E115" s="59" t="s">
        <v>234</v>
      </c>
      <c r="F115" s="27">
        <v>30</v>
      </c>
      <c r="G115" s="34">
        <f t="shared" si="24"/>
        <v>150</v>
      </c>
      <c r="H115" s="33"/>
      <c r="I115" s="33"/>
      <c r="J115" s="33"/>
      <c r="K115" s="29"/>
      <c r="L115" s="29"/>
      <c r="M115" s="35" t="str">
        <f t="shared" ca="1" si="25"/>
        <v/>
      </c>
      <c r="N115" s="27"/>
      <c r="O115" s="31"/>
    </row>
    <row r="116" spans="1:15" ht="15" customHeight="1">
      <c r="A116" s="68">
        <v>46208</v>
      </c>
      <c r="B116" s="25">
        <f t="shared" si="26"/>
        <v>0.58333333333333304</v>
      </c>
      <c r="C116" s="26" t="s">
        <v>29</v>
      </c>
      <c r="D116" s="59" t="s">
        <v>30</v>
      </c>
      <c r="E116" s="59" t="s">
        <v>234</v>
      </c>
      <c r="F116" s="27">
        <v>15</v>
      </c>
      <c r="G116" s="28">
        <f t="shared" si="24"/>
        <v>75</v>
      </c>
      <c r="H116" s="26"/>
      <c r="I116" s="26"/>
      <c r="J116" s="26"/>
      <c r="K116" s="29"/>
      <c r="L116" s="29"/>
      <c r="M116" s="30" t="str">
        <f t="shared" ca="1" si="25"/>
        <v/>
      </c>
      <c r="N116" s="27"/>
      <c r="O116" s="31"/>
    </row>
    <row r="117" spans="1:15" ht="15" customHeight="1">
      <c r="A117" s="69">
        <v>46208</v>
      </c>
      <c r="B117" s="32">
        <f t="shared" si="26"/>
        <v>0.62499999999999967</v>
      </c>
      <c r="C117" s="26" t="s">
        <v>29</v>
      </c>
      <c r="D117" s="59" t="s">
        <v>30</v>
      </c>
      <c r="E117" s="59" t="s">
        <v>234</v>
      </c>
      <c r="F117" s="27">
        <v>6</v>
      </c>
      <c r="G117" s="34">
        <f t="shared" si="24"/>
        <v>30</v>
      </c>
      <c r="H117" s="33"/>
      <c r="I117" s="33"/>
      <c r="J117" s="33"/>
      <c r="K117" s="29"/>
      <c r="L117" s="29"/>
      <c r="M117" s="35" t="str">
        <f t="shared" ca="1" si="25"/>
        <v/>
      </c>
      <c r="N117" s="27"/>
      <c r="O117" s="31"/>
    </row>
    <row r="118" spans="1:15" ht="15" customHeight="1">
      <c r="A118" s="68">
        <v>46208</v>
      </c>
      <c r="B118" s="25">
        <f t="shared" si="26"/>
        <v>0.6666666666666663</v>
      </c>
      <c r="C118" s="26" t="s">
        <v>29</v>
      </c>
      <c r="D118" s="59" t="s">
        <v>30</v>
      </c>
      <c r="E118" s="59" t="s">
        <v>234</v>
      </c>
      <c r="F118" s="27">
        <v>32</v>
      </c>
      <c r="G118" s="28">
        <f t="shared" si="24"/>
        <v>160</v>
      </c>
      <c r="H118" s="26"/>
      <c r="I118" s="26"/>
      <c r="J118" s="26"/>
      <c r="K118" s="29"/>
      <c r="L118" s="29"/>
      <c r="M118" s="30" t="str">
        <f t="shared" ca="1" si="25"/>
        <v/>
      </c>
      <c r="N118" s="27"/>
      <c r="O118" s="31"/>
    </row>
    <row r="119" spans="1:15" ht="15" customHeight="1">
      <c r="A119" s="69">
        <v>46208</v>
      </c>
      <c r="B119" s="32">
        <f t="shared" si="26"/>
        <v>0.70833333333333293</v>
      </c>
      <c r="C119" s="26" t="s">
        <v>29</v>
      </c>
      <c r="D119" s="59" t="s">
        <v>30</v>
      </c>
      <c r="E119" s="59" t="s">
        <v>234</v>
      </c>
      <c r="F119" s="27">
        <v>24</v>
      </c>
      <c r="G119" s="34">
        <f t="shared" si="24"/>
        <v>120</v>
      </c>
      <c r="H119" s="33"/>
      <c r="I119" s="33"/>
      <c r="J119" s="33"/>
      <c r="K119" s="29"/>
      <c r="L119" s="29"/>
      <c r="M119" s="35" t="str">
        <f t="shared" ca="1" si="25"/>
        <v/>
      </c>
      <c r="N119" s="27"/>
      <c r="O119" s="31"/>
    </row>
    <row r="120" spans="1:15" ht="15" customHeight="1">
      <c r="A120" s="68">
        <v>46208</v>
      </c>
      <c r="B120" s="25">
        <f t="shared" si="26"/>
        <v>0.74999999999999956</v>
      </c>
      <c r="C120" s="26" t="s">
        <v>29</v>
      </c>
      <c r="D120" s="59" t="s">
        <v>30</v>
      </c>
      <c r="E120" s="59" t="s">
        <v>234</v>
      </c>
      <c r="F120" s="27">
        <v>0</v>
      </c>
      <c r="G120" s="28">
        <f t="shared" si="24"/>
        <v>0</v>
      </c>
      <c r="H120" s="26"/>
      <c r="I120" s="26"/>
      <c r="J120" s="26"/>
      <c r="K120" s="29"/>
      <c r="L120" s="29"/>
      <c r="M120" s="30" t="str">
        <f t="shared" ca="1" si="25"/>
        <v/>
      </c>
      <c r="N120" s="27"/>
      <c r="O120" s="31"/>
    </row>
    <row r="121" spans="1:15" ht="15" customHeight="1">
      <c r="A121" s="69">
        <v>46208</v>
      </c>
      <c r="B121" s="32">
        <f t="shared" si="26"/>
        <v>0.79166666666666619</v>
      </c>
      <c r="C121" s="26" t="s">
        <v>29</v>
      </c>
      <c r="D121" s="59" t="s">
        <v>30</v>
      </c>
      <c r="E121" s="59" t="s">
        <v>234</v>
      </c>
      <c r="F121" s="27">
        <v>10</v>
      </c>
      <c r="G121" s="34">
        <f t="shared" si="24"/>
        <v>50</v>
      </c>
      <c r="H121" s="33"/>
      <c r="I121" s="33"/>
      <c r="J121" s="33"/>
      <c r="K121" s="29"/>
      <c r="L121" s="29"/>
      <c r="M121" s="35" t="str">
        <f t="shared" ca="1" si="25"/>
        <v/>
      </c>
      <c r="N121" s="27"/>
      <c r="O121" s="31"/>
    </row>
    <row r="122" spans="1:15" ht="15.75" customHeight="1">
      <c r="A122" s="119" t="s">
        <v>236</v>
      </c>
      <c r="B122" s="120"/>
      <c r="C122" s="120"/>
      <c r="D122" s="120"/>
      <c r="E122" s="121">
        <f>SUM(E110:E121)</f>
        <v>0</v>
      </c>
      <c r="F122" s="36">
        <f>SUM(F110:F121)</f>
        <v>267</v>
      </c>
      <c r="G122" s="36">
        <f>SUM(G110:G121)</f>
        <v>1335</v>
      </c>
      <c r="H122" s="37"/>
      <c r="I122" s="37"/>
      <c r="J122" s="37"/>
      <c r="K122" s="37"/>
      <c r="L122" s="37"/>
      <c r="M122" s="38">
        <f ca="1">IFERROR(SUM(M110:M121),"")</f>
        <v>1.3888888888888895E-2</v>
      </c>
      <c r="N122" s="36" t="s">
        <v>237</v>
      </c>
      <c r="O122" s="39">
        <v>1625420</v>
      </c>
    </row>
    <row r="123" spans="1:15" ht="15" customHeight="1">
      <c r="A123" s="69">
        <v>46208</v>
      </c>
      <c r="B123" s="32">
        <v>0.83333333333333304</v>
      </c>
      <c r="C123" s="33" t="s">
        <v>21</v>
      </c>
      <c r="D123" s="62" t="s">
        <v>30</v>
      </c>
      <c r="E123" s="62"/>
      <c r="F123" s="27"/>
      <c r="G123" s="34" t="str">
        <f t="shared" ref="G123:G134" si="27">IF(F123="","",IF(E123="PC 17",F123*4.2,IF(E123="PC 19",F123*5,"")))</f>
        <v/>
      </c>
      <c r="H123" s="33" t="s">
        <v>20</v>
      </c>
      <c r="I123" s="33" t="s">
        <v>23</v>
      </c>
      <c r="J123" s="33" t="s">
        <v>187</v>
      </c>
      <c r="K123" s="29">
        <v>0.86805555555555558</v>
      </c>
      <c r="L123" s="29">
        <v>0.89583333333333337</v>
      </c>
      <c r="M123" s="35">
        <f t="shared" ref="M123:M134" ca="1" si="28">IFERROR(IF(K123="","",IF(L123="",MOD(NOW()-K123,1),IF(L123&gt;=K123,L123-K123,L123+1-K123))),"")</f>
        <v>2.777777777777779E-2</v>
      </c>
      <c r="N123" s="27"/>
      <c r="O123" s="31"/>
    </row>
    <row r="124" spans="1:15" ht="15" customHeight="1">
      <c r="A124" s="68">
        <v>46208</v>
      </c>
      <c r="B124" s="25">
        <f t="shared" ref="B124:B134" si="29">B123+TIME(0,60,0)</f>
        <v>0.87499999999999967</v>
      </c>
      <c r="C124" s="33" t="s">
        <v>21</v>
      </c>
      <c r="D124" s="62" t="s">
        <v>30</v>
      </c>
      <c r="E124" s="62" t="s">
        <v>234</v>
      </c>
      <c r="F124" s="27">
        <v>4</v>
      </c>
      <c r="G124" s="28">
        <f t="shared" si="27"/>
        <v>20</v>
      </c>
      <c r="H124" s="26" t="s">
        <v>20</v>
      </c>
      <c r="I124" s="26" t="s">
        <v>23</v>
      </c>
      <c r="J124" s="26" t="s">
        <v>189</v>
      </c>
      <c r="K124" s="29">
        <v>0.13194444444444445</v>
      </c>
      <c r="L124" s="29">
        <v>0.20833333333333334</v>
      </c>
      <c r="M124" s="30">
        <f t="shared" ca="1" si="28"/>
        <v>7.6388888888888895E-2</v>
      </c>
      <c r="N124" s="27"/>
      <c r="O124" s="31"/>
    </row>
    <row r="125" spans="1:15" ht="15" customHeight="1">
      <c r="A125" s="69">
        <v>46208</v>
      </c>
      <c r="B125" s="32">
        <f t="shared" si="29"/>
        <v>0.9166666666666663</v>
      </c>
      <c r="C125" s="33" t="s">
        <v>21</v>
      </c>
      <c r="D125" s="62" t="s">
        <v>30</v>
      </c>
      <c r="E125" s="62"/>
      <c r="F125" s="27"/>
      <c r="G125" s="34" t="str">
        <f t="shared" si="27"/>
        <v/>
      </c>
      <c r="H125" s="33"/>
      <c r="I125" s="33"/>
      <c r="J125" s="33"/>
      <c r="K125" s="29"/>
      <c r="L125" s="29"/>
      <c r="M125" s="35" t="str">
        <f t="shared" ca="1" si="28"/>
        <v/>
      </c>
      <c r="N125" s="27"/>
      <c r="O125" s="31"/>
    </row>
    <row r="126" spans="1:15" ht="15" customHeight="1">
      <c r="A126" s="68">
        <v>46208</v>
      </c>
      <c r="B126" s="25">
        <f t="shared" si="29"/>
        <v>0.95833333333333293</v>
      </c>
      <c r="C126" s="33" t="s">
        <v>21</v>
      </c>
      <c r="D126" s="62" t="s">
        <v>30</v>
      </c>
      <c r="E126" s="62"/>
      <c r="F126" s="27"/>
      <c r="G126" s="28" t="str">
        <f t="shared" si="27"/>
        <v/>
      </c>
      <c r="H126" s="26"/>
      <c r="I126" s="26"/>
      <c r="J126" s="26"/>
      <c r="K126" s="29"/>
      <c r="L126" s="29"/>
      <c r="M126" s="30" t="str">
        <f t="shared" ca="1" si="28"/>
        <v/>
      </c>
      <c r="N126" s="27"/>
      <c r="O126" s="31"/>
    </row>
    <row r="127" spans="1:15" ht="15" customHeight="1">
      <c r="A127" s="69">
        <v>46208</v>
      </c>
      <c r="B127" s="32">
        <f t="shared" si="29"/>
        <v>0.99999999999999956</v>
      </c>
      <c r="C127" s="33" t="s">
        <v>21</v>
      </c>
      <c r="D127" s="62" t="s">
        <v>30</v>
      </c>
      <c r="E127" s="62"/>
      <c r="F127" s="27"/>
      <c r="G127" s="34" t="str">
        <f t="shared" si="27"/>
        <v/>
      </c>
      <c r="H127" s="33"/>
      <c r="I127" s="33"/>
      <c r="J127" s="33"/>
      <c r="K127" s="29"/>
      <c r="L127" s="29"/>
      <c r="M127" s="35" t="str">
        <f t="shared" ca="1" si="28"/>
        <v/>
      </c>
      <c r="N127" s="27"/>
      <c r="O127" s="31"/>
    </row>
    <row r="128" spans="1:15" ht="15" customHeight="1">
      <c r="A128" s="68">
        <v>46208</v>
      </c>
      <c r="B128" s="25">
        <f t="shared" si="29"/>
        <v>1.0416666666666663</v>
      </c>
      <c r="C128" s="33" t="s">
        <v>21</v>
      </c>
      <c r="D128" s="62" t="s">
        <v>30</v>
      </c>
      <c r="E128" s="62"/>
      <c r="F128" s="27"/>
      <c r="G128" s="28" t="str">
        <f t="shared" si="27"/>
        <v/>
      </c>
      <c r="H128" s="26"/>
      <c r="I128" s="26"/>
      <c r="J128" s="26"/>
      <c r="K128" s="29"/>
      <c r="L128" s="29"/>
      <c r="M128" s="30" t="str">
        <f t="shared" ca="1" si="28"/>
        <v/>
      </c>
      <c r="N128" s="27"/>
      <c r="O128" s="31"/>
    </row>
    <row r="129" spans="1:15" ht="15" customHeight="1">
      <c r="A129" s="69">
        <v>46208</v>
      </c>
      <c r="B129" s="32">
        <f t="shared" si="29"/>
        <v>1.083333333333333</v>
      </c>
      <c r="C129" s="33" t="s">
        <v>21</v>
      </c>
      <c r="D129" s="62" t="s">
        <v>30</v>
      </c>
      <c r="E129" s="62"/>
      <c r="F129" s="27"/>
      <c r="G129" s="34" t="str">
        <f t="shared" si="27"/>
        <v/>
      </c>
      <c r="H129" s="33"/>
      <c r="I129" s="33"/>
      <c r="J129" s="33"/>
      <c r="K129" s="29"/>
      <c r="L129" s="29"/>
      <c r="M129" s="35" t="str">
        <f t="shared" ca="1" si="28"/>
        <v/>
      </c>
      <c r="N129" s="27"/>
      <c r="O129" s="31"/>
    </row>
    <row r="130" spans="1:15" ht="15" customHeight="1">
      <c r="A130" s="68">
        <v>46208</v>
      </c>
      <c r="B130" s="25">
        <f t="shared" si="29"/>
        <v>1.1249999999999998</v>
      </c>
      <c r="C130" s="33" t="s">
        <v>21</v>
      </c>
      <c r="D130" s="62" t="s">
        <v>30</v>
      </c>
      <c r="E130" s="62"/>
      <c r="F130" s="27"/>
      <c r="G130" s="28" t="str">
        <f t="shared" si="27"/>
        <v/>
      </c>
      <c r="H130" s="26"/>
      <c r="I130" s="26"/>
      <c r="J130" s="26"/>
      <c r="K130" s="29"/>
      <c r="L130" s="29"/>
      <c r="M130" s="30" t="str">
        <f t="shared" ca="1" si="28"/>
        <v/>
      </c>
      <c r="N130" s="27"/>
      <c r="O130" s="31"/>
    </row>
    <row r="131" spans="1:15" ht="15" customHeight="1">
      <c r="A131" s="69">
        <v>46208</v>
      </c>
      <c r="B131" s="32">
        <f t="shared" si="29"/>
        <v>1.1666666666666665</v>
      </c>
      <c r="C131" s="33" t="s">
        <v>21</v>
      </c>
      <c r="D131" s="62" t="s">
        <v>30</v>
      </c>
      <c r="E131" s="62"/>
      <c r="F131" s="27"/>
      <c r="G131" s="34" t="str">
        <f t="shared" si="27"/>
        <v/>
      </c>
      <c r="H131" s="33"/>
      <c r="I131" s="33"/>
      <c r="J131" s="33"/>
      <c r="K131" s="29"/>
      <c r="L131" s="29"/>
      <c r="M131" s="35" t="str">
        <f t="shared" ca="1" si="28"/>
        <v/>
      </c>
      <c r="N131" s="27"/>
      <c r="O131" s="31"/>
    </row>
    <row r="132" spans="1:15" ht="15" customHeight="1">
      <c r="A132" s="68">
        <v>46208</v>
      </c>
      <c r="B132" s="25">
        <f t="shared" si="29"/>
        <v>1.2083333333333333</v>
      </c>
      <c r="C132" s="33" t="s">
        <v>21</v>
      </c>
      <c r="D132" s="62" t="s">
        <v>30</v>
      </c>
      <c r="E132" s="62"/>
      <c r="F132" s="27"/>
      <c r="G132" s="28" t="str">
        <f t="shared" si="27"/>
        <v/>
      </c>
      <c r="H132" s="26"/>
      <c r="I132" s="26"/>
      <c r="J132" s="26"/>
      <c r="K132" s="29"/>
      <c r="L132" s="29"/>
      <c r="M132" s="30" t="str">
        <f t="shared" ca="1" si="28"/>
        <v/>
      </c>
      <c r="N132" s="27"/>
      <c r="O132" s="31"/>
    </row>
    <row r="133" spans="1:15" ht="15" customHeight="1">
      <c r="A133" s="69">
        <v>46208</v>
      </c>
      <c r="B133" s="32">
        <f t="shared" si="29"/>
        <v>1.25</v>
      </c>
      <c r="C133" s="33" t="s">
        <v>21</v>
      </c>
      <c r="D133" s="62" t="s">
        <v>30</v>
      </c>
      <c r="E133" s="62"/>
      <c r="F133" s="27"/>
      <c r="G133" s="34" t="str">
        <f t="shared" si="27"/>
        <v/>
      </c>
      <c r="H133" s="33"/>
      <c r="I133" s="33"/>
      <c r="J133" s="33"/>
      <c r="K133" s="29"/>
      <c r="L133" s="29"/>
      <c r="M133" s="35" t="str">
        <f t="shared" ca="1" si="28"/>
        <v/>
      </c>
      <c r="N133" s="27"/>
      <c r="O133" s="31"/>
    </row>
    <row r="134" spans="1:15" ht="15" customHeight="1">
      <c r="A134" s="68">
        <v>46208</v>
      </c>
      <c r="B134" s="25">
        <f t="shared" si="29"/>
        <v>1.2916666666666667</v>
      </c>
      <c r="C134" s="33" t="s">
        <v>21</v>
      </c>
      <c r="D134" s="62" t="s">
        <v>30</v>
      </c>
      <c r="E134" s="62"/>
      <c r="F134" s="27"/>
      <c r="G134" s="28" t="str">
        <f t="shared" si="27"/>
        <v/>
      </c>
      <c r="H134" s="26"/>
      <c r="I134" s="26"/>
      <c r="J134" s="26"/>
      <c r="K134" s="29"/>
      <c r="L134" s="29"/>
      <c r="M134" s="30" t="str">
        <f t="shared" ca="1" si="28"/>
        <v/>
      </c>
      <c r="N134" s="27"/>
      <c r="O134" s="31"/>
    </row>
    <row r="135" spans="1:15" ht="15.75" customHeight="1">
      <c r="A135" s="119" t="s">
        <v>238</v>
      </c>
      <c r="B135" s="120"/>
      <c r="C135" s="120"/>
      <c r="D135" s="120"/>
      <c r="E135" s="121">
        <f>SUM(E123:E134)</f>
        <v>0</v>
      </c>
      <c r="F135" s="36">
        <f>SUM(F123:F134)</f>
        <v>4</v>
      </c>
      <c r="G135" s="36">
        <f>SUM(G123:G134)</f>
        <v>20</v>
      </c>
      <c r="H135" s="37"/>
      <c r="I135" s="37"/>
      <c r="J135" s="37"/>
      <c r="K135" s="37"/>
      <c r="L135" s="37"/>
      <c r="M135" s="38">
        <f ca="1">IFERROR(SUM(M123:M134),"")</f>
        <v>0.10416666666666669</v>
      </c>
      <c r="N135" s="36" t="s">
        <v>237</v>
      </c>
      <c r="O135" s="39">
        <v>862330</v>
      </c>
    </row>
    <row r="136" spans="1:15" ht="18" customHeight="1">
      <c r="A136" s="122" t="s">
        <v>239</v>
      </c>
      <c r="B136" s="123"/>
      <c r="C136" s="123"/>
      <c r="D136" s="123"/>
      <c r="E136" s="124">
        <f>E122+E135</f>
        <v>0</v>
      </c>
      <c r="F136" s="40">
        <f>F122+F135</f>
        <v>271</v>
      </c>
      <c r="G136" s="40">
        <f>G122+G135</f>
        <v>1355</v>
      </c>
      <c r="H136" s="41"/>
      <c r="I136" s="41"/>
      <c r="J136" s="41"/>
      <c r="K136" s="41"/>
      <c r="L136" s="41"/>
      <c r="M136" s="42">
        <f ca="1">IFERROR(M122+M135,"")</f>
        <v>0.11805555555555558</v>
      </c>
      <c r="N136" s="40" t="s">
        <v>240</v>
      </c>
      <c r="O136" s="43">
        <f>IFERROR(O122+O135,"")</f>
        <v>2487750</v>
      </c>
    </row>
    <row r="137" spans="1:15" ht="15" customHeight="1">
      <c r="A137" s="69">
        <v>46209</v>
      </c>
      <c r="B137" s="32">
        <v>0.33333333333333298</v>
      </c>
      <c r="C137" s="33" t="s">
        <v>29</v>
      </c>
      <c r="D137" s="62" t="s">
        <v>30</v>
      </c>
      <c r="E137" s="62" t="s">
        <v>234</v>
      </c>
      <c r="F137" s="27">
        <v>0</v>
      </c>
      <c r="G137" s="34">
        <f t="shared" ref="G137:G148" si="30">IF(F137="","",IF(E137="PC 17",F137*4.2,IF(E137="PC 19",F137*5,"")))</f>
        <v>0</v>
      </c>
      <c r="H137" s="33" t="s">
        <v>20</v>
      </c>
      <c r="I137" s="33" t="s">
        <v>23</v>
      </c>
      <c r="J137" s="33" t="s">
        <v>187</v>
      </c>
      <c r="K137" s="29">
        <v>0.29166666666666669</v>
      </c>
      <c r="L137" s="29">
        <v>0.3263888888888889</v>
      </c>
      <c r="M137" s="35">
        <f t="shared" ref="M137:M148" ca="1" si="31">IFERROR(IF(K137="","",IF(L137="",MOD(NOW()-K137,1),IF(L137&gt;=K137,L137-K137,L137+1-K137))),"")</f>
        <v>3.472222222222221E-2</v>
      </c>
      <c r="N137" s="27"/>
      <c r="O137" s="31"/>
    </row>
    <row r="138" spans="1:15" ht="15" customHeight="1">
      <c r="A138" s="68">
        <v>46209</v>
      </c>
      <c r="B138" s="25">
        <f t="shared" ref="B138:B148" si="32">B137+TIME(0,60,0)</f>
        <v>0.37499999999999967</v>
      </c>
      <c r="C138" s="33" t="s">
        <v>29</v>
      </c>
      <c r="D138" s="62" t="s">
        <v>30</v>
      </c>
      <c r="E138" s="62" t="s">
        <v>234</v>
      </c>
      <c r="F138" s="27">
        <v>22</v>
      </c>
      <c r="G138" s="28">
        <f t="shared" si="30"/>
        <v>110</v>
      </c>
      <c r="H138" s="26" t="s">
        <v>19</v>
      </c>
      <c r="I138" s="26" t="s">
        <v>23</v>
      </c>
      <c r="J138" s="26" t="s">
        <v>67</v>
      </c>
      <c r="K138" s="29">
        <v>0.5493055555555556</v>
      </c>
      <c r="L138" s="29">
        <v>0.57638888888888884</v>
      </c>
      <c r="M138" s="30">
        <f t="shared" ca="1" si="31"/>
        <v>2.7083333333333237E-2</v>
      </c>
      <c r="N138" s="27"/>
      <c r="O138" s="31"/>
    </row>
    <row r="139" spans="1:15" ht="15" customHeight="1">
      <c r="A139" s="69">
        <v>46209</v>
      </c>
      <c r="B139" s="32">
        <f t="shared" si="32"/>
        <v>0.41666666666666635</v>
      </c>
      <c r="C139" s="33" t="s">
        <v>29</v>
      </c>
      <c r="D139" s="62" t="s">
        <v>30</v>
      </c>
      <c r="E139" s="62" t="s">
        <v>234</v>
      </c>
      <c r="F139" s="27">
        <v>8</v>
      </c>
      <c r="G139" s="34">
        <f t="shared" si="30"/>
        <v>40</v>
      </c>
      <c r="H139" s="33" t="s">
        <v>19</v>
      </c>
      <c r="I139" s="33" t="s">
        <v>23</v>
      </c>
      <c r="J139" s="33" t="s">
        <v>107</v>
      </c>
      <c r="K139" s="29">
        <v>0.58333333333333337</v>
      </c>
      <c r="L139" s="29">
        <v>0.60416666666666663</v>
      </c>
      <c r="M139" s="35">
        <f t="shared" ca="1" si="31"/>
        <v>2.0833333333333259E-2</v>
      </c>
      <c r="N139" s="27"/>
      <c r="O139" s="31"/>
    </row>
    <row r="140" spans="1:15" ht="15" customHeight="1">
      <c r="A140" s="68">
        <v>46209</v>
      </c>
      <c r="B140" s="25">
        <f t="shared" si="32"/>
        <v>0.45833333333333304</v>
      </c>
      <c r="C140" s="33" t="s">
        <v>29</v>
      </c>
      <c r="D140" s="62" t="s">
        <v>30</v>
      </c>
      <c r="E140" s="62" t="s">
        <v>234</v>
      </c>
      <c r="F140" s="27">
        <v>6</v>
      </c>
      <c r="G140" s="28">
        <f t="shared" si="30"/>
        <v>30</v>
      </c>
      <c r="H140" s="26" t="s">
        <v>19</v>
      </c>
      <c r="I140" s="26" t="s">
        <v>23</v>
      </c>
      <c r="J140" s="26" t="s">
        <v>50</v>
      </c>
      <c r="K140" s="29">
        <v>0.5493055555555556</v>
      </c>
      <c r="L140" s="29">
        <v>0.68333333333333335</v>
      </c>
      <c r="M140" s="30">
        <f t="shared" ca="1" si="31"/>
        <v>0.13402777777777775</v>
      </c>
      <c r="N140" s="27"/>
      <c r="O140" s="31"/>
    </row>
    <row r="141" spans="1:15" ht="15" customHeight="1">
      <c r="A141" s="69">
        <v>46209</v>
      </c>
      <c r="B141" s="32">
        <f t="shared" si="32"/>
        <v>0.49999999999999972</v>
      </c>
      <c r="C141" s="33" t="s">
        <v>29</v>
      </c>
      <c r="D141" s="62" t="s">
        <v>30</v>
      </c>
      <c r="E141" s="62" t="s">
        <v>234</v>
      </c>
      <c r="F141" s="27">
        <v>7</v>
      </c>
      <c r="G141" s="34">
        <f t="shared" si="30"/>
        <v>35</v>
      </c>
      <c r="H141" s="33"/>
      <c r="I141" s="33"/>
      <c r="J141" s="33"/>
      <c r="K141" s="29"/>
      <c r="L141" s="29"/>
      <c r="M141" s="35" t="str">
        <f t="shared" ca="1" si="31"/>
        <v/>
      </c>
      <c r="N141" s="27"/>
      <c r="O141" s="31"/>
    </row>
    <row r="142" spans="1:15" ht="15" customHeight="1">
      <c r="A142" s="68">
        <v>46209</v>
      </c>
      <c r="B142" s="25">
        <f t="shared" si="32"/>
        <v>0.54166666666666641</v>
      </c>
      <c r="C142" s="33" t="s">
        <v>29</v>
      </c>
      <c r="D142" s="62" t="s">
        <v>30</v>
      </c>
      <c r="E142" s="62" t="s">
        <v>234</v>
      </c>
      <c r="F142" s="27">
        <v>6</v>
      </c>
      <c r="G142" s="28">
        <f t="shared" si="30"/>
        <v>30</v>
      </c>
      <c r="H142" s="26"/>
      <c r="I142" s="26"/>
      <c r="J142" s="26"/>
      <c r="K142" s="29"/>
      <c r="L142" s="29"/>
      <c r="M142" s="30" t="str">
        <f t="shared" ca="1" si="31"/>
        <v/>
      </c>
      <c r="N142" s="27"/>
      <c r="O142" s="31"/>
    </row>
    <row r="143" spans="1:15" ht="15" customHeight="1">
      <c r="A143" s="69">
        <v>46209</v>
      </c>
      <c r="B143" s="32">
        <f t="shared" si="32"/>
        <v>0.58333333333333304</v>
      </c>
      <c r="C143" s="33" t="s">
        <v>29</v>
      </c>
      <c r="D143" s="62" t="s">
        <v>30</v>
      </c>
      <c r="E143" s="62" t="s">
        <v>234</v>
      </c>
      <c r="F143" s="27">
        <v>4</v>
      </c>
      <c r="G143" s="34">
        <f t="shared" si="30"/>
        <v>20</v>
      </c>
      <c r="H143" s="33"/>
      <c r="I143" s="33"/>
      <c r="J143" s="33"/>
      <c r="K143" s="29"/>
      <c r="L143" s="29"/>
      <c r="M143" s="35" t="str">
        <f t="shared" ca="1" si="31"/>
        <v/>
      </c>
      <c r="N143" s="27"/>
      <c r="O143" s="31"/>
    </row>
    <row r="144" spans="1:15" ht="15" customHeight="1">
      <c r="A144" s="68">
        <v>46209</v>
      </c>
      <c r="B144" s="25">
        <f t="shared" si="32"/>
        <v>0.62499999999999967</v>
      </c>
      <c r="C144" s="33" t="s">
        <v>29</v>
      </c>
      <c r="D144" s="62" t="s">
        <v>30</v>
      </c>
      <c r="E144" s="62" t="s">
        <v>234</v>
      </c>
      <c r="F144" s="27">
        <v>0</v>
      </c>
      <c r="G144" s="28">
        <f t="shared" si="30"/>
        <v>0</v>
      </c>
      <c r="H144" s="26"/>
      <c r="I144" s="26"/>
      <c r="J144" s="26"/>
      <c r="K144" s="29"/>
      <c r="L144" s="29"/>
      <c r="M144" s="30" t="str">
        <f t="shared" ca="1" si="31"/>
        <v/>
      </c>
      <c r="N144" s="27"/>
      <c r="O144" s="31"/>
    </row>
    <row r="145" spans="1:15" ht="15" customHeight="1">
      <c r="A145" s="69">
        <v>46209</v>
      </c>
      <c r="B145" s="32">
        <f t="shared" si="32"/>
        <v>0.6666666666666663</v>
      </c>
      <c r="C145" s="33" t="s">
        <v>29</v>
      </c>
      <c r="D145" s="62" t="s">
        <v>30</v>
      </c>
      <c r="E145" s="62" t="s">
        <v>234</v>
      </c>
      <c r="F145" s="27">
        <v>0</v>
      </c>
      <c r="G145" s="34">
        <f t="shared" si="30"/>
        <v>0</v>
      </c>
      <c r="H145" s="33"/>
      <c r="I145" s="33"/>
      <c r="J145" s="33"/>
      <c r="K145" s="29"/>
      <c r="L145" s="29"/>
      <c r="M145" s="35" t="str">
        <f t="shared" ca="1" si="31"/>
        <v/>
      </c>
      <c r="N145" s="27"/>
      <c r="O145" s="31"/>
    </row>
    <row r="146" spans="1:15" ht="15" customHeight="1">
      <c r="A146" s="68">
        <v>46209</v>
      </c>
      <c r="B146" s="25">
        <f t="shared" si="32"/>
        <v>0.70833333333333293</v>
      </c>
      <c r="C146" s="33" t="s">
        <v>29</v>
      </c>
      <c r="D146" s="62" t="s">
        <v>30</v>
      </c>
      <c r="E146" s="62" t="s">
        <v>234</v>
      </c>
      <c r="F146" s="27">
        <v>10</v>
      </c>
      <c r="G146" s="28">
        <f t="shared" si="30"/>
        <v>50</v>
      </c>
      <c r="H146" s="26"/>
      <c r="I146" s="26"/>
      <c r="J146" s="26"/>
      <c r="K146" s="29"/>
      <c r="L146" s="29"/>
      <c r="M146" s="30" t="str">
        <f t="shared" ca="1" si="31"/>
        <v/>
      </c>
      <c r="N146" s="27"/>
      <c r="O146" s="31"/>
    </row>
    <row r="147" spans="1:15" ht="15" customHeight="1">
      <c r="A147" s="69">
        <v>46209</v>
      </c>
      <c r="B147" s="32">
        <f t="shared" si="32"/>
        <v>0.74999999999999956</v>
      </c>
      <c r="C147" s="33" t="s">
        <v>29</v>
      </c>
      <c r="D147" s="62" t="s">
        <v>30</v>
      </c>
      <c r="E147" s="62" t="s">
        <v>234</v>
      </c>
      <c r="F147" s="27">
        <v>11</v>
      </c>
      <c r="G147" s="34">
        <f t="shared" si="30"/>
        <v>55</v>
      </c>
      <c r="H147" s="33"/>
      <c r="I147" s="33"/>
      <c r="J147" s="33"/>
      <c r="K147" s="29"/>
      <c r="L147" s="29"/>
      <c r="M147" s="35" t="str">
        <f t="shared" ca="1" si="31"/>
        <v/>
      </c>
      <c r="N147" s="27"/>
      <c r="O147" s="31"/>
    </row>
    <row r="148" spans="1:15" ht="15" customHeight="1">
      <c r="A148" s="68">
        <v>46209</v>
      </c>
      <c r="B148" s="25">
        <f t="shared" si="32"/>
        <v>0.79166666666666619</v>
      </c>
      <c r="C148" s="33" t="s">
        <v>29</v>
      </c>
      <c r="D148" s="62" t="s">
        <v>30</v>
      </c>
      <c r="E148" s="62" t="s">
        <v>234</v>
      </c>
      <c r="F148" s="27">
        <v>5</v>
      </c>
      <c r="G148" s="28">
        <f t="shared" si="30"/>
        <v>25</v>
      </c>
      <c r="H148" s="26"/>
      <c r="I148" s="26"/>
      <c r="J148" s="26"/>
      <c r="K148" s="29"/>
      <c r="L148" s="29"/>
      <c r="M148" s="30" t="str">
        <f t="shared" ca="1" si="31"/>
        <v/>
      </c>
      <c r="N148" s="27"/>
      <c r="O148" s="31"/>
    </row>
    <row r="149" spans="1:15" ht="15.75" customHeight="1">
      <c r="A149" s="119" t="s">
        <v>236</v>
      </c>
      <c r="B149" s="120"/>
      <c r="C149" s="120"/>
      <c r="D149" s="120"/>
      <c r="E149" s="121">
        <f>SUM(E137:E148)</f>
        <v>0</v>
      </c>
      <c r="F149" s="36">
        <f>SUM(F137:F148)</f>
        <v>79</v>
      </c>
      <c r="G149" s="36">
        <f>SUM(G137:G148)</f>
        <v>395</v>
      </c>
      <c r="H149" s="37"/>
      <c r="I149" s="37"/>
      <c r="J149" s="37"/>
      <c r="K149" s="37"/>
      <c r="L149" s="37"/>
      <c r="M149" s="38">
        <f ca="1">IFERROR(SUM(M137:M148),"")</f>
        <v>0.21666666666666645</v>
      </c>
      <c r="N149" s="36" t="s">
        <v>237</v>
      </c>
      <c r="O149" s="44">
        <v>1121220</v>
      </c>
    </row>
    <row r="150" spans="1:15" ht="15" customHeight="1">
      <c r="A150" s="68">
        <v>46209</v>
      </c>
      <c r="B150" s="25">
        <v>0.83333333333333304</v>
      </c>
      <c r="C150" s="26" t="s">
        <v>21</v>
      </c>
      <c r="D150" s="59" t="s">
        <v>30</v>
      </c>
      <c r="E150" s="59" t="s">
        <v>234</v>
      </c>
      <c r="F150" s="27">
        <v>20</v>
      </c>
      <c r="G150" s="28">
        <f t="shared" ref="G150:G161" si="33">IF(F150="","",IF(E150="PC 17",F150*4.2,IF(E150="PC 19",F150*5,"")))</f>
        <v>100</v>
      </c>
      <c r="H150" s="26" t="s">
        <v>18</v>
      </c>
      <c r="I150" s="26" t="s">
        <v>23</v>
      </c>
      <c r="J150" s="26" t="s">
        <v>164</v>
      </c>
      <c r="K150" s="29">
        <v>0.15138888888888888</v>
      </c>
      <c r="L150" s="29">
        <v>0.15486111111111112</v>
      </c>
      <c r="M150" s="30">
        <f t="shared" ref="M150:M161" ca="1" si="34">IFERROR(IF(K150="","",IF(L150="",MOD(NOW()-K150,1),IF(L150&gt;=K150,L150-K150,L150+1-K150))),"")</f>
        <v>3.4722222222222376E-3</v>
      </c>
      <c r="N150" s="27"/>
      <c r="O150" s="31"/>
    </row>
    <row r="151" spans="1:15" ht="15" customHeight="1">
      <c r="A151" s="69">
        <v>46209</v>
      </c>
      <c r="B151" s="32">
        <f t="shared" ref="B151:B161" si="35">B150+TIME(0,60,0)</f>
        <v>0.87499999999999967</v>
      </c>
      <c r="C151" s="26" t="s">
        <v>21</v>
      </c>
      <c r="D151" s="59" t="s">
        <v>30</v>
      </c>
      <c r="E151" s="59" t="s">
        <v>234</v>
      </c>
      <c r="F151" s="27">
        <v>10</v>
      </c>
      <c r="G151" s="34">
        <f t="shared" si="33"/>
        <v>50</v>
      </c>
      <c r="H151" s="33" t="s">
        <v>20</v>
      </c>
      <c r="I151" s="33" t="s">
        <v>23</v>
      </c>
      <c r="J151" s="33" t="s">
        <v>143</v>
      </c>
      <c r="K151" s="29">
        <v>0.19097222222222221</v>
      </c>
      <c r="L151" s="29">
        <v>0.20833333333333334</v>
      </c>
      <c r="M151" s="35">
        <f t="shared" ca="1" si="34"/>
        <v>1.7361111111111133E-2</v>
      </c>
      <c r="N151" s="27"/>
      <c r="O151" s="31"/>
    </row>
    <row r="152" spans="1:15" ht="15" customHeight="1">
      <c r="A152" s="68">
        <v>46209</v>
      </c>
      <c r="B152" s="25">
        <f t="shared" si="35"/>
        <v>0.9166666666666663</v>
      </c>
      <c r="C152" s="26" t="s">
        <v>21</v>
      </c>
      <c r="D152" s="59" t="s">
        <v>30</v>
      </c>
      <c r="E152" s="59" t="s">
        <v>234</v>
      </c>
      <c r="F152" s="27">
        <v>23</v>
      </c>
      <c r="G152" s="28">
        <f t="shared" si="33"/>
        <v>115</v>
      </c>
      <c r="H152" s="26"/>
      <c r="I152" s="26"/>
      <c r="J152" s="26"/>
      <c r="K152" s="29"/>
      <c r="L152" s="29"/>
      <c r="M152" s="30" t="str">
        <f t="shared" ca="1" si="34"/>
        <v/>
      </c>
      <c r="N152" s="27"/>
      <c r="O152" s="31"/>
    </row>
    <row r="153" spans="1:15" ht="15" customHeight="1">
      <c r="A153" s="69">
        <v>46209</v>
      </c>
      <c r="B153" s="32">
        <f t="shared" si="35"/>
        <v>0.95833333333333293</v>
      </c>
      <c r="C153" s="26" t="s">
        <v>21</v>
      </c>
      <c r="D153" s="59" t="s">
        <v>30</v>
      </c>
      <c r="E153" s="59" t="s">
        <v>234</v>
      </c>
      <c r="F153" s="27">
        <v>40</v>
      </c>
      <c r="G153" s="34">
        <f t="shared" si="33"/>
        <v>200</v>
      </c>
      <c r="H153" s="33"/>
      <c r="I153" s="33"/>
      <c r="J153" s="33"/>
      <c r="K153" s="29"/>
      <c r="L153" s="29"/>
      <c r="M153" s="35" t="str">
        <f t="shared" ca="1" si="34"/>
        <v/>
      </c>
      <c r="N153" s="27"/>
      <c r="O153" s="31"/>
    </row>
    <row r="154" spans="1:15" ht="15" customHeight="1">
      <c r="A154" s="68">
        <v>46209</v>
      </c>
      <c r="B154" s="25">
        <f t="shared" si="35"/>
        <v>0.99999999999999956</v>
      </c>
      <c r="C154" s="26" t="s">
        <v>21</v>
      </c>
      <c r="D154" s="59" t="s">
        <v>30</v>
      </c>
      <c r="E154" s="59" t="s">
        <v>234</v>
      </c>
      <c r="F154" s="27">
        <v>30</v>
      </c>
      <c r="G154" s="28">
        <f t="shared" si="33"/>
        <v>150</v>
      </c>
      <c r="H154" s="26"/>
      <c r="I154" s="26"/>
      <c r="J154" s="26"/>
      <c r="K154" s="29"/>
      <c r="L154" s="29"/>
      <c r="M154" s="30" t="str">
        <f t="shared" ca="1" si="34"/>
        <v/>
      </c>
      <c r="N154" s="27"/>
      <c r="O154" s="31"/>
    </row>
    <row r="155" spans="1:15" ht="15" customHeight="1">
      <c r="A155" s="69">
        <v>46209</v>
      </c>
      <c r="B155" s="32">
        <f t="shared" si="35"/>
        <v>1.0416666666666663</v>
      </c>
      <c r="C155" s="26" t="s">
        <v>21</v>
      </c>
      <c r="D155" s="59" t="s">
        <v>30</v>
      </c>
      <c r="E155" s="59" t="s">
        <v>234</v>
      </c>
      <c r="F155" s="27">
        <v>32</v>
      </c>
      <c r="G155" s="34">
        <f t="shared" si="33"/>
        <v>160</v>
      </c>
      <c r="H155" s="33"/>
      <c r="I155" s="33"/>
      <c r="J155" s="33"/>
      <c r="K155" s="29"/>
      <c r="L155" s="29"/>
      <c r="M155" s="35" t="str">
        <f t="shared" ca="1" si="34"/>
        <v/>
      </c>
      <c r="N155" s="27"/>
      <c r="O155" s="31"/>
    </row>
    <row r="156" spans="1:15" ht="15" customHeight="1">
      <c r="A156" s="68">
        <v>46209</v>
      </c>
      <c r="B156" s="25">
        <f t="shared" si="35"/>
        <v>1.083333333333333</v>
      </c>
      <c r="C156" s="26" t="s">
        <v>21</v>
      </c>
      <c r="D156" s="59" t="s">
        <v>30</v>
      </c>
      <c r="E156" s="59" t="s">
        <v>234</v>
      </c>
      <c r="F156" s="27">
        <v>35</v>
      </c>
      <c r="G156" s="28">
        <f t="shared" si="33"/>
        <v>175</v>
      </c>
      <c r="H156" s="26"/>
      <c r="I156" s="26"/>
      <c r="J156" s="26"/>
      <c r="K156" s="29"/>
      <c r="L156" s="29"/>
      <c r="M156" s="30" t="str">
        <f t="shared" ca="1" si="34"/>
        <v/>
      </c>
      <c r="N156" s="27"/>
      <c r="O156" s="31"/>
    </row>
    <row r="157" spans="1:15" ht="15" customHeight="1">
      <c r="A157" s="69">
        <v>46209</v>
      </c>
      <c r="B157" s="32">
        <f t="shared" si="35"/>
        <v>1.1249999999999998</v>
      </c>
      <c r="C157" s="26" t="s">
        <v>21</v>
      </c>
      <c r="D157" s="59" t="s">
        <v>30</v>
      </c>
      <c r="E157" s="59" t="s">
        <v>234</v>
      </c>
      <c r="F157" s="27">
        <v>34</v>
      </c>
      <c r="G157" s="34">
        <f t="shared" si="33"/>
        <v>170</v>
      </c>
      <c r="H157" s="33"/>
      <c r="I157" s="33"/>
      <c r="J157" s="33"/>
      <c r="K157" s="29"/>
      <c r="L157" s="29"/>
      <c r="M157" s="35" t="str">
        <f t="shared" ca="1" si="34"/>
        <v/>
      </c>
      <c r="N157" s="27"/>
      <c r="O157" s="31"/>
    </row>
    <row r="158" spans="1:15" ht="15" customHeight="1">
      <c r="A158" s="68">
        <v>46209</v>
      </c>
      <c r="B158" s="25">
        <f t="shared" si="35"/>
        <v>1.1666666666666665</v>
      </c>
      <c r="C158" s="26" t="s">
        <v>21</v>
      </c>
      <c r="D158" s="59" t="s">
        <v>30</v>
      </c>
      <c r="E158" s="59" t="s">
        <v>234</v>
      </c>
      <c r="F158" s="27">
        <v>27</v>
      </c>
      <c r="G158" s="28">
        <f t="shared" si="33"/>
        <v>135</v>
      </c>
      <c r="H158" s="26"/>
      <c r="I158" s="26"/>
      <c r="J158" s="26"/>
      <c r="K158" s="29"/>
      <c r="L158" s="29"/>
      <c r="M158" s="30" t="str">
        <f t="shared" ca="1" si="34"/>
        <v/>
      </c>
      <c r="N158" s="27"/>
      <c r="O158" s="31"/>
    </row>
    <row r="159" spans="1:15" ht="15" customHeight="1">
      <c r="A159" s="69">
        <v>46209</v>
      </c>
      <c r="B159" s="32">
        <f t="shared" si="35"/>
        <v>1.2083333333333333</v>
      </c>
      <c r="C159" s="26" t="s">
        <v>21</v>
      </c>
      <c r="D159" s="59" t="s">
        <v>30</v>
      </c>
      <c r="E159" s="59" t="s">
        <v>234</v>
      </c>
      <c r="F159" s="27">
        <v>28</v>
      </c>
      <c r="G159" s="34">
        <f t="shared" si="33"/>
        <v>140</v>
      </c>
      <c r="H159" s="33"/>
      <c r="I159" s="33"/>
      <c r="J159" s="33"/>
      <c r="K159" s="29"/>
      <c r="L159" s="29"/>
      <c r="M159" s="35" t="str">
        <f t="shared" ca="1" si="34"/>
        <v/>
      </c>
      <c r="N159" s="27"/>
      <c r="O159" s="31"/>
    </row>
    <row r="160" spans="1:15" ht="15" customHeight="1">
      <c r="A160" s="68">
        <v>46209</v>
      </c>
      <c r="B160" s="25">
        <f t="shared" si="35"/>
        <v>1.25</v>
      </c>
      <c r="C160" s="26" t="s">
        <v>21</v>
      </c>
      <c r="D160" s="59" t="s">
        <v>30</v>
      </c>
      <c r="E160" s="59" t="s">
        <v>234</v>
      </c>
      <c r="F160" s="27">
        <v>23</v>
      </c>
      <c r="G160" s="28">
        <f t="shared" si="33"/>
        <v>115</v>
      </c>
      <c r="H160" s="26"/>
      <c r="I160" s="26"/>
      <c r="J160" s="26"/>
      <c r="K160" s="29"/>
      <c r="L160" s="29"/>
      <c r="M160" s="30" t="str">
        <f t="shared" ca="1" si="34"/>
        <v/>
      </c>
      <c r="N160" s="27"/>
      <c r="O160" s="31"/>
    </row>
    <row r="161" spans="1:15" ht="15" customHeight="1">
      <c r="A161" s="69">
        <v>46209</v>
      </c>
      <c r="B161" s="32">
        <f t="shared" si="35"/>
        <v>1.2916666666666667</v>
      </c>
      <c r="C161" s="26" t="s">
        <v>21</v>
      </c>
      <c r="D161" s="59" t="s">
        <v>30</v>
      </c>
      <c r="E161" s="59" t="s">
        <v>234</v>
      </c>
      <c r="F161" s="27">
        <v>14</v>
      </c>
      <c r="G161" s="34">
        <f t="shared" si="33"/>
        <v>70</v>
      </c>
      <c r="H161" s="33"/>
      <c r="I161" s="33"/>
      <c r="J161" s="33"/>
      <c r="K161" s="29"/>
      <c r="L161" s="29"/>
      <c r="M161" s="35" t="str">
        <f t="shared" ca="1" si="34"/>
        <v/>
      </c>
      <c r="N161" s="27"/>
      <c r="O161" s="31"/>
    </row>
    <row r="162" spans="1:15" ht="15.75" customHeight="1">
      <c r="A162" s="119" t="s">
        <v>238</v>
      </c>
      <c r="B162" s="120"/>
      <c r="C162" s="120"/>
      <c r="D162" s="120"/>
      <c r="E162" s="121">
        <f>SUM(E150:E161)</f>
        <v>0</v>
      </c>
      <c r="F162" s="36">
        <f>SUM(F150:F161)</f>
        <v>316</v>
      </c>
      <c r="G162" s="36">
        <f>SUM(G150:G161)</f>
        <v>1580</v>
      </c>
      <c r="H162" s="37"/>
      <c r="I162" s="37"/>
      <c r="J162" s="37"/>
      <c r="K162" s="37"/>
      <c r="L162" s="37"/>
      <c r="M162" s="38">
        <f ca="1">IFERROR(SUM(M150:M161),"")</f>
        <v>2.083333333333337E-2</v>
      </c>
      <c r="N162" s="36" t="s">
        <v>237</v>
      </c>
      <c r="O162" s="44">
        <v>1546080</v>
      </c>
    </row>
    <row r="163" spans="1:15" ht="18" customHeight="1">
      <c r="A163" s="122" t="s">
        <v>239</v>
      </c>
      <c r="B163" s="123"/>
      <c r="C163" s="123"/>
      <c r="D163" s="123"/>
      <c r="E163" s="124">
        <f>E149+E162</f>
        <v>0</v>
      </c>
      <c r="F163" s="40">
        <f>F149+F162</f>
        <v>395</v>
      </c>
      <c r="G163" s="40">
        <f>G149+G162</f>
        <v>1975</v>
      </c>
      <c r="H163" s="41"/>
      <c r="I163" s="41"/>
      <c r="J163" s="41"/>
      <c r="K163" s="41"/>
      <c r="L163" s="41"/>
      <c r="M163" s="42">
        <f ca="1">IFERROR(M149+M162,"")</f>
        <v>0.23749999999999982</v>
      </c>
      <c r="N163" s="40" t="s">
        <v>240</v>
      </c>
      <c r="O163" s="43">
        <f>IFERROR(O149+O162,"")</f>
        <v>2667300</v>
      </c>
    </row>
    <row r="164" spans="1:15" ht="15" customHeight="1">
      <c r="A164" s="68">
        <v>46210</v>
      </c>
      <c r="B164" s="25">
        <v>0.33333333333333298</v>
      </c>
      <c r="C164" s="26" t="s">
        <v>29</v>
      </c>
      <c r="D164" s="59" t="s">
        <v>22</v>
      </c>
      <c r="E164" s="59" t="s">
        <v>234</v>
      </c>
      <c r="F164" s="27">
        <v>0</v>
      </c>
      <c r="G164" s="28">
        <f t="shared" ref="G164:G175" si="36">IF(F164="","",IF(E164="PC 17",F164*4.2,IF(E164="PC 19",F164*5,"")))</f>
        <v>0</v>
      </c>
      <c r="H164" s="26" t="s">
        <v>18</v>
      </c>
      <c r="I164" s="26" t="s">
        <v>23</v>
      </c>
      <c r="J164" s="26" t="s">
        <v>128</v>
      </c>
      <c r="K164" s="29">
        <v>0.29166666666666669</v>
      </c>
      <c r="L164" s="29">
        <v>0.38611111111111113</v>
      </c>
      <c r="M164" s="30">
        <f t="shared" ref="M164:M175" ca="1" si="37">IFERROR(IF(K164="","",IF(L164="",MOD(NOW()-K164,1),IF(L164&gt;=K164,L164-K164,L164+1-K164))),"")</f>
        <v>9.4444444444444442E-2</v>
      </c>
      <c r="N164" s="27"/>
      <c r="O164" s="31"/>
    </row>
    <row r="165" spans="1:15" ht="15" customHeight="1">
      <c r="A165" s="69">
        <v>46210</v>
      </c>
      <c r="B165" s="32">
        <f t="shared" ref="B165:B175" si="38">B164+TIME(0,60,0)</f>
        <v>0.37499999999999967</v>
      </c>
      <c r="C165" s="26" t="s">
        <v>29</v>
      </c>
      <c r="D165" s="59" t="s">
        <v>22</v>
      </c>
      <c r="E165" s="59" t="s">
        <v>234</v>
      </c>
      <c r="F165" s="27">
        <v>0</v>
      </c>
      <c r="G165" s="34">
        <f t="shared" si="36"/>
        <v>0</v>
      </c>
      <c r="H165" s="33"/>
      <c r="I165" s="33"/>
      <c r="J165" s="33"/>
      <c r="K165" s="29"/>
      <c r="L165" s="29"/>
      <c r="M165" s="35" t="str">
        <f t="shared" ca="1" si="37"/>
        <v/>
      </c>
      <c r="N165" s="27"/>
      <c r="O165" s="31"/>
    </row>
    <row r="166" spans="1:15" ht="15" customHeight="1">
      <c r="A166" s="68">
        <v>46210</v>
      </c>
      <c r="B166" s="25">
        <f t="shared" si="38"/>
        <v>0.41666666666666635</v>
      </c>
      <c r="C166" s="26" t="s">
        <v>29</v>
      </c>
      <c r="D166" s="59" t="s">
        <v>22</v>
      </c>
      <c r="E166" s="59" t="s">
        <v>234</v>
      </c>
      <c r="F166" s="27">
        <v>25</v>
      </c>
      <c r="G166" s="28">
        <f t="shared" si="36"/>
        <v>125</v>
      </c>
      <c r="H166" s="26"/>
      <c r="I166" s="26"/>
      <c r="J166" s="26"/>
      <c r="K166" s="29"/>
      <c r="L166" s="29"/>
      <c r="M166" s="30" t="str">
        <f t="shared" ca="1" si="37"/>
        <v/>
      </c>
      <c r="N166" s="27"/>
      <c r="O166" s="31"/>
    </row>
    <row r="167" spans="1:15" ht="15" customHeight="1">
      <c r="A167" s="69">
        <v>46210</v>
      </c>
      <c r="B167" s="32">
        <f t="shared" si="38"/>
        <v>0.45833333333333304</v>
      </c>
      <c r="C167" s="26" t="s">
        <v>29</v>
      </c>
      <c r="D167" s="59" t="s">
        <v>22</v>
      </c>
      <c r="E167" s="59" t="s">
        <v>234</v>
      </c>
      <c r="F167" s="27">
        <v>51</v>
      </c>
      <c r="G167" s="34">
        <f t="shared" si="36"/>
        <v>255</v>
      </c>
      <c r="H167" s="33"/>
      <c r="I167" s="33"/>
      <c r="J167" s="33"/>
      <c r="K167" s="29"/>
      <c r="L167" s="29"/>
      <c r="M167" s="35" t="str">
        <f t="shared" ca="1" si="37"/>
        <v/>
      </c>
      <c r="N167" s="27"/>
      <c r="O167" s="31"/>
    </row>
    <row r="168" spans="1:15" ht="15" customHeight="1">
      <c r="A168" s="68">
        <v>46210</v>
      </c>
      <c r="B168" s="25">
        <f t="shared" si="38"/>
        <v>0.49999999999999972</v>
      </c>
      <c r="C168" s="26" t="s">
        <v>29</v>
      </c>
      <c r="D168" s="59" t="s">
        <v>22</v>
      </c>
      <c r="E168" s="59" t="s">
        <v>234</v>
      </c>
      <c r="F168" s="27">
        <v>61</v>
      </c>
      <c r="G168" s="28">
        <f t="shared" si="36"/>
        <v>305</v>
      </c>
      <c r="H168" s="26"/>
      <c r="I168" s="26"/>
      <c r="J168" s="26"/>
      <c r="K168" s="29"/>
      <c r="L168" s="29"/>
      <c r="M168" s="30" t="str">
        <f t="shared" ca="1" si="37"/>
        <v/>
      </c>
      <c r="N168" s="27"/>
      <c r="O168" s="31"/>
    </row>
    <row r="169" spans="1:15" ht="15" customHeight="1">
      <c r="A169" s="69">
        <v>46210</v>
      </c>
      <c r="B169" s="32">
        <f t="shared" si="38"/>
        <v>0.54166666666666641</v>
      </c>
      <c r="C169" s="26" t="s">
        <v>29</v>
      </c>
      <c r="D169" s="59" t="s">
        <v>22</v>
      </c>
      <c r="E169" s="59" t="s">
        <v>234</v>
      </c>
      <c r="F169" s="27">
        <v>35</v>
      </c>
      <c r="G169" s="34">
        <f t="shared" si="36"/>
        <v>175</v>
      </c>
      <c r="H169" s="33"/>
      <c r="I169" s="33"/>
      <c r="J169" s="33"/>
      <c r="K169" s="29"/>
      <c r="L169" s="29"/>
      <c r="M169" s="35" t="str">
        <f t="shared" ca="1" si="37"/>
        <v/>
      </c>
      <c r="N169" s="27"/>
      <c r="O169" s="31"/>
    </row>
    <row r="170" spans="1:15" ht="15" customHeight="1">
      <c r="A170" s="68">
        <v>46210</v>
      </c>
      <c r="B170" s="25">
        <f t="shared" si="38"/>
        <v>0.58333333333333304</v>
      </c>
      <c r="C170" s="26" t="s">
        <v>29</v>
      </c>
      <c r="D170" s="59" t="s">
        <v>22</v>
      </c>
      <c r="E170" s="59" t="s">
        <v>234</v>
      </c>
      <c r="F170" s="27">
        <v>30</v>
      </c>
      <c r="G170" s="28">
        <f t="shared" si="36"/>
        <v>150</v>
      </c>
      <c r="H170" s="26"/>
      <c r="I170" s="26"/>
      <c r="J170" s="26"/>
      <c r="K170" s="29"/>
      <c r="L170" s="29"/>
      <c r="M170" s="30" t="str">
        <f t="shared" ca="1" si="37"/>
        <v/>
      </c>
      <c r="N170" s="27"/>
      <c r="O170" s="31"/>
    </row>
    <row r="171" spans="1:15" ht="15" customHeight="1">
      <c r="A171" s="69">
        <v>46210</v>
      </c>
      <c r="B171" s="32">
        <f t="shared" si="38"/>
        <v>0.62499999999999967</v>
      </c>
      <c r="C171" s="26" t="s">
        <v>29</v>
      </c>
      <c r="D171" s="59" t="s">
        <v>22</v>
      </c>
      <c r="E171" s="59" t="s">
        <v>234</v>
      </c>
      <c r="F171" s="27">
        <v>35</v>
      </c>
      <c r="G171" s="34">
        <f t="shared" si="36"/>
        <v>175</v>
      </c>
      <c r="H171" s="33"/>
      <c r="I171" s="33"/>
      <c r="J171" s="33"/>
      <c r="K171" s="29"/>
      <c r="L171" s="29"/>
      <c r="M171" s="35" t="str">
        <f t="shared" ca="1" si="37"/>
        <v/>
      </c>
      <c r="N171" s="27"/>
      <c r="O171" s="31"/>
    </row>
    <row r="172" spans="1:15" ht="15" customHeight="1">
      <c r="A172" s="68">
        <v>46210</v>
      </c>
      <c r="B172" s="25">
        <f t="shared" si="38"/>
        <v>0.6666666666666663</v>
      </c>
      <c r="C172" s="26" t="s">
        <v>29</v>
      </c>
      <c r="D172" s="59" t="s">
        <v>22</v>
      </c>
      <c r="E172" s="59" t="s">
        <v>234</v>
      </c>
      <c r="F172" s="27">
        <v>28</v>
      </c>
      <c r="G172" s="28">
        <f t="shared" si="36"/>
        <v>140</v>
      </c>
      <c r="H172" s="26"/>
      <c r="I172" s="26"/>
      <c r="J172" s="26"/>
      <c r="K172" s="29"/>
      <c r="L172" s="29"/>
      <c r="M172" s="30" t="str">
        <f t="shared" ca="1" si="37"/>
        <v/>
      </c>
      <c r="N172" s="27"/>
      <c r="O172" s="31"/>
    </row>
    <row r="173" spans="1:15" ht="15" customHeight="1">
      <c r="A173" s="69">
        <v>46210</v>
      </c>
      <c r="B173" s="32">
        <f t="shared" si="38"/>
        <v>0.70833333333333293</v>
      </c>
      <c r="C173" s="26" t="s">
        <v>29</v>
      </c>
      <c r="D173" s="59" t="s">
        <v>22</v>
      </c>
      <c r="E173" s="59" t="s">
        <v>234</v>
      </c>
      <c r="F173" s="27">
        <v>30</v>
      </c>
      <c r="G173" s="34">
        <f t="shared" si="36"/>
        <v>150</v>
      </c>
      <c r="H173" s="33"/>
      <c r="I173" s="33"/>
      <c r="J173" s="33"/>
      <c r="K173" s="29"/>
      <c r="L173" s="29"/>
      <c r="M173" s="35" t="str">
        <f t="shared" ca="1" si="37"/>
        <v/>
      </c>
      <c r="N173" s="27"/>
      <c r="O173" s="31"/>
    </row>
    <row r="174" spans="1:15" ht="15" customHeight="1">
      <c r="A174" s="68">
        <v>46210</v>
      </c>
      <c r="B174" s="25">
        <f t="shared" si="38"/>
        <v>0.74999999999999956</v>
      </c>
      <c r="C174" s="26" t="s">
        <v>29</v>
      </c>
      <c r="D174" s="59" t="s">
        <v>22</v>
      </c>
      <c r="E174" s="59" t="s">
        <v>234</v>
      </c>
      <c r="F174" s="27">
        <v>35</v>
      </c>
      <c r="G174" s="28">
        <f t="shared" si="36"/>
        <v>175</v>
      </c>
      <c r="H174" s="26"/>
      <c r="I174" s="26"/>
      <c r="J174" s="26"/>
      <c r="K174" s="29"/>
      <c r="L174" s="29"/>
      <c r="M174" s="30" t="str">
        <f t="shared" ca="1" si="37"/>
        <v/>
      </c>
      <c r="N174" s="27"/>
      <c r="O174" s="31"/>
    </row>
    <row r="175" spans="1:15" ht="15" customHeight="1">
      <c r="A175" s="69">
        <v>46210</v>
      </c>
      <c r="B175" s="32">
        <f t="shared" si="38"/>
        <v>0.79166666666666619</v>
      </c>
      <c r="C175" s="26" t="s">
        <v>29</v>
      </c>
      <c r="D175" s="59" t="s">
        <v>22</v>
      </c>
      <c r="E175" s="59" t="s">
        <v>234</v>
      </c>
      <c r="F175" s="27">
        <v>15</v>
      </c>
      <c r="G175" s="34">
        <f t="shared" si="36"/>
        <v>75</v>
      </c>
      <c r="H175" s="33"/>
      <c r="I175" s="33"/>
      <c r="J175" s="33"/>
      <c r="K175" s="29"/>
      <c r="L175" s="29"/>
      <c r="M175" s="35" t="str">
        <f t="shared" ca="1" si="37"/>
        <v/>
      </c>
      <c r="N175" s="27"/>
      <c r="O175" s="31"/>
    </row>
    <row r="176" spans="1:15" ht="15.75" customHeight="1">
      <c r="A176" s="119" t="s">
        <v>236</v>
      </c>
      <c r="B176" s="120"/>
      <c r="C176" s="120"/>
      <c r="D176" s="120"/>
      <c r="E176" s="121">
        <f>SUM(E164:E175)</f>
        <v>0</v>
      </c>
      <c r="F176" s="36">
        <f>SUM(F164:F175)</f>
        <v>345</v>
      </c>
      <c r="G176" s="36">
        <f>SUM(G164:G175)</f>
        <v>1725</v>
      </c>
      <c r="H176" s="37"/>
      <c r="I176" s="37"/>
      <c r="J176" s="37"/>
      <c r="K176" s="37"/>
      <c r="L176" s="37"/>
      <c r="M176" s="38">
        <f ca="1">IFERROR(SUM(M164:M175),"")</f>
        <v>9.4444444444444442E-2</v>
      </c>
      <c r="N176" s="36" t="s">
        <v>237</v>
      </c>
      <c r="O176" s="39">
        <v>1946430</v>
      </c>
    </row>
    <row r="177" spans="1:15" ht="15" customHeight="1">
      <c r="A177" s="69">
        <v>46210</v>
      </c>
      <c r="B177" s="32">
        <v>0.83333333333333304</v>
      </c>
      <c r="C177" s="33" t="s">
        <v>21</v>
      </c>
      <c r="D177" s="62" t="s">
        <v>22</v>
      </c>
      <c r="E177" s="62" t="s">
        <v>234</v>
      </c>
      <c r="F177" s="27">
        <v>50</v>
      </c>
      <c r="G177" s="34">
        <f t="shared" ref="G177:G188" si="39">IF(F177="","",IF(E177="PC 17",F177*4.2,IF(E177="PC 19",F177*5,"")))</f>
        <v>250</v>
      </c>
      <c r="H177" s="33"/>
      <c r="I177" s="33"/>
      <c r="J177" s="33"/>
      <c r="K177" s="29"/>
      <c r="L177" s="29"/>
      <c r="M177" s="35" t="str">
        <f t="shared" ref="M177:M188" ca="1" si="40">IFERROR(IF(K177="","",IF(L177="",MOD(NOW()-K177,1),IF(L177&gt;=K177,L177-K177,L177+1-K177))),"")</f>
        <v/>
      </c>
      <c r="N177" s="27"/>
      <c r="O177" s="31"/>
    </row>
    <row r="178" spans="1:15" ht="15" customHeight="1">
      <c r="A178" s="68">
        <v>46210</v>
      </c>
      <c r="B178" s="25">
        <f t="shared" ref="B178:B188" si="41">B177+TIME(0,60,0)</f>
        <v>0.87499999999999967</v>
      </c>
      <c r="C178" s="33" t="s">
        <v>21</v>
      </c>
      <c r="D178" s="62" t="s">
        <v>22</v>
      </c>
      <c r="E178" s="62" t="s">
        <v>234</v>
      </c>
      <c r="F178" s="27">
        <v>19</v>
      </c>
      <c r="G178" s="28">
        <f t="shared" si="39"/>
        <v>95</v>
      </c>
      <c r="H178" s="26"/>
      <c r="I178" s="26"/>
      <c r="J178" s="26"/>
      <c r="K178" s="29"/>
      <c r="L178" s="29"/>
      <c r="M178" s="30" t="str">
        <f t="shared" ca="1" si="40"/>
        <v/>
      </c>
      <c r="N178" s="27"/>
      <c r="O178" s="31"/>
    </row>
    <row r="179" spans="1:15" ht="15" customHeight="1">
      <c r="A179" s="69">
        <v>46210</v>
      </c>
      <c r="B179" s="32">
        <f t="shared" si="41"/>
        <v>0.9166666666666663</v>
      </c>
      <c r="C179" s="33" t="s">
        <v>21</v>
      </c>
      <c r="D179" s="62" t="s">
        <v>22</v>
      </c>
      <c r="E179" s="62" t="s">
        <v>234</v>
      </c>
      <c r="F179" s="27">
        <v>33</v>
      </c>
      <c r="G179" s="34">
        <f t="shared" si="39"/>
        <v>165</v>
      </c>
      <c r="H179" s="33"/>
      <c r="I179" s="33"/>
      <c r="J179" s="33"/>
      <c r="K179" s="29"/>
      <c r="L179" s="29"/>
      <c r="M179" s="35" t="str">
        <f t="shared" ca="1" si="40"/>
        <v/>
      </c>
      <c r="N179" s="27"/>
      <c r="O179" s="31"/>
    </row>
    <row r="180" spans="1:15" ht="15" customHeight="1">
      <c r="A180" s="68">
        <v>46210</v>
      </c>
      <c r="B180" s="25">
        <f t="shared" si="41"/>
        <v>0.95833333333333293</v>
      </c>
      <c r="C180" s="33" t="s">
        <v>21</v>
      </c>
      <c r="D180" s="62" t="s">
        <v>22</v>
      </c>
      <c r="E180" s="62" t="s">
        <v>234</v>
      </c>
      <c r="F180" s="27">
        <v>38</v>
      </c>
      <c r="G180" s="28">
        <f t="shared" si="39"/>
        <v>190</v>
      </c>
      <c r="H180" s="26"/>
      <c r="I180" s="26"/>
      <c r="J180" s="26"/>
      <c r="K180" s="29"/>
      <c r="L180" s="29"/>
      <c r="M180" s="30" t="str">
        <f t="shared" ca="1" si="40"/>
        <v/>
      </c>
      <c r="N180" s="27"/>
      <c r="O180" s="31"/>
    </row>
    <row r="181" spans="1:15" ht="15" customHeight="1">
      <c r="A181" s="69">
        <v>46210</v>
      </c>
      <c r="B181" s="32">
        <f t="shared" si="41"/>
        <v>0.99999999999999956</v>
      </c>
      <c r="C181" s="33" t="s">
        <v>21</v>
      </c>
      <c r="D181" s="62" t="s">
        <v>22</v>
      </c>
      <c r="E181" s="62" t="s">
        <v>234</v>
      </c>
      <c r="F181" s="27">
        <v>34</v>
      </c>
      <c r="G181" s="34">
        <f t="shared" si="39"/>
        <v>170</v>
      </c>
      <c r="H181" s="33"/>
      <c r="I181" s="33"/>
      <c r="J181" s="33"/>
      <c r="K181" s="29"/>
      <c r="L181" s="29"/>
      <c r="M181" s="35" t="str">
        <f t="shared" ca="1" si="40"/>
        <v/>
      </c>
      <c r="N181" s="27"/>
      <c r="O181" s="31"/>
    </row>
    <row r="182" spans="1:15" ht="15" customHeight="1">
      <c r="A182" s="68">
        <v>46210</v>
      </c>
      <c r="B182" s="25">
        <f t="shared" si="41"/>
        <v>1.0416666666666663</v>
      </c>
      <c r="C182" s="33" t="s">
        <v>21</v>
      </c>
      <c r="D182" s="62" t="s">
        <v>22</v>
      </c>
      <c r="E182" s="62" t="s">
        <v>234</v>
      </c>
      <c r="F182" s="27">
        <v>35</v>
      </c>
      <c r="G182" s="28">
        <f t="shared" si="39"/>
        <v>175</v>
      </c>
      <c r="H182" s="26"/>
      <c r="I182" s="26"/>
      <c r="J182" s="26"/>
      <c r="K182" s="29"/>
      <c r="L182" s="29"/>
      <c r="M182" s="30" t="str">
        <f t="shared" ca="1" si="40"/>
        <v/>
      </c>
      <c r="N182" s="27"/>
      <c r="O182" s="31"/>
    </row>
    <row r="183" spans="1:15" ht="15" customHeight="1">
      <c r="A183" s="69">
        <v>46210</v>
      </c>
      <c r="B183" s="32">
        <f t="shared" si="41"/>
        <v>1.083333333333333</v>
      </c>
      <c r="C183" s="33" t="s">
        <v>21</v>
      </c>
      <c r="D183" s="62" t="s">
        <v>22</v>
      </c>
      <c r="E183" s="62" t="s">
        <v>234</v>
      </c>
      <c r="F183" s="27">
        <v>36</v>
      </c>
      <c r="G183" s="34">
        <f t="shared" si="39"/>
        <v>180</v>
      </c>
      <c r="H183" s="33"/>
      <c r="I183" s="33"/>
      <c r="J183" s="33"/>
      <c r="K183" s="29"/>
      <c r="L183" s="29"/>
      <c r="M183" s="35" t="str">
        <f t="shared" ca="1" si="40"/>
        <v/>
      </c>
      <c r="N183" s="27"/>
      <c r="O183" s="31"/>
    </row>
    <row r="184" spans="1:15" ht="15" customHeight="1">
      <c r="A184" s="68">
        <v>46210</v>
      </c>
      <c r="B184" s="25">
        <f t="shared" si="41"/>
        <v>1.1249999999999998</v>
      </c>
      <c r="C184" s="33" t="s">
        <v>21</v>
      </c>
      <c r="D184" s="62" t="s">
        <v>22</v>
      </c>
      <c r="E184" s="62" t="s">
        <v>234</v>
      </c>
      <c r="F184" s="27">
        <v>30</v>
      </c>
      <c r="G184" s="28">
        <f t="shared" si="39"/>
        <v>150</v>
      </c>
      <c r="H184" s="26"/>
      <c r="I184" s="26"/>
      <c r="J184" s="26"/>
      <c r="K184" s="29"/>
      <c r="L184" s="29"/>
      <c r="M184" s="30" t="str">
        <f t="shared" ca="1" si="40"/>
        <v/>
      </c>
      <c r="N184" s="27"/>
      <c r="O184" s="31"/>
    </row>
    <row r="185" spans="1:15" ht="15" customHeight="1">
      <c r="A185" s="69">
        <v>46210</v>
      </c>
      <c r="B185" s="32">
        <f t="shared" si="41"/>
        <v>1.1666666666666665</v>
      </c>
      <c r="C185" s="33" t="s">
        <v>21</v>
      </c>
      <c r="D185" s="62" t="s">
        <v>22</v>
      </c>
      <c r="E185" s="62" t="s">
        <v>234</v>
      </c>
      <c r="F185" s="27">
        <v>40</v>
      </c>
      <c r="G185" s="34">
        <f t="shared" si="39"/>
        <v>200</v>
      </c>
      <c r="H185" s="33"/>
      <c r="I185" s="33"/>
      <c r="J185" s="33"/>
      <c r="K185" s="29"/>
      <c r="L185" s="29"/>
      <c r="M185" s="35" t="str">
        <f t="shared" ca="1" si="40"/>
        <v/>
      </c>
      <c r="N185" s="27"/>
      <c r="O185" s="31"/>
    </row>
    <row r="186" spans="1:15" ht="15" customHeight="1">
      <c r="A186" s="68">
        <v>46210</v>
      </c>
      <c r="B186" s="25">
        <f t="shared" si="41"/>
        <v>1.2083333333333333</v>
      </c>
      <c r="C186" s="33" t="s">
        <v>21</v>
      </c>
      <c r="D186" s="62" t="s">
        <v>22</v>
      </c>
      <c r="E186" s="62" t="s">
        <v>234</v>
      </c>
      <c r="F186" s="27">
        <v>16</v>
      </c>
      <c r="G186" s="28">
        <f t="shared" si="39"/>
        <v>80</v>
      </c>
      <c r="H186" s="26"/>
      <c r="I186" s="26"/>
      <c r="J186" s="26"/>
      <c r="K186" s="29"/>
      <c r="L186" s="29"/>
      <c r="M186" s="30" t="str">
        <f t="shared" ca="1" si="40"/>
        <v/>
      </c>
      <c r="N186" s="27"/>
      <c r="O186" s="31"/>
    </row>
    <row r="187" spans="1:15" ht="15" customHeight="1">
      <c r="A187" s="69">
        <v>46210</v>
      </c>
      <c r="B187" s="32">
        <f t="shared" si="41"/>
        <v>1.25</v>
      </c>
      <c r="C187" s="33" t="s">
        <v>21</v>
      </c>
      <c r="D187" s="62" t="s">
        <v>30</v>
      </c>
      <c r="E187" s="62" t="s">
        <v>234</v>
      </c>
      <c r="F187" s="27">
        <v>46</v>
      </c>
      <c r="G187" s="34">
        <f t="shared" si="39"/>
        <v>230</v>
      </c>
      <c r="H187" s="33"/>
      <c r="I187" s="33"/>
      <c r="J187" s="33"/>
      <c r="K187" s="29"/>
      <c r="L187" s="29"/>
      <c r="M187" s="35" t="str">
        <f t="shared" ca="1" si="40"/>
        <v/>
      </c>
      <c r="N187" s="27"/>
      <c r="O187" s="31"/>
    </row>
    <row r="188" spans="1:15" ht="15" customHeight="1">
      <c r="A188" s="68">
        <v>46210</v>
      </c>
      <c r="B188" s="25">
        <f t="shared" si="41"/>
        <v>1.2916666666666667</v>
      </c>
      <c r="C188" s="33" t="s">
        <v>21</v>
      </c>
      <c r="D188" s="62" t="s">
        <v>30</v>
      </c>
      <c r="E188" s="62" t="s">
        <v>234</v>
      </c>
      <c r="F188" s="27">
        <v>10</v>
      </c>
      <c r="G188" s="28">
        <f t="shared" si="39"/>
        <v>50</v>
      </c>
      <c r="H188" s="26"/>
      <c r="I188" s="26"/>
      <c r="J188" s="26"/>
      <c r="K188" s="29"/>
      <c r="L188" s="29"/>
      <c r="M188" s="30" t="str">
        <f t="shared" ca="1" si="40"/>
        <v/>
      </c>
      <c r="N188" s="27"/>
      <c r="O188" s="31"/>
    </row>
    <row r="189" spans="1:15" ht="15.75" customHeight="1">
      <c r="A189" s="119" t="s">
        <v>238</v>
      </c>
      <c r="B189" s="120"/>
      <c r="C189" s="120"/>
      <c r="D189" s="120"/>
      <c r="E189" s="121">
        <f>SUM(E177:E188)</f>
        <v>0</v>
      </c>
      <c r="F189" s="36">
        <f>SUM(F177:F188)</f>
        <v>387</v>
      </c>
      <c r="G189" s="36">
        <f>SUM(G177:G188)</f>
        <v>1935</v>
      </c>
      <c r="H189" s="37"/>
      <c r="I189" s="37"/>
      <c r="J189" s="37"/>
      <c r="K189" s="37"/>
      <c r="L189" s="37"/>
      <c r="M189" s="38">
        <f ca="1">IFERROR(SUM(M177:M188),"")</f>
        <v>0</v>
      </c>
      <c r="N189" s="36" t="s">
        <v>237</v>
      </c>
      <c r="O189" s="39">
        <v>2355810</v>
      </c>
    </row>
    <row r="190" spans="1:15" ht="18" customHeight="1">
      <c r="A190" s="122" t="s">
        <v>239</v>
      </c>
      <c r="B190" s="123"/>
      <c r="C190" s="123"/>
      <c r="D190" s="123"/>
      <c r="E190" s="124">
        <f>E176+E189</f>
        <v>0</v>
      </c>
      <c r="F190" s="40">
        <f>F176+F189</f>
        <v>732</v>
      </c>
      <c r="G190" s="40">
        <f>G176+G189</f>
        <v>3660</v>
      </c>
      <c r="H190" s="41"/>
      <c r="I190" s="41"/>
      <c r="J190" s="41"/>
      <c r="K190" s="41"/>
      <c r="L190" s="41"/>
      <c r="M190" s="42">
        <f ca="1">IFERROR(M176+M189,"")</f>
        <v>9.4444444444444442E-2</v>
      </c>
      <c r="N190" s="40" t="s">
        <v>240</v>
      </c>
      <c r="O190" s="43">
        <f>IFERROR(O176+O189,"")</f>
        <v>4302240</v>
      </c>
    </row>
    <row r="191" spans="1:15" ht="15" customHeight="1">
      <c r="A191" s="69">
        <v>46211</v>
      </c>
      <c r="B191" s="32">
        <v>0.33333333333333298</v>
      </c>
      <c r="C191" s="33" t="s">
        <v>29</v>
      </c>
      <c r="D191" s="62" t="s">
        <v>30</v>
      </c>
      <c r="E191" s="62" t="s">
        <v>234</v>
      </c>
      <c r="F191" s="27">
        <v>14</v>
      </c>
      <c r="G191" s="34">
        <f t="shared" ref="G191:G202" si="42">IF(F191="","",IF(E191="PC 17",F191*4.2,IF(E191="PC 19",F191*5,"")))</f>
        <v>70</v>
      </c>
      <c r="H191" s="33" t="s">
        <v>19</v>
      </c>
      <c r="I191" s="33" t="s">
        <v>23</v>
      </c>
      <c r="J191" s="33" t="s">
        <v>67</v>
      </c>
      <c r="K191" s="29">
        <v>0.5083333333333333</v>
      </c>
      <c r="L191" s="29">
        <v>0.52152777777777781</v>
      </c>
      <c r="M191" s="35">
        <f t="shared" ref="M191:M202" ca="1" si="43">IFERROR(IF(K191="","",IF(L191="",MOD(NOW()-K191,1),IF(L191&gt;=K191,L191-K191,L191+1-K191))),"")</f>
        <v>1.3194444444444509E-2</v>
      </c>
      <c r="N191" s="27"/>
      <c r="O191" s="31"/>
    </row>
    <row r="192" spans="1:15" ht="15" customHeight="1">
      <c r="A192" s="68">
        <v>46211</v>
      </c>
      <c r="B192" s="25">
        <f t="shared" ref="B192:B202" si="44">B191+TIME(0,60,0)</f>
        <v>0.37499999999999967</v>
      </c>
      <c r="C192" s="33" t="s">
        <v>29</v>
      </c>
      <c r="D192" s="62" t="s">
        <v>30</v>
      </c>
      <c r="E192" s="62" t="s">
        <v>234</v>
      </c>
      <c r="F192" s="27">
        <v>35</v>
      </c>
      <c r="G192" s="28">
        <f t="shared" si="42"/>
        <v>175</v>
      </c>
      <c r="H192" s="26" t="s">
        <v>17</v>
      </c>
      <c r="I192" s="26" t="s">
        <v>23</v>
      </c>
      <c r="J192" s="26" t="s">
        <v>99</v>
      </c>
      <c r="K192" s="29">
        <v>0.66041666666666665</v>
      </c>
      <c r="L192" s="29">
        <v>0.67083333333333328</v>
      </c>
      <c r="M192" s="30">
        <f t="shared" ca="1" si="43"/>
        <v>1.041666666666663E-2</v>
      </c>
      <c r="N192" s="27"/>
      <c r="O192" s="31"/>
    </row>
    <row r="193" spans="1:15" ht="15" customHeight="1">
      <c r="A193" s="69">
        <v>46211</v>
      </c>
      <c r="B193" s="32">
        <f t="shared" si="44"/>
        <v>0.41666666666666635</v>
      </c>
      <c r="C193" s="33" t="s">
        <v>29</v>
      </c>
      <c r="D193" s="62" t="s">
        <v>30</v>
      </c>
      <c r="E193" s="62" t="s">
        <v>234</v>
      </c>
      <c r="F193" s="27">
        <v>25</v>
      </c>
      <c r="G193" s="34">
        <f t="shared" si="42"/>
        <v>125</v>
      </c>
      <c r="H193" s="33"/>
      <c r="I193" s="33"/>
      <c r="J193" s="33"/>
      <c r="K193" s="29"/>
      <c r="L193" s="29"/>
      <c r="M193" s="35" t="str">
        <f t="shared" ca="1" si="43"/>
        <v/>
      </c>
      <c r="N193" s="27"/>
      <c r="O193" s="31"/>
    </row>
    <row r="194" spans="1:15" ht="15" customHeight="1">
      <c r="A194" s="68">
        <v>46211</v>
      </c>
      <c r="B194" s="25">
        <f t="shared" si="44"/>
        <v>0.45833333333333304</v>
      </c>
      <c r="C194" s="33" t="s">
        <v>29</v>
      </c>
      <c r="D194" s="62" t="s">
        <v>30</v>
      </c>
      <c r="E194" s="62" t="s">
        <v>234</v>
      </c>
      <c r="F194" s="27">
        <v>25</v>
      </c>
      <c r="G194" s="28">
        <f t="shared" si="42"/>
        <v>125</v>
      </c>
      <c r="H194" s="26"/>
      <c r="I194" s="26"/>
      <c r="J194" s="26"/>
      <c r="K194" s="29"/>
      <c r="L194" s="29"/>
      <c r="M194" s="30" t="str">
        <f t="shared" ca="1" si="43"/>
        <v/>
      </c>
      <c r="N194" s="27"/>
      <c r="O194" s="31"/>
    </row>
    <row r="195" spans="1:15" ht="15" customHeight="1">
      <c r="A195" s="69">
        <v>46211</v>
      </c>
      <c r="B195" s="32">
        <f t="shared" si="44"/>
        <v>0.49999999999999972</v>
      </c>
      <c r="C195" s="33" t="s">
        <v>29</v>
      </c>
      <c r="D195" s="62" t="s">
        <v>30</v>
      </c>
      <c r="E195" s="62" t="s">
        <v>234</v>
      </c>
      <c r="F195" s="27">
        <v>25</v>
      </c>
      <c r="G195" s="34">
        <f t="shared" si="42"/>
        <v>125</v>
      </c>
      <c r="H195" s="33"/>
      <c r="I195" s="33"/>
      <c r="J195" s="33"/>
      <c r="K195" s="29"/>
      <c r="L195" s="29"/>
      <c r="M195" s="35" t="str">
        <f t="shared" ca="1" si="43"/>
        <v/>
      </c>
      <c r="N195" s="27"/>
      <c r="O195" s="31"/>
    </row>
    <row r="196" spans="1:15" ht="15" customHeight="1">
      <c r="A196" s="68">
        <v>46211</v>
      </c>
      <c r="B196" s="25">
        <f t="shared" si="44"/>
        <v>0.54166666666666641</v>
      </c>
      <c r="C196" s="33" t="s">
        <v>29</v>
      </c>
      <c r="D196" s="62" t="s">
        <v>30</v>
      </c>
      <c r="E196" s="62" t="s">
        <v>234</v>
      </c>
      <c r="F196" s="27">
        <v>21</v>
      </c>
      <c r="G196" s="28">
        <f t="shared" si="42"/>
        <v>105</v>
      </c>
      <c r="H196" s="26"/>
      <c r="I196" s="26"/>
      <c r="J196" s="26"/>
      <c r="K196" s="29"/>
      <c r="L196" s="29"/>
      <c r="M196" s="30" t="str">
        <f t="shared" ca="1" si="43"/>
        <v/>
      </c>
      <c r="N196" s="27"/>
      <c r="O196" s="31"/>
    </row>
    <row r="197" spans="1:15" ht="15" customHeight="1">
      <c r="A197" s="69">
        <v>46211</v>
      </c>
      <c r="B197" s="32">
        <f t="shared" si="44"/>
        <v>0.58333333333333304</v>
      </c>
      <c r="C197" s="33" t="s">
        <v>29</v>
      </c>
      <c r="D197" s="62" t="s">
        <v>30</v>
      </c>
      <c r="E197" s="62" t="s">
        <v>234</v>
      </c>
      <c r="F197" s="27">
        <v>35</v>
      </c>
      <c r="G197" s="34">
        <f t="shared" si="42"/>
        <v>175</v>
      </c>
      <c r="H197" s="33"/>
      <c r="I197" s="33"/>
      <c r="J197" s="33"/>
      <c r="K197" s="29"/>
      <c r="L197" s="29"/>
      <c r="M197" s="35" t="str">
        <f t="shared" ca="1" si="43"/>
        <v/>
      </c>
      <c r="N197" s="27"/>
      <c r="O197" s="31"/>
    </row>
    <row r="198" spans="1:15" ht="15" customHeight="1">
      <c r="A198" s="68">
        <v>46211</v>
      </c>
      <c r="B198" s="25">
        <f t="shared" si="44"/>
        <v>0.62499999999999967</v>
      </c>
      <c r="C198" s="33" t="s">
        <v>29</v>
      </c>
      <c r="D198" s="62" t="s">
        <v>30</v>
      </c>
      <c r="E198" s="62" t="s">
        <v>234</v>
      </c>
      <c r="F198" s="27">
        <v>35</v>
      </c>
      <c r="G198" s="28">
        <f t="shared" si="42"/>
        <v>175</v>
      </c>
      <c r="H198" s="26"/>
      <c r="I198" s="26"/>
      <c r="J198" s="26"/>
      <c r="K198" s="29"/>
      <c r="L198" s="29"/>
      <c r="M198" s="30" t="str">
        <f t="shared" ca="1" si="43"/>
        <v/>
      </c>
      <c r="N198" s="27"/>
      <c r="O198" s="31"/>
    </row>
    <row r="199" spans="1:15" ht="15" customHeight="1">
      <c r="A199" s="69">
        <v>46211</v>
      </c>
      <c r="B199" s="32">
        <f t="shared" si="44"/>
        <v>0.6666666666666663</v>
      </c>
      <c r="C199" s="33" t="s">
        <v>29</v>
      </c>
      <c r="D199" s="62" t="s">
        <v>30</v>
      </c>
      <c r="E199" s="62" t="s">
        <v>234</v>
      </c>
      <c r="F199" s="27">
        <v>35</v>
      </c>
      <c r="G199" s="34">
        <f t="shared" si="42"/>
        <v>175</v>
      </c>
      <c r="H199" s="33"/>
      <c r="I199" s="33"/>
      <c r="J199" s="33"/>
      <c r="K199" s="29"/>
      <c r="L199" s="29"/>
      <c r="M199" s="35" t="str">
        <f t="shared" ca="1" si="43"/>
        <v/>
      </c>
      <c r="N199" s="27"/>
      <c r="O199" s="31"/>
    </row>
    <row r="200" spans="1:15" ht="15" customHeight="1">
      <c r="A200" s="68">
        <v>46211</v>
      </c>
      <c r="B200" s="25">
        <f t="shared" si="44"/>
        <v>0.70833333333333293</v>
      </c>
      <c r="C200" s="33" t="s">
        <v>29</v>
      </c>
      <c r="D200" s="62" t="s">
        <v>30</v>
      </c>
      <c r="E200" s="62" t="s">
        <v>234</v>
      </c>
      <c r="F200" s="27">
        <v>30</v>
      </c>
      <c r="G200" s="28">
        <f t="shared" si="42"/>
        <v>150</v>
      </c>
      <c r="H200" s="26"/>
      <c r="I200" s="26"/>
      <c r="J200" s="26"/>
      <c r="K200" s="29"/>
      <c r="L200" s="29"/>
      <c r="M200" s="30" t="str">
        <f t="shared" ca="1" si="43"/>
        <v/>
      </c>
      <c r="N200" s="27"/>
      <c r="O200" s="31"/>
    </row>
    <row r="201" spans="1:15" ht="15" customHeight="1">
      <c r="A201" s="69">
        <v>46211</v>
      </c>
      <c r="B201" s="32">
        <f t="shared" si="44"/>
        <v>0.74999999999999956</v>
      </c>
      <c r="C201" s="33" t="s">
        <v>29</v>
      </c>
      <c r="D201" s="62" t="s">
        <v>30</v>
      </c>
      <c r="E201" s="62" t="s">
        <v>234</v>
      </c>
      <c r="F201" s="27">
        <v>30</v>
      </c>
      <c r="G201" s="34">
        <f t="shared" si="42"/>
        <v>150</v>
      </c>
      <c r="H201" s="33"/>
      <c r="I201" s="33"/>
      <c r="J201" s="33"/>
      <c r="K201" s="29"/>
      <c r="L201" s="29"/>
      <c r="M201" s="35" t="str">
        <f t="shared" ca="1" si="43"/>
        <v/>
      </c>
      <c r="N201" s="27"/>
      <c r="O201" s="31"/>
    </row>
    <row r="202" spans="1:15" ht="15" customHeight="1">
      <c r="A202" s="68">
        <v>46211</v>
      </c>
      <c r="B202" s="25">
        <f t="shared" si="44"/>
        <v>0.79166666666666619</v>
      </c>
      <c r="C202" s="33" t="s">
        <v>29</v>
      </c>
      <c r="D202" s="62" t="s">
        <v>30</v>
      </c>
      <c r="E202" s="62" t="s">
        <v>234</v>
      </c>
      <c r="F202" s="27">
        <v>20</v>
      </c>
      <c r="G202" s="28">
        <f t="shared" si="42"/>
        <v>100</v>
      </c>
      <c r="H202" s="26"/>
      <c r="I202" s="26"/>
      <c r="J202" s="26"/>
      <c r="K202" s="29"/>
      <c r="L202" s="29"/>
      <c r="M202" s="30" t="str">
        <f t="shared" ca="1" si="43"/>
        <v/>
      </c>
      <c r="N202" s="27"/>
      <c r="O202" s="31"/>
    </row>
    <row r="203" spans="1:15" ht="15.75" customHeight="1">
      <c r="A203" s="119" t="s">
        <v>236</v>
      </c>
      <c r="B203" s="120"/>
      <c r="C203" s="120"/>
      <c r="D203" s="120"/>
      <c r="E203" s="121">
        <f>SUM(E191:E202)</f>
        <v>0</v>
      </c>
      <c r="F203" s="36">
        <f>SUM(F191:F202)</f>
        <v>330</v>
      </c>
      <c r="G203" s="36">
        <f>SUM(G191:G202)</f>
        <v>1650</v>
      </c>
      <c r="H203" s="37"/>
      <c r="I203" s="37"/>
      <c r="J203" s="37"/>
      <c r="K203" s="37"/>
      <c r="L203" s="37"/>
      <c r="M203" s="38">
        <f ca="1">IFERROR(SUM(M191:M202),"")</f>
        <v>2.3611111111111138E-2</v>
      </c>
      <c r="N203" s="36" t="s">
        <v>237</v>
      </c>
      <c r="O203" s="45">
        <v>1895110</v>
      </c>
    </row>
    <row r="204" spans="1:15" ht="15" customHeight="1">
      <c r="A204" s="68">
        <v>46211</v>
      </c>
      <c r="B204" s="25">
        <v>0.83333333333333304</v>
      </c>
      <c r="C204" s="26" t="s">
        <v>21</v>
      </c>
      <c r="D204" s="59" t="s">
        <v>30</v>
      </c>
      <c r="E204" s="59" t="s">
        <v>234</v>
      </c>
      <c r="F204" s="27">
        <v>40</v>
      </c>
      <c r="G204" s="28">
        <f t="shared" ref="G204:G215" si="45">IF(F204="","",IF(E204="PC 17",F204*4.2,IF(E204="PC 19",F204*5,"")))</f>
        <v>200</v>
      </c>
      <c r="H204" s="26" t="s">
        <v>16</v>
      </c>
      <c r="I204" s="26" t="s">
        <v>23</v>
      </c>
      <c r="J204" s="26" t="s">
        <v>92</v>
      </c>
      <c r="K204" s="29">
        <v>0.95277777777777772</v>
      </c>
      <c r="L204" s="29">
        <v>0.97430555555555554</v>
      </c>
      <c r="M204" s="30">
        <f t="shared" ref="M204:M215" ca="1" si="46">IFERROR(IF(K204="","",IF(L204="",MOD(NOW()-K204,1),IF(L204&gt;=K204,L204-K204,L204+1-K204))),"")</f>
        <v>2.1527777777777812E-2</v>
      </c>
      <c r="N204" s="46"/>
      <c r="O204" s="47"/>
    </row>
    <row r="205" spans="1:15" ht="15" customHeight="1">
      <c r="A205" s="69">
        <v>46211</v>
      </c>
      <c r="B205" s="32">
        <f t="shared" ref="B205:B215" si="47">B204+TIME(0,60,0)</f>
        <v>0.87499999999999967</v>
      </c>
      <c r="C205" s="26" t="s">
        <v>21</v>
      </c>
      <c r="D205" s="59" t="s">
        <v>30</v>
      </c>
      <c r="E205" s="59" t="s">
        <v>234</v>
      </c>
      <c r="F205" s="27">
        <v>26</v>
      </c>
      <c r="G205" s="34">
        <f t="shared" si="45"/>
        <v>130</v>
      </c>
      <c r="H205" s="33" t="s">
        <v>18</v>
      </c>
      <c r="I205" s="33" t="s">
        <v>23</v>
      </c>
      <c r="J205" s="33" t="s">
        <v>154</v>
      </c>
      <c r="K205" s="29">
        <v>0.1388888888888889</v>
      </c>
      <c r="L205" s="29">
        <v>0.16041666666666668</v>
      </c>
      <c r="M205" s="35">
        <f t="shared" ca="1" si="46"/>
        <v>2.1527777777777785E-2</v>
      </c>
      <c r="N205" s="46"/>
      <c r="O205" s="47"/>
    </row>
    <row r="206" spans="1:15" ht="15" customHeight="1">
      <c r="A206" s="68">
        <v>46211</v>
      </c>
      <c r="B206" s="25">
        <f t="shared" si="47"/>
        <v>0.9166666666666663</v>
      </c>
      <c r="C206" s="26" t="s">
        <v>21</v>
      </c>
      <c r="D206" s="59" t="s">
        <v>30</v>
      </c>
      <c r="E206" s="59" t="s">
        <v>234</v>
      </c>
      <c r="F206" s="27">
        <v>25</v>
      </c>
      <c r="G206" s="28">
        <f t="shared" si="45"/>
        <v>125</v>
      </c>
      <c r="H206" s="26"/>
      <c r="I206" s="26"/>
      <c r="J206" s="26"/>
      <c r="K206" s="29"/>
      <c r="L206" s="29"/>
      <c r="M206" s="30" t="str">
        <f t="shared" ca="1" si="46"/>
        <v/>
      </c>
      <c r="N206" s="46"/>
      <c r="O206" s="47"/>
    </row>
    <row r="207" spans="1:15" ht="15" customHeight="1">
      <c r="A207" s="69">
        <v>46211</v>
      </c>
      <c r="B207" s="32">
        <f t="shared" si="47"/>
        <v>0.95833333333333293</v>
      </c>
      <c r="C207" s="26" t="s">
        <v>21</v>
      </c>
      <c r="D207" s="59" t="s">
        <v>30</v>
      </c>
      <c r="E207" s="59" t="s">
        <v>234</v>
      </c>
      <c r="F207" s="27">
        <v>20</v>
      </c>
      <c r="G207" s="34">
        <f t="shared" si="45"/>
        <v>100</v>
      </c>
      <c r="H207" s="33"/>
      <c r="I207" s="33"/>
      <c r="J207" s="33"/>
      <c r="K207" s="29"/>
      <c r="L207" s="29"/>
      <c r="M207" s="35" t="str">
        <f t="shared" ca="1" si="46"/>
        <v/>
      </c>
      <c r="N207" s="46"/>
      <c r="O207" s="47"/>
    </row>
    <row r="208" spans="1:15" ht="15" customHeight="1">
      <c r="A208" s="68">
        <v>46211</v>
      </c>
      <c r="B208" s="25">
        <f t="shared" si="47"/>
        <v>0.99999999999999956</v>
      </c>
      <c r="C208" s="26" t="s">
        <v>21</v>
      </c>
      <c r="D208" s="59" t="s">
        <v>30</v>
      </c>
      <c r="E208" s="59" t="s">
        <v>234</v>
      </c>
      <c r="F208" s="27">
        <v>35</v>
      </c>
      <c r="G208" s="28">
        <f t="shared" si="45"/>
        <v>175</v>
      </c>
      <c r="H208" s="26"/>
      <c r="I208" s="26"/>
      <c r="J208" s="26"/>
      <c r="K208" s="29"/>
      <c r="L208" s="29"/>
      <c r="M208" s="30" t="str">
        <f t="shared" ca="1" si="46"/>
        <v/>
      </c>
      <c r="N208" s="46"/>
      <c r="O208" s="47"/>
    </row>
    <row r="209" spans="1:15" ht="15" customHeight="1">
      <c r="A209" s="69">
        <v>46211</v>
      </c>
      <c r="B209" s="32">
        <f t="shared" si="47"/>
        <v>1.0416666666666663</v>
      </c>
      <c r="C209" s="26" t="s">
        <v>21</v>
      </c>
      <c r="D209" s="59" t="s">
        <v>30</v>
      </c>
      <c r="E209" s="59" t="s">
        <v>234</v>
      </c>
      <c r="F209" s="27">
        <v>23</v>
      </c>
      <c r="G209" s="34">
        <f t="shared" si="45"/>
        <v>115</v>
      </c>
      <c r="H209" s="33"/>
      <c r="I209" s="33"/>
      <c r="J209" s="33"/>
      <c r="K209" s="29"/>
      <c r="L209" s="29"/>
      <c r="M209" s="35" t="str">
        <f t="shared" ca="1" si="46"/>
        <v/>
      </c>
      <c r="N209" s="46"/>
      <c r="O209" s="47"/>
    </row>
    <row r="210" spans="1:15" ht="15" customHeight="1">
      <c r="A210" s="68">
        <v>46211</v>
      </c>
      <c r="B210" s="25">
        <f t="shared" si="47"/>
        <v>1.083333333333333</v>
      </c>
      <c r="C210" s="26" t="s">
        <v>21</v>
      </c>
      <c r="D210" s="59" t="s">
        <v>30</v>
      </c>
      <c r="E210" s="59" t="s">
        <v>234</v>
      </c>
      <c r="F210" s="27">
        <v>39</v>
      </c>
      <c r="G210" s="28">
        <f t="shared" si="45"/>
        <v>195</v>
      </c>
      <c r="H210" s="26"/>
      <c r="I210" s="26"/>
      <c r="J210" s="26"/>
      <c r="K210" s="29"/>
      <c r="L210" s="29"/>
      <c r="M210" s="30" t="str">
        <f t="shared" ca="1" si="46"/>
        <v/>
      </c>
      <c r="N210" s="46"/>
      <c r="O210" s="47"/>
    </row>
    <row r="211" spans="1:15" ht="15" customHeight="1">
      <c r="A211" s="69">
        <v>46211</v>
      </c>
      <c r="B211" s="32">
        <f t="shared" si="47"/>
        <v>1.1249999999999998</v>
      </c>
      <c r="C211" s="26" t="s">
        <v>21</v>
      </c>
      <c r="D211" s="59" t="s">
        <v>30</v>
      </c>
      <c r="E211" s="59" t="s">
        <v>234</v>
      </c>
      <c r="F211" s="27">
        <v>38</v>
      </c>
      <c r="G211" s="34">
        <f t="shared" si="45"/>
        <v>190</v>
      </c>
      <c r="H211" s="33"/>
      <c r="I211" s="33"/>
      <c r="J211" s="33"/>
      <c r="K211" s="29"/>
      <c r="L211" s="29"/>
      <c r="M211" s="35" t="str">
        <f t="shared" ca="1" si="46"/>
        <v/>
      </c>
      <c r="N211" s="46"/>
      <c r="O211" s="47"/>
    </row>
    <row r="212" spans="1:15" ht="15" customHeight="1">
      <c r="A212" s="68">
        <v>46211</v>
      </c>
      <c r="B212" s="25">
        <f t="shared" si="47"/>
        <v>1.1666666666666665</v>
      </c>
      <c r="C212" s="26" t="s">
        <v>21</v>
      </c>
      <c r="D212" s="59" t="s">
        <v>30</v>
      </c>
      <c r="E212" s="59" t="s">
        <v>234</v>
      </c>
      <c r="F212" s="27">
        <v>17</v>
      </c>
      <c r="G212" s="28">
        <f t="shared" si="45"/>
        <v>85</v>
      </c>
      <c r="H212" s="26"/>
      <c r="I212" s="26"/>
      <c r="J212" s="26"/>
      <c r="K212" s="29"/>
      <c r="L212" s="29"/>
      <c r="M212" s="30" t="str">
        <f t="shared" ca="1" si="46"/>
        <v/>
      </c>
      <c r="N212" s="46"/>
      <c r="O212" s="47"/>
    </row>
    <row r="213" spans="1:15" ht="15" customHeight="1">
      <c r="A213" s="69">
        <v>46211</v>
      </c>
      <c r="B213" s="32">
        <f t="shared" si="47"/>
        <v>1.2083333333333333</v>
      </c>
      <c r="C213" s="26" t="s">
        <v>21</v>
      </c>
      <c r="D213" s="59" t="s">
        <v>30</v>
      </c>
      <c r="E213" s="59" t="s">
        <v>234</v>
      </c>
      <c r="F213" s="27">
        <v>40</v>
      </c>
      <c r="G213" s="34">
        <f t="shared" si="45"/>
        <v>200</v>
      </c>
      <c r="H213" s="33"/>
      <c r="I213" s="33"/>
      <c r="J213" s="33"/>
      <c r="K213" s="29"/>
      <c r="L213" s="29"/>
      <c r="M213" s="35" t="str">
        <f t="shared" ca="1" si="46"/>
        <v/>
      </c>
      <c r="N213" s="46"/>
      <c r="O213" s="47"/>
    </row>
    <row r="214" spans="1:15" ht="15" customHeight="1">
      <c r="A214" s="68">
        <v>46211</v>
      </c>
      <c r="B214" s="25">
        <f t="shared" si="47"/>
        <v>1.25</v>
      </c>
      <c r="C214" s="26" t="s">
        <v>21</v>
      </c>
      <c r="D214" s="59" t="s">
        <v>30</v>
      </c>
      <c r="E214" s="59" t="s">
        <v>234</v>
      </c>
      <c r="F214" s="27">
        <v>25</v>
      </c>
      <c r="G214" s="28">
        <f t="shared" si="45"/>
        <v>125</v>
      </c>
      <c r="H214" s="26"/>
      <c r="I214" s="26"/>
      <c r="J214" s="26"/>
      <c r="K214" s="29"/>
      <c r="L214" s="29"/>
      <c r="M214" s="30" t="str">
        <f t="shared" ca="1" si="46"/>
        <v/>
      </c>
      <c r="N214" s="46"/>
      <c r="O214" s="47"/>
    </row>
    <row r="215" spans="1:15" ht="15" customHeight="1">
      <c r="A215" s="69">
        <v>46211</v>
      </c>
      <c r="B215" s="32">
        <f t="shared" si="47"/>
        <v>1.2916666666666667</v>
      </c>
      <c r="C215" s="26" t="s">
        <v>21</v>
      </c>
      <c r="D215" s="59" t="s">
        <v>30</v>
      </c>
      <c r="E215" s="59" t="s">
        <v>234</v>
      </c>
      <c r="F215" s="27">
        <v>15</v>
      </c>
      <c r="G215" s="34">
        <f t="shared" si="45"/>
        <v>75</v>
      </c>
      <c r="H215" s="33"/>
      <c r="I215" s="33"/>
      <c r="J215" s="33"/>
      <c r="K215" s="29"/>
      <c r="L215" s="29"/>
      <c r="M215" s="35" t="str">
        <f t="shared" ca="1" si="46"/>
        <v/>
      </c>
      <c r="N215" s="46"/>
      <c r="O215" s="47"/>
    </row>
    <row r="216" spans="1:15" ht="15.75" customHeight="1">
      <c r="A216" s="119" t="s">
        <v>238</v>
      </c>
      <c r="B216" s="120"/>
      <c r="C216" s="120"/>
      <c r="D216" s="120"/>
      <c r="E216" s="121">
        <f>SUM(E204:E215)</f>
        <v>0</v>
      </c>
      <c r="F216" s="36">
        <f>SUM(F204:F215)</f>
        <v>343</v>
      </c>
      <c r="G216" s="36">
        <f>SUM(G204:G215)</f>
        <v>1715</v>
      </c>
      <c r="H216" s="37"/>
      <c r="I216" s="37"/>
      <c r="J216" s="37"/>
      <c r="K216" s="37"/>
      <c r="L216" s="37"/>
      <c r="M216" s="38">
        <f ca="1">IFERROR(SUM(M204:M215),"")</f>
        <v>4.3055555555555597E-2</v>
      </c>
      <c r="N216" s="36" t="s">
        <v>237</v>
      </c>
      <c r="O216" s="45">
        <v>2013260</v>
      </c>
    </row>
    <row r="217" spans="1:15" ht="18" customHeight="1">
      <c r="A217" s="122" t="s">
        <v>239</v>
      </c>
      <c r="B217" s="123"/>
      <c r="C217" s="123"/>
      <c r="D217" s="123"/>
      <c r="E217" s="124">
        <f>E203+E216</f>
        <v>0</v>
      </c>
      <c r="F217" s="40">
        <f>F203+F216</f>
        <v>673</v>
      </c>
      <c r="G217" s="40">
        <f>G203+G216</f>
        <v>3365</v>
      </c>
      <c r="H217" s="41"/>
      <c r="I217" s="41"/>
      <c r="J217" s="41"/>
      <c r="K217" s="41"/>
      <c r="L217" s="41"/>
      <c r="M217" s="42">
        <f ca="1">IFERROR(M203+M216,"")</f>
        <v>6.6666666666666735E-2</v>
      </c>
      <c r="N217" s="40" t="s">
        <v>240</v>
      </c>
      <c r="O217" s="48">
        <f>IFERROR(O203+O216,"")</f>
        <v>3908370</v>
      </c>
    </row>
    <row r="218" spans="1:15" ht="15" customHeight="1">
      <c r="A218" s="68">
        <v>46212</v>
      </c>
      <c r="B218" s="25">
        <v>0.33333333333333298</v>
      </c>
      <c r="C218" s="26" t="s">
        <v>29</v>
      </c>
      <c r="D218" s="59" t="s">
        <v>30</v>
      </c>
      <c r="E218" s="59" t="s">
        <v>234</v>
      </c>
      <c r="F218" s="27">
        <v>8</v>
      </c>
      <c r="G218" s="28">
        <f t="shared" ref="G218:G229" si="48">IF(F218="","",IF(E218="PC 17",F218*4.2,IF(E218="PC 19",F218*5,"")))</f>
        <v>40</v>
      </c>
      <c r="H218" s="26" t="s">
        <v>19</v>
      </c>
      <c r="I218" s="26" t="s">
        <v>23</v>
      </c>
      <c r="J218" s="26" t="s">
        <v>107</v>
      </c>
      <c r="K218" s="29">
        <v>0.41597222222222224</v>
      </c>
      <c r="L218" s="29">
        <v>0.49444444444444446</v>
      </c>
      <c r="M218" s="30">
        <f t="shared" ref="M218:M229" ca="1" si="49">IFERROR(IF(K218="","",IF(L218="",MOD(NOW()-K218,1),IF(L218&gt;=K218,L218-K218,L218+1-K218))),"")</f>
        <v>7.8472222222222221E-2</v>
      </c>
      <c r="N218" s="46" t="s">
        <v>245</v>
      </c>
      <c r="O218" s="47"/>
    </row>
    <row r="219" spans="1:15" ht="15" customHeight="1">
      <c r="A219" s="69">
        <v>46212</v>
      </c>
      <c r="B219" s="32">
        <f t="shared" ref="B219:B229" si="50">B218+TIME(0,60,0)</f>
        <v>0.37499999999999967</v>
      </c>
      <c r="C219" s="26" t="s">
        <v>29</v>
      </c>
      <c r="D219" s="59" t="s">
        <v>30</v>
      </c>
      <c r="E219" s="59" t="s">
        <v>234</v>
      </c>
      <c r="F219" s="27">
        <v>25</v>
      </c>
      <c r="G219" s="34">
        <f t="shared" si="48"/>
        <v>125</v>
      </c>
      <c r="H219" s="33"/>
      <c r="I219" s="33"/>
      <c r="J219" s="33"/>
      <c r="K219" s="29"/>
      <c r="L219" s="29"/>
      <c r="M219" s="35" t="str">
        <f t="shared" ca="1" si="49"/>
        <v/>
      </c>
      <c r="N219" s="46"/>
      <c r="O219" s="47"/>
    </row>
    <row r="220" spans="1:15" ht="15" customHeight="1">
      <c r="A220" s="68">
        <v>46212</v>
      </c>
      <c r="B220" s="25">
        <f t="shared" si="50"/>
        <v>0.41666666666666635</v>
      </c>
      <c r="C220" s="26" t="s">
        <v>29</v>
      </c>
      <c r="D220" s="59" t="s">
        <v>30</v>
      </c>
      <c r="E220" s="59" t="s">
        <v>234</v>
      </c>
      <c r="F220" s="27">
        <v>25</v>
      </c>
      <c r="G220" s="28">
        <f t="shared" si="48"/>
        <v>125</v>
      </c>
      <c r="H220" s="26"/>
      <c r="I220" s="26"/>
      <c r="J220" s="26"/>
      <c r="K220" s="29"/>
      <c r="L220" s="29"/>
      <c r="M220" s="30" t="str">
        <f t="shared" ca="1" si="49"/>
        <v/>
      </c>
      <c r="N220" s="46"/>
      <c r="O220" s="47"/>
    </row>
    <row r="221" spans="1:15" ht="15" customHeight="1">
      <c r="A221" s="69">
        <v>46212</v>
      </c>
      <c r="B221" s="32">
        <f t="shared" si="50"/>
        <v>0.45833333333333304</v>
      </c>
      <c r="C221" s="26" t="s">
        <v>29</v>
      </c>
      <c r="D221" s="59" t="s">
        <v>30</v>
      </c>
      <c r="E221" s="59" t="s">
        <v>234</v>
      </c>
      <c r="F221" s="27">
        <v>0</v>
      </c>
      <c r="G221" s="34">
        <f t="shared" si="48"/>
        <v>0</v>
      </c>
      <c r="H221" s="33"/>
      <c r="I221" s="33"/>
      <c r="J221" s="33"/>
      <c r="K221" s="29"/>
      <c r="L221" s="29"/>
      <c r="M221" s="35" t="str">
        <f t="shared" ca="1" si="49"/>
        <v/>
      </c>
      <c r="N221" s="46"/>
      <c r="O221" s="47"/>
    </row>
    <row r="222" spans="1:15" ht="15" customHeight="1">
      <c r="A222" s="68">
        <v>46212</v>
      </c>
      <c r="B222" s="25">
        <f t="shared" si="50"/>
        <v>0.49999999999999972</v>
      </c>
      <c r="C222" s="26" t="s">
        <v>29</v>
      </c>
      <c r="D222" s="59" t="s">
        <v>30</v>
      </c>
      <c r="E222" s="59" t="s">
        <v>234</v>
      </c>
      <c r="F222" s="27">
        <v>0</v>
      </c>
      <c r="G222" s="28">
        <f t="shared" si="48"/>
        <v>0</v>
      </c>
      <c r="H222" s="26"/>
      <c r="I222" s="26"/>
      <c r="J222" s="26"/>
      <c r="K222" s="29"/>
      <c r="L222" s="29"/>
      <c r="M222" s="30" t="str">
        <f t="shared" ca="1" si="49"/>
        <v/>
      </c>
      <c r="N222" s="46"/>
      <c r="O222" s="47"/>
    </row>
    <row r="223" spans="1:15" ht="15" customHeight="1">
      <c r="A223" s="69">
        <v>46212</v>
      </c>
      <c r="B223" s="32">
        <f t="shared" si="50"/>
        <v>0.54166666666666641</v>
      </c>
      <c r="C223" s="26" t="s">
        <v>29</v>
      </c>
      <c r="D223" s="59" t="s">
        <v>30</v>
      </c>
      <c r="E223" s="59" t="s">
        <v>234</v>
      </c>
      <c r="F223" s="27">
        <v>25</v>
      </c>
      <c r="G223" s="34">
        <f t="shared" si="48"/>
        <v>125</v>
      </c>
      <c r="H223" s="33"/>
      <c r="I223" s="33"/>
      <c r="J223" s="33"/>
      <c r="K223" s="29"/>
      <c r="L223" s="29"/>
      <c r="M223" s="35" t="str">
        <f t="shared" ca="1" si="49"/>
        <v/>
      </c>
      <c r="N223" s="46"/>
      <c r="O223" s="47"/>
    </row>
    <row r="224" spans="1:15" ht="15" customHeight="1">
      <c r="A224" s="68">
        <v>46212</v>
      </c>
      <c r="B224" s="25">
        <f t="shared" si="50"/>
        <v>0.58333333333333304</v>
      </c>
      <c r="C224" s="26" t="s">
        <v>29</v>
      </c>
      <c r="D224" s="59" t="s">
        <v>30</v>
      </c>
      <c r="E224" s="59" t="s">
        <v>234</v>
      </c>
      <c r="F224" s="27">
        <v>30</v>
      </c>
      <c r="G224" s="28">
        <f t="shared" si="48"/>
        <v>150</v>
      </c>
      <c r="H224" s="26"/>
      <c r="I224" s="26"/>
      <c r="J224" s="26"/>
      <c r="K224" s="29"/>
      <c r="L224" s="29"/>
      <c r="M224" s="30" t="str">
        <f t="shared" ca="1" si="49"/>
        <v/>
      </c>
      <c r="N224" s="46"/>
      <c r="O224" s="47"/>
    </row>
    <row r="225" spans="1:15" ht="15" customHeight="1">
      <c r="A225" s="69">
        <v>46212</v>
      </c>
      <c r="B225" s="32">
        <f t="shared" si="50"/>
        <v>0.62499999999999967</v>
      </c>
      <c r="C225" s="26" t="s">
        <v>29</v>
      </c>
      <c r="D225" s="59" t="s">
        <v>30</v>
      </c>
      <c r="E225" s="59" t="s">
        <v>234</v>
      </c>
      <c r="F225" s="27">
        <v>40</v>
      </c>
      <c r="G225" s="34">
        <f t="shared" si="48"/>
        <v>200</v>
      </c>
      <c r="H225" s="33"/>
      <c r="I225" s="33"/>
      <c r="J225" s="33"/>
      <c r="K225" s="29"/>
      <c r="L225" s="29"/>
      <c r="M225" s="35" t="str">
        <f t="shared" ca="1" si="49"/>
        <v/>
      </c>
      <c r="N225" s="46"/>
      <c r="O225" s="47"/>
    </row>
    <row r="226" spans="1:15" ht="15" customHeight="1">
      <c r="A226" s="68">
        <v>46212</v>
      </c>
      <c r="B226" s="25">
        <f t="shared" si="50"/>
        <v>0.6666666666666663</v>
      </c>
      <c r="C226" s="26" t="s">
        <v>29</v>
      </c>
      <c r="D226" s="59" t="s">
        <v>30</v>
      </c>
      <c r="E226" s="59" t="s">
        <v>234</v>
      </c>
      <c r="F226" s="27">
        <v>25</v>
      </c>
      <c r="G226" s="28">
        <f t="shared" si="48"/>
        <v>125</v>
      </c>
      <c r="H226" s="26"/>
      <c r="I226" s="26"/>
      <c r="J226" s="26"/>
      <c r="K226" s="29"/>
      <c r="L226" s="29"/>
      <c r="M226" s="30" t="str">
        <f t="shared" ca="1" si="49"/>
        <v/>
      </c>
      <c r="N226" s="46"/>
      <c r="O226" s="47"/>
    </row>
    <row r="227" spans="1:15" ht="15" customHeight="1">
      <c r="A227" s="69">
        <v>46212</v>
      </c>
      <c r="B227" s="32">
        <f t="shared" si="50"/>
        <v>0.70833333333333293</v>
      </c>
      <c r="C227" s="26" t="s">
        <v>29</v>
      </c>
      <c r="D227" s="59" t="s">
        <v>30</v>
      </c>
      <c r="E227" s="59" t="s">
        <v>234</v>
      </c>
      <c r="F227" s="27">
        <v>40</v>
      </c>
      <c r="G227" s="34">
        <f t="shared" si="48"/>
        <v>200</v>
      </c>
      <c r="H227" s="33"/>
      <c r="I227" s="33"/>
      <c r="J227" s="33"/>
      <c r="K227" s="29"/>
      <c r="L227" s="29"/>
      <c r="M227" s="35" t="str">
        <f t="shared" ca="1" si="49"/>
        <v/>
      </c>
      <c r="N227" s="46"/>
      <c r="O227" s="47"/>
    </row>
    <row r="228" spans="1:15" ht="15" customHeight="1">
      <c r="A228" s="68">
        <v>46212</v>
      </c>
      <c r="B228" s="25">
        <f t="shared" si="50"/>
        <v>0.74999999999999956</v>
      </c>
      <c r="C228" s="26" t="s">
        <v>29</v>
      </c>
      <c r="D228" s="59" t="s">
        <v>30</v>
      </c>
      <c r="E228" s="59" t="s">
        <v>234</v>
      </c>
      <c r="F228" s="27">
        <v>20</v>
      </c>
      <c r="G228" s="28">
        <f t="shared" si="48"/>
        <v>100</v>
      </c>
      <c r="H228" s="26"/>
      <c r="I228" s="26"/>
      <c r="J228" s="26"/>
      <c r="K228" s="29"/>
      <c r="L228" s="29"/>
      <c r="M228" s="30" t="str">
        <f t="shared" ca="1" si="49"/>
        <v/>
      </c>
      <c r="N228" s="46"/>
      <c r="O228" s="47"/>
    </row>
    <row r="229" spans="1:15" ht="15" customHeight="1">
      <c r="A229" s="69">
        <v>46212</v>
      </c>
      <c r="B229" s="32">
        <f t="shared" si="50"/>
        <v>0.79166666666666619</v>
      </c>
      <c r="C229" s="26" t="s">
        <v>29</v>
      </c>
      <c r="D229" s="59" t="s">
        <v>30</v>
      </c>
      <c r="E229" s="59" t="s">
        <v>234</v>
      </c>
      <c r="F229" s="27">
        <v>0</v>
      </c>
      <c r="G229" s="34">
        <f t="shared" si="48"/>
        <v>0</v>
      </c>
      <c r="H229" s="33"/>
      <c r="I229" s="33"/>
      <c r="J229" s="33"/>
      <c r="K229" s="29"/>
      <c r="L229" s="29"/>
      <c r="M229" s="35" t="str">
        <f t="shared" ca="1" si="49"/>
        <v/>
      </c>
      <c r="N229" s="46"/>
      <c r="O229" s="47"/>
    </row>
    <row r="230" spans="1:15" ht="15.75" customHeight="1">
      <c r="A230" s="119" t="s">
        <v>236</v>
      </c>
      <c r="B230" s="120"/>
      <c r="C230" s="120"/>
      <c r="D230" s="120"/>
      <c r="E230" s="121">
        <f>SUM(E218:E229)</f>
        <v>0</v>
      </c>
      <c r="F230" s="36">
        <f>SUM(F218:F229)</f>
        <v>238</v>
      </c>
      <c r="G230" s="36">
        <f>SUM(G218:G229)</f>
        <v>1190</v>
      </c>
      <c r="H230" s="37"/>
      <c r="I230" s="37"/>
      <c r="J230" s="37"/>
      <c r="K230" s="37"/>
      <c r="L230" s="37"/>
      <c r="M230" s="38">
        <f ca="1">IFERROR(SUM(M218:M229),"")</f>
        <v>7.8472222222222221E-2</v>
      </c>
      <c r="N230" s="36" t="s">
        <v>237</v>
      </c>
      <c r="O230" s="39">
        <v>1436170</v>
      </c>
    </row>
    <row r="231" spans="1:15" ht="15" customHeight="1">
      <c r="A231" s="69">
        <v>46212</v>
      </c>
      <c r="B231" s="32">
        <v>0.83333333333333304</v>
      </c>
      <c r="C231" s="33" t="s">
        <v>21</v>
      </c>
      <c r="D231" s="62" t="s">
        <v>30</v>
      </c>
      <c r="E231" s="62" t="s">
        <v>234</v>
      </c>
      <c r="F231" s="27">
        <v>30</v>
      </c>
      <c r="G231" s="34">
        <f t="shared" ref="G231:G242" si="51">IF(F231="","",IF(E231="PC 17",F231*4.2,IF(E231="PC 19",F231*5,"")))</f>
        <v>150</v>
      </c>
      <c r="H231" s="33" t="s">
        <v>20</v>
      </c>
      <c r="I231" s="33" t="s">
        <v>23</v>
      </c>
      <c r="J231" s="33" t="s">
        <v>187</v>
      </c>
      <c r="K231" s="29">
        <v>6.5972222222222224E-2</v>
      </c>
      <c r="L231" s="29">
        <v>9.375E-2</v>
      </c>
      <c r="M231" s="35">
        <f t="shared" ref="M231:M242" ca="1" si="52">IFERROR(IF(K231="","",IF(L231="",MOD(NOW()-K231,1),IF(L231&gt;=K231,L231-K231,L231+1-K231))),"")</f>
        <v>2.7777777777777776E-2</v>
      </c>
      <c r="N231" s="46"/>
      <c r="O231" s="47"/>
    </row>
    <row r="232" spans="1:15" ht="15" customHeight="1">
      <c r="A232" s="68">
        <v>46212</v>
      </c>
      <c r="B232" s="25">
        <f t="shared" ref="B232:B242" si="53">B231+TIME(0,60,0)</f>
        <v>0.87499999999999967</v>
      </c>
      <c r="C232" s="33" t="s">
        <v>21</v>
      </c>
      <c r="D232" s="62" t="s">
        <v>30</v>
      </c>
      <c r="E232" s="62" t="s">
        <v>234</v>
      </c>
      <c r="F232" s="27">
        <v>22</v>
      </c>
      <c r="G232" s="28">
        <f t="shared" si="51"/>
        <v>110</v>
      </c>
      <c r="H232" s="26"/>
      <c r="I232" s="26"/>
      <c r="J232" s="26"/>
      <c r="K232" s="29"/>
      <c r="L232" s="29"/>
      <c r="M232" s="30" t="str">
        <f t="shared" ca="1" si="52"/>
        <v/>
      </c>
      <c r="N232" s="46"/>
      <c r="O232" s="47"/>
    </row>
    <row r="233" spans="1:15" ht="15" customHeight="1">
      <c r="A233" s="69">
        <v>46212</v>
      </c>
      <c r="B233" s="32">
        <f t="shared" si="53"/>
        <v>0.9166666666666663</v>
      </c>
      <c r="C233" s="33" t="s">
        <v>21</v>
      </c>
      <c r="D233" s="62" t="s">
        <v>30</v>
      </c>
      <c r="E233" s="62" t="s">
        <v>234</v>
      </c>
      <c r="F233" s="27">
        <v>30</v>
      </c>
      <c r="G233" s="34">
        <f t="shared" si="51"/>
        <v>150</v>
      </c>
      <c r="H233" s="33"/>
      <c r="I233" s="33"/>
      <c r="J233" s="33"/>
      <c r="K233" s="29"/>
      <c r="L233" s="29"/>
      <c r="M233" s="35" t="str">
        <f t="shared" ca="1" si="52"/>
        <v/>
      </c>
      <c r="N233" s="46"/>
      <c r="O233" s="47"/>
    </row>
    <row r="234" spans="1:15" ht="15" customHeight="1">
      <c r="A234" s="68">
        <v>46212</v>
      </c>
      <c r="B234" s="25">
        <f t="shared" si="53"/>
        <v>0.95833333333333293</v>
      </c>
      <c r="C234" s="33" t="s">
        <v>21</v>
      </c>
      <c r="D234" s="62" t="s">
        <v>30</v>
      </c>
      <c r="E234" s="62" t="s">
        <v>234</v>
      </c>
      <c r="F234" s="27">
        <v>27</v>
      </c>
      <c r="G234" s="28">
        <f t="shared" si="51"/>
        <v>135</v>
      </c>
      <c r="H234" s="26"/>
      <c r="I234" s="26"/>
      <c r="J234" s="26"/>
      <c r="K234" s="29"/>
      <c r="L234" s="29"/>
      <c r="M234" s="30" t="str">
        <f t="shared" ca="1" si="52"/>
        <v/>
      </c>
      <c r="N234" s="46"/>
      <c r="O234" s="47"/>
    </row>
    <row r="235" spans="1:15" ht="15" customHeight="1">
      <c r="A235" s="69">
        <v>46212</v>
      </c>
      <c r="B235" s="32">
        <f t="shared" si="53"/>
        <v>0.99999999999999956</v>
      </c>
      <c r="C235" s="33" t="s">
        <v>21</v>
      </c>
      <c r="D235" s="62" t="s">
        <v>30</v>
      </c>
      <c r="E235" s="62" t="s">
        <v>234</v>
      </c>
      <c r="F235" s="27">
        <v>15</v>
      </c>
      <c r="G235" s="34">
        <f t="shared" si="51"/>
        <v>75</v>
      </c>
      <c r="H235" s="33"/>
      <c r="I235" s="33"/>
      <c r="J235" s="33"/>
      <c r="K235" s="29"/>
      <c r="L235" s="29"/>
      <c r="M235" s="35" t="str">
        <f t="shared" ca="1" si="52"/>
        <v/>
      </c>
      <c r="N235" s="46"/>
      <c r="O235" s="47"/>
    </row>
    <row r="236" spans="1:15" ht="15" customHeight="1">
      <c r="A236" s="68">
        <v>46212</v>
      </c>
      <c r="B236" s="25">
        <f t="shared" si="53"/>
        <v>1.0416666666666663</v>
      </c>
      <c r="C236" s="33" t="s">
        <v>21</v>
      </c>
      <c r="D236" s="62" t="s">
        <v>30</v>
      </c>
      <c r="E236" s="62" t="s">
        <v>234</v>
      </c>
      <c r="F236" s="27">
        <v>20</v>
      </c>
      <c r="G236" s="28">
        <f t="shared" si="51"/>
        <v>100</v>
      </c>
      <c r="H236" s="50"/>
      <c r="I236" s="50"/>
      <c r="J236" s="50"/>
      <c r="K236" s="29"/>
      <c r="L236" s="29"/>
      <c r="M236" s="30" t="str">
        <f t="shared" ca="1" si="52"/>
        <v/>
      </c>
      <c r="N236" s="46"/>
      <c r="O236" s="47"/>
    </row>
    <row r="237" spans="1:15" ht="15" customHeight="1">
      <c r="A237" s="69">
        <v>46212</v>
      </c>
      <c r="B237" s="32">
        <f t="shared" si="53"/>
        <v>1.083333333333333</v>
      </c>
      <c r="C237" s="33" t="s">
        <v>21</v>
      </c>
      <c r="D237" s="62" t="s">
        <v>30</v>
      </c>
      <c r="E237" s="62" t="s">
        <v>234</v>
      </c>
      <c r="F237" s="27">
        <v>6</v>
      </c>
      <c r="G237" s="34">
        <f t="shared" si="51"/>
        <v>30</v>
      </c>
      <c r="H237" s="33"/>
      <c r="I237" s="33"/>
      <c r="J237" s="33"/>
      <c r="K237" s="29"/>
      <c r="L237" s="29"/>
      <c r="M237" s="35" t="str">
        <f t="shared" ca="1" si="52"/>
        <v/>
      </c>
      <c r="N237" s="46"/>
      <c r="O237" s="47"/>
    </row>
    <row r="238" spans="1:15" ht="15" customHeight="1">
      <c r="A238" s="68">
        <v>46212</v>
      </c>
      <c r="B238" s="25">
        <f t="shared" si="53"/>
        <v>1.1249999999999998</v>
      </c>
      <c r="C238" s="33" t="s">
        <v>21</v>
      </c>
      <c r="D238" s="62" t="s">
        <v>30</v>
      </c>
      <c r="E238" s="62" t="s">
        <v>234</v>
      </c>
      <c r="F238" s="27">
        <v>20</v>
      </c>
      <c r="G238" s="28">
        <f t="shared" si="51"/>
        <v>100</v>
      </c>
      <c r="H238" s="26"/>
      <c r="I238" s="26"/>
      <c r="J238" s="26"/>
      <c r="K238" s="29"/>
      <c r="L238" s="29"/>
      <c r="M238" s="30" t="str">
        <f t="shared" ca="1" si="52"/>
        <v/>
      </c>
      <c r="N238" s="46"/>
      <c r="O238" s="47"/>
    </row>
    <row r="239" spans="1:15" ht="15" customHeight="1">
      <c r="A239" s="69">
        <v>46212</v>
      </c>
      <c r="B239" s="32">
        <f t="shared" si="53"/>
        <v>1.1666666666666665</v>
      </c>
      <c r="C239" s="33" t="s">
        <v>21</v>
      </c>
      <c r="D239" s="62" t="s">
        <v>30</v>
      </c>
      <c r="E239" s="62" t="s">
        <v>234</v>
      </c>
      <c r="F239" s="27">
        <v>30</v>
      </c>
      <c r="G239" s="34">
        <f t="shared" si="51"/>
        <v>150</v>
      </c>
      <c r="H239" s="33"/>
      <c r="I239" s="33"/>
      <c r="J239" s="33"/>
      <c r="K239" s="29"/>
      <c r="L239" s="29"/>
      <c r="M239" s="35" t="str">
        <f t="shared" ca="1" si="52"/>
        <v/>
      </c>
      <c r="N239" s="46"/>
      <c r="O239" s="47"/>
    </row>
    <row r="240" spans="1:15" ht="15" customHeight="1">
      <c r="A240" s="68">
        <v>46212</v>
      </c>
      <c r="B240" s="25">
        <f t="shared" si="53"/>
        <v>1.2083333333333333</v>
      </c>
      <c r="C240" s="33" t="s">
        <v>21</v>
      </c>
      <c r="D240" s="62" t="s">
        <v>30</v>
      </c>
      <c r="E240" s="62" t="s">
        <v>234</v>
      </c>
      <c r="F240" s="27">
        <v>25</v>
      </c>
      <c r="G240" s="28">
        <f t="shared" si="51"/>
        <v>125</v>
      </c>
      <c r="H240" s="26"/>
      <c r="I240" s="26"/>
      <c r="J240" s="26"/>
      <c r="K240" s="29"/>
      <c r="L240" s="29"/>
      <c r="M240" s="30" t="str">
        <f t="shared" ca="1" si="52"/>
        <v/>
      </c>
      <c r="N240" s="46"/>
      <c r="O240" s="47"/>
    </row>
    <row r="241" spans="1:15" ht="15" customHeight="1">
      <c r="A241" s="69">
        <v>46212</v>
      </c>
      <c r="B241" s="32">
        <f t="shared" si="53"/>
        <v>1.25</v>
      </c>
      <c r="C241" s="33" t="s">
        <v>21</v>
      </c>
      <c r="D241" s="62" t="s">
        <v>30</v>
      </c>
      <c r="E241" s="62" t="s">
        <v>234</v>
      </c>
      <c r="F241" s="27">
        <v>16</v>
      </c>
      <c r="G241" s="34">
        <f t="shared" si="51"/>
        <v>80</v>
      </c>
      <c r="H241" s="33"/>
      <c r="I241" s="33"/>
      <c r="J241" s="33"/>
      <c r="K241" s="29"/>
      <c r="L241" s="29"/>
      <c r="M241" s="35" t="str">
        <f t="shared" ca="1" si="52"/>
        <v/>
      </c>
      <c r="N241" s="46"/>
      <c r="O241" s="47"/>
    </row>
    <row r="242" spans="1:15" ht="15" customHeight="1">
      <c r="A242" s="68">
        <v>46212</v>
      </c>
      <c r="B242" s="25">
        <f t="shared" si="53"/>
        <v>1.2916666666666667</v>
      </c>
      <c r="C242" s="33" t="s">
        <v>21</v>
      </c>
      <c r="D242" s="62" t="s">
        <v>30</v>
      </c>
      <c r="E242" s="62" t="s">
        <v>234</v>
      </c>
      <c r="F242" s="27">
        <v>6</v>
      </c>
      <c r="G242" s="28">
        <f t="shared" si="51"/>
        <v>30</v>
      </c>
      <c r="H242" s="26"/>
      <c r="I242" s="26"/>
      <c r="J242" s="26"/>
      <c r="K242" s="29"/>
      <c r="L242" s="29"/>
      <c r="M242" s="30" t="str">
        <f t="shared" ca="1" si="52"/>
        <v/>
      </c>
      <c r="N242" s="46"/>
      <c r="O242" s="47"/>
    </row>
    <row r="243" spans="1:15" ht="15.75" customHeight="1">
      <c r="A243" s="119" t="s">
        <v>238</v>
      </c>
      <c r="B243" s="120"/>
      <c r="C243" s="120"/>
      <c r="D243" s="120"/>
      <c r="E243" s="121">
        <f>SUM(E231:E242)</f>
        <v>0</v>
      </c>
      <c r="F243" s="36">
        <f>SUM(F231:F242)</f>
        <v>247</v>
      </c>
      <c r="G243" s="36">
        <f>SUM(G231:G242)</f>
        <v>1235</v>
      </c>
      <c r="H243" s="37"/>
      <c r="I243" s="37"/>
      <c r="J243" s="37"/>
      <c r="K243" s="37"/>
      <c r="L243" s="37"/>
      <c r="M243" s="38">
        <f ca="1">IFERROR(SUM(M231:M242),"")</f>
        <v>2.7777777777777776E-2</v>
      </c>
      <c r="N243" s="36" t="s">
        <v>237</v>
      </c>
      <c r="O243" s="39">
        <v>1545480</v>
      </c>
    </row>
    <row r="244" spans="1:15" ht="18" customHeight="1">
      <c r="A244" s="122" t="s">
        <v>239</v>
      </c>
      <c r="B244" s="123"/>
      <c r="C244" s="123"/>
      <c r="D244" s="123"/>
      <c r="E244" s="124">
        <f>E230+E243</f>
        <v>0</v>
      </c>
      <c r="F244" s="40">
        <f>F230+F243</f>
        <v>485</v>
      </c>
      <c r="G244" s="40">
        <f>G230+G243</f>
        <v>2425</v>
      </c>
      <c r="H244" s="41"/>
      <c r="I244" s="41"/>
      <c r="J244" s="41"/>
      <c r="K244" s="41"/>
      <c r="L244" s="41"/>
      <c r="M244" s="42">
        <f ca="1">IFERROR(M230+M243,"")</f>
        <v>0.10625</v>
      </c>
      <c r="N244" s="40" t="s">
        <v>240</v>
      </c>
      <c r="O244" s="48">
        <f>IFERROR(O230+O243,"")</f>
        <v>2981650</v>
      </c>
    </row>
    <row r="245" spans="1:15" ht="15" customHeight="1">
      <c r="A245" s="68">
        <v>46213</v>
      </c>
      <c r="B245" s="25">
        <v>0.33333333333333298</v>
      </c>
      <c r="C245" s="26" t="s">
        <v>45</v>
      </c>
      <c r="D245" s="59" t="s">
        <v>30</v>
      </c>
      <c r="E245" s="59" t="s">
        <v>234</v>
      </c>
      <c r="F245" s="27">
        <v>15</v>
      </c>
      <c r="G245" s="28">
        <f t="shared" ref="G245:G256" si="54">IF(F245="","",IF(E245="PC 17",F245*4.2,IF(E245="PC 19",F245*5,"")))</f>
        <v>75</v>
      </c>
      <c r="H245" s="33" t="s">
        <v>18</v>
      </c>
      <c r="I245" s="33" t="s">
        <v>23</v>
      </c>
      <c r="J245" s="33" t="s">
        <v>164</v>
      </c>
      <c r="K245" s="29">
        <v>0.29166666666666669</v>
      </c>
      <c r="L245" s="29">
        <v>0.3263888888888889</v>
      </c>
      <c r="M245" s="35">
        <f t="shared" ref="M245:M256" ca="1" si="55">IFERROR(IF(K245="","",IF(L245="",MOD(NOW()-K245,1),IF(L245&gt;=K245,L245-K245,L245+1-K245))),"")</f>
        <v>3.472222222222221E-2</v>
      </c>
      <c r="N245" s="46" t="s">
        <v>246</v>
      </c>
      <c r="O245" s="47"/>
    </row>
    <row r="246" spans="1:15" ht="15" customHeight="1">
      <c r="A246" s="69">
        <v>46213</v>
      </c>
      <c r="B246" s="32">
        <f t="shared" ref="B246:B256" si="56">B245+TIME(0,60,0)</f>
        <v>0.37499999999999967</v>
      </c>
      <c r="C246" s="26" t="s">
        <v>45</v>
      </c>
      <c r="D246" s="59" t="s">
        <v>30</v>
      </c>
      <c r="E246" s="59" t="s">
        <v>234</v>
      </c>
      <c r="F246" s="27">
        <v>20</v>
      </c>
      <c r="G246" s="34">
        <f t="shared" si="54"/>
        <v>100</v>
      </c>
      <c r="H246" s="33"/>
      <c r="I246" s="26"/>
      <c r="J246" s="33"/>
      <c r="K246" s="29"/>
      <c r="L246" s="29"/>
      <c r="M246" s="30" t="str">
        <f t="shared" ca="1" si="55"/>
        <v/>
      </c>
      <c r="N246" s="46"/>
      <c r="O246" s="47"/>
    </row>
    <row r="247" spans="1:15" ht="15" customHeight="1">
      <c r="A247" s="68">
        <v>46213</v>
      </c>
      <c r="B247" s="25">
        <f t="shared" si="56"/>
        <v>0.41666666666666635</v>
      </c>
      <c r="C247" s="26" t="s">
        <v>45</v>
      </c>
      <c r="D247" s="59" t="s">
        <v>30</v>
      </c>
      <c r="E247" s="59" t="s">
        <v>234</v>
      </c>
      <c r="F247" s="27">
        <v>35</v>
      </c>
      <c r="G247" s="28">
        <f t="shared" si="54"/>
        <v>175</v>
      </c>
      <c r="H247" s="33"/>
      <c r="I247" s="33"/>
      <c r="J247" s="33"/>
      <c r="K247" s="29"/>
      <c r="L247" s="29"/>
      <c r="M247" s="35" t="str">
        <f t="shared" ca="1" si="55"/>
        <v/>
      </c>
      <c r="N247" s="46"/>
      <c r="O247" s="47"/>
    </row>
    <row r="248" spans="1:15" ht="15" customHeight="1">
      <c r="A248" s="69">
        <v>46213</v>
      </c>
      <c r="B248" s="32">
        <f t="shared" si="56"/>
        <v>0.45833333333333304</v>
      </c>
      <c r="C248" s="26" t="s">
        <v>45</v>
      </c>
      <c r="D248" s="59" t="s">
        <v>30</v>
      </c>
      <c r="E248" s="59" t="s">
        <v>234</v>
      </c>
      <c r="F248" s="27">
        <v>20</v>
      </c>
      <c r="G248" s="34">
        <f t="shared" si="54"/>
        <v>100</v>
      </c>
      <c r="H248" s="26"/>
      <c r="I248" s="26"/>
      <c r="J248" s="26"/>
      <c r="K248" s="29"/>
      <c r="L248" s="29"/>
      <c r="M248" s="30" t="str">
        <f t="shared" ca="1" si="55"/>
        <v/>
      </c>
      <c r="N248" s="46"/>
      <c r="O248" s="47"/>
    </row>
    <row r="249" spans="1:15" ht="15" customHeight="1">
      <c r="A249" s="68">
        <v>46213</v>
      </c>
      <c r="B249" s="25">
        <f t="shared" si="56"/>
        <v>0.49999999999999972</v>
      </c>
      <c r="C249" s="26" t="s">
        <v>45</v>
      </c>
      <c r="D249" s="59" t="s">
        <v>30</v>
      </c>
      <c r="E249" s="59" t="s">
        <v>234</v>
      </c>
      <c r="F249" s="27">
        <v>20</v>
      </c>
      <c r="G249" s="28">
        <f t="shared" si="54"/>
        <v>100</v>
      </c>
      <c r="H249" s="33"/>
      <c r="I249" s="33"/>
      <c r="J249" s="33"/>
      <c r="K249" s="29"/>
      <c r="L249" s="29"/>
      <c r="M249" s="35" t="str">
        <f t="shared" ca="1" si="55"/>
        <v/>
      </c>
      <c r="N249" s="46"/>
      <c r="O249" s="47"/>
    </row>
    <row r="250" spans="1:15" ht="15" customHeight="1">
      <c r="A250" s="69">
        <v>46213</v>
      </c>
      <c r="B250" s="32">
        <f t="shared" si="56"/>
        <v>0.54166666666666641</v>
      </c>
      <c r="C250" s="26" t="s">
        <v>45</v>
      </c>
      <c r="D250" s="59" t="s">
        <v>30</v>
      </c>
      <c r="E250" s="59" t="s">
        <v>234</v>
      </c>
      <c r="F250" s="27">
        <v>15</v>
      </c>
      <c r="G250" s="34">
        <f t="shared" si="54"/>
        <v>75</v>
      </c>
      <c r="H250" s="26"/>
      <c r="I250" s="26"/>
      <c r="J250" s="26"/>
      <c r="K250" s="29"/>
      <c r="L250" s="29"/>
      <c r="M250" s="30" t="str">
        <f t="shared" ca="1" si="55"/>
        <v/>
      </c>
      <c r="N250" s="46"/>
      <c r="O250" s="47"/>
    </row>
    <row r="251" spans="1:15" ht="15" customHeight="1">
      <c r="A251" s="68">
        <v>46213</v>
      </c>
      <c r="B251" s="25">
        <f t="shared" si="56"/>
        <v>0.58333333333333304</v>
      </c>
      <c r="C251" s="26" t="s">
        <v>45</v>
      </c>
      <c r="D251" s="59" t="s">
        <v>30</v>
      </c>
      <c r="E251" s="59" t="s">
        <v>234</v>
      </c>
      <c r="F251" s="27">
        <v>45</v>
      </c>
      <c r="G251" s="28">
        <f t="shared" si="54"/>
        <v>225</v>
      </c>
      <c r="H251" s="33"/>
      <c r="I251" s="33"/>
      <c r="J251" s="33"/>
      <c r="K251" s="29"/>
      <c r="L251" s="29"/>
      <c r="M251" s="35" t="str">
        <f t="shared" ca="1" si="55"/>
        <v/>
      </c>
      <c r="N251" s="46"/>
      <c r="O251" s="47"/>
    </row>
    <row r="252" spans="1:15" ht="15" customHeight="1">
      <c r="A252" s="69">
        <v>46213</v>
      </c>
      <c r="B252" s="32">
        <f t="shared" si="56"/>
        <v>0.62499999999999967</v>
      </c>
      <c r="C252" s="26" t="s">
        <v>45</v>
      </c>
      <c r="D252" s="59" t="s">
        <v>30</v>
      </c>
      <c r="E252" s="59" t="s">
        <v>234</v>
      </c>
      <c r="F252" s="27">
        <v>40</v>
      </c>
      <c r="G252" s="34">
        <f t="shared" si="54"/>
        <v>200</v>
      </c>
      <c r="H252" s="26"/>
      <c r="I252" s="26"/>
      <c r="J252" s="26"/>
      <c r="K252" s="29"/>
      <c r="L252" s="29"/>
      <c r="M252" s="30" t="str">
        <f t="shared" ca="1" si="55"/>
        <v/>
      </c>
      <c r="N252" s="46"/>
      <c r="O252" s="47"/>
    </row>
    <row r="253" spans="1:15" ht="15" customHeight="1">
      <c r="A253" s="68">
        <v>46213</v>
      </c>
      <c r="B253" s="25">
        <f t="shared" si="56"/>
        <v>0.6666666666666663</v>
      </c>
      <c r="C253" s="26" t="s">
        <v>45</v>
      </c>
      <c r="D253" s="59" t="s">
        <v>30</v>
      </c>
      <c r="E253" s="59" t="s">
        <v>234</v>
      </c>
      <c r="F253" s="27">
        <v>40</v>
      </c>
      <c r="G253" s="28">
        <f t="shared" si="54"/>
        <v>200</v>
      </c>
      <c r="H253" s="33"/>
      <c r="I253" s="33"/>
      <c r="J253" s="33"/>
      <c r="K253" s="29"/>
      <c r="L253" s="29"/>
      <c r="M253" s="35" t="str">
        <f t="shared" ca="1" si="55"/>
        <v/>
      </c>
      <c r="N253" s="46"/>
      <c r="O253" s="47"/>
    </row>
    <row r="254" spans="1:15" ht="15" customHeight="1">
      <c r="A254" s="69">
        <v>46213</v>
      </c>
      <c r="B254" s="32">
        <f t="shared" si="56"/>
        <v>0.70833333333333293</v>
      </c>
      <c r="C254" s="26" t="s">
        <v>45</v>
      </c>
      <c r="D254" s="59" t="s">
        <v>30</v>
      </c>
      <c r="E254" s="59" t="s">
        <v>234</v>
      </c>
      <c r="F254" s="27">
        <v>35</v>
      </c>
      <c r="G254" s="34">
        <f t="shared" si="54"/>
        <v>175</v>
      </c>
      <c r="H254" s="26"/>
      <c r="I254" s="26"/>
      <c r="J254" s="26"/>
      <c r="K254" s="29"/>
      <c r="L254" s="29"/>
      <c r="M254" s="30" t="str">
        <f t="shared" ca="1" si="55"/>
        <v/>
      </c>
      <c r="N254" s="46"/>
      <c r="O254" s="47"/>
    </row>
    <row r="255" spans="1:15" ht="15" customHeight="1">
      <c r="A255" s="68">
        <v>46213</v>
      </c>
      <c r="B255" s="25">
        <f t="shared" si="56"/>
        <v>0.74999999999999956</v>
      </c>
      <c r="C255" s="26" t="s">
        <v>45</v>
      </c>
      <c r="D255" s="59" t="s">
        <v>30</v>
      </c>
      <c r="E255" s="59" t="s">
        <v>234</v>
      </c>
      <c r="F255" s="27">
        <v>35</v>
      </c>
      <c r="G255" s="28">
        <f t="shared" si="54"/>
        <v>175</v>
      </c>
      <c r="H255" s="33"/>
      <c r="I255" s="33"/>
      <c r="J255" s="33"/>
      <c r="K255" s="29"/>
      <c r="L255" s="29"/>
      <c r="M255" s="35" t="str">
        <f t="shared" ca="1" si="55"/>
        <v/>
      </c>
      <c r="N255" s="46"/>
      <c r="O255" s="47"/>
    </row>
    <row r="256" spans="1:15" ht="15" customHeight="1">
      <c r="A256" s="69">
        <v>46213</v>
      </c>
      <c r="B256" s="32">
        <f t="shared" si="56"/>
        <v>0.79166666666666619</v>
      </c>
      <c r="C256" s="26" t="s">
        <v>45</v>
      </c>
      <c r="D256" s="59" t="s">
        <v>30</v>
      </c>
      <c r="E256" s="59" t="s">
        <v>234</v>
      </c>
      <c r="F256" s="27">
        <v>30</v>
      </c>
      <c r="G256" s="34">
        <f t="shared" si="54"/>
        <v>150</v>
      </c>
      <c r="H256" s="26"/>
      <c r="I256" s="26"/>
      <c r="J256" s="26"/>
      <c r="K256" s="29"/>
      <c r="L256" s="29"/>
      <c r="M256" s="30" t="str">
        <f t="shared" ca="1" si="55"/>
        <v/>
      </c>
      <c r="N256" s="46"/>
      <c r="O256" s="47"/>
    </row>
    <row r="257" spans="1:15" ht="15.75" customHeight="1">
      <c r="A257" s="119" t="s">
        <v>236</v>
      </c>
      <c r="B257" s="120"/>
      <c r="C257" s="120"/>
      <c r="D257" s="120"/>
      <c r="E257" s="121">
        <f>SUM(E245:E256)</f>
        <v>0</v>
      </c>
      <c r="F257" s="36">
        <f>SUM(F245:F256)</f>
        <v>350</v>
      </c>
      <c r="G257" s="36">
        <f>SUM(G245:G256)</f>
        <v>1750</v>
      </c>
      <c r="H257" s="37"/>
      <c r="I257" s="37"/>
      <c r="J257" s="37"/>
      <c r="K257" s="37"/>
      <c r="L257" s="37"/>
      <c r="M257" s="38">
        <f ca="1">IFERROR(SUM(M245:M256),"")</f>
        <v>3.472222222222221E-2</v>
      </c>
      <c r="N257" s="36" t="s">
        <v>237</v>
      </c>
      <c r="O257" s="39">
        <v>2070060</v>
      </c>
    </row>
    <row r="258" spans="1:15" ht="15" customHeight="1">
      <c r="A258" s="69">
        <v>46213</v>
      </c>
      <c r="B258" s="32">
        <v>0.83333333333333304</v>
      </c>
      <c r="C258" s="33" t="s">
        <v>29</v>
      </c>
      <c r="D258" s="62" t="s">
        <v>30</v>
      </c>
      <c r="E258" s="62" t="s">
        <v>234</v>
      </c>
      <c r="F258" s="27">
        <v>25</v>
      </c>
      <c r="G258" s="34">
        <f t="shared" ref="G258:G269" si="57">IF(F258="","",IF(E258="PC 17",F258*4.2,IF(E258="PC 19",F258*5,"")))</f>
        <v>125</v>
      </c>
      <c r="H258" s="26"/>
      <c r="I258" s="26"/>
      <c r="J258" s="26"/>
      <c r="K258" s="29"/>
      <c r="L258" s="29"/>
      <c r="M258" s="30" t="str">
        <f t="shared" ref="M258:M269" ca="1" si="58">IFERROR(IF(K258="","",IF(L258="",MOD(NOW()-K258,1),IF(L258&gt;=K258,L258-K258,L258+1-K258))),"")</f>
        <v/>
      </c>
      <c r="N258" s="46"/>
      <c r="O258" s="47"/>
    </row>
    <row r="259" spans="1:15" ht="15" customHeight="1">
      <c r="A259" s="68">
        <v>46213</v>
      </c>
      <c r="B259" s="25">
        <f t="shared" ref="B259:B269" si="59">B258+TIME(0,60,0)</f>
        <v>0.87499999999999967</v>
      </c>
      <c r="C259" s="33" t="s">
        <v>29</v>
      </c>
      <c r="D259" s="62" t="s">
        <v>30</v>
      </c>
      <c r="E259" s="62" t="s">
        <v>234</v>
      </c>
      <c r="F259" s="27">
        <v>25</v>
      </c>
      <c r="G259" s="28">
        <f t="shared" si="57"/>
        <v>125</v>
      </c>
      <c r="H259" s="50"/>
      <c r="I259" s="50"/>
      <c r="J259" s="50"/>
      <c r="K259" s="29"/>
      <c r="L259" s="29"/>
      <c r="M259" s="35" t="str">
        <f t="shared" ca="1" si="58"/>
        <v/>
      </c>
      <c r="N259" s="46"/>
      <c r="O259" s="47"/>
    </row>
    <row r="260" spans="1:15" ht="15" customHeight="1">
      <c r="A260" s="69">
        <v>46213</v>
      </c>
      <c r="B260" s="32">
        <f t="shared" si="59"/>
        <v>0.9166666666666663</v>
      </c>
      <c r="C260" s="33" t="s">
        <v>29</v>
      </c>
      <c r="D260" s="62" t="s">
        <v>30</v>
      </c>
      <c r="E260" s="62" t="s">
        <v>234</v>
      </c>
      <c r="F260" s="27">
        <v>14</v>
      </c>
      <c r="G260" s="34">
        <f t="shared" si="57"/>
        <v>70</v>
      </c>
      <c r="H260" s="33"/>
      <c r="I260" s="26"/>
      <c r="J260" s="33"/>
      <c r="K260" s="29"/>
      <c r="L260" s="29"/>
      <c r="M260" s="30" t="str">
        <f t="shared" ca="1" si="58"/>
        <v/>
      </c>
      <c r="N260" s="27"/>
      <c r="O260" s="47"/>
    </row>
    <row r="261" spans="1:15" ht="15" customHeight="1">
      <c r="A261" s="68">
        <v>46213</v>
      </c>
      <c r="B261" s="25">
        <f t="shared" si="59"/>
        <v>0.95833333333333293</v>
      </c>
      <c r="C261" s="33" t="s">
        <v>29</v>
      </c>
      <c r="D261" s="62" t="s">
        <v>30</v>
      </c>
      <c r="E261" s="62" t="s">
        <v>234</v>
      </c>
      <c r="F261" s="27">
        <v>35</v>
      </c>
      <c r="G261" s="28">
        <f t="shared" si="57"/>
        <v>175</v>
      </c>
      <c r="H261" s="33"/>
      <c r="I261" s="33"/>
      <c r="J261" s="33"/>
      <c r="K261" s="29"/>
      <c r="L261" s="29"/>
      <c r="M261" s="35" t="str">
        <f t="shared" ca="1" si="58"/>
        <v/>
      </c>
      <c r="N261" s="46"/>
      <c r="O261" s="47"/>
    </row>
    <row r="262" spans="1:15" ht="15" customHeight="1">
      <c r="A262" s="69">
        <v>46213</v>
      </c>
      <c r="B262" s="32">
        <f t="shared" si="59"/>
        <v>0.99999999999999956</v>
      </c>
      <c r="C262" s="33" t="s">
        <v>29</v>
      </c>
      <c r="D262" s="62" t="s">
        <v>30</v>
      </c>
      <c r="E262" s="62" t="s">
        <v>234</v>
      </c>
      <c r="F262" s="27">
        <v>23</v>
      </c>
      <c r="G262" s="34">
        <f t="shared" si="57"/>
        <v>115</v>
      </c>
      <c r="H262" s="33"/>
      <c r="I262" s="26"/>
      <c r="J262" s="33"/>
      <c r="K262" s="29"/>
      <c r="L262" s="29"/>
      <c r="M262" s="30" t="str">
        <f t="shared" ca="1" si="58"/>
        <v/>
      </c>
      <c r="N262" s="27"/>
      <c r="O262" s="47"/>
    </row>
    <row r="263" spans="1:15" ht="15" customHeight="1">
      <c r="A263" s="68">
        <v>46213</v>
      </c>
      <c r="B263" s="25">
        <f t="shared" si="59"/>
        <v>1.0416666666666663</v>
      </c>
      <c r="C263" s="33" t="s">
        <v>29</v>
      </c>
      <c r="D263" s="62" t="s">
        <v>30</v>
      </c>
      <c r="E263" s="62" t="s">
        <v>234</v>
      </c>
      <c r="F263" s="27">
        <v>13</v>
      </c>
      <c r="G263" s="28">
        <f t="shared" si="57"/>
        <v>65</v>
      </c>
      <c r="H263" s="33"/>
      <c r="I263" s="33"/>
      <c r="J263" s="33"/>
      <c r="K263" s="29"/>
      <c r="L263" s="29"/>
      <c r="M263" s="35" t="str">
        <f t="shared" ca="1" si="58"/>
        <v/>
      </c>
      <c r="N263" s="46"/>
      <c r="O263" s="47"/>
    </row>
    <row r="264" spans="1:15" ht="15" customHeight="1">
      <c r="A264" s="69">
        <v>46213</v>
      </c>
      <c r="B264" s="32">
        <f t="shared" si="59"/>
        <v>1.083333333333333</v>
      </c>
      <c r="C264" s="33" t="s">
        <v>29</v>
      </c>
      <c r="D264" s="62" t="s">
        <v>30</v>
      </c>
      <c r="E264" s="62" t="s">
        <v>234</v>
      </c>
      <c r="F264" s="27">
        <v>23</v>
      </c>
      <c r="G264" s="34">
        <f t="shared" si="57"/>
        <v>115</v>
      </c>
      <c r="H264" s="33"/>
      <c r="I264" s="26"/>
      <c r="J264" s="33"/>
      <c r="K264" s="29"/>
      <c r="L264" s="29"/>
      <c r="M264" s="30" t="str">
        <f t="shared" ca="1" si="58"/>
        <v/>
      </c>
      <c r="N264" s="46"/>
      <c r="O264" s="47"/>
    </row>
    <row r="265" spans="1:15" ht="15" customHeight="1">
      <c r="A265" s="68">
        <v>46213</v>
      </c>
      <c r="B265" s="25">
        <f t="shared" si="59"/>
        <v>1.1249999999999998</v>
      </c>
      <c r="C265" s="33" t="s">
        <v>29</v>
      </c>
      <c r="D265" s="62" t="s">
        <v>30</v>
      </c>
      <c r="E265" s="62" t="s">
        <v>234</v>
      </c>
      <c r="F265" s="27">
        <v>32</v>
      </c>
      <c r="G265" s="28">
        <f t="shared" si="57"/>
        <v>160</v>
      </c>
      <c r="H265" s="33"/>
      <c r="I265" s="33"/>
      <c r="J265" s="33"/>
      <c r="K265" s="29"/>
      <c r="L265" s="29"/>
      <c r="M265" s="35" t="str">
        <f t="shared" ca="1" si="58"/>
        <v/>
      </c>
      <c r="N265" s="27"/>
      <c r="O265" s="47"/>
    </row>
    <row r="266" spans="1:15" ht="15" customHeight="1">
      <c r="A266" s="69">
        <v>46213</v>
      </c>
      <c r="B266" s="32">
        <f t="shared" si="59"/>
        <v>1.1666666666666665</v>
      </c>
      <c r="C266" s="33" t="s">
        <v>29</v>
      </c>
      <c r="D266" s="62" t="s">
        <v>30</v>
      </c>
      <c r="E266" s="62" t="s">
        <v>234</v>
      </c>
      <c r="F266" s="27">
        <v>14</v>
      </c>
      <c r="G266" s="34">
        <f t="shared" si="57"/>
        <v>70</v>
      </c>
      <c r="H266" s="26"/>
      <c r="I266" s="26"/>
      <c r="J266" s="26"/>
      <c r="K266" s="29"/>
      <c r="L266" s="29"/>
      <c r="M266" s="30" t="str">
        <f t="shared" ca="1" si="58"/>
        <v/>
      </c>
      <c r="N266" s="46"/>
      <c r="O266" s="47"/>
    </row>
    <row r="267" spans="1:15" ht="15" customHeight="1">
      <c r="A267" s="68">
        <v>46213</v>
      </c>
      <c r="B267" s="25">
        <f t="shared" si="59"/>
        <v>1.2083333333333333</v>
      </c>
      <c r="C267" s="33" t="s">
        <v>29</v>
      </c>
      <c r="D267" s="62" t="s">
        <v>30</v>
      </c>
      <c r="E267" s="62" t="s">
        <v>234</v>
      </c>
      <c r="F267" s="27">
        <v>17</v>
      </c>
      <c r="G267" s="28">
        <f t="shared" si="57"/>
        <v>85</v>
      </c>
      <c r="H267" s="33"/>
      <c r="I267" s="33"/>
      <c r="J267" s="33"/>
      <c r="K267" s="29"/>
      <c r="L267" s="29"/>
      <c r="M267" s="35" t="str">
        <f t="shared" ca="1" si="58"/>
        <v/>
      </c>
      <c r="N267" s="46"/>
      <c r="O267" s="47"/>
    </row>
    <row r="268" spans="1:15" ht="15" customHeight="1">
      <c r="A268" s="69">
        <v>46213</v>
      </c>
      <c r="B268" s="32">
        <f t="shared" si="59"/>
        <v>1.25</v>
      </c>
      <c r="C268" s="33" t="s">
        <v>29</v>
      </c>
      <c r="D268" s="62" t="s">
        <v>30</v>
      </c>
      <c r="E268" s="62" t="s">
        <v>234</v>
      </c>
      <c r="F268" s="27">
        <v>17</v>
      </c>
      <c r="G268" s="34">
        <f t="shared" si="57"/>
        <v>85</v>
      </c>
      <c r="H268" s="26"/>
      <c r="I268" s="26"/>
      <c r="J268" s="26"/>
      <c r="K268" s="29"/>
      <c r="L268" s="29"/>
      <c r="M268" s="30" t="str">
        <f t="shared" ca="1" si="58"/>
        <v/>
      </c>
      <c r="N268" s="46"/>
      <c r="O268" s="47"/>
    </row>
    <row r="269" spans="1:15" ht="15" customHeight="1">
      <c r="A269" s="68">
        <v>46213</v>
      </c>
      <c r="B269" s="25">
        <f t="shared" si="59"/>
        <v>1.2916666666666667</v>
      </c>
      <c r="C269" s="33" t="s">
        <v>29</v>
      </c>
      <c r="D269" s="62" t="s">
        <v>30</v>
      </c>
      <c r="E269" s="62" t="s">
        <v>234</v>
      </c>
      <c r="F269" s="27">
        <v>0</v>
      </c>
      <c r="G269" s="28">
        <f t="shared" si="57"/>
        <v>0</v>
      </c>
      <c r="H269" s="33"/>
      <c r="I269" s="33"/>
      <c r="J269" s="33"/>
      <c r="K269" s="29"/>
      <c r="L269" s="29"/>
      <c r="M269" s="35" t="str">
        <f t="shared" ca="1" si="58"/>
        <v/>
      </c>
      <c r="N269" s="46"/>
      <c r="O269" s="47"/>
    </row>
    <row r="270" spans="1:15" ht="15.75" customHeight="1">
      <c r="A270" s="119" t="s">
        <v>238</v>
      </c>
      <c r="B270" s="120"/>
      <c r="C270" s="120"/>
      <c r="D270" s="120"/>
      <c r="E270" s="121">
        <f>SUM(E258:E269)</f>
        <v>0</v>
      </c>
      <c r="F270" s="36">
        <f>SUM(F258:F269)</f>
        <v>238</v>
      </c>
      <c r="G270" s="36">
        <f>SUM(G258:G269)</f>
        <v>1190</v>
      </c>
      <c r="H270" s="37"/>
      <c r="I270" s="37"/>
      <c r="J270" s="37"/>
      <c r="K270" s="37"/>
      <c r="L270" s="37"/>
      <c r="M270" s="38">
        <f ca="1">IFERROR(SUM(M258:M269),"")</f>
        <v>0</v>
      </c>
      <c r="N270" s="36" t="s">
        <v>237</v>
      </c>
      <c r="O270" s="39">
        <v>1182690</v>
      </c>
    </row>
    <row r="271" spans="1:15" ht="18" customHeight="1">
      <c r="A271" s="122" t="s">
        <v>239</v>
      </c>
      <c r="B271" s="123"/>
      <c r="C271" s="123"/>
      <c r="D271" s="123"/>
      <c r="E271" s="124">
        <f>E257+E270</f>
        <v>0</v>
      </c>
      <c r="F271" s="40">
        <f>F257+F270</f>
        <v>588</v>
      </c>
      <c r="G271" s="40">
        <f>G257+G270</f>
        <v>2940</v>
      </c>
      <c r="H271" s="41"/>
      <c r="I271" s="41"/>
      <c r="J271" s="41"/>
      <c r="K271" s="41"/>
      <c r="L271" s="41"/>
      <c r="M271" s="42">
        <f ca="1">IFERROR(M257+M270,"")</f>
        <v>3.472222222222221E-2</v>
      </c>
      <c r="N271" s="40" t="s">
        <v>240</v>
      </c>
      <c r="O271" s="48">
        <f>IFERROR(O257+O270,"")</f>
        <v>3252750</v>
      </c>
    </row>
    <row r="272" spans="1:15" ht="15" customHeight="1">
      <c r="A272" s="68">
        <v>46214</v>
      </c>
      <c r="B272" s="25">
        <v>0.33333333333333298</v>
      </c>
      <c r="C272" s="26" t="s">
        <v>45</v>
      </c>
      <c r="D272" s="59" t="s">
        <v>30</v>
      </c>
      <c r="E272" s="59" t="s">
        <v>234</v>
      </c>
      <c r="F272" s="27">
        <v>5</v>
      </c>
      <c r="G272" s="28">
        <f t="shared" ref="G272:G283" si="60">IF(F272="","",IF(E272="PC 17",F272*4.2,IF(E272="PC 19",F272*5,"")))</f>
        <v>25</v>
      </c>
      <c r="H272" s="26" t="s">
        <v>19</v>
      </c>
      <c r="I272" s="26" t="s">
        <v>23</v>
      </c>
      <c r="J272" s="26" t="s">
        <v>107</v>
      </c>
      <c r="K272" s="29">
        <v>0.76388888888888884</v>
      </c>
      <c r="L272" s="29">
        <v>0.78541666666666665</v>
      </c>
      <c r="M272" s="30">
        <f t="shared" ref="M272:M283" ca="1" si="61">IFERROR(IF(K272="","",IF(L272="",MOD(NOW()-K272,1),IF(L272&gt;=K272,L272-K272,L272+1-K272))),"")</f>
        <v>2.1527777777777812E-2</v>
      </c>
      <c r="N272" s="46"/>
      <c r="O272" s="47"/>
    </row>
    <row r="273" spans="1:15" ht="15" customHeight="1">
      <c r="A273" s="69">
        <v>46214</v>
      </c>
      <c r="B273" s="32">
        <f t="shared" ref="B273:B283" si="62">B272+TIME(0,60,0)</f>
        <v>0.37499999999999967</v>
      </c>
      <c r="C273" s="26" t="s">
        <v>45</v>
      </c>
      <c r="D273" s="59" t="s">
        <v>30</v>
      </c>
      <c r="E273" s="59" t="s">
        <v>234</v>
      </c>
      <c r="F273" s="27">
        <v>22</v>
      </c>
      <c r="G273" s="34">
        <f t="shared" si="60"/>
        <v>110</v>
      </c>
      <c r="H273" s="33"/>
      <c r="I273" s="33"/>
      <c r="J273" s="33"/>
      <c r="K273" s="29"/>
      <c r="L273" s="29"/>
      <c r="M273" s="35" t="str">
        <f t="shared" ca="1" si="61"/>
        <v/>
      </c>
      <c r="N273" s="46"/>
      <c r="O273" s="47"/>
    </row>
    <row r="274" spans="1:15" ht="15" customHeight="1">
      <c r="A274" s="68">
        <v>46214</v>
      </c>
      <c r="B274" s="25">
        <f t="shared" si="62"/>
        <v>0.41666666666666635</v>
      </c>
      <c r="C274" s="26" t="s">
        <v>45</v>
      </c>
      <c r="D274" s="59" t="s">
        <v>30</v>
      </c>
      <c r="E274" s="59" t="s">
        <v>234</v>
      </c>
      <c r="F274" s="27">
        <v>7</v>
      </c>
      <c r="G274" s="28">
        <f t="shared" si="60"/>
        <v>35</v>
      </c>
      <c r="H274" s="26"/>
      <c r="I274" s="26"/>
      <c r="J274" s="26"/>
      <c r="K274" s="29"/>
      <c r="L274" s="29"/>
      <c r="M274" s="30" t="str">
        <f t="shared" ca="1" si="61"/>
        <v/>
      </c>
      <c r="N274" s="46"/>
      <c r="O274" s="47"/>
    </row>
    <row r="275" spans="1:15" ht="15" customHeight="1">
      <c r="A275" s="69">
        <v>46214</v>
      </c>
      <c r="B275" s="32">
        <f t="shared" si="62"/>
        <v>0.45833333333333304</v>
      </c>
      <c r="C275" s="26" t="s">
        <v>45</v>
      </c>
      <c r="D275" s="59" t="s">
        <v>30</v>
      </c>
      <c r="E275" s="59" t="s">
        <v>234</v>
      </c>
      <c r="F275" s="27">
        <v>6</v>
      </c>
      <c r="G275" s="34">
        <f t="shared" si="60"/>
        <v>30</v>
      </c>
      <c r="H275" s="33"/>
      <c r="I275" s="33"/>
      <c r="J275" s="33"/>
      <c r="K275" s="29"/>
      <c r="L275" s="29"/>
      <c r="M275" s="35" t="str">
        <f t="shared" ca="1" si="61"/>
        <v/>
      </c>
      <c r="N275" s="46"/>
      <c r="O275" s="47"/>
    </row>
    <row r="276" spans="1:15" ht="15" customHeight="1">
      <c r="A276" s="68">
        <v>46214</v>
      </c>
      <c r="B276" s="25">
        <f t="shared" si="62"/>
        <v>0.49999999999999972</v>
      </c>
      <c r="C276" s="26" t="s">
        <v>45</v>
      </c>
      <c r="D276" s="59" t="s">
        <v>30</v>
      </c>
      <c r="E276" s="59" t="s">
        <v>234</v>
      </c>
      <c r="F276" s="27">
        <v>35</v>
      </c>
      <c r="G276" s="28">
        <f t="shared" si="60"/>
        <v>175</v>
      </c>
      <c r="H276" s="26"/>
      <c r="I276" s="26"/>
      <c r="J276" s="26"/>
      <c r="K276" s="29"/>
      <c r="L276" s="29"/>
      <c r="M276" s="30" t="str">
        <f t="shared" ca="1" si="61"/>
        <v/>
      </c>
      <c r="N276" s="46"/>
      <c r="O276" s="47"/>
    </row>
    <row r="277" spans="1:15" ht="15" customHeight="1">
      <c r="A277" s="69">
        <v>46214</v>
      </c>
      <c r="B277" s="32">
        <f t="shared" si="62"/>
        <v>0.54166666666666641</v>
      </c>
      <c r="C277" s="26" t="s">
        <v>45</v>
      </c>
      <c r="D277" s="59" t="s">
        <v>30</v>
      </c>
      <c r="E277" s="59" t="s">
        <v>234</v>
      </c>
      <c r="F277" s="27">
        <v>26</v>
      </c>
      <c r="G277" s="34">
        <f t="shared" si="60"/>
        <v>130</v>
      </c>
      <c r="H277" s="33"/>
      <c r="I277" s="33"/>
      <c r="J277" s="33"/>
      <c r="K277" s="29"/>
      <c r="L277" s="29"/>
      <c r="M277" s="35" t="str">
        <f t="shared" ca="1" si="61"/>
        <v/>
      </c>
      <c r="N277" s="46"/>
      <c r="O277" s="47"/>
    </row>
    <row r="278" spans="1:15" ht="15" customHeight="1">
      <c r="A278" s="68">
        <v>46214</v>
      </c>
      <c r="B278" s="25">
        <f t="shared" si="62"/>
        <v>0.58333333333333304</v>
      </c>
      <c r="C278" s="26" t="s">
        <v>45</v>
      </c>
      <c r="D278" s="59" t="s">
        <v>30</v>
      </c>
      <c r="E278" s="59" t="s">
        <v>234</v>
      </c>
      <c r="F278" s="27">
        <v>40</v>
      </c>
      <c r="G278" s="28">
        <f t="shared" si="60"/>
        <v>200</v>
      </c>
      <c r="H278" s="26"/>
      <c r="I278" s="26"/>
      <c r="J278" s="26"/>
      <c r="K278" s="29"/>
      <c r="L278" s="29"/>
      <c r="M278" s="30" t="str">
        <f t="shared" ca="1" si="61"/>
        <v/>
      </c>
      <c r="N278" s="46"/>
      <c r="O278" s="47"/>
    </row>
    <row r="279" spans="1:15" ht="15" customHeight="1">
      <c r="A279" s="69">
        <v>46214</v>
      </c>
      <c r="B279" s="32">
        <f t="shared" si="62"/>
        <v>0.62499999999999967</v>
      </c>
      <c r="C279" s="26" t="s">
        <v>45</v>
      </c>
      <c r="D279" s="59" t="s">
        <v>30</v>
      </c>
      <c r="E279" s="59" t="s">
        <v>234</v>
      </c>
      <c r="F279" s="27">
        <v>30</v>
      </c>
      <c r="G279" s="34">
        <f t="shared" si="60"/>
        <v>150</v>
      </c>
      <c r="H279" s="33"/>
      <c r="I279" s="33"/>
      <c r="J279" s="33"/>
      <c r="K279" s="29"/>
      <c r="L279" s="29"/>
      <c r="M279" s="35" t="str">
        <f t="shared" ca="1" si="61"/>
        <v/>
      </c>
      <c r="N279" s="46"/>
      <c r="O279" s="47"/>
    </row>
    <row r="280" spans="1:15" ht="15" customHeight="1">
      <c r="A280" s="68">
        <v>46214</v>
      </c>
      <c r="B280" s="25">
        <f t="shared" si="62"/>
        <v>0.6666666666666663</v>
      </c>
      <c r="C280" s="26" t="s">
        <v>45</v>
      </c>
      <c r="D280" s="59" t="s">
        <v>30</v>
      </c>
      <c r="E280" s="59" t="s">
        <v>234</v>
      </c>
      <c r="F280" s="27">
        <v>40</v>
      </c>
      <c r="G280" s="28">
        <f t="shared" si="60"/>
        <v>200</v>
      </c>
      <c r="H280" s="26"/>
      <c r="I280" s="26"/>
      <c r="J280" s="26"/>
      <c r="K280" s="29"/>
      <c r="L280" s="29"/>
      <c r="M280" s="30" t="str">
        <f t="shared" ca="1" si="61"/>
        <v/>
      </c>
      <c r="N280" s="46"/>
      <c r="O280" s="47"/>
    </row>
    <row r="281" spans="1:15" ht="15" customHeight="1">
      <c r="A281" s="69">
        <v>46214</v>
      </c>
      <c r="B281" s="32">
        <f t="shared" si="62"/>
        <v>0.70833333333333293</v>
      </c>
      <c r="C281" s="26" t="s">
        <v>45</v>
      </c>
      <c r="D281" s="59" t="s">
        <v>30</v>
      </c>
      <c r="E281" s="59" t="s">
        <v>234</v>
      </c>
      <c r="F281" s="27">
        <v>40</v>
      </c>
      <c r="G281" s="34">
        <f t="shared" si="60"/>
        <v>200</v>
      </c>
      <c r="H281" s="33"/>
      <c r="I281" s="33"/>
      <c r="J281" s="33"/>
      <c r="K281" s="29"/>
      <c r="L281" s="29"/>
      <c r="M281" s="35" t="str">
        <f t="shared" ca="1" si="61"/>
        <v/>
      </c>
      <c r="N281" s="46"/>
      <c r="O281" s="47"/>
    </row>
    <row r="282" spans="1:15" ht="15" customHeight="1">
      <c r="A282" s="68">
        <v>46214</v>
      </c>
      <c r="B282" s="25">
        <f t="shared" si="62"/>
        <v>0.74999999999999956</v>
      </c>
      <c r="C282" s="26" t="s">
        <v>45</v>
      </c>
      <c r="D282" s="59" t="s">
        <v>30</v>
      </c>
      <c r="E282" s="59" t="s">
        <v>234</v>
      </c>
      <c r="F282" s="27">
        <v>40</v>
      </c>
      <c r="G282" s="28">
        <f t="shared" si="60"/>
        <v>200</v>
      </c>
      <c r="H282" s="26"/>
      <c r="I282" s="26"/>
      <c r="J282" s="26"/>
      <c r="K282" s="29"/>
      <c r="L282" s="29"/>
      <c r="M282" s="30" t="str">
        <f t="shared" ca="1" si="61"/>
        <v/>
      </c>
      <c r="N282" s="46"/>
      <c r="O282" s="47"/>
    </row>
    <row r="283" spans="1:15" ht="15" customHeight="1">
      <c r="A283" s="69">
        <v>46214</v>
      </c>
      <c r="B283" s="32">
        <f t="shared" si="62"/>
        <v>0.79166666666666619</v>
      </c>
      <c r="C283" s="26" t="s">
        <v>45</v>
      </c>
      <c r="D283" s="59" t="s">
        <v>30</v>
      </c>
      <c r="E283" s="59" t="s">
        <v>234</v>
      </c>
      <c r="F283" s="27">
        <v>25</v>
      </c>
      <c r="G283" s="34">
        <f t="shared" si="60"/>
        <v>125</v>
      </c>
      <c r="H283" s="33"/>
      <c r="I283" s="33"/>
      <c r="J283" s="33"/>
      <c r="K283" s="29"/>
      <c r="L283" s="29"/>
      <c r="M283" s="35" t="str">
        <f t="shared" ca="1" si="61"/>
        <v/>
      </c>
      <c r="N283" s="46"/>
      <c r="O283" s="47"/>
    </row>
    <row r="284" spans="1:15" ht="15.75" customHeight="1">
      <c r="A284" s="119" t="s">
        <v>236</v>
      </c>
      <c r="B284" s="120"/>
      <c r="C284" s="120"/>
      <c r="D284" s="120"/>
      <c r="E284" s="121">
        <f>SUM(E272:E283)</f>
        <v>0</v>
      </c>
      <c r="F284" s="36">
        <f>SUM(F272:F283)</f>
        <v>316</v>
      </c>
      <c r="G284" s="36">
        <f>SUM(G272:G283)</f>
        <v>1580</v>
      </c>
      <c r="H284" s="37"/>
      <c r="I284" s="37"/>
      <c r="J284" s="37"/>
      <c r="K284" s="37"/>
      <c r="L284" s="37"/>
      <c r="M284" s="38">
        <f ca="1">IFERROR(SUM(M272:M283),"")</f>
        <v>2.1527777777777812E-2</v>
      </c>
      <c r="N284" s="36" t="s">
        <v>237</v>
      </c>
      <c r="O284" s="39">
        <v>2448000</v>
      </c>
    </row>
    <row r="285" spans="1:15" ht="15" customHeight="1">
      <c r="A285" s="69">
        <v>46214</v>
      </c>
      <c r="B285" s="32">
        <v>0.83333333333333304</v>
      </c>
      <c r="C285" s="33" t="s">
        <v>29</v>
      </c>
      <c r="D285" s="62" t="s">
        <v>30</v>
      </c>
      <c r="E285" s="62" t="s">
        <v>234</v>
      </c>
      <c r="F285" s="27">
        <v>16</v>
      </c>
      <c r="G285" s="34">
        <f t="shared" ref="G285:G296" si="63">IF(F285="","",IF(E285="PC 17",F285*4.2,IF(E285="PC 19",F285*5,"")))</f>
        <v>80</v>
      </c>
      <c r="H285" s="33" t="s">
        <v>19</v>
      </c>
      <c r="I285" s="33" t="s">
        <v>23</v>
      </c>
      <c r="J285" s="33" t="s">
        <v>107</v>
      </c>
      <c r="K285" s="29">
        <v>0.79166666666666663</v>
      </c>
      <c r="L285" s="29">
        <v>0.81736111111111109</v>
      </c>
      <c r="M285" s="35">
        <f t="shared" ref="M285:M296" ca="1" si="64">IFERROR(IF(K285="","",IF(L285="",MOD(NOW()-K285,1),IF(L285&gt;=K285,L285-K285,L285+1-K285))),"")</f>
        <v>2.5694444444444464E-2</v>
      </c>
      <c r="N285" s="46" t="s">
        <v>247</v>
      </c>
      <c r="O285" s="47"/>
    </row>
    <row r="286" spans="1:15" ht="15" customHeight="1">
      <c r="A286" s="68">
        <v>46214</v>
      </c>
      <c r="B286" s="25">
        <f t="shared" ref="B286:B296" si="65">B285+TIME(0,60,0)</f>
        <v>0.87499999999999967</v>
      </c>
      <c r="C286" s="33" t="s">
        <v>29</v>
      </c>
      <c r="D286" s="62" t="s">
        <v>30</v>
      </c>
      <c r="E286" s="62" t="s">
        <v>234</v>
      </c>
      <c r="F286" s="27">
        <v>24</v>
      </c>
      <c r="G286" s="28">
        <f t="shared" si="63"/>
        <v>120</v>
      </c>
      <c r="H286" s="49" t="s">
        <v>16</v>
      </c>
      <c r="I286" s="49" t="s">
        <v>23</v>
      </c>
      <c r="J286" s="49" t="s">
        <v>70</v>
      </c>
      <c r="K286" s="29">
        <v>0.25694444444444442</v>
      </c>
      <c r="L286" s="29">
        <v>0.2638888888888889</v>
      </c>
      <c r="M286" s="30">
        <f t="shared" ca="1" si="64"/>
        <v>6.9444444444444753E-3</v>
      </c>
      <c r="N286" s="46"/>
      <c r="O286" s="47"/>
    </row>
    <row r="287" spans="1:15" ht="15" customHeight="1">
      <c r="A287" s="69">
        <v>46214</v>
      </c>
      <c r="B287" s="32">
        <f t="shared" si="65"/>
        <v>0.9166666666666663</v>
      </c>
      <c r="C287" s="33" t="s">
        <v>29</v>
      </c>
      <c r="D287" s="62" t="s">
        <v>30</v>
      </c>
      <c r="E287" s="62" t="s">
        <v>234</v>
      </c>
      <c r="F287" s="27">
        <v>39</v>
      </c>
      <c r="G287" s="34">
        <f t="shared" si="63"/>
        <v>195</v>
      </c>
      <c r="H287" s="33"/>
      <c r="I287" s="33"/>
      <c r="J287" s="33"/>
      <c r="K287" s="29"/>
      <c r="L287" s="29"/>
      <c r="M287" s="35" t="str">
        <f t="shared" ca="1" si="64"/>
        <v/>
      </c>
      <c r="N287" s="46"/>
      <c r="O287" s="47"/>
    </row>
    <row r="288" spans="1:15" ht="15" customHeight="1">
      <c r="A288" s="68">
        <v>46214</v>
      </c>
      <c r="B288" s="25">
        <f t="shared" si="65"/>
        <v>0.95833333333333293</v>
      </c>
      <c r="C288" s="33" t="s">
        <v>29</v>
      </c>
      <c r="D288" s="62" t="s">
        <v>30</v>
      </c>
      <c r="E288" s="62" t="s">
        <v>234</v>
      </c>
      <c r="F288" s="27">
        <v>31</v>
      </c>
      <c r="G288" s="28">
        <f t="shared" si="63"/>
        <v>155</v>
      </c>
      <c r="H288" s="26"/>
      <c r="I288" s="26"/>
      <c r="J288" s="26"/>
      <c r="K288" s="29"/>
      <c r="L288" s="29"/>
      <c r="M288" s="30" t="str">
        <f t="shared" ca="1" si="64"/>
        <v/>
      </c>
      <c r="N288" s="46"/>
      <c r="O288" s="47"/>
    </row>
    <row r="289" spans="1:15" ht="15" customHeight="1">
      <c r="A289" s="69">
        <v>46214</v>
      </c>
      <c r="B289" s="32">
        <f t="shared" si="65"/>
        <v>0.99999999999999956</v>
      </c>
      <c r="C289" s="33" t="s">
        <v>29</v>
      </c>
      <c r="D289" s="62" t="s">
        <v>30</v>
      </c>
      <c r="E289" s="62" t="s">
        <v>234</v>
      </c>
      <c r="F289" s="27">
        <v>22.4</v>
      </c>
      <c r="G289" s="34">
        <f t="shared" si="63"/>
        <v>112</v>
      </c>
      <c r="H289" s="33"/>
      <c r="I289" s="33"/>
      <c r="J289" s="33"/>
      <c r="K289" s="29"/>
      <c r="L289" s="29"/>
      <c r="M289" s="35" t="str">
        <f t="shared" ca="1" si="64"/>
        <v/>
      </c>
      <c r="N289" s="46" t="s">
        <v>248</v>
      </c>
      <c r="O289" s="47"/>
    </row>
    <row r="290" spans="1:15" ht="15" customHeight="1">
      <c r="A290" s="68">
        <v>46214</v>
      </c>
      <c r="B290" s="25">
        <f t="shared" si="65"/>
        <v>1.0416666666666663</v>
      </c>
      <c r="C290" s="33" t="s">
        <v>29</v>
      </c>
      <c r="D290" s="62" t="s">
        <v>30</v>
      </c>
      <c r="E290" s="62" t="s">
        <v>234</v>
      </c>
      <c r="F290" s="27">
        <v>33.6</v>
      </c>
      <c r="G290" s="28">
        <f t="shared" si="63"/>
        <v>168</v>
      </c>
      <c r="H290" s="26"/>
      <c r="I290" s="26"/>
      <c r="J290" s="26"/>
      <c r="K290" s="29"/>
      <c r="L290" s="29"/>
      <c r="M290" s="30" t="str">
        <f t="shared" ca="1" si="64"/>
        <v/>
      </c>
      <c r="N290" s="46" t="s">
        <v>248</v>
      </c>
      <c r="O290" s="47"/>
    </row>
    <row r="291" spans="1:15" ht="15" customHeight="1">
      <c r="A291" s="69">
        <v>46214</v>
      </c>
      <c r="B291" s="32">
        <f t="shared" si="65"/>
        <v>1.083333333333333</v>
      </c>
      <c r="C291" s="33" t="s">
        <v>29</v>
      </c>
      <c r="D291" s="62" t="s">
        <v>30</v>
      </c>
      <c r="E291" s="62" t="s">
        <v>234</v>
      </c>
      <c r="F291" s="27">
        <v>19.2</v>
      </c>
      <c r="G291" s="34">
        <f t="shared" si="63"/>
        <v>96</v>
      </c>
      <c r="H291" s="33"/>
      <c r="I291" s="33"/>
      <c r="J291" s="33"/>
      <c r="K291" s="29"/>
      <c r="L291" s="29"/>
      <c r="M291" s="35" t="str">
        <f t="shared" ca="1" si="64"/>
        <v/>
      </c>
      <c r="N291" s="46" t="s">
        <v>248</v>
      </c>
      <c r="O291" s="47"/>
    </row>
    <row r="292" spans="1:15" ht="15" customHeight="1">
      <c r="A292" s="68">
        <v>46214</v>
      </c>
      <c r="B292" s="25">
        <f t="shared" si="65"/>
        <v>1.1249999999999998</v>
      </c>
      <c r="C292" s="33" t="s">
        <v>29</v>
      </c>
      <c r="D292" s="62" t="s">
        <v>30</v>
      </c>
      <c r="E292" s="62" t="s">
        <v>234</v>
      </c>
      <c r="F292" s="27">
        <v>28.8</v>
      </c>
      <c r="G292" s="28">
        <f t="shared" si="63"/>
        <v>144</v>
      </c>
      <c r="H292" s="26"/>
      <c r="I292" s="26"/>
      <c r="J292" s="26"/>
      <c r="K292" s="29"/>
      <c r="L292" s="29"/>
      <c r="M292" s="30" t="str">
        <f t="shared" ca="1" si="64"/>
        <v/>
      </c>
      <c r="N292" s="46" t="s">
        <v>248</v>
      </c>
      <c r="O292" s="47"/>
    </row>
    <row r="293" spans="1:15" ht="15" customHeight="1">
      <c r="A293" s="69">
        <v>46214</v>
      </c>
      <c r="B293" s="32">
        <f t="shared" si="65"/>
        <v>1.1666666666666665</v>
      </c>
      <c r="C293" s="33" t="s">
        <v>29</v>
      </c>
      <c r="D293" s="62" t="s">
        <v>30</v>
      </c>
      <c r="E293" s="62" t="s">
        <v>234</v>
      </c>
      <c r="F293" s="27">
        <v>24</v>
      </c>
      <c r="G293" s="34">
        <f t="shared" si="63"/>
        <v>120</v>
      </c>
      <c r="H293" s="33"/>
      <c r="I293" s="33"/>
      <c r="J293" s="33"/>
      <c r="K293" s="29"/>
      <c r="L293" s="29"/>
      <c r="M293" s="35" t="str">
        <f t="shared" ca="1" si="64"/>
        <v/>
      </c>
      <c r="N293" s="46" t="s">
        <v>248</v>
      </c>
      <c r="O293" s="47"/>
    </row>
    <row r="294" spans="1:15" ht="15" customHeight="1">
      <c r="A294" s="68">
        <v>46214</v>
      </c>
      <c r="B294" s="25">
        <f t="shared" si="65"/>
        <v>1.2083333333333333</v>
      </c>
      <c r="C294" s="33" t="s">
        <v>29</v>
      </c>
      <c r="D294" s="62" t="s">
        <v>30</v>
      </c>
      <c r="E294" s="62" t="s">
        <v>234</v>
      </c>
      <c r="F294" s="27">
        <v>38.4</v>
      </c>
      <c r="G294" s="28">
        <f t="shared" si="63"/>
        <v>192</v>
      </c>
      <c r="H294" s="26"/>
      <c r="I294" s="26"/>
      <c r="J294" s="26"/>
      <c r="K294" s="29"/>
      <c r="L294" s="29"/>
      <c r="M294" s="30" t="str">
        <f t="shared" ca="1" si="64"/>
        <v/>
      </c>
      <c r="N294" s="46" t="s">
        <v>248</v>
      </c>
      <c r="O294" s="47"/>
    </row>
    <row r="295" spans="1:15" ht="15" customHeight="1">
      <c r="A295" s="69">
        <v>46214</v>
      </c>
      <c r="B295" s="32">
        <f t="shared" si="65"/>
        <v>1.25</v>
      </c>
      <c r="C295" s="33" t="s">
        <v>29</v>
      </c>
      <c r="D295" s="62" t="s">
        <v>30</v>
      </c>
      <c r="E295" s="62" t="s">
        <v>234</v>
      </c>
      <c r="F295" s="27">
        <v>28.8</v>
      </c>
      <c r="G295" s="34">
        <f t="shared" si="63"/>
        <v>144</v>
      </c>
      <c r="H295" s="33"/>
      <c r="I295" s="33"/>
      <c r="J295" s="33"/>
      <c r="K295" s="29"/>
      <c r="L295" s="29"/>
      <c r="M295" s="35" t="str">
        <f t="shared" ca="1" si="64"/>
        <v/>
      </c>
      <c r="N295" s="46" t="s">
        <v>248</v>
      </c>
      <c r="O295" s="47"/>
    </row>
    <row r="296" spans="1:15" ht="15" customHeight="1">
      <c r="A296" s="68">
        <v>46214</v>
      </c>
      <c r="B296" s="25">
        <f t="shared" si="65"/>
        <v>1.2916666666666667</v>
      </c>
      <c r="C296" s="33" t="s">
        <v>29</v>
      </c>
      <c r="D296" s="62" t="s">
        <v>30</v>
      </c>
      <c r="E296" s="62" t="s">
        <v>234</v>
      </c>
      <c r="F296" s="27">
        <v>14.4</v>
      </c>
      <c r="G296" s="28">
        <f t="shared" si="63"/>
        <v>72</v>
      </c>
      <c r="H296" s="26"/>
      <c r="I296" s="26"/>
      <c r="J296" s="26"/>
      <c r="K296" s="29"/>
      <c r="L296" s="29"/>
      <c r="M296" s="30" t="str">
        <f t="shared" ca="1" si="64"/>
        <v/>
      </c>
      <c r="N296" s="46" t="s">
        <v>248</v>
      </c>
      <c r="O296" s="47"/>
    </row>
    <row r="297" spans="1:15" ht="15.75" customHeight="1">
      <c r="A297" s="119" t="s">
        <v>238</v>
      </c>
      <c r="B297" s="120"/>
      <c r="C297" s="120"/>
      <c r="D297" s="120"/>
      <c r="E297" s="121">
        <f>SUM(E285:E296)</f>
        <v>0</v>
      </c>
      <c r="F297" s="36">
        <f>SUM(F285:F296)</f>
        <v>319.59999999999997</v>
      </c>
      <c r="G297" s="36">
        <f>SUM(G285:G296)</f>
        <v>1598</v>
      </c>
      <c r="H297" s="37"/>
      <c r="I297" s="37"/>
      <c r="J297" s="37"/>
      <c r="K297" s="37"/>
      <c r="L297" s="37"/>
      <c r="M297" s="38">
        <f ca="1">IFERROR(SUM(M285:M296),"")</f>
        <v>3.2638888888888939E-2</v>
      </c>
      <c r="N297" s="36" t="s">
        <v>237</v>
      </c>
      <c r="O297" s="39">
        <v>1843460</v>
      </c>
    </row>
    <row r="298" spans="1:15" ht="18" customHeight="1">
      <c r="A298" s="122" t="s">
        <v>239</v>
      </c>
      <c r="B298" s="123"/>
      <c r="C298" s="123"/>
      <c r="D298" s="123"/>
      <c r="E298" s="124">
        <f>E284+E297</f>
        <v>0</v>
      </c>
      <c r="F298" s="40">
        <f>F284+F297</f>
        <v>635.59999999999991</v>
      </c>
      <c r="G298" s="40">
        <f>G284+G297</f>
        <v>3178</v>
      </c>
      <c r="H298" s="41"/>
      <c r="I298" s="41"/>
      <c r="J298" s="41"/>
      <c r="K298" s="41"/>
      <c r="L298" s="41"/>
      <c r="M298" s="42">
        <f ca="1">IFERROR(M284+M297,"")</f>
        <v>5.4166666666666752E-2</v>
      </c>
      <c r="N298" s="40" t="s">
        <v>240</v>
      </c>
      <c r="O298" s="48">
        <f>IFERROR(O284+O297,"")</f>
        <v>4291460</v>
      </c>
    </row>
    <row r="299" spans="1:15" ht="15" customHeight="1">
      <c r="A299" s="69">
        <v>46215</v>
      </c>
      <c r="B299" s="32">
        <v>0.33333333333333298</v>
      </c>
      <c r="C299" s="33" t="s">
        <v>45</v>
      </c>
      <c r="D299" s="62" t="s">
        <v>30</v>
      </c>
      <c r="E299" s="62" t="s">
        <v>234</v>
      </c>
      <c r="F299" s="27">
        <v>0</v>
      </c>
      <c r="G299" s="34">
        <f t="shared" ref="G299:G310" si="66">IF(F299="","",IF(E299="PC 17",F299*4.2,IF(E299="PC 19",F299*5,"")))</f>
        <v>0</v>
      </c>
      <c r="H299" s="33" t="s">
        <v>18</v>
      </c>
      <c r="I299" s="33" t="s">
        <v>23</v>
      </c>
      <c r="J299" s="33" t="s">
        <v>128</v>
      </c>
      <c r="K299" s="29">
        <v>0.35</v>
      </c>
      <c r="L299" s="29">
        <v>0.38750000000000001</v>
      </c>
      <c r="M299" s="35">
        <f t="shared" ref="M299:M310" ca="1" si="67">IFERROR(IF(K299="","",IF(L299="",MOD(NOW()-K299,1),IF(L299&gt;=K299,L299-K299,L299+1-K299))),"")</f>
        <v>3.7500000000000033E-2</v>
      </c>
      <c r="N299" s="46" t="s">
        <v>249</v>
      </c>
      <c r="O299" s="47"/>
    </row>
    <row r="300" spans="1:15" ht="15" customHeight="1">
      <c r="A300" s="68">
        <v>46215</v>
      </c>
      <c r="B300" s="25">
        <f t="shared" ref="B300:B310" si="68">B299+TIME(0,60,0)</f>
        <v>0.37499999999999967</v>
      </c>
      <c r="C300" s="33" t="s">
        <v>45</v>
      </c>
      <c r="D300" s="62" t="s">
        <v>30</v>
      </c>
      <c r="E300" s="62" t="s">
        <v>234</v>
      </c>
      <c r="F300" s="27">
        <v>11</v>
      </c>
      <c r="G300" s="28">
        <f t="shared" si="66"/>
        <v>55</v>
      </c>
      <c r="H300" s="26" t="s">
        <v>19</v>
      </c>
      <c r="I300" s="26" t="s">
        <v>23</v>
      </c>
      <c r="J300" s="26" t="s">
        <v>112</v>
      </c>
      <c r="K300" s="29">
        <v>0.51388888888888884</v>
      </c>
      <c r="L300" s="29">
        <v>0.55625000000000002</v>
      </c>
      <c r="M300" s="30">
        <f t="shared" ca="1" si="67"/>
        <v>4.2361111111111183E-2</v>
      </c>
      <c r="N300" s="46"/>
      <c r="O300" s="47"/>
    </row>
    <row r="301" spans="1:15" ht="15" customHeight="1">
      <c r="A301" s="69">
        <v>46215</v>
      </c>
      <c r="B301" s="32">
        <f t="shared" si="68"/>
        <v>0.41666666666666635</v>
      </c>
      <c r="C301" s="33" t="s">
        <v>45</v>
      </c>
      <c r="D301" s="62" t="s">
        <v>30</v>
      </c>
      <c r="E301" s="62" t="s">
        <v>234</v>
      </c>
      <c r="F301" s="27">
        <v>20</v>
      </c>
      <c r="G301" s="34">
        <f t="shared" si="66"/>
        <v>100</v>
      </c>
      <c r="H301" s="33" t="s">
        <v>20</v>
      </c>
      <c r="I301" s="33" t="s">
        <v>23</v>
      </c>
      <c r="J301" s="33" t="s">
        <v>132</v>
      </c>
      <c r="K301" s="29">
        <v>0.65694444444444444</v>
      </c>
      <c r="L301" s="29">
        <v>0.66597222222222219</v>
      </c>
      <c r="M301" s="35">
        <f t="shared" ca="1" si="67"/>
        <v>9.0277777777777457E-3</v>
      </c>
      <c r="N301" s="46" t="s">
        <v>250</v>
      </c>
      <c r="O301" s="47"/>
    </row>
    <row r="302" spans="1:15" ht="15" customHeight="1">
      <c r="A302" s="68">
        <v>46215</v>
      </c>
      <c r="B302" s="25">
        <f t="shared" si="68"/>
        <v>0.45833333333333304</v>
      </c>
      <c r="C302" s="33" t="s">
        <v>45</v>
      </c>
      <c r="D302" s="62" t="s">
        <v>30</v>
      </c>
      <c r="E302" s="62" t="s">
        <v>234</v>
      </c>
      <c r="F302" s="27">
        <v>26</v>
      </c>
      <c r="G302" s="28">
        <f t="shared" si="66"/>
        <v>130</v>
      </c>
      <c r="H302" s="26"/>
      <c r="I302" s="26"/>
      <c r="J302" s="26"/>
      <c r="K302" s="29"/>
      <c r="L302" s="29"/>
      <c r="M302" s="30" t="str">
        <f t="shared" ca="1" si="67"/>
        <v/>
      </c>
      <c r="N302" s="46"/>
      <c r="O302" s="47"/>
    </row>
    <row r="303" spans="1:15" ht="15" customHeight="1">
      <c r="A303" s="69">
        <v>46215</v>
      </c>
      <c r="B303" s="32">
        <f t="shared" si="68"/>
        <v>0.49999999999999972</v>
      </c>
      <c r="C303" s="33" t="s">
        <v>45</v>
      </c>
      <c r="D303" s="62" t="s">
        <v>30</v>
      </c>
      <c r="E303" s="62" t="s">
        <v>234</v>
      </c>
      <c r="F303" s="27">
        <v>24</v>
      </c>
      <c r="G303" s="34">
        <f t="shared" si="66"/>
        <v>120</v>
      </c>
      <c r="H303" s="33"/>
      <c r="I303" s="33"/>
      <c r="J303" s="33"/>
      <c r="K303" s="29"/>
      <c r="L303" s="29"/>
      <c r="M303" s="35" t="str">
        <f t="shared" ca="1" si="67"/>
        <v/>
      </c>
      <c r="N303" s="46"/>
      <c r="O303" s="47"/>
    </row>
    <row r="304" spans="1:15" ht="15" customHeight="1">
      <c r="A304" s="68">
        <v>46215</v>
      </c>
      <c r="B304" s="25">
        <f t="shared" si="68"/>
        <v>0.54166666666666641</v>
      </c>
      <c r="C304" s="33" t="s">
        <v>45</v>
      </c>
      <c r="D304" s="62" t="s">
        <v>30</v>
      </c>
      <c r="E304" s="62" t="s">
        <v>234</v>
      </c>
      <c r="F304" s="27">
        <v>0</v>
      </c>
      <c r="G304" s="28">
        <f t="shared" si="66"/>
        <v>0</v>
      </c>
      <c r="H304" s="26"/>
      <c r="I304" s="26"/>
      <c r="J304" s="26"/>
      <c r="K304" s="29"/>
      <c r="L304" s="29"/>
      <c r="M304" s="30" t="str">
        <f t="shared" ca="1" si="67"/>
        <v/>
      </c>
      <c r="N304" s="46"/>
      <c r="O304" s="47"/>
    </row>
    <row r="305" spans="1:15" ht="15" customHeight="1">
      <c r="A305" s="69">
        <v>46215</v>
      </c>
      <c r="B305" s="32">
        <f t="shared" si="68"/>
        <v>0.58333333333333304</v>
      </c>
      <c r="C305" s="33" t="s">
        <v>45</v>
      </c>
      <c r="D305" s="62" t="s">
        <v>30</v>
      </c>
      <c r="E305" s="62" t="s">
        <v>234</v>
      </c>
      <c r="F305" s="27">
        <v>25</v>
      </c>
      <c r="G305" s="34">
        <f t="shared" si="66"/>
        <v>125</v>
      </c>
      <c r="H305" s="33"/>
      <c r="I305" s="33"/>
      <c r="J305" s="33"/>
      <c r="K305" s="29"/>
      <c r="L305" s="29"/>
      <c r="M305" s="35" t="str">
        <f t="shared" ca="1" si="67"/>
        <v/>
      </c>
      <c r="N305" s="46"/>
      <c r="O305" s="47"/>
    </row>
    <row r="306" spans="1:15" ht="15" customHeight="1">
      <c r="A306" s="68">
        <v>46215</v>
      </c>
      <c r="B306" s="25">
        <f t="shared" si="68"/>
        <v>0.62499999999999967</v>
      </c>
      <c r="C306" s="33" t="s">
        <v>45</v>
      </c>
      <c r="D306" s="62" t="s">
        <v>30</v>
      </c>
      <c r="E306" s="62" t="s">
        <v>234</v>
      </c>
      <c r="F306" s="27">
        <v>19</v>
      </c>
      <c r="G306" s="28">
        <f t="shared" si="66"/>
        <v>95</v>
      </c>
      <c r="H306" s="26"/>
      <c r="I306" s="26"/>
      <c r="J306" s="26"/>
      <c r="K306" s="29"/>
      <c r="L306" s="29"/>
      <c r="M306" s="30" t="str">
        <f t="shared" ca="1" si="67"/>
        <v/>
      </c>
      <c r="N306" s="46"/>
      <c r="O306" s="47"/>
    </row>
    <row r="307" spans="1:15" ht="15" customHeight="1">
      <c r="A307" s="69">
        <v>46215</v>
      </c>
      <c r="B307" s="32">
        <f t="shared" si="68"/>
        <v>0.6666666666666663</v>
      </c>
      <c r="C307" s="33" t="s">
        <v>45</v>
      </c>
      <c r="D307" s="62" t="s">
        <v>30</v>
      </c>
      <c r="E307" s="62" t="s">
        <v>234</v>
      </c>
      <c r="F307" s="27">
        <v>30</v>
      </c>
      <c r="G307" s="34">
        <f t="shared" si="66"/>
        <v>150</v>
      </c>
      <c r="H307" s="33"/>
      <c r="I307" s="33"/>
      <c r="J307" s="33"/>
      <c r="K307" s="29"/>
      <c r="L307" s="29"/>
      <c r="M307" s="35" t="str">
        <f t="shared" ca="1" si="67"/>
        <v/>
      </c>
      <c r="N307" s="46"/>
      <c r="O307" s="47"/>
    </row>
    <row r="308" spans="1:15" ht="15" customHeight="1">
      <c r="A308" s="68">
        <v>46215</v>
      </c>
      <c r="B308" s="25">
        <f t="shared" si="68"/>
        <v>0.70833333333333293</v>
      </c>
      <c r="C308" s="33" t="s">
        <v>45</v>
      </c>
      <c r="D308" s="62" t="s">
        <v>30</v>
      </c>
      <c r="E308" s="62" t="s">
        <v>234</v>
      </c>
      <c r="F308" s="27">
        <v>25</v>
      </c>
      <c r="G308" s="28">
        <f t="shared" si="66"/>
        <v>125</v>
      </c>
      <c r="H308" s="26"/>
      <c r="I308" s="26"/>
      <c r="J308" s="26"/>
      <c r="K308" s="29"/>
      <c r="L308" s="29"/>
      <c r="M308" s="30" t="str">
        <f t="shared" ca="1" si="67"/>
        <v/>
      </c>
      <c r="N308" s="46"/>
      <c r="O308" s="47"/>
    </row>
    <row r="309" spans="1:15" ht="15" customHeight="1">
      <c r="A309" s="69">
        <v>46215</v>
      </c>
      <c r="B309" s="32">
        <f t="shared" si="68"/>
        <v>0.74999999999999956</v>
      </c>
      <c r="C309" s="33" t="s">
        <v>45</v>
      </c>
      <c r="D309" s="62" t="s">
        <v>30</v>
      </c>
      <c r="E309" s="62" t="s">
        <v>234</v>
      </c>
      <c r="F309" s="27">
        <v>30</v>
      </c>
      <c r="G309" s="34">
        <f t="shared" si="66"/>
        <v>150</v>
      </c>
      <c r="H309" s="33"/>
      <c r="I309" s="33"/>
      <c r="J309" s="33"/>
      <c r="K309" s="29"/>
      <c r="L309" s="29"/>
      <c r="M309" s="35" t="str">
        <f t="shared" ca="1" si="67"/>
        <v/>
      </c>
      <c r="N309" s="46"/>
      <c r="O309" s="47"/>
    </row>
    <row r="310" spans="1:15" ht="15" customHeight="1">
      <c r="A310" s="68">
        <v>46215</v>
      </c>
      <c r="B310" s="25">
        <f t="shared" si="68"/>
        <v>0.79166666666666619</v>
      </c>
      <c r="C310" s="33" t="s">
        <v>45</v>
      </c>
      <c r="D310" s="62" t="s">
        <v>30</v>
      </c>
      <c r="E310" s="62" t="s">
        <v>234</v>
      </c>
      <c r="F310" s="27">
        <v>7</v>
      </c>
      <c r="G310" s="28">
        <f t="shared" si="66"/>
        <v>35</v>
      </c>
      <c r="H310" s="26"/>
      <c r="I310" s="26"/>
      <c r="J310" s="26"/>
      <c r="K310" s="29"/>
      <c r="L310" s="29"/>
      <c r="M310" s="30" t="str">
        <f t="shared" ca="1" si="67"/>
        <v/>
      </c>
      <c r="N310" s="46"/>
      <c r="O310" s="47"/>
    </row>
    <row r="311" spans="1:15" ht="15.75" customHeight="1">
      <c r="A311" s="119" t="s">
        <v>236</v>
      </c>
      <c r="B311" s="120"/>
      <c r="C311" s="120"/>
      <c r="D311" s="120"/>
      <c r="E311" s="121">
        <f>SUM(E299:E310)</f>
        <v>0</v>
      </c>
      <c r="F311" s="36">
        <f>SUM(F299:F310)</f>
        <v>217</v>
      </c>
      <c r="G311" s="90">
        <f>SUM(G299:G310)</f>
        <v>1085</v>
      </c>
      <c r="H311" s="37"/>
      <c r="I311" s="37"/>
      <c r="J311" s="37"/>
      <c r="K311" s="37"/>
      <c r="L311" s="37"/>
      <c r="M311" s="38">
        <f ca="1">IFERROR(SUM(M299:M310),"")</f>
        <v>8.8888888888888962E-2</v>
      </c>
      <c r="N311" s="36" t="s">
        <v>237</v>
      </c>
      <c r="O311" s="39">
        <v>955688</v>
      </c>
    </row>
    <row r="312" spans="1:15" ht="15" customHeight="1">
      <c r="A312" s="68">
        <v>46215</v>
      </c>
      <c r="B312" s="25">
        <v>0.83333333333333304</v>
      </c>
      <c r="C312" s="26" t="s">
        <v>29</v>
      </c>
      <c r="D312" s="59" t="s">
        <v>30</v>
      </c>
      <c r="E312" s="59" t="s">
        <v>234</v>
      </c>
      <c r="F312" s="27">
        <v>14</v>
      </c>
      <c r="G312" s="28">
        <f t="shared" ref="G312:G323" si="69">IF(F312="","",IF(E312="PC 17",F312*4.2,IF(E312="PC 19",F312*5,"")))</f>
        <v>70</v>
      </c>
      <c r="H312" s="26"/>
      <c r="I312" s="26"/>
      <c r="J312" s="26"/>
      <c r="K312" s="29"/>
      <c r="L312" s="29"/>
      <c r="M312" s="30" t="str">
        <f t="shared" ref="M312:M323" ca="1" si="70">IFERROR(IF(K312="","",IF(L312="",MOD(NOW()-K312,1),IF(L312&gt;=K312,L312-K312,L312+1-K312))),"")</f>
        <v/>
      </c>
      <c r="N312" s="46"/>
      <c r="O312" s="47"/>
    </row>
    <row r="313" spans="1:15" ht="15" customHeight="1">
      <c r="A313" s="69">
        <v>46215</v>
      </c>
      <c r="B313" s="32">
        <f t="shared" ref="B313:B323" si="71">B312+TIME(0,60,0)</f>
        <v>0.87499999999999967</v>
      </c>
      <c r="C313" s="26" t="s">
        <v>29</v>
      </c>
      <c r="D313" s="59" t="s">
        <v>30</v>
      </c>
      <c r="E313" s="59"/>
      <c r="F313" s="27">
        <v>14.4</v>
      </c>
      <c r="G313" s="28" t="str">
        <f t="shared" si="69"/>
        <v/>
      </c>
      <c r="H313" s="33"/>
      <c r="I313" s="33"/>
      <c r="J313" s="33"/>
      <c r="K313" s="29"/>
      <c r="L313" s="29"/>
      <c r="M313" s="35" t="str">
        <f t="shared" ca="1" si="70"/>
        <v/>
      </c>
      <c r="N313" s="46" t="s">
        <v>251</v>
      </c>
      <c r="O313" s="47"/>
    </row>
    <row r="314" spans="1:15" ht="15" customHeight="1">
      <c r="A314" s="68">
        <v>46215</v>
      </c>
      <c r="B314" s="25">
        <f t="shared" si="71"/>
        <v>0.9166666666666663</v>
      </c>
      <c r="C314" s="26" t="s">
        <v>29</v>
      </c>
      <c r="D314" s="59" t="s">
        <v>30</v>
      </c>
      <c r="E314" s="59"/>
      <c r="F314" s="27">
        <v>28.8</v>
      </c>
      <c r="G314" s="28" t="str">
        <f t="shared" si="69"/>
        <v/>
      </c>
      <c r="H314" s="26"/>
      <c r="I314" s="26"/>
      <c r="J314" s="26"/>
      <c r="K314" s="29"/>
      <c r="L314" s="29"/>
      <c r="M314" s="30" t="str">
        <f t="shared" ca="1" si="70"/>
        <v/>
      </c>
      <c r="N314" s="46" t="s">
        <v>251</v>
      </c>
      <c r="O314" s="47"/>
    </row>
    <row r="315" spans="1:15" ht="15" customHeight="1">
      <c r="A315" s="69">
        <v>46215</v>
      </c>
      <c r="B315" s="32">
        <f t="shared" si="71"/>
        <v>0.95833333333333293</v>
      </c>
      <c r="C315" s="26" t="s">
        <v>29</v>
      </c>
      <c r="D315" s="59" t="s">
        <v>30</v>
      </c>
      <c r="E315" s="59" t="s">
        <v>234</v>
      </c>
      <c r="F315" s="27">
        <v>6</v>
      </c>
      <c r="G315" s="28">
        <f t="shared" si="69"/>
        <v>30</v>
      </c>
      <c r="H315" s="33"/>
      <c r="I315" s="33"/>
      <c r="J315" s="33"/>
      <c r="K315" s="29"/>
      <c r="L315" s="29"/>
      <c r="M315" s="35" t="str">
        <f t="shared" ca="1" si="70"/>
        <v/>
      </c>
      <c r="N315" s="46"/>
      <c r="O315" s="47"/>
    </row>
    <row r="316" spans="1:15" ht="15" customHeight="1">
      <c r="A316" s="68">
        <v>46215</v>
      </c>
      <c r="B316" s="25">
        <f t="shared" si="71"/>
        <v>0.99999999999999956</v>
      </c>
      <c r="C316" s="26" t="s">
        <v>29</v>
      </c>
      <c r="D316" s="59" t="s">
        <v>30</v>
      </c>
      <c r="E316" s="59"/>
      <c r="F316" s="27">
        <v>28.8</v>
      </c>
      <c r="G316" s="28" t="str">
        <f t="shared" si="69"/>
        <v/>
      </c>
      <c r="H316" s="26"/>
      <c r="I316" s="26"/>
      <c r="J316" s="26"/>
      <c r="K316" s="29"/>
      <c r="L316" s="29"/>
      <c r="M316" s="30" t="str">
        <f t="shared" ca="1" si="70"/>
        <v/>
      </c>
      <c r="N316" s="46" t="s">
        <v>251</v>
      </c>
      <c r="O316" s="47"/>
    </row>
    <row r="317" spans="1:15" ht="15" customHeight="1">
      <c r="A317" s="69">
        <v>46215</v>
      </c>
      <c r="B317" s="32">
        <f t="shared" si="71"/>
        <v>1.0416666666666663</v>
      </c>
      <c r="C317" s="26" t="s">
        <v>29</v>
      </c>
      <c r="D317" s="59" t="s">
        <v>30</v>
      </c>
      <c r="E317" s="59"/>
      <c r="F317" s="27">
        <v>28.8</v>
      </c>
      <c r="G317" s="28" t="str">
        <f t="shared" si="69"/>
        <v/>
      </c>
      <c r="H317" s="33"/>
      <c r="I317" s="33"/>
      <c r="J317" s="33"/>
      <c r="K317" s="29"/>
      <c r="L317" s="29"/>
      <c r="M317" s="35" t="str">
        <f t="shared" ca="1" si="70"/>
        <v/>
      </c>
      <c r="N317" s="46" t="s">
        <v>251</v>
      </c>
      <c r="O317" s="47"/>
    </row>
    <row r="318" spans="1:15" ht="15" customHeight="1">
      <c r="A318" s="68">
        <v>46215</v>
      </c>
      <c r="B318" s="25">
        <f t="shared" si="71"/>
        <v>1.083333333333333</v>
      </c>
      <c r="C318" s="26" t="s">
        <v>29</v>
      </c>
      <c r="D318" s="59" t="s">
        <v>30</v>
      </c>
      <c r="E318" s="59"/>
      <c r="F318" s="27">
        <v>38.4</v>
      </c>
      <c r="G318" s="28" t="str">
        <f t="shared" si="69"/>
        <v/>
      </c>
      <c r="H318" s="26"/>
      <c r="I318" s="26"/>
      <c r="J318" s="26"/>
      <c r="K318" s="29"/>
      <c r="L318" s="29"/>
      <c r="M318" s="30" t="str">
        <f t="shared" ca="1" si="70"/>
        <v/>
      </c>
      <c r="N318" s="46" t="s">
        <v>251</v>
      </c>
      <c r="O318" s="47"/>
    </row>
    <row r="319" spans="1:15" ht="15" customHeight="1">
      <c r="A319" s="69">
        <v>46215</v>
      </c>
      <c r="B319" s="32">
        <f t="shared" si="71"/>
        <v>1.1249999999999998</v>
      </c>
      <c r="C319" s="26" t="s">
        <v>29</v>
      </c>
      <c r="D319" s="59" t="s">
        <v>30</v>
      </c>
      <c r="E319" s="59" t="s">
        <v>234</v>
      </c>
      <c r="F319" s="27">
        <v>10</v>
      </c>
      <c r="G319" s="28">
        <f t="shared" si="69"/>
        <v>50</v>
      </c>
      <c r="H319" s="33"/>
      <c r="I319" s="33"/>
      <c r="J319" s="33"/>
      <c r="K319" s="29"/>
      <c r="L319" s="29"/>
      <c r="M319" s="35" t="str">
        <f t="shared" ca="1" si="70"/>
        <v/>
      </c>
      <c r="N319" s="46"/>
      <c r="O319" s="47"/>
    </row>
    <row r="320" spans="1:15" ht="15" customHeight="1">
      <c r="A320" s="68">
        <v>46215</v>
      </c>
      <c r="B320" s="25">
        <f t="shared" si="71"/>
        <v>1.1666666666666665</v>
      </c>
      <c r="C320" s="26" t="s">
        <v>29</v>
      </c>
      <c r="D320" s="59" t="s">
        <v>30</v>
      </c>
      <c r="E320" s="59"/>
      <c r="F320" s="27">
        <v>33.6</v>
      </c>
      <c r="G320" s="28" t="str">
        <f t="shared" si="69"/>
        <v/>
      </c>
      <c r="H320" s="26"/>
      <c r="I320" s="26"/>
      <c r="J320" s="26"/>
      <c r="K320" s="29"/>
      <c r="L320" s="29"/>
      <c r="M320" s="30" t="str">
        <f t="shared" ca="1" si="70"/>
        <v/>
      </c>
      <c r="N320" s="46" t="s">
        <v>251</v>
      </c>
      <c r="O320" s="47"/>
    </row>
    <row r="321" spans="1:15" ht="15" customHeight="1">
      <c r="A321" s="69">
        <v>46215</v>
      </c>
      <c r="B321" s="32">
        <f t="shared" si="71"/>
        <v>1.2083333333333333</v>
      </c>
      <c r="C321" s="26" t="s">
        <v>29</v>
      </c>
      <c r="D321" s="59" t="s">
        <v>30</v>
      </c>
      <c r="E321" s="59"/>
      <c r="F321" s="27">
        <v>19.2</v>
      </c>
      <c r="G321" s="28" t="str">
        <f t="shared" si="69"/>
        <v/>
      </c>
      <c r="H321" s="33"/>
      <c r="I321" s="33"/>
      <c r="J321" s="33"/>
      <c r="K321" s="29"/>
      <c r="L321" s="29"/>
      <c r="M321" s="35" t="str">
        <f t="shared" ca="1" si="70"/>
        <v/>
      </c>
      <c r="N321" s="46"/>
      <c r="O321" s="47"/>
    </row>
    <row r="322" spans="1:15" ht="15" customHeight="1">
      <c r="A322" s="68">
        <v>46215</v>
      </c>
      <c r="B322" s="25">
        <f t="shared" si="71"/>
        <v>1.25</v>
      </c>
      <c r="C322" s="26" t="s">
        <v>29</v>
      </c>
      <c r="D322" s="59" t="s">
        <v>30</v>
      </c>
      <c r="E322" s="59"/>
      <c r="F322" s="27">
        <v>33.6</v>
      </c>
      <c r="G322" s="28" t="str">
        <f t="shared" si="69"/>
        <v/>
      </c>
      <c r="H322" s="26"/>
      <c r="I322" s="26"/>
      <c r="J322" s="26"/>
      <c r="K322" s="29"/>
      <c r="L322" s="29"/>
      <c r="M322" s="30" t="str">
        <f t="shared" ca="1" si="70"/>
        <v/>
      </c>
      <c r="N322" s="46"/>
      <c r="O322" s="47"/>
    </row>
    <row r="323" spans="1:15" ht="15" customHeight="1">
      <c r="A323" s="69">
        <v>46215</v>
      </c>
      <c r="B323" s="32">
        <f t="shared" si="71"/>
        <v>1.2916666666666667</v>
      </c>
      <c r="C323" s="26" t="s">
        <v>29</v>
      </c>
      <c r="D323" s="59" t="s">
        <v>30</v>
      </c>
      <c r="E323" s="59"/>
      <c r="F323" s="27">
        <v>5</v>
      </c>
      <c r="G323" s="28" t="str">
        <f t="shared" si="69"/>
        <v/>
      </c>
      <c r="H323" s="33"/>
      <c r="I323" s="33"/>
      <c r="J323" s="33"/>
      <c r="K323" s="29"/>
      <c r="L323" s="29"/>
      <c r="M323" s="35" t="str">
        <f t="shared" ca="1" si="70"/>
        <v/>
      </c>
      <c r="N323" s="46"/>
      <c r="O323" s="47"/>
    </row>
    <row r="324" spans="1:15" ht="15.75" customHeight="1">
      <c r="A324" s="119" t="s">
        <v>238</v>
      </c>
      <c r="B324" s="120"/>
      <c r="C324" s="120"/>
      <c r="D324" s="120"/>
      <c r="E324" s="121">
        <f>SUM(E312:E323)</f>
        <v>0</v>
      </c>
      <c r="F324" s="36">
        <f>SUM(F312:F323)</f>
        <v>260.59999999999997</v>
      </c>
      <c r="G324" s="36">
        <f>SUM(G312:G323)</f>
        <v>150</v>
      </c>
      <c r="H324" s="37"/>
      <c r="I324" s="37"/>
      <c r="J324" s="37"/>
      <c r="K324" s="37"/>
      <c r="L324" s="37"/>
      <c r="M324" s="38">
        <f ca="1">IFERROR(SUM(M312:M323),"")</f>
        <v>0</v>
      </c>
      <c r="N324" s="36" t="s">
        <v>237</v>
      </c>
      <c r="O324" s="39">
        <v>1940000</v>
      </c>
    </row>
    <row r="325" spans="1:15" ht="18" customHeight="1">
      <c r="A325" s="122" t="s">
        <v>239</v>
      </c>
      <c r="B325" s="123"/>
      <c r="C325" s="123"/>
      <c r="D325" s="123"/>
      <c r="E325" s="124">
        <f>E311+E324</f>
        <v>0</v>
      </c>
      <c r="F325" s="40">
        <f>F311+F324</f>
        <v>477.59999999999997</v>
      </c>
      <c r="G325" s="40">
        <f>G311+G324</f>
        <v>1235</v>
      </c>
      <c r="H325" s="41"/>
      <c r="I325" s="41"/>
      <c r="J325" s="41"/>
      <c r="K325" s="41"/>
      <c r="L325" s="41"/>
      <c r="M325" s="42">
        <f ca="1">IFERROR(M311+M324,"")</f>
        <v>8.8888888888888962E-2</v>
      </c>
      <c r="N325" s="40" t="s">
        <v>240</v>
      </c>
      <c r="O325" s="48">
        <f>IFERROR(O311+O324,"")</f>
        <v>2895688</v>
      </c>
    </row>
    <row r="326" spans="1:15" ht="15" customHeight="1">
      <c r="A326" s="68">
        <v>46216</v>
      </c>
      <c r="B326" s="25">
        <v>0.33333333333333298</v>
      </c>
      <c r="C326" s="26" t="s">
        <v>45</v>
      </c>
      <c r="D326" s="59" t="s">
        <v>30</v>
      </c>
      <c r="E326" s="59" t="s">
        <v>234</v>
      </c>
      <c r="F326" s="27">
        <v>18</v>
      </c>
      <c r="G326" s="28">
        <f t="shared" ref="G326:G337" si="72">IF(F326="","",IF(E326="PC 17",F326*4.2,IF(E326="PC 19",F326*5,"")))</f>
        <v>90</v>
      </c>
      <c r="H326" s="26" t="s">
        <v>20</v>
      </c>
      <c r="I326" s="26" t="s">
        <v>23</v>
      </c>
      <c r="J326" s="26" t="s">
        <v>132</v>
      </c>
      <c r="K326" s="29">
        <v>0.67500000000000004</v>
      </c>
      <c r="L326" s="29">
        <v>0.73819444444444449</v>
      </c>
      <c r="M326" s="30">
        <f t="shared" ref="M326:M337" ca="1" si="73">IFERROR(IF(K326="","",IF(L326="",MOD(NOW()-K326,1),IF(L326&gt;=K326,L326-K326,L326+1-K326))),"")</f>
        <v>6.3194444444444442E-2</v>
      </c>
      <c r="N326" s="46" t="s">
        <v>252</v>
      </c>
      <c r="O326" s="47"/>
    </row>
    <row r="327" spans="1:15" ht="15" customHeight="1">
      <c r="A327" s="69">
        <v>46216</v>
      </c>
      <c r="B327" s="32">
        <f t="shared" ref="B327:B337" si="74">B326+TIME(0,60,0)</f>
        <v>0.37499999999999967</v>
      </c>
      <c r="C327" s="26" t="s">
        <v>45</v>
      </c>
      <c r="D327" s="59" t="s">
        <v>30</v>
      </c>
      <c r="E327" s="59" t="s">
        <v>234</v>
      </c>
      <c r="F327" s="27">
        <v>60</v>
      </c>
      <c r="G327" s="34">
        <f t="shared" si="72"/>
        <v>300</v>
      </c>
      <c r="H327" s="33" t="s">
        <v>20</v>
      </c>
      <c r="I327" s="33" t="s">
        <v>23</v>
      </c>
      <c r="J327" s="33"/>
      <c r="K327" s="29">
        <v>0.75347222222222221</v>
      </c>
      <c r="L327" s="29">
        <v>0.78819444444444442</v>
      </c>
      <c r="M327" s="35">
        <f t="shared" ca="1" si="73"/>
        <v>3.472222222222221E-2</v>
      </c>
      <c r="N327" s="46"/>
      <c r="O327" s="47"/>
    </row>
    <row r="328" spans="1:15" ht="15" customHeight="1">
      <c r="A328" s="68">
        <v>46216</v>
      </c>
      <c r="B328" s="25">
        <f t="shared" si="74"/>
        <v>0.41666666666666635</v>
      </c>
      <c r="C328" s="26" t="s">
        <v>45</v>
      </c>
      <c r="D328" s="59" t="s">
        <v>30</v>
      </c>
      <c r="E328" s="59" t="s">
        <v>234</v>
      </c>
      <c r="F328" s="27">
        <v>38</v>
      </c>
      <c r="G328" s="28">
        <f t="shared" si="72"/>
        <v>190</v>
      </c>
      <c r="H328" s="26"/>
      <c r="I328" s="26"/>
      <c r="J328" s="26"/>
      <c r="K328" s="29"/>
      <c r="L328" s="29"/>
      <c r="M328" s="30" t="str">
        <f t="shared" ca="1" si="73"/>
        <v/>
      </c>
      <c r="N328" s="46"/>
      <c r="O328" s="47"/>
    </row>
    <row r="329" spans="1:15" ht="15" customHeight="1">
      <c r="A329" s="69">
        <v>46216</v>
      </c>
      <c r="B329" s="32">
        <f t="shared" si="74"/>
        <v>0.45833333333333304</v>
      </c>
      <c r="C329" s="26" t="s">
        <v>45</v>
      </c>
      <c r="D329" s="59" t="s">
        <v>30</v>
      </c>
      <c r="E329" s="59" t="s">
        <v>234</v>
      </c>
      <c r="F329" s="27">
        <v>38</v>
      </c>
      <c r="G329" s="34">
        <f t="shared" si="72"/>
        <v>190</v>
      </c>
      <c r="H329" s="33"/>
      <c r="I329" s="33"/>
      <c r="J329" s="33"/>
      <c r="K329" s="29"/>
      <c r="L329" s="29"/>
      <c r="M329" s="35" t="str">
        <f t="shared" ca="1" si="73"/>
        <v/>
      </c>
      <c r="N329" s="46"/>
      <c r="O329" s="47"/>
    </row>
    <row r="330" spans="1:15" ht="15" customHeight="1">
      <c r="A330" s="68">
        <v>46216</v>
      </c>
      <c r="B330" s="25">
        <f t="shared" si="74"/>
        <v>0.49999999999999972</v>
      </c>
      <c r="C330" s="26" t="s">
        <v>45</v>
      </c>
      <c r="D330" s="59" t="s">
        <v>30</v>
      </c>
      <c r="E330" s="59" t="s">
        <v>234</v>
      </c>
      <c r="F330" s="27">
        <v>15</v>
      </c>
      <c r="G330" s="28">
        <f t="shared" si="72"/>
        <v>75</v>
      </c>
      <c r="H330" s="26"/>
      <c r="I330" s="26"/>
      <c r="J330" s="26"/>
      <c r="K330" s="29"/>
      <c r="L330" s="29"/>
      <c r="M330" s="30" t="str">
        <f t="shared" ca="1" si="73"/>
        <v/>
      </c>
      <c r="N330" s="46"/>
      <c r="O330" s="47"/>
    </row>
    <row r="331" spans="1:15" ht="15" customHeight="1">
      <c r="A331" s="69">
        <v>46216</v>
      </c>
      <c r="B331" s="32">
        <f t="shared" si="74"/>
        <v>0.54166666666666641</v>
      </c>
      <c r="C331" s="26" t="s">
        <v>45</v>
      </c>
      <c r="D331" s="59" t="s">
        <v>30</v>
      </c>
      <c r="E331" s="59" t="s">
        <v>234</v>
      </c>
      <c r="F331" s="27">
        <v>40</v>
      </c>
      <c r="G331" s="34">
        <f t="shared" si="72"/>
        <v>200</v>
      </c>
      <c r="H331" s="33"/>
      <c r="I331" s="33"/>
      <c r="J331" s="33"/>
      <c r="K331" s="29"/>
      <c r="L331" s="29"/>
      <c r="M331" s="35" t="str">
        <f t="shared" ca="1" si="73"/>
        <v/>
      </c>
      <c r="N331" s="46"/>
      <c r="O331" s="47"/>
    </row>
    <row r="332" spans="1:15" ht="15" customHeight="1">
      <c r="A332" s="68">
        <v>46216</v>
      </c>
      <c r="B332" s="25">
        <f t="shared" si="74"/>
        <v>0.58333333333333304</v>
      </c>
      <c r="C332" s="26" t="s">
        <v>45</v>
      </c>
      <c r="D332" s="59" t="s">
        <v>30</v>
      </c>
      <c r="E332" s="59" t="s">
        <v>234</v>
      </c>
      <c r="F332" s="27">
        <v>25</v>
      </c>
      <c r="G332" s="28">
        <f t="shared" si="72"/>
        <v>125</v>
      </c>
      <c r="H332" s="26"/>
      <c r="I332" s="26"/>
      <c r="J332" s="26"/>
      <c r="K332" s="29"/>
      <c r="L332" s="29"/>
      <c r="M332" s="30" t="str">
        <f t="shared" ca="1" si="73"/>
        <v/>
      </c>
      <c r="N332" s="46"/>
      <c r="O332" s="47"/>
    </row>
    <row r="333" spans="1:15" ht="15" customHeight="1">
      <c r="A333" s="69">
        <v>46216</v>
      </c>
      <c r="B333" s="32">
        <f t="shared" si="74"/>
        <v>0.62499999999999967</v>
      </c>
      <c r="C333" s="26" t="s">
        <v>45</v>
      </c>
      <c r="D333" s="59" t="s">
        <v>30</v>
      </c>
      <c r="E333" s="59" t="s">
        <v>234</v>
      </c>
      <c r="F333" s="27">
        <v>23</v>
      </c>
      <c r="G333" s="34">
        <f t="shared" si="72"/>
        <v>115</v>
      </c>
      <c r="H333" s="33"/>
      <c r="I333" s="33"/>
      <c r="J333" s="33"/>
      <c r="K333" s="29"/>
      <c r="L333" s="29"/>
      <c r="M333" s="35" t="str">
        <f t="shared" ca="1" si="73"/>
        <v/>
      </c>
      <c r="N333" s="46"/>
      <c r="O333" s="47"/>
    </row>
    <row r="334" spans="1:15" ht="15" customHeight="1">
      <c r="A334" s="68">
        <v>46216</v>
      </c>
      <c r="B334" s="25">
        <f t="shared" si="74"/>
        <v>0.6666666666666663</v>
      </c>
      <c r="C334" s="26" t="s">
        <v>45</v>
      </c>
      <c r="D334" s="59" t="s">
        <v>30</v>
      </c>
      <c r="E334" s="59" t="s">
        <v>234</v>
      </c>
      <c r="F334" s="27">
        <v>36</v>
      </c>
      <c r="G334" s="28">
        <f t="shared" si="72"/>
        <v>180</v>
      </c>
      <c r="H334" s="26"/>
      <c r="I334" s="26"/>
      <c r="J334" s="26"/>
      <c r="K334" s="29"/>
      <c r="L334" s="29"/>
      <c r="M334" s="30" t="str">
        <f t="shared" ca="1" si="73"/>
        <v/>
      </c>
      <c r="N334" s="46"/>
      <c r="O334" s="47"/>
    </row>
    <row r="335" spans="1:15" ht="15" customHeight="1">
      <c r="A335" s="69">
        <v>46216</v>
      </c>
      <c r="B335" s="32">
        <f t="shared" si="74"/>
        <v>0.70833333333333293</v>
      </c>
      <c r="C335" s="26" t="s">
        <v>45</v>
      </c>
      <c r="D335" s="59" t="s">
        <v>30</v>
      </c>
      <c r="E335" s="59" t="s">
        <v>234</v>
      </c>
      <c r="F335" s="27">
        <v>5</v>
      </c>
      <c r="G335" s="34">
        <f t="shared" si="72"/>
        <v>25</v>
      </c>
      <c r="H335" s="33"/>
      <c r="I335" s="33"/>
      <c r="J335" s="33"/>
      <c r="K335" s="29"/>
      <c r="L335" s="29"/>
      <c r="M335" s="35" t="str">
        <f t="shared" ca="1" si="73"/>
        <v/>
      </c>
      <c r="N335" s="46"/>
      <c r="O335" s="47"/>
    </row>
    <row r="336" spans="1:15" ht="15" customHeight="1">
      <c r="A336" s="68">
        <v>46216</v>
      </c>
      <c r="B336" s="25">
        <f t="shared" si="74"/>
        <v>0.74999999999999956</v>
      </c>
      <c r="C336" s="26" t="s">
        <v>45</v>
      </c>
      <c r="D336" s="59" t="s">
        <v>30</v>
      </c>
      <c r="E336" s="59" t="s">
        <v>234</v>
      </c>
      <c r="F336" s="27">
        <v>7</v>
      </c>
      <c r="G336" s="28">
        <f t="shared" si="72"/>
        <v>35</v>
      </c>
      <c r="H336" s="26"/>
      <c r="I336" s="26"/>
      <c r="J336" s="26"/>
      <c r="K336" s="29"/>
      <c r="L336" s="29"/>
      <c r="M336" s="30" t="str">
        <f t="shared" ca="1" si="73"/>
        <v/>
      </c>
      <c r="N336" s="46"/>
      <c r="O336" s="47"/>
    </row>
    <row r="337" spans="1:15" ht="15" customHeight="1">
      <c r="A337" s="69">
        <v>46216</v>
      </c>
      <c r="B337" s="32">
        <f t="shared" si="74"/>
        <v>0.79166666666666619</v>
      </c>
      <c r="C337" s="26" t="s">
        <v>45</v>
      </c>
      <c r="D337" s="59" t="s">
        <v>30</v>
      </c>
      <c r="E337" s="59" t="s">
        <v>234</v>
      </c>
      <c r="F337" s="27">
        <v>0</v>
      </c>
      <c r="G337" s="34">
        <f t="shared" si="72"/>
        <v>0</v>
      </c>
      <c r="H337" s="33"/>
      <c r="I337" s="33"/>
      <c r="J337" s="33"/>
      <c r="K337" s="29"/>
      <c r="L337" s="29"/>
      <c r="M337" s="35" t="str">
        <f t="shared" ca="1" si="73"/>
        <v/>
      </c>
      <c r="N337" s="46"/>
      <c r="O337" s="47"/>
    </row>
    <row r="338" spans="1:15" ht="15.75" customHeight="1">
      <c r="A338" s="119" t="s">
        <v>236</v>
      </c>
      <c r="B338" s="120"/>
      <c r="C338" s="120"/>
      <c r="D338" s="120"/>
      <c r="E338" s="121">
        <f>SUM(E326:E337)</f>
        <v>0</v>
      </c>
      <c r="F338" s="36">
        <f>SUM(F326:F337)</f>
        <v>305</v>
      </c>
      <c r="G338" s="36">
        <f>SUM(G326:G337)</f>
        <v>1525</v>
      </c>
      <c r="H338" s="37"/>
      <c r="I338" s="37"/>
      <c r="J338" s="37"/>
      <c r="K338" s="37"/>
      <c r="L338" s="37"/>
      <c r="M338" s="38">
        <f ca="1">IFERROR(SUM(M326:M337),"")</f>
        <v>9.7916666666666652E-2</v>
      </c>
      <c r="N338" s="36" t="s">
        <v>237</v>
      </c>
      <c r="O338" s="39">
        <v>1525000</v>
      </c>
    </row>
    <row r="339" spans="1:15" ht="15" customHeight="1">
      <c r="A339" s="69">
        <v>46216</v>
      </c>
      <c r="B339" s="32">
        <v>0.83333333333333304</v>
      </c>
      <c r="C339" s="33" t="s">
        <v>29</v>
      </c>
      <c r="D339" s="62" t="s">
        <v>30</v>
      </c>
      <c r="E339" s="62" t="s">
        <v>234</v>
      </c>
      <c r="F339" s="27">
        <v>0</v>
      </c>
      <c r="G339" s="34">
        <f t="shared" ref="G339:G350" si="75">IF(F339="","",IF(E339="PC 17",F339*4.2,IF(E339="PC 19",F339*5,"")))</f>
        <v>0</v>
      </c>
      <c r="H339" s="33" t="s">
        <v>20</v>
      </c>
      <c r="I339" s="33" t="s">
        <v>23</v>
      </c>
      <c r="J339" s="33"/>
      <c r="K339" s="29">
        <v>0.79166666666666663</v>
      </c>
      <c r="L339" s="29">
        <v>0.87013888888888891</v>
      </c>
      <c r="M339" s="35">
        <f t="shared" ref="M339:M350" ca="1" si="76">IFERROR(IF(K339="","",IF(L339="",MOD(NOW()-K339,1),IF(L339&gt;=K339,L339-K339,L339+1-K339))),"")</f>
        <v>7.8472222222222276E-2</v>
      </c>
      <c r="N339" s="46"/>
      <c r="O339" s="47"/>
    </row>
    <row r="340" spans="1:15" ht="15" customHeight="1">
      <c r="A340" s="68">
        <v>46216</v>
      </c>
      <c r="B340" s="25">
        <f t="shared" ref="B340:B350" si="77">B339+TIME(0,60,0)</f>
        <v>0.87499999999999967</v>
      </c>
      <c r="C340" s="33" t="s">
        <v>29</v>
      </c>
      <c r="D340" s="62" t="s">
        <v>30</v>
      </c>
      <c r="E340" s="62" t="s">
        <v>234</v>
      </c>
      <c r="F340" s="27">
        <v>11</v>
      </c>
      <c r="G340" s="28">
        <f t="shared" si="75"/>
        <v>55</v>
      </c>
      <c r="H340" s="26" t="s">
        <v>18</v>
      </c>
      <c r="I340" s="26" t="s">
        <v>23</v>
      </c>
      <c r="J340" s="26" t="s">
        <v>34</v>
      </c>
      <c r="K340" s="29">
        <v>0.92083333333333328</v>
      </c>
      <c r="L340" s="29">
        <v>2.7083333333333334E-2</v>
      </c>
      <c r="M340" s="30">
        <f t="shared" ca="1" si="76"/>
        <v>0.10625000000000007</v>
      </c>
      <c r="N340" s="46"/>
      <c r="O340" s="47"/>
    </row>
    <row r="341" spans="1:15" ht="15" customHeight="1">
      <c r="A341" s="69">
        <v>46216</v>
      </c>
      <c r="B341" s="32">
        <f t="shared" si="77"/>
        <v>0.9166666666666663</v>
      </c>
      <c r="C341" s="33" t="s">
        <v>29</v>
      </c>
      <c r="D341" s="62" t="s">
        <v>30</v>
      </c>
      <c r="E341" s="62" t="s">
        <v>234</v>
      </c>
      <c r="F341" s="27">
        <v>0</v>
      </c>
      <c r="G341" s="34">
        <f t="shared" si="75"/>
        <v>0</v>
      </c>
      <c r="H341" s="33" t="s">
        <v>18</v>
      </c>
      <c r="I341" s="33" t="s">
        <v>23</v>
      </c>
      <c r="J341" s="33" t="s">
        <v>177</v>
      </c>
      <c r="K341" s="29">
        <v>5.1388888888888887E-2</v>
      </c>
      <c r="L341" s="29">
        <v>7.7083333333333337E-2</v>
      </c>
      <c r="M341" s="35">
        <f t="shared" ca="1" si="76"/>
        <v>2.569444444444445E-2</v>
      </c>
      <c r="N341" s="46"/>
      <c r="O341" s="47"/>
    </row>
    <row r="342" spans="1:15" ht="15" customHeight="1">
      <c r="A342" s="68">
        <v>46216</v>
      </c>
      <c r="B342" s="25">
        <f t="shared" si="77"/>
        <v>0.95833333333333293</v>
      </c>
      <c r="C342" s="33" t="s">
        <v>29</v>
      </c>
      <c r="D342" s="62" t="s">
        <v>30</v>
      </c>
      <c r="E342" s="62" t="s">
        <v>234</v>
      </c>
      <c r="F342" s="27">
        <v>0</v>
      </c>
      <c r="G342" s="28">
        <f t="shared" si="75"/>
        <v>0</v>
      </c>
      <c r="H342" s="26" t="s">
        <v>18</v>
      </c>
      <c r="I342" s="26" t="s">
        <v>23</v>
      </c>
      <c r="J342" s="26" t="s">
        <v>177</v>
      </c>
      <c r="K342" s="29">
        <v>0.11805555555555555</v>
      </c>
      <c r="L342" s="29">
        <v>0.19444444444444445</v>
      </c>
      <c r="M342" s="30">
        <f t="shared" ca="1" si="76"/>
        <v>7.6388888888888895E-2</v>
      </c>
      <c r="N342" s="46"/>
      <c r="O342" s="47"/>
    </row>
    <row r="343" spans="1:15" ht="15" customHeight="1">
      <c r="A343" s="69">
        <v>46216</v>
      </c>
      <c r="B343" s="32">
        <f t="shared" si="77"/>
        <v>0.99999999999999956</v>
      </c>
      <c r="C343" s="33" t="s">
        <v>29</v>
      </c>
      <c r="D343" s="62" t="s">
        <v>30</v>
      </c>
      <c r="E343" s="62" t="s">
        <v>234</v>
      </c>
      <c r="F343" s="27">
        <v>0</v>
      </c>
      <c r="G343" s="34">
        <f t="shared" si="75"/>
        <v>0</v>
      </c>
      <c r="H343" s="33"/>
      <c r="I343" s="33"/>
      <c r="J343" s="33"/>
      <c r="K343" s="29"/>
      <c r="L343" s="29"/>
      <c r="M343" s="35" t="str">
        <f t="shared" ca="1" si="76"/>
        <v/>
      </c>
      <c r="N343" s="46"/>
      <c r="O343" s="47"/>
    </row>
    <row r="344" spans="1:15" ht="15" customHeight="1">
      <c r="A344" s="68">
        <v>46216</v>
      </c>
      <c r="B344" s="25">
        <f t="shared" si="77"/>
        <v>1.0416666666666663</v>
      </c>
      <c r="C344" s="33" t="s">
        <v>29</v>
      </c>
      <c r="D344" s="62" t="s">
        <v>30</v>
      </c>
      <c r="E344" s="62" t="s">
        <v>234</v>
      </c>
      <c r="F344" s="27">
        <v>10</v>
      </c>
      <c r="G344" s="28">
        <f t="shared" si="75"/>
        <v>50</v>
      </c>
      <c r="H344" s="26"/>
      <c r="I344" s="26"/>
      <c r="J344" s="26"/>
      <c r="K344" s="29"/>
      <c r="L344" s="29"/>
      <c r="M344" s="30" t="str">
        <f t="shared" ca="1" si="76"/>
        <v/>
      </c>
      <c r="N344" s="46"/>
      <c r="O344" s="47"/>
    </row>
    <row r="345" spans="1:15" ht="15" customHeight="1">
      <c r="A345" s="69">
        <v>46216</v>
      </c>
      <c r="B345" s="32">
        <f t="shared" si="77"/>
        <v>1.083333333333333</v>
      </c>
      <c r="C345" s="33" t="s">
        <v>29</v>
      </c>
      <c r="D345" s="62" t="s">
        <v>30</v>
      </c>
      <c r="E345" s="62" t="s">
        <v>234</v>
      </c>
      <c r="F345" s="27">
        <v>22</v>
      </c>
      <c r="G345" s="34">
        <f t="shared" si="75"/>
        <v>110</v>
      </c>
      <c r="H345" s="33"/>
      <c r="I345" s="33"/>
      <c r="J345" s="33"/>
      <c r="K345" s="29"/>
      <c r="L345" s="29"/>
      <c r="M345" s="35" t="str">
        <f t="shared" ca="1" si="76"/>
        <v/>
      </c>
      <c r="N345" s="46"/>
      <c r="O345" s="47"/>
    </row>
    <row r="346" spans="1:15" ht="15" customHeight="1">
      <c r="A346" s="68">
        <v>46216</v>
      </c>
      <c r="B346" s="25">
        <f t="shared" si="77"/>
        <v>1.1249999999999998</v>
      </c>
      <c r="C346" s="33" t="s">
        <v>29</v>
      </c>
      <c r="D346" s="62" t="s">
        <v>30</v>
      </c>
      <c r="E346" s="62" t="s">
        <v>234</v>
      </c>
      <c r="F346" s="27">
        <v>7</v>
      </c>
      <c r="G346" s="28">
        <f t="shared" si="75"/>
        <v>35</v>
      </c>
      <c r="H346" s="26"/>
      <c r="I346" s="26"/>
      <c r="J346" s="26"/>
      <c r="K346" s="29"/>
      <c r="L346" s="29"/>
      <c r="M346" s="30" t="str">
        <f t="shared" ca="1" si="76"/>
        <v/>
      </c>
      <c r="N346" s="46"/>
      <c r="O346" s="47"/>
    </row>
    <row r="347" spans="1:15" ht="15" customHeight="1">
      <c r="A347" s="69">
        <v>46216</v>
      </c>
      <c r="B347" s="32">
        <f t="shared" si="77"/>
        <v>1.1666666666666665</v>
      </c>
      <c r="C347" s="33" t="s">
        <v>29</v>
      </c>
      <c r="D347" s="62" t="s">
        <v>30</v>
      </c>
      <c r="E347" s="62" t="s">
        <v>234</v>
      </c>
      <c r="F347" s="27">
        <v>0</v>
      </c>
      <c r="G347" s="34">
        <f t="shared" si="75"/>
        <v>0</v>
      </c>
      <c r="H347" s="33"/>
      <c r="I347" s="33"/>
      <c r="J347" s="33"/>
      <c r="K347" s="29"/>
      <c r="L347" s="29"/>
      <c r="M347" s="35" t="str">
        <f t="shared" ca="1" si="76"/>
        <v/>
      </c>
      <c r="N347" s="46"/>
      <c r="O347" s="47"/>
    </row>
    <row r="348" spans="1:15" ht="15" customHeight="1">
      <c r="A348" s="68">
        <v>46216</v>
      </c>
      <c r="B348" s="25">
        <f t="shared" si="77"/>
        <v>1.2083333333333333</v>
      </c>
      <c r="C348" s="33" t="s">
        <v>29</v>
      </c>
      <c r="D348" s="62" t="s">
        <v>30</v>
      </c>
      <c r="E348" s="62" t="s">
        <v>234</v>
      </c>
      <c r="F348" s="27">
        <v>17</v>
      </c>
      <c r="G348" s="28">
        <f t="shared" si="75"/>
        <v>85</v>
      </c>
      <c r="H348" s="26"/>
      <c r="I348" s="26"/>
      <c r="J348" s="26"/>
      <c r="K348" s="29"/>
      <c r="L348" s="29"/>
      <c r="M348" s="30" t="str">
        <f t="shared" ca="1" si="76"/>
        <v/>
      </c>
      <c r="N348" s="46"/>
      <c r="O348" s="47"/>
    </row>
    <row r="349" spans="1:15" ht="15" customHeight="1">
      <c r="A349" s="69">
        <v>46216</v>
      </c>
      <c r="B349" s="32">
        <f t="shared" si="77"/>
        <v>1.25</v>
      </c>
      <c r="C349" s="33" t="s">
        <v>29</v>
      </c>
      <c r="D349" s="62" t="s">
        <v>30</v>
      </c>
      <c r="E349" s="62" t="s">
        <v>234</v>
      </c>
      <c r="F349" s="27">
        <v>35</v>
      </c>
      <c r="G349" s="34">
        <f t="shared" si="75"/>
        <v>175</v>
      </c>
      <c r="H349" s="33"/>
      <c r="I349" s="33"/>
      <c r="J349" s="33"/>
      <c r="K349" s="29"/>
      <c r="L349" s="29"/>
      <c r="M349" s="35" t="str">
        <f t="shared" ca="1" si="76"/>
        <v/>
      </c>
      <c r="N349" s="46"/>
      <c r="O349" s="47"/>
    </row>
    <row r="350" spans="1:15" ht="15" customHeight="1">
      <c r="A350" s="68">
        <v>46216</v>
      </c>
      <c r="B350" s="25">
        <f t="shared" si="77"/>
        <v>1.2916666666666667</v>
      </c>
      <c r="C350" s="33" t="s">
        <v>29</v>
      </c>
      <c r="D350" s="62" t="s">
        <v>30</v>
      </c>
      <c r="E350" s="62" t="s">
        <v>234</v>
      </c>
      <c r="F350" s="27">
        <v>16</v>
      </c>
      <c r="G350" s="28">
        <f t="shared" si="75"/>
        <v>80</v>
      </c>
      <c r="H350" s="26"/>
      <c r="I350" s="26"/>
      <c r="J350" s="26"/>
      <c r="K350" s="29"/>
      <c r="L350" s="29"/>
      <c r="M350" s="30" t="str">
        <f t="shared" ca="1" si="76"/>
        <v/>
      </c>
      <c r="N350" s="46"/>
      <c r="O350" s="47"/>
    </row>
    <row r="351" spans="1:15" ht="15.75" customHeight="1">
      <c r="A351" s="119" t="s">
        <v>238</v>
      </c>
      <c r="B351" s="120"/>
      <c r="C351" s="120"/>
      <c r="D351" s="120"/>
      <c r="E351" s="121">
        <f>SUM(E339:E350)</f>
        <v>0</v>
      </c>
      <c r="F351" s="36">
        <f>SUM(F339:F350)</f>
        <v>118</v>
      </c>
      <c r="G351" s="36">
        <f>SUM(G339:G350)</f>
        <v>590</v>
      </c>
      <c r="H351" s="37"/>
      <c r="I351" s="37"/>
      <c r="J351" s="37"/>
      <c r="K351" s="37"/>
      <c r="L351" s="37"/>
      <c r="M351" s="38">
        <f ca="1">IFERROR(SUM(M339:M350),"")</f>
        <v>0.2868055555555557</v>
      </c>
      <c r="N351" s="36" t="s">
        <v>237</v>
      </c>
      <c r="O351" s="39">
        <v>701874</v>
      </c>
    </row>
    <row r="352" spans="1:15" ht="18" customHeight="1">
      <c r="A352" s="122" t="s">
        <v>239</v>
      </c>
      <c r="B352" s="123"/>
      <c r="C352" s="123"/>
      <c r="D352" s="123"/>
      <c r="E352" s="124">
        <f>E338+E351</f>
        <v>0</v>
      </c>
      <c r="F352" s="40">
        <f>F338+F351</f>
        <v>423</v>
      </c>
      <c r="G352" s="40">
        <f>G338+G351</f>
        <v>2115</v>
      </c>
      <c r="H352" s="41"/>
      <c r="I352" s="41"/>
      <c r="J352" s="41"/>
      <c r="K352" s="41"/>
      <c r="L352" s="41"/>
      <c r="M352" s="42">
        <f ca="1">IFERROR(M338+M351,"")</f>
        <v>0.38472222222222235</v>
      </c>
      <c r="N352" s="40" t="s">
        <v>240</v>
      </c>
      <c r="O352" s="48">
        <f>IFERROR(O338+O351,"")</f>
        <v>2226874</v>
      </c>
    </row>
    <row r="353" spans="1:15" ht="15" customHeight="1">
      <c r="A353" s="69">
        <v>46217</v>
      </c>
      <c r="B353" s="32">
        <v>0.33333333333333298</v>
      </c>
      <c r="C353" s="33" t="s">
        <v>45</v>
      </c>
      <c r="D353" s="62" t="s">
        <v>30</v>
      </c>
      <c r="E353" s="62" t="s">
        <v>234</v>
      </c>
      <c r="F353" s="27">
        <v>0</v>
      </c>
      <c r="G353" s="34">
        <f t="shared" ref="G353:G364" si="78">IF(F353="","",IF(E353="PC 17",F353*4.2,IF(E353="PC 19",F353*5,"")))</f>
        <v>0</v>
      </c>
      <c r="H353" s="33" t="s">
        <v>20</v>
      </c>
      <c r="I353" s="33" t="s">
        <v>23</v>
      </c>
      <c r="J353" s="33" t="s">
        <v>181</v>
      </c>
      <c r="K353" s="29">
        <v>0.30555555555555558</v>
      </c>
      <c r="L353" s="29">
        <v>0.375</v>
      </c>
      <c r="M353" s="35">
        <f t="shared" ref="M353:M364" ca="1" si="79">IFERROR(IF(K353="","",IF(L353="",MOD(NOW()-K353,1),IF(L353&gt;=K353,L353-K353,L353+1-K353))),"")</f>
        <v>6.944444444444442E-2</v>
      </c>
      <c r="N353" s="46" t="s">
        <v>253</v>
      </c>
      <c r="O353" s="47"/>
    </row>
    <row r="354" spans="1:15" ht="15" customHeight="1">
      <c r="A354" s="68">
        <v>46217</v>
      </c>
      <c r="B354" s="25">
        <f t="shared" ref="B354:B364" si="80">B353+TIME(0,60,0)</f>
        <v>0.37499999999999967</v>
      </c>
      <c r="C354" s="33" t="s">
        <v>45</v>
      </c>
      <c r="D354" s="62" t="s">
        <v>30</v>
      </c>
      <c r="E354" s="62" t="s">
        <v>234</v>
      </c>
      <c r="F354" s="27">
        <v>11</v>
      </c>
      <c r="G354" s="28">
        <f t="shared" si="78"/>
        <v>55</v>
      </c>
      <c r="H354" s="26" t="s">
        <v>20</v>
      </c>
      <c r="I354" s="26" t="s">
        <v>23</v>
      </c>
      <c r="J354" s="26" t="s">
        <v>187</v>
      </c>
      <c r="K354" s="29">
        <v>0.61319444444444449</v>
      </c>
      <c r="L354" s="29">
        <v>0.63472222222222219</v>
      </c>
      <c r="M354" s="30">
        <f t="shared" ca="1" si="79"/>
        <v>2.1527777777777701E-2</v>
      </c>
      <c r="N354" s="46"/>
      <c r="O354" s="47"/>
    </row>
    <row r="355" spans="1:15" ht="15" customHeight="1">
      <c r="A355" s="69">
        <v>46217</v>
      </c>
      <c r="B355" s="32">
        <f t="shared" si="80"/>
        <v>0.41666666666666635</v>
      </c>
      <c r="C355" s="33" t="s">
        <v>45</v>
      </c>
      <c r="D355" s="62" t="s">
        <v>30</v>
      </c>
      <c r="E355" s="62" t="s">
        <v>234</v>
      </c>
      <c r="F355" s="27">
        <v>40</v>
      </c>
      <c r="G355" s="34">
        <f t="shared" si="78"/>
        <v>200</v>
      </c>
      <c r="H355" s="33"/>
      <c r="I355" s="33"/>
      <c r="J355" s="33"/>
      <c r="K355" s="29"/>
      <c r="L355" s="29"/>
      <c r="M355" s="35" t="str">
        <f t="shared" ca="1" si="79"/>
        <v/>
      </c>
      <c r="N355" s="46"/>
      <c r="O355" s="47"/>
    </row>
    <row r="356" spans="1:15" ht="15" customHeight="1">
      <c r="A356" s="68">
        <v>46217</v>
      </c>
      <c r="B356" s="25">
        <f t="shared" si="80"/>
        <v>0.45833333333333304</v>
      </c>
      <c r="C356" s="33" t="s">
        <v>45</v>
      </c>
      <c r="D356" s="62" t="s">
        <v>30</v>
      </c>
      <c r="E356" s="62" t="s">
        <v>234</v>
      </c>
      <c r="F356" s="27">
        <v>30</v>
      </c>
      <c r="G356" s="28">
        <f t="shared" si="78"/>
        <v>150</v>
      </c>
      <c r="H356" s="26"/>
      <c r="I356" s="26"/>
      <c r="J356" s="26"/>
      <c r="K356" s="29"/>
      <c r="L356" s="29"/>
      <c r="M356" s="30" t="str">
        <f t="shared" ca="1" si="79"/>
        <v/>
      </c>
      <c r="N356" s="46"/>
      <c r="O356" s="47"/>
    </row>
    <row r="357" spans="1:15" ht="15" customHeight="1">
      <c r="A357" s="69">
        <v>46217</v>
      </c>
      <c r="B357" s="32">
        <f t="shared" si="80"/>
        <v>0.49999999999999972</v>
      </c>
      <c r="C357" s="33" t="s">
        <v>45</v>
      </c>
      <c r="D357" s="62" t="s">
        <v>30</v>
      </c>
      <c r="E357" s="62" t="s">
        <v>234</v>
      </c>
      <c r="F357" s="27">
        <v>23</v>
      </c>
      <c r="G357" s="34">
        <f t="shared" si="78"/>
        <v>115</v>
      </c>
      <c r="H357" s="33"/>
      <c r="I357" s="33"/>
      <c r="J357" s="33"/>
      <c r="K357" s="29"/>
      <c r="L357" s="29"/>
      <c r="M357" s="35" t="str">
        <f t="shared" ca="1" si="79"/>
        <v/>
      </c>
      <c r="N357" s="46"/>
      <c r="O357" s="47"/>
    </row>
    <row r="358" spans="1:15" ht="15" customHeight="1">
      <c r="A358" s="68">
        <v>46217</v>
      </c>
      <c r="B358" s="25">
        <f t="shared" si="80"/>
        <v>0.54166666666666641</v>
      </c>
      <c r="C358" s="33" t="s">
        <v>45</v>
      </c>
      <c r="D358" s="62" t="s">
        <v>30</v>
      </c>
      <c r="E358" s="62" t="s">
        <v>234</v>
      </c>
      <c r="F358" s="27">
        <v>17</v>
      </c>
      <c r="G358" s="28">
        <f t="shared" si="78"/>
        <v>85</v>
      </c>
      <c r="H358" s="26"/>
      <c r="I358" s="26"/>
      <c r="J358" s="26"/>
      <c r="K358" s="29"/>
      <c r="L358" s="29"/>
      <c r="M358" s="30" t="str">
        <f t="shared" ca="1" si="79"/>
        <v/>
      </c>
      <c r="N358" s="46"/>
      <c r="O358" s="47"/>
    </row>
    <row r="359" spans="1:15" ht="15" customHeight="1">
      <c r="A359" s="69">
        <v>46217</v>
      </c>
      <c r="B359" s="32">
        <f t="shared" si="80"/>
        <v>0.58333333333333304</v>
      </c>
      <c r="C359" s="33" t="s">
        <v>45</v>
      </c>
      <c r="D359" s="62" t="s">
        <v>30</v>
      </c>
      <c r="E359" s="62" t="s">
        <v>234</v>
      </c>
      <c r="F359" s="27">
        <v>10</v>
      </c>
      <c r="G359" s="34">
        <f t="shared" si="78"/>
        <v>50</v>
      </c>
      <c r="H359" s="33"/>
      <c r="I359" s="33"/>
      <c r="J359" s="33"/>
      <c r="K359" s="29"/>
      <c r="L359" s="29"/>
      <c r="M359" s="35" t="str">
        <f t="shared" ca="1" si="79"/>
        <v/>
      </c>
      <c r="N359" s="46"/>
      <c r="O359" s="47"/>
    </row>
    <row r="360" spans="1:15" ht="15" customHeight="1">
      <c r="A360" s="68">
        <v>46217</v>
      </c>
      <c r="B360" s="25">
        <f t="shared" si="80"/>
        <v>0.62499999999999967</v>
      </c>
      <c r="C360" s="33" t="s">
        <v>45</v>
      </c>
      <c r="D360" s="62" t="s">
        <v>30</v>
      </c>
      <c r="E360" s="62" t="s">
        <v>234</v>
      </c>
      <c r="F360" s="27">
        <v>32</v>
      </c>
      <c r="G360" s="28">
        <f t="shared" si="78"/>
        <v>160</v>
      </c>
      <c r="H360" s="26"/>
      <c r="I360" s="26"/>
      <c r="J360" s="26"/>
      <c r="K360" s="29"/>
      <c r="L360" s="29"/>
      <c r="M360" s="30" t="str">
        <f t="shared" ca="1" si="79"/>
        <v/>
      </c>
      <c r="N360" s="46"/>
      <c r="O360" s="47"/>
    </row>
    <row r="361" spans="1:15" ht="15" customHeight="1">
      <c r="A361" s="69">
        <v>46217</v>
      </c>
      <c r="B361" s="32">
        <f t="shared" si="80"/>
        <v>0.6666666666666663</v>
      </c>
      <c r="C361" s="33" t="s">
        <v>45</v>
      </c>
      <c r="D361" s="62" t="s">
        <v>30</v>
      </c>
      <c r="E361" s="62" t="s">
        <v>234</v>
      </c>
      <c r="F361" s="27">
        <v>36</v>
      </c>
      <c r="G361" s="34">
        <f t="shared" si="78"/>
        <v>180</v>
      </c>
      <c r="H361" s="33"/>
      <c r="I361" s="33"/>
      <c r="J361" s="33"/>
      <c r="K361" s="29"/>
      <c r="L361" s="29"/>
      <c r="M361" s="35" t="str">
        <f t="shared" ca="1" si="79"/>
        <v/>
      </c>
      <c r="N361" s="46"/>
      <c r="O361" s="47"/>
    </row>
    <row r="362" spans="1:15" ht="15" customHeight="1">
      <c r="A362" s="68">
        <v>46217</v>
      </c>
      <c r="B362" s="25">
        <f t="shared" si="80"/>
        <v>0.70833333333333293</v>
      </c>
      <c r="C362" s="33" t="s">
        <v>45</v>
      </c>
      <c r="D362" s="62" t="s">
        <v>30</v>
      </c>
      <c r="E362" s="62" t="s">
        <v>234</v>
      </c>
      <c r="F362" s="27">
        <v>40</v>
      </c>
      <c r="G362" s="28">
        <f t="shared" si="78"/>
        <v>200</v>
      </c>
      <c r="H362" s="26"/>
      <c r="I362" s="26"/>
      <c r="J362" s="26"/>
      <c r="K362" s="29"/>
      <c r="L362" s="29"/>
      <c r="M362" s="30" t="str">
        <f t="shared" ca="1" si="79"/>
        <v/>
      </c>
      <c r="N362" s="46"/>
      <c r="O362" s="47"/>
    </row>
    <row r="363" spans="1:15" ht="15" customHeight="1">
      <c r="A363" s="69">
        <v>46217</v>
      </c>
      <c r="B363" s="32">
        <f t="shared" si="80"/>
        <v>0.74999999999999956</v>
      </c>
      <c r="C363" s="33" t="s">
        <v>45</v>
      </c>
      <c r="D363" s="62" t="s">
        <v>30</v>
      </c>
      <c r="E363" s="62" t="s">
        <v>234</v>
      </c>
      <c r="F363" s="27">
        <v>22</v>
      </c>
      <c r="G363" s="34">
        <f t="shared" si="78"/>
        <v>110</v>
      </c>
      <c r="H363" s="33"/>
      <c r="I363" s="33"/>
      <c r="J363" s="33"/>
      <c r="K363" s="29"/>
      <c r="L363" s="29"/>
      <c r="M363" s="35" t="str">
        <f t="shared" ca="1" si="79"/>
        <v/>
      </c>
      <c r="N363" s="46"/>
      <c r="O363" s="47"/>
    </row>
    <row r="364" spans="1:15" ht="15" customHeight="1">
      <c r="A364" s="68">
        <v>46217</v>
      </c>
      <c r="B364" s="25">
        <f t="shared" si="80"/>
        <v>0.79166666666666619</v>
      </c>
      <c r="C364" s="33" t="s">
        <v>45</v>
      </c>
      <c r="D364" s="62" t="s">
        <v>30</v>
      </c>
      <c r="E364" s="62" t="s">
        <v>234</v>
      </c>
      <c r="F364" s="27">
        <v>14</v>
      </c>
      <c r="G364" s="28">
        <f t="shared" si="78"/>
        <v>70</v>
      </c>
      <c r="H364" s="26"/>
      <c r="I364" s="26"/>
      <c r="J364" s="26"/>
      <c r="K364" s="29"/>
      <c r="L364" s="29"/>
      <c r="M364" s="30" t="str">
        <f t="shared" ca="1" si="79"/>
        <v/>
      </c>
      <c r="N364" s="46"/>
      <c r="O364" s="47"/>
    </row>
    <row r="365" spans="1:15" ht="15.75" customHeight="1">
      <c r="A365" s="119" t="s">
        <v>236</v>
      </c>
      <c r="B365" s="120"/>
      <c r="C365" s="120"/>
      <c r="D365" s="120"/>
      <c r="E365" s="121">
        <f>SUM(E353:E364)</f>
        <v>0</v>
      </c>
      <c r="F365" s="36">
        <f>SUM(F353:F364)</f>
        <v>275</v>
      </c>
      <c r="G365" s="36">
        <f>SUM(G353:G364)</f>
        <v>1375</v>
      </c>
      <c r="H365" s="37"/>
      <c r="I365" s="37"/>
      <c r="J365" s="37"/>
      <c r="K365" s="37"/>
      <c r="L365" s="37"/>
      <c r="M365" s="38">
        <f ca="1">IFERROR(SUM(M353:M364),"")</f>
        <v>9.0972222222222121E-2</v>
      </c>
      <c r="N365" s="36" t="s">
        <v>237</v>
      </c>
      <c r="O365" s="39">
        <v>2064210</v>
      </c>
    </row>
    <row r="366" spans="1:15" ht="15" customHeight="1">
      <c r="A366" s="68">
        <v>46217</v>
      </c>
      <c r="B366" s="25">
        <v>0.83333333333333304</v>
      </c>
      <c r="C366" s="26" t="s">
        <v>29</v>
      </c>
      <c r="D366" s="59" t="s">
        <v>30</v>
      </c>
      <c r="E366" s="59" t="s">
        <v>234</v>
      </c>
      <c r="F366" s="27">
        <v>12</v>
      </c>
      <c r="G366" s="28">
        <f t="shared" ref="G366:G377" si="81">IF(F366="","",IF(E366="PC 17",F366*4.2,IF(E366="PC 19",F366*5,"")))</f>
        <v>60</v>
      </c>
      <c r="H366" s="26" t="s">
        <v>20</v>
      </c>
      <c r="I366" s="26" t="s">
        <v>23</v>
      </c>
      <c r="J366" s="26" t="s">
        <v>187</v>
      </c>
      <c r="K366" s="29">
        <v>9.3055555555555558E-2</v>
      </c>
      <c r="L366" s="29">
        <v>0.1125</v>
      </c>
      <c r="M366" s="30">
        <f t="shared" ref="M366:M377" ca="1" si="82">IFERROR(IF(K366="","",IF(L366="",MOD(NOW()-K366,1),IF(L366&gt;=K366,L366-K366,L366+1-K366))),"")</f>
        <v>1.9444444444444445E-2</v>
      </c>
      <c r="N366" s="46"/>
      <c r="O366" s="47"/>
    </row>
    <row r="367" spans="1:15" ht="15" customHeight="1">
      <c r="A367" s="69">
        <v>46217</v>
      </c>
      <c r="B367" s="32">
        <f t="shared" ref="B367:B377" si="83">B366+TIME(0,60,0)</f>
        <v>0.87499999999999967</v>
      </c>
      <c r="C367" s="26" t="s">
        <v>29</v>
      </c>
      <c r="D367" s="59" t="s">
        <v>30</v>
      </c>
      <c r="E367" s="59" t="s">
        <v>234</v>
      </c>
      <c r="F367" s="27">
        <v>16</v>
      </c>
      <c r="G367" s="34">
        <f t="shared" si="81"/>
        <v>80</v>
      </c>
      <c r="H367" s="33" t="s">
        <v>20</v>
      </c>
      <c r="I367" s="33" t="s">
        <v>23</v>
      </c>
      <c r="J367" s="33" t="s">
        <v>187</v>
      </c>
      <c r="K367" s="29">
        <v>0.22291666666666668</v>
      </c>
      <c r="L367" s="29">
        <v>0.25347222222222221</v>
      </c>
      <c r="M367" s="35">
        <f t="shared" ca="1" si="82"/>
        <v>3.055555555555553E-2</v>
      </c>
      <c r="N367" s="46"/>
      <c r="O367" s="47"/>
    </row>
    <row r="368" spans="1:15" ht="15" customHeight="1">
      <c r="A368" s="68">
        <v>46217</v>
      </c>
      <c r="B368" s="25">
        <f t="shared" si="83"/>
        <v>0.9166666666666663</v>
      </c>
      <c r="C368" s="26" t="s">
        <v>29</v>
      </c>
      <c r="D368" s="59" t="s">
        <v>30</v>
      </c>
      <c r="E368" s="59" t="s">
        <v>234</v>
      </c>
      <c r="F368" s="27">
        <v>19</v>
      </c>
      <c r="G368" s="28">
        <f t="shared" si="81"/>
        <v>95</v>
      </c>
      <c r="H368" s="26"/>
      <c r="I368" s="26"/>
      <c r="J368" s="26"/>
      <c r="K368" s="29"/>
      <c r="L368" s="29"/>
      <c r="M368" s="30" t="str">
        <f t="shared" ca="1" si="82"/>
        <v/>
      </c>
      <c r="N368" s="46"/>
      <c r="O368" s="47"/>
    </row>
    <row r="369" spans="1:15" ht="15" customHeight="1">
      <c r="A369" s="69">
        <v>46217</v>
      </c>
      <c r="B369" s="32">
        <f t="shared" si="83"/>
        <v>0.95833333333333293</v>
      </c>
      <c r="C369" s="26" t="s">
        <v>29</v>
      </c>
      <c r="D369" s="59" t="s">
        <v>30</v>
      </c>
      <c r="E369" s="59" t="s">
        <v>234</v>
      </c>
      <c r="F369" s="27">
        <v>14</v>
      </c>
      <c r="G369" s="34">
        <f t="shared" si="81"/>
        <v>70</v>
      </c>
      <c r="H369" s="33"/>
      <c r="I369" s="33"/>
      <c r="J369" s="33"/>
      <c r="K369" s="29"/>
      <c r="L369" s="29"/>
      <c r="M369" s="35" t="str">
        <f t="shared" ca="1" si="82"/>
        <v/>
      </c>
      <c r="N369" s="46"/>
      <c r="O369" s="47"/>
    </row>
    <row r="370" spans="1:15" ht="15" customHeight="1">
      <c r="A370" s="68">
        <v>46217</v>
      </c>
      <c r="B370" s="25">
        <f t="shared" si="83"/>
        <v>0.99999999999999956</v>
      </c>
      <c r="C370" s="26" t="s">
        <v>29</v>
      </c>
      <c r="D370" s="59" t="s">
        <v>30</v>
      </c>
      <c r="E370" s="59" t="s">
        <v>234</v>
      </c>
      <c r="F370" s="27">
        <v>14</v>
      </c>
      <c r="G370" s="28">
        <f t="shared" si="81"/>
        <v>70</v>
      </c>
      <c r="H370" s="26"/>
      <c r="I370" s="26"/>
      <c r="J370" s="26"/>
      <c r="K370" s="29"/>
      <c r="L370" s="29"/>
      <c r="M370" s="30" t="str">
        <f t="shared" ca="1" si="82"/>
        <v/>
      </c>
      <c r="N370" s="46"/>
      <c r="O370" s="47"/>
    </row>
    <row r="371" spans="1:15" ht="15" customHeight="1">
      <c r="A371" s="69">
        <v>46217</v>
      </c>
      <c r="B371" s="32">
        <f t="shared" si="83"/>
        <v>1.0416666666666663</v>
      </c>
      <c r="C371" s="26" t="s">
        <v>29</v>
      </c>
      <c r="D371" s="59" t="s">
        <v>30</v>
      </c>
      <c r="E371" s="59" t="s">
        <v>234</v>
      </c>
      <c r="F371" s="27">
        <v>20</v>
      </c>
      <c r="G371" s="34">
        <f t="shared" si="81"/>
        <v>100</v>
      </c>
      <c r="H371" s="33"/>
      <c r="I371" s="33"/>
      <c r="J371" s="33"/>
      <c r="K371" s="29"/>
      <c r="L371" s="29"/>
      <c r="M371" s="35" t="str">
        <f t="shared" ca="1" si="82"/>
        <v/>
      </c>
      <c r="N371" s="46"/>
      <c r="O371" s="47"/>
    </row>
    <row r="372" spans="1:15" ht="15" customHeight="1">
      <c r="A372" s="68">
        <v>46217</v>
      </c>
      <c r="B372" s="25">
        <f t="shared" si="83"/>
        <v>1.083333333333333</v>
      </c>
      <c r="C372" s="26" t="s">
        <v>29</v>
      </c>
      <c r="D372" s="59" t="s">
        <v>30</v>
      </c>
      <c r="E372" s="59" t="s">
        <v>234</v>
      </c>
      <c r="F372" s="27">
        <v>0</v>
      </c>
      <c r="G372" s="28">
        <f t="shared" si="81"/>
        <v>0</v>
      </c>
      <c r="H372" s="26"/>
      <c r="I372" s="26"/>
      <c r="J372" s="26"/>
      <c r="K372" s="29"/>
      <c r="L372" s="29"/>
      <c r="M372" s="30" t="str">
        <f t="shared" ca="1" si="82"/>
        <v/>
      </c>
      <c r="N372" s="46"/>
      <c r="O372" s="47"/>
    </row>
    <row r="373" spans="1:15" ht="15" customHeight="1">
      <c r="A373" s="69">
        <v>46217</v>
      </c>
      <c r="B373" s="32">
        <f t="shared" si="83"/>
        <v>1.1249999999999998</v>
      </c>
      <c r="C373" s="26" t="s">
        <v>29</v>
      </c>
      <c r="D373" s="59" t="s">
        <v>30</v>
      </c>
      <c r="E373" s="59" t="s">
        <v>234</v>
      </c>
      <c r="F373" s="27">
        <v>11</v>
      </c>
      <c r="G373" s="34">
        <f t="shared" si="81"/>
        <v>55</v>
      </c>
      <c r="H373" s="33"/>
      <c r="I373" s="33"/>
      <c r="J373" s="33"/>
      <c r="K373" s="29"/>
      <c r="L373" s="29"/>
      <c r="M373" s="35" t="str">
        <f t="shared" ca="1" si="82"/>
        <v/>
      </c>
      <c r="N373" s="46"/>
      <c r="O373" s="47"/>
    </row>
    <row r="374" spans="1:15" ht="15" customHeight="1">
      <c r="A374" s="68">
        <v>46217</v>
      </c>
      <c r="B374" s="25">
        <f t="shared" si="83"/>
        <v>1.1666666666666665</v>
      </c>
      <c r="C374" s="26" t="s">
        <v>29</v>
      </c>
      <c r="D374" s="59" t="s">
        <v>30</v>
      </c>
      <c r="E374" s="59" t="s">
        <v>234</v>
      </c>
      <c r="F374" s="27">
        <v>24</v>
      </c>
      <c r="G374" s="28">
        <f t="shared" si="81"/>
        <v>120</v>
      </c>
      <c r="H374" s="26"/>
      <c r="I374" s="26"/>
      <c r="J374" s="26"/>
      <c r="K374" s="29"/>
      <c r="L374" s="29"/>
      <c r="M374" s="30" t="str">
        <f t="shared" ca="1" si="82"/>
        <v/>
      </c>
      <c r="N374" s="46"/>
      <c r="O374" s="47"/>
    </row>
    <row r="375" spans="1:15" ht="15" customHeight="1">
      <c r="A375" s="69">
        <v>46217</v>
      </c>
      <c r="B375" s="32">
        <f t="shared" si="83"/>
        <v>1.2083333333333333</v>
      </c>
      <c r="C375" s="26" t="s">
        <v>29</v>
      </c>
      <c r="D375" s="59" t="s">
        <v>30</v>
      </c>
      <c r="E375" s="59" t="s">
        <v>234</v>
      </c>
      <c r="F375" s="27">
        <v>26</v>
      </c>
      <c r="G375" s="34">
        <f t="shared" si="81"/>
        <v>130</v>
      </c>
      <c r="H375" s="33"/>
      <c r="I375" s="33"/>
      <c r="J375" s="33"/>
      <c r="K375" s="29"/>
      <c r="L375" s="29"/>
      <c r="M375" s="35" t="str">
        <f t="shared" ca="1" si="82"/>
        <v/>
      </c>
      <c r="N375" s="46"/>
      <c r="O375" s="47"/>
    </row>
    <row r="376" spans="1:15" ht="15" customHeight="1">
      <c r="A376" s="68">
        <v>46217</v>
      </c>
      <c r="B376" s="25">
        <f t="shared" si="83"/>
        <v>1.25</v>
      </c>
      <c r="C376" s="26" t="s">
        <v>29</v>
      </c>
      <c r="D376" s="59" t="s">
        <v>30</v>
      </c>
      <c r="E376" s="59" t="s">
        <v>234</v>
      </c>
      <c r="F376" s="27">
        <v>0</v>
      </c>
      <c r="G376" s="28">
        <f t="shared" si="81"/>
        <v>0</v>
      </c>
      <c r="H376" s="26"/>
      <c r="I376" s="26"/>
      <c r="J376" s="26"/>
      <c r="K376" s="29"/>
      <c r="L376" s="29"/>
      <c r="M376" s="30" t="str">
        <f t="shared" ca="1" si="82"/>
        <v/>
      </c>
      <c r="N376" s="46"/>
      <c r="O376" s="47"/>
    </row>
    <row r="377" spans="1:15" ht="15" customHeight="1">
      <c r="A377" s="69">
        <v>46217</v>
      </c>
      <c r="B377" s="32">
        <f t="shared" si="83"/>
        <v>1.2916666666666667</v>
      </c>
      <c r="C377" s="26" t="s">
        <v>29</v>
      </c>
      <c r="D377" s="59" t="s">
        <v>30</v>
      </c>
      <c r="E377" s="59" t="s">
        <v>234</v>
      </c>
      <c r="F377" s="27">
        <v>15</v>
      </c>
      <c r="G377" s="34">
        <f t="shared" si="81"/>
        <v>75</v>
      </c>
      <c r="H377" s="33"/>
      <c r="I377" s="33"/>
      <c r="J377" s="33"/>
      <c r="K377" s="29"/>
      <c r="L377" s="29"/>
      <c r="M377" s="35" t="str">
        <f t="shared" ca="1" si="82"/>
        <v/>
      </c>
      <c r="N377" s="46"/>
      <c r="O377" s="47"/>
    </row>
    <row r="378" spans="1:15" ht="15.75" customHeight="1">
      <c r="A378" s="119" t="s">
        <v>238</v>
      </c>
      <c r="B378" s="120"/>
      <c r="C378" s="120"/>
      <c r="D378" s="120"/>
      <c r="E378" s="121">
        <f>SUM(E366:E377)</f>
        <v>0</v>
      </c>
      <c r="F378" s="36">
        <f>SUM(F366:F377)</f>
        <v>171</v>
      </c>
      <c r="G378" s="36">
        <f>SUM(G366:G377)</f>
        <v>855</v>
      </c>
      <c r="H378" s="37"/>
      <c r="I378" s="37"/>
      <c r="J378" s="37"/>
      <c r="K378" s="37"/>
      <c r="L378" s="37"/>
      <c r="M378" s="38">
        <f ca="1">IFERROR(SUM(M366:M377),"")</f>
        <v>4.9999999999999975E-2</v>
      </c>
      <c r="N378" s="36" t="s">
        <v>237</v>
      </c>
      <c r="O378" s="39">
        <v>1088710</v>
      </c>
    </row>
    <row r="379" spans="1:15" ht="18" customHeight="1">
      <c r="A379" s="122" t="s">
        <v>239</v>
      </c>
      <c r="B379" s="123"/>
      <c r="C379" s="123"/>
      <c r="D379" s="123"/>
      <c r="E379" s="124">
        <f>E365+E378</f>
        <v>0</v>
      </c>
      <c r="F379" s="40">
        <f>F365+F378</f>
        <v>446</v>
      </c>
      <c r="G379" s="40">
        <f>G365+G378</f>
        <v>2230</v>
      </c>
      <c r="H379" s="41"/>
      <c r="I379" s="41"/>
      <c r="J379" s="41"/>
      <c r="K379" s="41"/>
      <c r="L379" s="41"/>
      <c r="M379" s="42">
        <f ca="1">IFERROR(M365+M378,"")</f>
        <v>0.14097222222222211</v>
      </c>
      <c r="N379" s="40" t="s">
        <v>240</v>
      </c>
      <c r="O379" s="48">
        <f>IFERROR(O365+O378,"")</f>
        <v>3152920</v>
      </c>
    </row>
    <row r="380" spans="1:15" ht="15" customHeight="1">
      <c r="A380" s="68">
        <v>46218</v>
      </c>
      <c r="B380" s="25">
        <v>0.33333333333333298</v>
      </c>
      <c r="C380" s="26" t="s">
        <v>45</v>
      </c>
      <c r="D380" s="59" t="s">
        <v>30</v>
      </c>
      <c r="E380" s="59" t="s">
        <v>234</v>
      </c>
      <c r="F380" s="27">
        <v>30</v>
      </c>
      <c r="G380" s="28">
        <f t="shared" ref="G380:G391" si="84">IF(F380="","",IF(E380="PC 17",F380*4.2,IF(E380="PC 19",F380*5,"")))</f>
        <v>150</v>
      </c>
      <c r="H380" s="26" t="s">
        <v>18</v>
      </c>
      <c r="I380" s="26" t="s">
        <v>23</v>
      </c>
      <c r="J380" s="26" t="s">
        <v>213</v>
      </c>
      <c r="K380" s="29">
        <v>0.3215277777777778</v>
      </c>
      <c r="L380" s="29">
        <v>0.32569444444444445</v>
      </c>
      <c r="M380" s="30">
        <f t="shared" ref="M380:M391" ca="1" si="85">IFERROR(IF(K380="","",IF(L380="",MOD(NOW()-K380,1),IF(L380&gt;=K380,L380-K380,L380+1-K380))),"")</f>
        <v>4.1666666666666519E-3</v>
      </c>
      <c r="N380" s="46"/>
      <c r="O380" s="47"/>
    </row>
    <row r="381" spans="1:15" ht="15" customHeight="1">
      <c r="A381" s="69">
        <v>46218</v>
      </c>
      <c r="B381" s="32">
        <f t="shared" ref="B381:B391" si="86">B380+TIME(0,60,0)</f>
        <v>0.37499999999999967</v>
      </c>
      <c r="C381" s="26" t="s">
        <v>45</v>
      </c>
      <c r="D381" s="59" t="s">
        <v>30</v>
      </c>
      <c r="E381" s="59" t="s">
        <v>234</v>
      </c>
      <c r="F381" s="27">
        <v>30</v>
      </c>
      <c r="G381" s="34">
        <f t="shared" si="84"/>
        <v>150</v>
      </c>
      <c r="H381" s="33" t="s">
        <v>16</v>
      </c>
      <c r="I381" s="33" t="s">
        <v>23</v>
      </c>
      <c r="J381" s="33" t="s">
        <v>40</v>
      </c>
      <c r="K381" s="29">
        <v>0.43055555555555558</v>
      </c>
      <c r="L381" s="29">
        <v>0.44722222222222224</v>
      </c>
      <c r="M381" s="35">
        <f t="shared" ca="1" si="85"/>
        <v>1.6666666666666663E-2</v>
      </c>
      <c r="N381" s="46" t="s">
        <v>254</v>
      </c>
      <c r="O381" s="47"/>
    </row>
    <row r="382" spans="1:15" ht="15" customHeight="1">
      <c r="A382" s="68">
        <v>46218</v>
      </c>
      <c r="B382" s="25">
        <f t="shared" si="86"/>
        <v>0.41666666666666635</v>
      </c>
      <c r="C382" s="26" t="s">
        <v>45</v>
      </c>
      <c r="D382" s="59" t="s">
        <v>30</v>
      </c>
      <c r="E382" s="59" t="s">
        <v>234</v>
      </c>
      <c r="F382" s="27">
        <v>30</v>
      </c>
      <c r="G382" s="28">
        <f t="shared" si="84"/>
        <v>150</v>
      </c>
      <c r="H382" s="26" t="s">
        <v>19</v>
      </c>
      <c r="I382" s="26" t="s">
        <v>23</v>
      </c>
      <c r="J382" s="33" t="s">
        <v>67</v>
      </c>
      <c r="K382" s="29">
        <v>0.54374999999999996</v>
      </c>
      <c r="L382" s="29">
        <v>0.62361111111111112</v>
      </c>
      <c r="M382" s="30">
        <f t="shared" ca="1" si="85"/>
        <v>7.986111111111116E-2</v>
      </c>
      <c r="N382" s="46" t="s">
        <v>255</v>
      </c>
      <c r="O382" s="47"/>
    </row>
    <row r="383" spans="1:15" ht="15" customHeight="1">
      <c r="A383" s="69">
        <v>46218</v>
      </c>
      <c r="B383" s="32">
        <f t="shared" si="86"/>
        <v>0.45833333333333304</v>
      </c>
      <c r="C383" s="26" t="s">
        <v>45</v>
      </c>
      <c r="D383" s="59" t="s">
        <v>30</v>
      </c>
      <c r="E383" s="59" t="s">
        <v>234</v>
      </c>
      <c r="F383" s="27">
        <v>20</v>
      </c>
      <c r="G383" s="34">
        <f t="shared" si="84"/>
        <v>100</v>
      </c>
      <c r="H383" s="33" t="s">
        <v>17</v>
      </c>
      <c r="I383" s="33" t="s">
        <v>23</v>
      </c>
      <c r="J383" s="33" t="s">
        <v>110</v>
      </c>
      <c r="K383" s="29">
        <v>0.74652777777777779</v>
      </c>
      <c r="L383" s="29">
        <v>0.75347222222222221</v>
      </c>
      <c r="M383" s="35">
        <f t="shared" ca="1" si="85"/>
        <v>6.9444444444444198E-3</v>
      </c>
      <c r="N383" s="46"/>
      <c r="O383" s="47"/>
    </row>
    <row r="384" spans="1:15" ht="15" customHeight="1">
      <c r="A384" s="68">
        <v>46218</v>
      </c>
      <c r="B384" s="25">
        <f t="shared" si="86"/>
        <v>0.49999999999999972</v>
      </c>
      <c r="C384" s="26" t="s">
        <v>45</v>
      </c>
      <c r="D384" s="59" t="s">
        <v>30</v>
      </c>
      <c r="E384" s="59" t="s">
        <v>234</v>
      </c>
      <c r="F384" s="27">
        <v>47</v>
      </c>
      <c r="G384" s="28">
        <f t="shared" si="84"/>
        <v>235</v>
      </c>
      <c r="H384" s="26" t="s">
        <v>20</v>
      </c>
      <c r="I384" s="26" t="s">
        <v>23</v>
      </c>
      <c r="J384" s="26" t="s">
        <v>200</v>
      </c>
      <c r="K384" s="29">
        <v>0.75416666666666665</v>
      </c>
      <c r="L384" s="29">
        <v>0.76180555555555551</v>
      </c>
      <c r="M384" s="30">
        <f t="shared" ca="1" si="85"/>
        <v>7.6388888888888618E-3</v>
      </c>
      <c r="N384" s="46"/>
      <c r="O384" s="47"/>
    </row>
    <row r="385" spans="1:15" ht="15" customHeight="1">
      <c r="A385" s="69">
        <v>46218</v>
      </c>
      <c r="B385" s="32">
        <f t="shared" si="86"/>
        <v>0.54166666666666641</v>
      </c>
      <c r="C385" s="26" t="s">
        <v>45</v>
      </c>
      <c r="D385" s="59" t="s">
        <v>30</v>
      </c>
      <c r="E385" s="59" t="s">
        <v>234</v>
      </c>
      <c r="F385" s="27">
        <v>37</v>
      </c>
      <c r="G385" s="34">
        <f t="shared" si="84"/>
        <v>185</v>
      </c>
      <c r="H385" s="33"/>
      <c r="I385" s="33"/>
      <c r="J385" s="33"/>
      <c r="K385" s="29"/>
      <c r="L385" s="29"/>
      <c r="M385" s="35" t="str">
        <f t="shared" ca="1" si="85"/>
        <v/>
      </c>
      <c r="N385" s="46"/>
      <c r="O385" s="47"/>
    </row>
    <row r="386" spans="1:15" ht="15" customHeight="1">
      <c r="A386" s="68">
        <v>46218</v>
      </c>
      <c r="B386" s="25">
        <f t="shared" si="86"/>
        <v>0.58333333333333304</v>
      </c>
      <c r="C386" s="26" t="s">
        <v>45</v>
      </c>
      <c r="D386" s="59" t="s">
        <v>30</v>
      </c>
      <c r="E386" s="59" t="s">
        <v>234</v>
      </c>
      <c r="F386" s="27">
        <v>0</v>
      </c>
      <c r="G386" s="28">
        <f t="shared" si="84"/>
        <v>0</v>
      </c>
      <c r="H386" s="26"/>
      <c r="I386" s="26"/>
      <c r="J386" s="26"/>
      <c r="K386" s="29"/>
      <c r="L386" s="29"/>
      <c r="M386" s="30" t="str">
        <f t="shared" ca="1" si="85"/>
        <v/>
      </c>
      <c r="N386" s="46"/>
      <c r="O386" s="47"/>
    </row>
    <row r="387" spans="1:15" ht="15" customHeight="1">
      <c r="A387" s="69">
        <v>46218</v>
      </c>
      <c r="B387" s="32">
        <f t="shared" si="86"/>
        <v>0.62499999999999967</v>
      </c>
      <c r="C387" s="26" t="s">
        <v>45</v>
      </c>
      <c r="D387" s="59" t="s">
        <v>30</v>
      </c>
      <c r="E387" s="59" t="s">
        <v>234</v>
      </c>
      <c r="F387" s="27">
        <v>5</v>
      </c>
      <c r="G387" s="34">
        <f t="shared" si="84"/>
        <v>25</v>
      </c>
      <c r="H387" s="33"/>
      <c r="I387" s="33"/>
      <c r="J387" s="33"/>
      <c r="K387" s="29"/>
      <c r="L387" s="29"/>
      <c r="M387" s="35" t="str">
        <f t="shared" ca="1" si="85"/>
        <v/>
      </c>
      <c r="N387" s="46"/>
      <c r="O387" s="47"/>
    </row>
    <row r="388" spans="1:15" ht="15" customHeight="1">
      <c r="A388" s="68">
        <v>46218</v>
      </c>
      <c r="B388" s="25">
        <f t="shared" si="86"/>
        <v>0.6666666666666663</v>
      </c>
      <c r="C388" s="26" t="s">
        <v>45</v>
      </c>
      <c r="D388" s="59" t="s">
        <v>30</v>
      </c>
      <c r="E388" s="59" t="s">
        <v>234</v>
      </c>
      <c r="F388" s="27">
        <v>20</v>
      </c>
      <c r="G388" s="28">
        <f t="shared" si="84"/>
        <v>100</v>
      </c>
      <c r="H388" s="26"/>
      <c r="I388" s="26"/>
      <c r="J388" s="26"/>
      <c r="K388" s="29"/>
      <c r="L388" s="29"/>
      <c r="M388" s="30" t="str">
        <f t="shared" ca="1" si="85"/>
        <v/>
      </c>
      <c r="N388" s="46"/>
      <c r="O388" s="47"/>
    </row>
    <row r="389" spans="1:15" ht="15" customHeight="1">
      <c r="A389" s="69">
        <v>46218</v>
      </c>
      <c r="B389" s="32">
        <f t="shared" si="86"/>
        <v>0.70833333333333293</v>
      </c>
      <c r="C389" s="26" t="s">
        <v>45</v>
      </c>
      <c r="D389" s="59" t="s">
        <v>30</v>
      </c>
      <c r="E389" s="59" t="s">
        <v>234</v>
      </c>
      <c r="F389" s="27">
        <v>25</v>
      </c>
      <c r="G389" s="34">
        <f t="shared" si="84"/>
        <v>125</v>
      </c>
      <c r="H389" s="33"/>
      <c r="I389" s="33"/>
      <c r="J389" s="33"/>
      <c r="K389" s="29"/>
      <c r="L389" s="29"/>
      <c r="M389" s="35" t="str">
        <f t="shared" ca="1" si="85"/>
        <v/>
      </c>
      <c r="N389" s="46"/>
      <c r="O389" s="47"/>
    </row>
    <row r="390" spans="1:15" ht="15" customHeight="1">
      <c r="A390" s="68">
        <v>46218</v>
      </c>
      <c r="B390" s="25">
        <f t="shared" si="86"/>
        <v>0.74999999999999956</v>
      </c>
      <c r="C390" s="26" t="s">
        <v>45</v>
      </c>
      <c r="D390" s="59" t="s">
        <v>30</v>
      </c>
      <c r="E390" s="59" t="s">
        <v>234</v>
      </c>
      <c r="F390" s="27">
        <v>16</v>
      </c>
      <c r="G390" s="28">
        <f t="shared" si="84"/>
        <v>80</v>
      </c>
      <c r="H390" s="26"/>
      <c r="I390" s="26"/>
      <c r="J390" s="26"/>
      <c r="K390" s="29"/>
      <c r="L390" s="29"/>
      <c r="M390" s="30" t="str">
        <f t="shared" ca="1" si="85"/>
        <v/>
      </c>
      <c r="N390" s="46"/>
      <c r="O390" s="47"/>
    </row>
    <row r="391" spans="1:15" ht="15" customHeight="1">
      <c r="A391" s="69">
        <v>46218</v>
      </c>
      <c r="B391" s="32">
        <f t="shared" si="86"/>
        <v>0.79166666666666619</v>
      </c>
      <c r="C391" s="26" t="s">
        <v>45</v>
      </c>
      <c r="D391" s="59" t="s">
        <v>30</v>
      </c>
      <c r="E391" s="59" t="s">
        <v>234</v>
      </c>
      <c r="F391" s="27">
        <v>0</v>
      </c>
      <c r="G391" s="34">
        <f t="shared" si="84"/>
        <v>0</v>
      </c>
      <c r="H391" s="33"/>
      <c r="I391" s="33"/>
      <c r="J391" s="33"/>
      <c r="K391" s="29"/>
      <c r="L391" s="29"/>
      <c r="M391" s="35" t="str">
        <f t="shared" ca="1" si="85"/>
        <v/>
      </c>
      <c r="N391" s="46"/>
      <c r="O391" s="47"/>
    </row>
    <row r="392" spans="1:15" ht="15.75" customHeight="1">
      <c r="A392" s="119" t="s">
        <v>236</v>
      </c>
      <c r="B392" s="120"/>
      <c r="C392" s="120"/>
      <c r="D392" s="120"/>
      <c r="E392" s="121">
        <f>SUM(E380:E391)</f>
        <v>0</v>
      </c>
      <c r="F392" s="36">
        <f>SUM(F380:F391)</f>
        <v>260</v>
      </c>
      <c r="G392" s="36">
        <f>SUM(G380:G391)</f>
        <v>1300</v>
      </c>
      <c r="H392" s="37"/>
      <c r="I392" s="37"/>
      <c r="J392" s="37"/>
      <c r="K392" s="37"/>
      <c r="L392" s="37"/>
      <c r="M392" s="38">
        <f ca="1">IFERROR(SUM(M380:M391),"")</f>
        <v>0.11527777777777776</v>
      </c>
      <c r="N392" s="36" t="s">
        <v>237</v>
      </c>
      <c r="O392" s="39">
        <v>1576070</v>
      </c>
    </row>
    <row r="393" spans="1:15" ht="15" customHeight="1">
      <c r="A393" s="69">
        <v>46218</v>
      </c>
      <c r="B393" s="32">
        <v>0.83333333333333304</v>
      </c>
      <c r="C393" s="33" t="s">
        <v>29</v>
      </c>
      <c r="D393" s="62" t="s">
        <v>30</v>
      </c>
      <c r="E393" s="62" t="s">
        <v>234</v>
      </c>
      <c r="F393" s="27">
        <v>25</v>
      </c>
      <c r="G393" s="34">
        <f t="shared" ref="G393:G404" si="87">IF(F393="","",IF(E393="PC 17",F393*4.2,IF(E393="PC 19",F393*5,"")))</f>
        <v>125</v>
      </c>
      <c r="H393" s="33" t="s">
        <v>18</v>
      </c>
      <c r="I393" s="33" t="s">
        <v>23</v>
      </c>
      <c r="J393" s="33" t="s">
        <v>164</v>
      </c>
      <c r="K393" s="29">
        <v>0.90972222222222221</v>
      </c>
      <c r="L393" s="29">
        <v>0.91805555555555551</v>
      </c>
      <c r="M393" s="35">
        <f t="shared" ref="M393:M404" ca="1" si="88">IFERROR(IF(K393="","",IF(L393="",MOD(NOW()-K393,1),IF(L393&gt;=K393,L393-K393,L393+1-K393))),"")</f>
        <v>8.3333333333333037E-3</v>
      </c>
      <c r="N393" s="46"/>
      <c r="O393" s="47"/>
    </row>
    <row r="394" spans="1:15" ht="15" customHeight="1">
      <c r="A394" s="68">
        <v>46218</v>
      </c>
      <c r="B394" s="25">
        <f t="shared" ref="B394:B404" si="89">B393+TIME(0,60,0)</f>
        <v>0.87499999999999967</v>
      </c>
      <c r="C394" s="33" t="s">
        <v>29</v>
      </c>
      <c r="D394" s="62" t="s">
        <v>30</v>
      </c>
      <c r="E394" s="62" t="s">
        <v>234</v>
      </c>
      <c r="F394" s="27">
        <v>16</v>
      </c>
      <c r="G394" s="28">
        <f t="shared" si="87"/>
        <v>80</v>
      </c>
      <c r="H394" s="26" t="s">
        <v>16</v>
      </c>
      <c r="I394" s="26" t="s">
        <v>23</v>
      </c>
      <c r="J394" s="26" t="s">
        <v>40</v>
      </c>
      <c r="K394" s="29">
        <v>0.12847222222222221</v>
      </c>
      <c r="L394" s="29">
        <v>0.14791666666666667</v>
      </c>
      <c r="M394" s="30">
        <f t="shared" ca="1" si="88"/>
        <v>1.9444444444444459E-2</v>
      </c>
      <c r="N394" s="46"/>
      <c r="O394" s="47"/>
    </row>
    <row r="395" spans="1:15" ht="15" customHeight="1">
      <c r="A395" s="69">
        <v>46218</v>
      </c>
      <c r="B395" s="32">
        <f t="shared" si="89"/>
        <v>0.9166666666666663</v>
      </c>
      <c r="C395" s="33" t="s">
        <v>29</v>
      </c>
      <c r="D395" s="62" t="s">
        <v>30</v>
      </c>
      <c r="E395" s="62" t="s">
        <v>234</v>
      </c>
      <c r="F395" s="27">
        <v>11</v>
      </c>
      <c r="G395" s="34">
        <f t="shared" si="87"/>
        <v>55</v>
      </c>
      <c r="H395" s="33" t="s">
        <v>20</v>
      </c>
      <c r="I395" s="33" t="s">
        <v>23</v>
      </c>
      <c r="J395" s="33" t="s">
        <v>132</v>
      </c>
      <c r="K395" s="29">
        <v>0.21180555555555555</v>
      </c>
      <c r="L395" s="29" t="s">
        <v>256</v>
      </c>
      <c r="M395" s="35" t="str">
        <f t="shared" ca="1" si="88"/>
        <v/>
      </c>
      <c r="N395" s="46"/>
      <c r="O395" s="47"/>
    </row>
    <row r="396" spans="1:15" ht="15" customHeight="1">
      <c r="A396" s="68">
        <v>46218</v>
      </c>
      <c r="B396" s="25">
        <f t="shared" si="89"/>
        <v>0.95833333333333293</v>
      </c>
      <c r="C396" s="33" t="s">
        <v>29</v>
      </c>
      <c r="D396" s="62" t="s">
        <v>30</v>
      </c>
      <c r="E396" s="62" t="s">
        <v>234</v>
      </c>
      <c r="F396" s="27">
        <v>40</v>
      </c>
      <c r="G396" s="28">
        <f t="shared" si="87"/>
        <v>200</v>
      </c>
      <c r="H396" s="26"/>
      <c r="I396" s="26"/>
      <c r="J396" s="26"/>
      <c r="K396" s="29"/>
      <c r="L396" s="29"/>
      <c r="M396" s="30" t="str">
        <f t="shared" ca="1" si="88"/>
        <v/>
      </c>
      <c r="N396" s="46"/>
      <c r="O396" s="47"/>
    </row>
    <row r="397" spans="1:15" ht="15" customHeight="1">
      <c r="A397" s="69">
        <v>46218</v>
      </c>
      <c r="B397" s="32">
        <f t="shared" si="89"/>
        <v>0.99999999999999956</v>
      </c>
      <c r="C397" s="33" t="s">
        <v>29</v>
      </c>
      <c r="D397" s="62" t="s">
        <v>30</v>
      </c>
      <c r="E397" s="62" t="s">
        <v>234</v>
      </c>
      <c r="F397" s="27">
        <v>42</v>
      </c>
      <c r="G397" s="34">
        <f t="shared" si="87"/>
        <v>210</v>
      </c>
      <c r="H397" s="33"/>
      <c r="I397" s="33"/>
      <c r="J397" s="33"/>
      <c r="K397" s="29"/>
      <c r="L397" s="29"/>
      <c r="M397" s="35" t="str">
        <f t="shared" ca="1" si="88"/>
        <v/>
      </c>
      <c r="N397" s="46"/>
      <c r="O397" s="47"/>
    </row>
    <row r="398" spans="1:15" ht="15" customHeight="1">
      <c r="A398" s="68">
        <v>46218</v>
      </c>
      <c r="B398" s="25">
        <f t="shared" si="89"/>
        <v>1.0416666666666663</v>
      </c>
      <c r="C398" s="33" t="s">
        <v>29</v>
      </c>
      <c r="D398" s="62" t="s">
        <v>30</v>
      </c>
      <c r="E398" s="62" t="s">
        <v>234</v>
      </c>
      <c r="F398" s="27">
        <v>42</v>
      </c>
      <c r="G398" s="28">
        <f t="shared" si="87"/>
        <v>210</v>
      </c>
      <c r="H398" s="26"/>
      <c r="I398" s="26"/>
      <c r="J398" s="26"/>
      <c r="K398" s="29"/>
      <c r="L398" s="29"/>
      <c r="M398" s="30" t="str">
        <f t="shared" ca="1" si="88"/>
        <v/>
      </c>
      <c r="N398" s="46"/>
      <c r="O398" s="47"/>
    </row>
    <row r="399" spans="1:15" ht="15" customHeight="1">
      <c r="A399" s="69">
        <v>46218</v>
      </c>
      <c r="B399" s="32">
        <f t="shared" si="89"/>
        <v>1.083333333333333</v>
      </c>
      <c r="C399" s="33" t="s">
        <v>29</v>
      </c>
      <c r="D399" s="62" t="s">
        <v>30</v>
      </c>
      <c r="E399" s="62" t="s">
        <v>234</v>
      </c>
      <c r="F399" s="27">
        <v>32</v>
      </c>
      <c r="G399" s="34">
        <f t="shared" si="87"/>
        <v>160</v>
      </c>
      <c r="H399" s="33"/>
      <c r="I399" s="33"/>
      <c r="J399" s="33"/>
      <c r="K399" s="29"/>
      <c r="L399" s="29"/>
      <c r="M399" s="35" t="str">
        <f t="shared" ca="1" si="88"/>
        <v/>
      </c>
      <c r="N399" s="46"/>
      <c r="O399" s="47"/>
    </row>
    <row r="400" spans="1:15" ht="15" customHeight="1">
      <c r="A400" s="68">
        <v>46218</v>
      </c>
      <c r="B400" s="25">
        <f t="shared" si="89"/>
        <v>1.1249999999999998</v>
      </c>
      <c r="C400" s="33" t="s">
        <v>29</v>
      </c>
      <c r="D400" s="62" t="s">
        <v>30</v>
      </c>
      <c r="E400" s="62" t="s">
        <v>234</v>
      </c>
      <c r="F400" s="27">
        <v>40</v>
      </c>
      <c r="G400" s="28">
        <f t="shared" si="87"/>
        <v>200</v>
      </c>
      <c r="H400" s="26"/>
      <c r="I400" s="26"/>
      <c r="J400" s="26"/>
      <c r="K400" s="29"/>
      <c r="L400" s="29"/>
      <c r="M400" s="30" t="str">
        <f t="shared" ca="1" si="88"/>
        <v/>
      </c>
      <c r="N400" s="46"/>
      <c r="O400" s="47"/>
    </row>
    <row r="401" spans="1:15" ht="15" customHeight="1">
      <c r="A401" s="69">
        <v>46218</v>
      </c>
      <c r="B401" s="32">
        <f t="shared" si="89"/>
        <v>1.1666666666666665</v>
      </c>
      <c r="C401" s="33" t="s">
        <v>29</v>
      </c>
      <c r="D401" s="62" t="s">
        <v>30</v>
      </c>
      <c r="E401" s="62" t="s">
        <v>234</v>
      </c>
      <c r="F401" s="27">
        <v>25</v>
      </c>
      <c r="G401" s="34">
        <f t="shared" si="87"/>
        <v>125</v>
      </c>
      <c r="H401" s="33"/>
      <c r="I401" s="33"/>
      <c r="J401" s="33"/>
      <c r="K401" s="29"/>
      <c r="L401" s="29"/>
      <c r="M401" s="35" t="str">
        <f t="shared" ca="1" si="88"/>
        <v/>
      </c>
      <c r="N401" s="46"/>
      <c r="O401" s="47"/>
    </row>
    <row r="402" spans="1:15" ht="15" customHeight="1">
      <c r="A402" s="68">
        <v>46218</v>
      </c>
      <c r="B402" s="25">
        <f t="shared" si="89"/>
        <v>1.2083333333333333</v>
      </c>
      <c r="C402" s="33" t="s">
        <v>29</v>
      </c>
      <c r="D402" s="62" t="s">
        <v>30</v>
      </c>
      <c r="E402" s="62" t="s">
        <v>234</v>
      </c>
      <c r="F402" s="27">
        <v>35</v>
      </c>
      <c r="G402" s="28">
        <f t="shared" si="87"/>
        <v>175</v>
      </c>
      <c r="H402" s="26"/>
      <c r="I402" s="26"/>
      <c r="J402" s="26"/>
      <c r="K402" s="29"/>
      <c r="L402" s="29"/>
      <c r="M402" s="30" t="str">
        <f t="shared" ca="1" si="88"/>
        <v/>
      </c>
      <c r="N402" s="46"/>
      <c r="O402" s="47"/>
    </row>
    <row r="403" spans="1:15" ht="15" customHeight="1">
      <c r="A403" s="69">
        <v>46218</v>
      </c>
      <c r="B403" s="32">
        <f t="shared" si="89"/>
        <v>1.25</v>
      </c>
      <c r="C403" s="33" t="s">
        <v>29</v>
      </c>
      <c r="D403" s="62" t="s">
        <v>30</v>
      </c>
      <c r="E403" s="62" t="s">
        <v>234</v>
      </c>
      <c r="F403" s="27">
        <v>24</v>
      </c>
      <c r="G403" s="34">
        <f t="shared" si="87"/>
        <v>120</v>
      </c>
      <c r="H403" s="33"/>
      <c r="I403" s="33"/>
      <c r="J403" s="33"/>
      <c r="K403" s="29"/>
      <c r="L403" s="29"/>
      <c r="M403" s="35" t="str">
        <f t="shared" ca="1" si="88"/>
        <v/>
      </c>
      <c r="N403" s="46"/>
      <c r="O403" s="47"/>
    </row>
    <row r="404" spans="1:15" ht="15" customHeight="1">
      <c r="A404" s="68">
        <v>46218</v>
      </c>
      <c r="B404" s="25">
        <f t="shared" si="89"/>
        <v>1.2916666666666667</v>
      </c>
      <c r="C404" s="33" t="s">
        <v>29</v>
      </c>
      <c r="D404" s="62" t="s">
        <v>30</v>
      </c>
      <c r="E404" s="62" t="s">
        <v>234</v>
      </c>
      <c r="F404" s="27">
        <v>16</v>
      </c>
      <c r="G404" s="28">
        <f t="shared" si="87"/>
        <v>80</v>
      </c>
      <c r="H404" s="26"/>
      <c r="I404" s="26"/>
      <c r="J404" s="26"/>
      <c r="K404" s="29"/>
      <c r="L404" s="29"/>
      <c r="M404" s="30" t="str">
        <f t="shared" ca="1" si="88"/>
        <v/>
      </c>
      <c r="N404" s="46"/>
      <c r="O404" s="47"/>
    </row>
    <row r="405" spans="1:15" ht="15.75" customHeight="1">
      <c r="A405" s="119" t="s">
        <v>238</v>
      </c>
      <c r="B405" s="120"/>
      <c r="C405" s="120"/>
      <c r="D405" s="120"/>
      <c r="E405" s="121">
        <f>SUM(E393:E404)</f>
        <v>0</v>
      </c>
      <c r="F405" s="36">
        <f>SUM(F393:F404)</f>
        <v>348</v>
      </c>
      <c r="G405" s="36">
        <f>SUM(G393:G404)</f>
        <v>1740</v>
      </c>
      <c r="H405" s="37"/>
      <c r="I405" s="37"/>
      <c r="J405" s="37"/>
      <c r="K405" s="37"/>
      <c r="L405" s="37"/>
      <c r="M405" s="38">
        <f ca="1">IFERROR(SUM(M393:M404),"")</f>
        <v>2.7777777777777762E-2</v>
      </c>
      <c r="N405" s="36" t="s">
        <v>237</v>
      </c>
      <c r="O405" s="39">
        <v>1202270</v>
      </c>
    </row>
    <row r="406" spans="1:15" ht="18" customHeight="1">
      <c r="A406" s="122" t="s">
        <v>239</v>
      </c>
      <c r="B406" s="123"/>
      <c r="C406" s="123"/>
      <c r="D406" s="123"/>
      <c r="E406" s="124">
        <f>E392+E405</f>
        <v>0</v>
      </c>
      <c r="F406" s="40">
        <f>F392+F405</f>
        <v>608</v>
      </c>
      <c r="G406" s="40">
        <f>G392+G405</f>
        <v>3040</v>
      </c>
      <c r="H406" s="41"/>
      <c r="I406" s="41"/>
      <c r="J406" s="41"/>
      <c r="K406" s="41"/>
      <c r="L406" s="41"/>
      <c r="M406" s="42">
        <f ca="1">IFERROR(M392+M405,"")</f>
        <v>0.14305555555555552</v>
      </c>
      <c r="N406" s="40" t="s">
        <v>240</v>
      </c>
      <c r="O406" s="48">
        <f>IFERROR(O392+O405,"")</f>
        <v>2778340</v>
      </c>
    </row>
    <row r="407" spans="1:15" ht="15" customHeight="1">
      <c r="A407" s="69">
        <v>46219</v>
      </c>
      <c r="B407" s="32">
        <v>0.33333333333333298</v>
      </c>
      <c r="C407" s="33" t="s">
        <v>45</v>
      </c>
      <c r="D407" s="62" t="s">
        <v>30</v>
      </c>
      <c r="E407" s="62" t="s">
        <v>234</v>
      </c>
      <c r="F407" s="27">
        <v>28</v>
      </c>
      <c r="G407" s="34">
        <f t="shared" ref="G407:G418" si="90">IF(F407="","",IF(E407="PC 17",F407*4.2,IF(E407="PC 19",F407*5,"")))</f>
        <v>140</v>
      </c>
      <c r="H407" s="33" t="s">
        <v>17</v>
      </c>
      <c r="I407" s="33" t="s">
        <v>23</v>
      </c>
      <c r="J407" s="33" t="s">
        <v>25</v>
      </c>
      <c r="K407" s="29">
        <v>0.47569444444444442</v>
      </c>
      <c r="L407" s="29">
        <v>0.48819444444444443</v>
      </c>
      <c r="M407" s="35">
        <f t="shared" ref="M407:M418" ca="1" si="91">IFERROR(IF(K407="","",IF(L407="",MOD(NOW()-K407,1),IF(L407&gt;=K407,L407-K407,L407+1-K407))),"")</f>
        <v>1.2500000000000011E-2</v>
      </c>
      <c r="N407" s="46" t="s">
        <v>257</v>
      </c>
      <c r="O407" s="47"/>
    </row>
    <row r="408" spans="1:15" ht="15" customHeight="1">
      <c r="A408" s="68">
        <v>46219</v>
      </c>
      <c r="B408" s="25">
        <f t="shared" ref="B408:B418" si="92">B407+TIME(0,60,0)</f>
        <v>0.37499999999999967</v>
      </c>
      <c r="C408" s="33" t="s">
        <v>45</v>
      </c>
      <c r="D408" s="62" t="s">
        <v>30</v>
      </c>
      <c r="E408" s="62" t="s">
        <v>234</v>
      </c>
      <c r="F408" s="27">
        <v>25</v>
      </c>
      <c r="G408" s="28">
        <f t="shared" si="90"/>
        <v>125</v>
      </c>
      <c r="H408" s="26" t="s">
        <v>18</v>
      </c>
      <c r="I408" s="26" t="s">
        <v>23</v>
      </c>
      <c r="J408" s="26" t="s">
        <v>164</v>
      </c>
      <c r="K408" s="29">
        <v>0.65972222222222221</v>
      </c>
      <c r="L408" s="29">
        <v>0.66736111111111107</v>
      </c>
      <c r="M408" s="30">
        <f t="shared" ca="1" si="91"/>
        <v>7.6388888888888618E-3</v>
      </c>
      <c r="N408" s="46"/>
      <c r="O408" s="47"/>
    </row>
    <row r="409" spans="1:15" ht="15" customHeight="1">
      <c r="A409" s="69">
        <v>46219</v>
      </c>
      <c r="B409" s="32">
        <f t="shared" si="92"/>
        <v>0.41666666666666635</v>
      </c>
      <c r="C409" s="33" t="s">
        <v>45</v>
      </c>
      <c r="D409" s="62" t="s">
        <v>30</v>
      </c>
      <c r="E409" s="62" t="s">
        <v>234</v>
      </c>
      <c r="F409" s="27">
        <v>35</v>
      </c>
      <c r="G409" s="34">
        <f t="shared" si="90"/>
        <v>175</v>
      </c>
      <c r="H409" s="33" t="s">
        <v>20</v>
      </c>
      <c r="I409" s="33" t="s">
        <v>23</v>
      </c>
      <c r="J409" s="33" t="s">
        <v>132</v>
      </c>
      <c r="K409" s="29">
        <v>0.72013888888888888</v>
      </c>
      <c r="L409" s="29">
        <v>0.75902777777777775</v>
      </c>
      <c r="M409" s="35">
        <f t="shared" ca="1" si="91"/>
        <v>3.8888888888888862E-2</v>
      </c>
      <c r="N409" s="46" t="s">
        <v>258</v>
      </c>
      <c r="O409" s="47"/>
    </row>
    <row r="410" spans="1:15" ht="15" customHeight="1">
      <c r="A410" s="68">
        <v>46219</v>
      </c>
      <c r="B410" s="25">
        <f t="shared" si="92"/>
        <v>0.45833333333333304</v>
      </c>
      <c r="C410" s="33" t="s">
        <v>45</v>
      </c>
      <c r="D410" s="62" t="s">
        <v>30</v>
      </c>
      <c r="E410" s="62" t="s">
        <v>234</v>
      </c>
      <c r="F410" s="27">
        <v>35</v>
      </c>
      <c r="G410" s="28">
        <f t="shared" si="90"/>
        <v>175</v>
      </c>
      <c r="H410" s="26"/>
      <c r="I410" s="26"/>
      <c r="J410" s="26"/>
      <c r="K410" s="29"/>
      <c r="L410" s="29"/>
      <c r="M410" s="30" t="str">
        <f t="shared" ca="1" si="91"/>
        <v/>
      </c>
      <c r="N410" s="46"/>
      <c r="O410" s="47"/>
    </row>
    <row r="411" spans="1:15" ht="15" customHeight="1">
      <c r="A411" s="69">
        <v>46219</v>
      </c>
      <c r="B411" s="32">
        <f t="shared" si="92"/>
        <v>0.49999999999999972</v>
      </c>
      <c r="C411" s="33" t="s">
        <v>45</v>
      </c>
      <c r="D411" s="62" t="s">
        <v>30</v>
      </c>
      <c r="E411" s="62" t="s">
        <v>234</v>
      </c>
      <c r="F411" s="27">
        <v>12</v>
      </c>
      <c r="G411" s="34">
        <f t="shared" si="90"/>
        <v>60</v>
      </c>
      <c r="H411" s="33"/>
      <c r="I411" s="33"/>
      <c r="J411" s="33"/>
      <c r="K411" s="29"/>
      <c r="L411" s="29"/>
      <c r="M411" s="35" t="str">
        <f t="shared" ca="1" si="91"/>
        <v/>
      </c>
      <c r="N411" s="46"/>
      <c r="O411" s="47"/>
    </row>
    <row r="412" spans="1:15" ht="15" customHeight="1">
      <c r="A412" s="68">
        <v>46219</v>
      </c>
      <c r="B412" s="25">
        <f t="shared" si="92"/>
        <v>0.54166666666666641</v>
      </c>
      <c r="C412" s="33" t="s">
        <v>45</v>
      </c>
      <c r="D412" s="62" t="s">
        <v>30</v>
      </c>
      <c r="E412" s="62" t="s">
        <v>234</v>
      </c>
      <c r="F412" s="27">
        <v>30</v>
      </c>
      <c r="G412" s="28">
        <f t="shared" si="90"/>
        <v>150</v>
      </c>
      <c r="H412" s="26"/>
      <c r="I412" s="26"/>
      <c r="J412" s="26"/>
      <c r="K412" s="29"/>
      <c r="L412" s="29"/>
      <c r="M412" s="30" t="str">
        <f t="shared" ca="1" si="91"/>
        <v/>
      </c>
      <c r="N412" s="46"/>
      <c r="O412" s="47"/>
    </row>
    <row r="413" spans="1:15" ht="15" customHeight="1">
      <c r="A413" s="69">
        <v>46219</v>
      </c>
      <c r="B413" s="32">
        <f t="shared" si="92"/>
        <v>0.58333333333333304</v>
      </c>
      <c r="C413" s="33" t="s">
        <v>45</v>
      </c>
      <c r="D413" s="62" t="s">
        <v>30</v>
      </c>
      <c r="E413" s="62" t="s">
        <v>234</v>
      </c>
      <c r="F413" s="27">
        <v>27</v>
      </c>
      <c r="G413" s="34">
        <f t="shared" si="90"/>
        <v>135</v>
      </c>
      <c r="H413" s="33"/>
      <c r="I413" s="33"/>
      <c r="J413" s="33"/>
      <c r="K413" s="29"/>
      <c r="L413" s="29"/>
      <c r="M413" s="35" t="str">
        <f t="shared" ca="1" si="91"/>
        <v/>
      </c>
      <c r="N413" s="46"/>
      <c r="O413" s="47"/>
    </row>
    <row r="414" spans="1:15" ht="15" customHeight="1">
      <c r="A414" s="68">
        <v>46219</v>
      </c>
      <c r="B414" s="25">
        <f t="shared" si="92"/>
        <v>0.62499999999999967</v>
      </c>
      <c r="C414" s="33" t="s">
        <v>45</v>
      </c>
      <c r="D414" s="62" t="s">
        <v>30</v>
      </c>
      <c r="E414" s="62" t="s">
        <v>234</v>
      </c>
      <c r="F414" s="27">
        <v>15</v>
      </c>
      <c r="G414" s="28">
        <f t="shared" si="90"/>
        <v>75</v>
      </c>
      <c r="H414" s="26"/>
      <c r="I414" s="26"/>
      <c r="J414" s="26"/>
      <c r="K414" s="29"/>
      <c r="L414" s="29"/>
      <c r="M414" s="30" t="str">
        <f t="shared" ca="1" si="91"/>
        <v/>
      </c>
      <c r="N414" s="46"/>
      <c r="O414" s="47"/>
    </row>
    <row r="415" spans="1:15" ht="15" customHeight="1">
      <c r="A415" s="69">
        <v>46219</v>
      </c>
      <c r="B415" s="32">
        <f t="shared" si="92"/>
        <v>0.6666666666666663</v>
      </c>
      <c r="C415" s="33" t="s">
        <v>45</v>
      </c>
      <c r="D415" s="62" t="s">
        <v>30</v>
      </c>
      <c r="E415" s="62" t="s">
        <v>234</v>
      </c>
      <c r="F415" s="27">
        <v>0</v>
      </c>
      <c r="G415" s="34">
        <f t="shared" si="90"/>
        <v>0</v>
      </c>
      <c r="H415" s="33"/>
      <c r="I415" s="33"/>
      <c r="J415" s="33"/>
      <c r="K415" s="29"/>
      <c r="L415" s="29"/>
      <c r="M415" s="35" t="str">
        <f t="shared" ca="1" si="91"/>
        <v/>
      </c>
      <c r="N415" s="46" t="s">
        <v>259</v>
      </c>
      <c r="O415" s="47"/>
    </row>
    <row r="416" spans="1:15" ht="15" customHeight="1">
      <c r="A416" s="68">
        <v>46219</v>
      </c>
      <c r="B416" s="25">
        <f t="shared" si="92"/>
        <v>0.70833333333333293</v>
      </c>
      <c r="C416" s="33" t="s">
        <v>45</v>
      </c>
      <c r="D416" s="62" t="s">
        <v>30</v>
      </c>
      <c r="E416" s="62" t="s">
        <v>234</v>
      </c>
      <c r="F416" s="27">
        <v>0</v>
      </c>
      <c r="G416" s="28">
        <f t="shared" si="90"/>
        <v>0</v>
      </c>
      <c r="H416" s="26"/>
      <c r="I416" s="26"/>
      <c r="J416" s="26"/>
      <c r="K416" s="29"/>
      <c r="L416" s="29"/>
      <c r="M416" s="30" t="str">
        <f t="shared" ca="1" si="91"/>
        <v/>
      </c>
      <c r="N416" s="46" t="s">
        <v>259</v>
      </c>
      <c r="O416" s="47"/>
    </row>
    <row r="417" spans="1:15" ht="15" customHeight="1">
      <c r="A417" s="69">
        <v>46219</v>
      </c>
      <c r="B417" s="32">
        <f t="shared" si="92"/>
        <v>0.74999999999999956</v>
      </c>
      <c r="C417" s="33" t="s">
        <v>45</v>
      </c>
      <c r="D417" s="62" t="s">
        <v>30</v>
      </c>
      <c r="E417" s="62" t="s">
        <v>234</v>
      </c>
      <c r="F417" s="27">
        <v>14</v>
      </c>
      <c r="G417" s="34">
        <f t="shared" si="90"/>
        <v>70</v>
      </c>
      <c r="H417" s="33"/>
      <c r="I417" s="33"/>
      <c r="J417" s="33"/>
      <c r="K417" s="29"/>
      <c r="L417" s="29"/>
      <c r="M417" s="35" t="str">
        <f t="shared" ca="1" si="91"/>
        <v/>
      </c>
      <c r="N417" s="46"/>
      <c r="O417" s="47"/>
    </row>
    <row r="418" spans="1:15" ht="15" customHeight="1">
      <c r="A418" s="68">
        <v>46219</v>
      </c>
      <c r="B418" s="25">
        <f t="shared" si="92"/>
        <v>0.79166666666666619</v>
      </c>
      <c r="C418" s="33" t="s">
        <v>45</v>
      </c>
      <c r="D418" s="62" t="s">
        <v>30</v>
      </c>
      <c r="E418" s="62" t="s">
        <v>234</v>
      </c>
      <c r="F418" s="27">
        <v>0</v>
      </c>
      <c r="G418" s="28">
        <f t="shared" si="90"/>
        <v>0</v>
      </c>
      <c r="H418" s="26"/>
      <c r="I418" s="26"/>
      <c r="J418" s="26"/>
      <c r="K418" s="29"/>
      <c r="L418" s="29"/>
      <c r="M418" s="30" t="str">
        <f t="shared" ca="1" si="91"/>
        <v/>
      </c>
      <c r="N418" s="46"/>
      <c r="O418" s="47"/>
    </row>
    <row r="419" spans="1:15" ht="15.75" customHeight="1">
      <c r="A419" s="119" t="s">
        <v>236</v>
      </c>
      <c r="B419" s="120"/>
      <c r="C419" s="120"/>
      <c r="D419" s="120"/>
      <c r="E419" s="121">
        <f>SUM(E407:E418)</f>
        <v>0</v>
      </c>
      <c r="F419" s="36">
        <f>SUM(F407:F418)</f>
        <v>221</v>
      </c>
      <c r="G419" s="36">
        <f>SUM(G407:G418)</f>
        <v>1105</v>
      </c>
      <c r="H419" s="37"/>
      <c r="I419" s="37"/>
      <c r="J419" s="37"/>
      <c r="K419" s="37"/>
      <c r="L419" s="37"/>
      <c r="M419" s="38">
        <f ca="1">IFERROR(SUM(M407:M418),"")</f>
        <v>5.9027777777777735E-2</v>
      </c>
      <c r="N419" s="36" t="s">
        <v>237</v>
      </c>
      <c r="O419" s="39">
        <v>1600690</v>
      </c>
    </row>
    <row r="420" spans="1:15" ht="15" customHeight="1">
      <c r="A420" s="68">
        <v>46219</v>
      </c>
      <c r="B420" s="25">
        <v>0.83333333333333304</v>
      </c>
      <c r="C420" s="26" t="s">
        <v>29</v>
      </c>
      <c r="D420" s="59" t="s">
        <v>30</v>
      </c>
      <c r="E420" s="59" t="s">
        <v>234</v>
      </c>
      <c r="F420" s="27">
        <v>20</v>
      </c>
      <c r="G420" s="28">
        <f t="shared" ref="G420:G431" si="93">IF(F420="","",IF(E420="PC 17",F420*4.2,IF(E420="PC 19",F420*5,"")))</f>
        <v>100</v>
      </c>
      <c r="H420" s="26"/>
      <c r="I420" s="26"/>
      <c r="J420" s="26"/>
      <c r="K420" s="29"/>
      <c r="L420" s="29"/>
      <c r="M420" s="30" t="str">
        <f t="shared" ref="M420:M431" ca="1" si="94">IFERROR(IF(K420="","",IF(L420="",MOD(NOW()-K420,1),IF(L420&gt;=K420,L420-K420,L420+1-K420))),"")</f>
        <v/>
      </c>
      <c r="N420" s="46"/>
      <c r="O420" s="47"/>
    </row>
    <row r="421" spans="1:15" ht="15" customHeight="1">
      <c r="A421" s="69">
        <v>46219</v>
      </c>
      <c r="B421" s="32">
        <f t="shared" ref="B421:B431" si="95">B420+TIME(0,60,0)</f>
        <v>0.87499999999999967</v>
      </c>
      <c r="C421" s="26" t="s">
        <v>29</v>
      </c>
      <c r="D421" s="59" t="s">
        <v>30</v>
      </c>
      <c r="E421" s="59" t="s">
        <v>234</v>
      </c>
      <c r="F421" s="27">
        <v>27</v>
      </c>
      <c r="G421" s="34">
        <f t="shared" si="93"/>
        <v>135</v>
      </c>
      <c r="H421" s="33"/>
      <c r="I421" s="33"/>
      <c r="J421" s="33"/>
      <c r="K421" s="29"/>
      <c r="L421" s="29"/>
      <c r="M421" s="35" t="str">
        <f t="shared" ca="1" si="94"/>
        <v/>
      </c>
      <c r="N421" s="46"/>
      <c r="O421" s="47"/>
    </row>
    <row r="422" spans="1:15" ht="15" customHeight="1">
      <c r="A422" s="68">
        <v>46219</v>
      </c>
      <c r="B422" s="25">
        <f t="shared" si="95"/>
        <v>0.9166666666666663</v>
      </c>
      <c r="C422" s="26" t="s">
        <v>29</v>
      </c>
      <c r="D422" s="59" t="s">
        <v>30</v>
      </c>
      <c r="E422" s="59" t="s">
        <v>234</v>
      </c>
      <c r="F422" s="27">
        <v>46</v>
      </c>
      <c r="G422" s="28">
        <f t="shared" si="93"/>
        <v>230</v>
      </c>
      <c r="H422" s="26"/>
      <c r="I422" s="26"/>
      <c r="J422" s="26"/>
      <c r="K422" s="29"/>
      <c r="L422" s="29"/>
      <c r="M422" s="30" t="str">
        <f t="shared" ca="1" si="94"/>
        <v/>
      </c>
      <c r="N422" s="46"/>
      <c r="O422" s="47"/>
    </row>
    <row r="423" spans="1:15" ht="15" customHeight="1">
      <c r="A423" s="69">
        <v>46219</v>
      </c>
      <c r="B423" s="32">
        <f t="shared" si="95"/>
        <v>0.95833333333333293</v>
      </c>
      <c r="C423" s="26" t="s">
        <v>29</v>
      </c>
      <c r="D423" s="59" t="s">
        <v>30</v>
      </c>
      <c r="E423" s="59" t="s">
        <v>234</v>
      </c>
      <c r="F423" s="27">
        <v>42</v>
      </c>
      <c r="G423" s="34">
        <f t="shared" si="93"/>
        <v>210</v>
      </c>
      <c r="H423" s="33"/>
      <c r="I423" s="33"/>
      <c r="J423" s="33"/>
      <c r="K423" s="29"/>
      <c r="L423" s="29"/>
      <c r="M423" s="35" t="str">
        <f t="shared" ca="1" si="94"/>
        <v/>
      </c>
      <c r="N423" s="46"/>
      <c r="O423" s="47"/>
    </row>
    <row r="424" spans="1:15" ht="15" customHeight="1">
      <c r="A424" s="68">
        <v>46219</v>
      </c>
      <c r="B424" s="25">
        <f t="shared" si="95"/>
        <v>0.99999999999999956</v>
      </c>
      <c r="C424" s="26" t="s">
        <v>29</v>
      </c>
      <c r="D424" s="59" t="s">
        <v>30</v>
      </c>
      <c r="E424" s="59" t="s">
        <v>234</v>
      </c>
      <c r="F424" s="27">
        <v>24</v>
      </c>
      <c r="G424" s="28">
        <f t="shared" si="93"/>
        <v>120</v>
      </c>
      <c r="H424" s="26"/>
      <c r="I424" s="26"/>
      <c r="J424" s="26"/>
      <c r="K424" s="29"/>
      <c r="L424" s="29"/>
      <c r="M424" s="30" t="str">
        <f t="shared" ca="1" si="94"/>
        <v/>
      </c>
      <c r="N424" s="46"/>
      <c r="O424" s="47"/>
    </row>
    <row r="425" spans="1:15" ht="15" customHeight="1">
      <c r="A425" s="69">
        <v>46219</v>
      </c>
      <c r="B425" s="32">
        <f t="shared" si="95"/>
        <v>1.0416666666666663</v>
      </c>
      <c r="C425" s="26" t="s">
        <v>29</v>
      </c>
      <c r="D425" s="59" t="s">
        <v>30</v>
      </c>
      <c r="E425" s="59" t="s">
        <v>234</v>
      </c>
      <c r="F425" s="27">
        <v>17</v>
      </c>
      <c r="G425" s="34">
        <f t="shared" si="93"/>
        <v>85</v>
      </c>
      <c r="H425" s="33"/>
      <c r="I425" s="33"/>
      <c r="J425" s="33"/>
      <c r="K425" s="29"/>
      <c r="L425" s="29"/>
      <c r="M425" s="35" t="str">
        <f t="shared" ca="1" si="94"/>
        <v/>
      </c>
      <c r="N425" s="46"/>
      <c r="O425" s="47"/>
    </row>
    <row r="426" spans="1:15" ht="15" customHeight="1">
      <c r="A426" s="68">
        <v>46219</v>
      </c>
      <c r="B426" s="25">
        <f t="shared" si="95"/>
        <v>1.083333333333333</v>
      </c>
      <c r="C426" s="26" t="s">
        <v>29</v>
      </c>
      <c r="D426" s="59" t="s">
        <v>30</v>
      </c>
      <c r="E426" s="59" t="s">
        <v>234</v>
      </c>
      <c r="F426" s="27">
        <v>30</v>
      </c>
      <c r="G426" s="28">
        <f t="shared" si="93"/>
        <v>150</v>
      </c>
      <c r="H426" s="26"/>
      <c r="I426" s="26"/>
      <c r="J426" s="26"/>
      <c r="K426" s="29"/>
      <c r="L426" s="29"/>
      <c r="M426" s="30" t="str">
        <f t="shared" ca="1" si="94"/>
        <v/>
      </c>
      <c r="N426" s="46"/>
      <c r="O426" s="47"/>
    </row>
    <row r="427" spans="1:15" ht="15" customHeight="1">
      <c r="A427" s="69">
        <v>46219</v>
      </c>
      <c r="B427" s="32">
        <f t="shared" si="95"/>
        <v>1.1249999999999998</v>
      </c>
      <c r="C427" s="26" t="s">
        <v>29</v>
      </c>
      <c r="D427" s="59" t="s">
        <v>30</v>
      </c>
      <c r="E427" s="59" t="s">
        <v>234</v>
      </c>
      <c r="F427" s="27">
        <v>33</v>
      </c>
      <c r="G427" s="34">
        <f t="shared" si="93"/>
        <v>165</v>
      </c>
      <c r="H427" s="33"/>
      <c r="I427" s="33"/>
      <c r="J427" s="33"/>
      <c r="K427" s="29"/>
      <c r="L427" s="29"/>
      <c r="M427" s="35" t="str">
        <f t="shared" ca="1" si="94"/>
        <v/>
      </c>
      <c r="N427" s="46"/>
      <c r="O427" s="47"/>
    </row>
    <row r="428" spans="1:15" ht="15" customHeight="1">
      <c r="A428" s="68">
        <v>46219</v>
      </c>
      <c r="B428" s="25">
        <f t="shared" si="95"/>
        <v>1.1666666666666665</v>
      </c>
      <c r="C428" s="26" t="s">
        <v>29</v>
      </c>
      <c r="D428" s="59" t="s">
        <v>30</v>
      </c>
      <c r="E428" s="59" t="s">
        <v>234</v>
      </c>
      <c r="F428" s="27">
        <v>20</v>
      </c>
      <c r="G428" s="28">
        <f t="shared" si="93"/>
        <v>100</v>
      </c>
      <c r="H428" s="26"/>
      <c r="I428" s="26"/>
      <c r="J428" s="26"/>
      <c r="K428" s="29"/>
      <c r="L428" s="29"/>
      <c r="M428" s="30" t="str">
        <f t="shared" ca="1" si="94"/>
        <v/>
      </c>
      <c r="N428" s="46"/>
      <c r="O428" s="47"/>
    </row>
    <row r="429" spans="1:15" ht="15" customHeight="1">
      <c r="A429" s="69">
        <v>46219</v>
      </c>
      <c r="B429" s="32">
        <f t="shared" si="95"/>
        <v>1.2083333333333333</v>
      </c>
      <c r="C429" s="26" t="s">
        <v>29</v>
      </c>
      <c r="D429" s="59" t="s">
        <v>30</v>
      </c>
      <c r="E429" s="59" t="s">
        <v>234</v>
      </c>
      <c r="F429" s="27">
        <v>32</v>
      </c>
      <c r="G429" s="34">
        <f t="shared" si="93"/>
        <v>160</v>
      </c>
      <c r="H429" s="33"/>
      <c r="I429" s="33"/>
      <c r="J429" s="33"/>
      <c r="K429" s="29"/>
      <c r="L429" s="29"/>
      <c r="M429" s="35" t="str">
        <f t="shared" ca="1" si="94"/>
        <v/>
      </c>
      <c r="N429" s="46"/>
      <c r="O429" s="47"/>
    </row>
    <row r="430" spans="1:15" ht="15" customHeight="1">
      <c r="A430" s="68">
        <v>46219</v>
      </c>
      <c r="B430" s="25">
        <f t="shared" si="95"/>
        <v>1.25</v>
      </c>
      <c r="C430" s="26" t="s">
        <v>29</v>
      </c>
      <c r="D430" s="59" t="s">
        <v>30</v>
      </c>
      <c r="E430" s="59" t="s">
        <v>234</v>
      </c>
      <c r="F430" s="27">
        <v>26</v>
      </c>
      <c r="G430" s="28">
        <f t="shared" si="93"/>
        <v>130</v>
      </c>
      <c r="H430" s="26"/>
      <c r="I430" s="26"/>
      <c r="J430" s="26"/>
      <c r="K430" s="29"/>
      <c r="L430" s="29"/>
      <c r="M430" s="30" t="str">
        <f t="shared" ca="1" si="94"/>
        <v/>
      </c>
      <c r="N430" s="46"/>
      <c r="O430" s="47"/>
    </row>
    <row r="431" spans="1:15" ht="15" customHeight="1">
      <c r="A431" s="69">
        <v>46219</v>
      </c>
      <c r="B431" s="32">
        <f t="shared" si="95"/>
        <v>1.2916666666666667</v>
      </c>
      <c r="C431" s="26" t="s">
        <v>29</v>
      </c>
      <c r="D431" s="59" t="s">
        <v>30</v>
      </c>
      <c r="E431" s="59" t="s">
        <v>234</v>
      </c>
      <c r="F431" s="27"/>
      <c r="G431" s="34" t="str">
        <f t="shared" si="93"/>
        <v/>
      </c>
      <c r="H431" s="33"/>
      <c r="I431" s="33"/>
      <c r="J431" s="33"/>
      <c r="K431" s="29"/>
      <c r="L431" s="29"/>
      <c r="M431" s="35" t="str">
        <f t="shared" ca="1" si="94"/>
        <v/>
      </c>
      <c r="N431" s="46"/>
      <c r="O431" s="47"/>
    </row>
    <row r="432" spans="1:15" ht="15.75" customHeight="1">
      <c r="A432" s="119" t="s">
        <v>238</v>
      </c>
      <c r="B432" s="120"/>
      <c r="C432" s="120"/>
      <c r="D432" s="120"/>
      <c r="E432" s="121">
        <f>SUM(E420:E431)</f>
        <v>0</v>
      </c>
      <c r="F432" s="36">
        <f>SUM(F420:F431)</f>
        <v>317</v>
      </c>
      <c r="G432" s="36">
        <f>SUM(G420:G431)</f>
        <v>1585</v>
      </c>
      <c r="H432" s="37"/>
      <c r="I432" s="37"/>
      <c r="J432" s="37"/>
      <c r="K432" s="37"/>
      <c r="L432" s="37"/>
      <c r="M432" s="38">
        <f ca="1">IFERROR(SUM(M420:M431),"")</f>
        <v>0</v>
      </c>
      <c r="N432" s="36" t="s">
        <v>237</v>
      </c>
      <c r="O432" s="39">
        <v>1801910</v>
      </c>
    </row>
    <row r="433" spans="1:15" ht="18" customHeight="1">
      <c r="A433" s="122" t="s">
        <v>239</v>
      </c>
      <c r="B433" s="123"/>
      <c r="C433" s="123"/>
      <c r="D433" s="123"/>
      <c r="E433" s="124">
        <f>E419+E432</f>
        <v>0</v>
      </c>
      <c r="F433" s="40">
        <f>F419+F432</f>
        <v>538</v>
      </c>
      <c r="G433" s="40">
        <f>G419+G432</f>
        <v>2690</v>
      </c>
      <c r="H433" s="41"/>
      <c r="I433" s="41"/>
      <c r="J433" s="41"/>
      <c r="K433" s="41"/>
      <c r="L433" s="41"/>
      <c r="M433" s="42">
        <f ca="1">IFERROR(M419+M432,"")</f>
        <v>5.9027777777777735E-2</v>
      </c>
      <c r="N433" s="40" t="s">
        <v>240</v>
      </c>
      <c r="O433" s="48">
        <f>IFERROR(O419+O432,"")</f>
        <v>3402600</v>
      </c>
    </row>
    <row r="434" spans="1:15" ht="15" customHeight="1">
      <c r="A434" s="68">
        <v>46220</v>
      </c>
      <c r="B434" s="25">
        <v>0.33333333333333298</v>
      </c>
      <c r="C434" s="26" t="s">
        <v>21</v>
      </c>
      <c r="D434" s="59" t="s">
        <v>30</v>
      </c>
      <c r="E434" s="59" t="s">
        <v>234</v>
      </c>
      <c r="F434" s="27">
        <v>7</v>
      </c>
      <c r="G434" s="28">
        <f t="shared" ref="G434:G445" si="96">IF(F434="","",IF(E434="PC 17",F434*4.2,IF(E434="PC 19",F434*5,"")))</f>
        <v>35</v>
      </c>
      <c r="H434" s="26" t="s">
        <v>18</v>
      </c>
      <c r="I434" s="26" t="s">
        <v>23</v>
      </c>
      <c r="J434" s="26" t="s">
        <v>217</v>
      </c>
      <c r="K434" s="29">
        <v>0.31805555555555554</v>
      </c>
      <c r="L434" s="29">
        <v>0.36805555555555558</v>
      </c>
      <c r="M434" s="30">
        <f t="shared" ref="M434:M445" ca="1" si="97">IFERROR(IF(K434="","",IF(L434="",MOD(NOW()-K434,1),IF(L434&gt;=K434,L434-K434,L434+1-K434))),"")</f>
        <v>5.0000000000000044E-2</v>
      </c>
      <c r="N434" s="46" t="s">
        <v>260</v>
      </c>
      <c r="O434" s="47"/>
    </row>
    <row r="435" spans="1:15" ht="15" customHeight="1">
      <c r="A435" s="69">
        <v>46220</v>
      </c>
      <c r="B435" s="32">
        <f t="shared" ref="B435:B445" si="98">B434+TIME(0,60,0)</f>
        <v>0.37499999999999967</v>
      </c>
      <c r="C435" s="26" t="s">
        <v>21</v>
      </c>
      <c r="D435" s="59" t="s">
        <v>30</v>
      </c>
      <c r="E435" s="59" t="s">
        <v>234</v>
      </c>
      <c r="F435" s="27">
        <v>0</v>
      </c>
      <c r="G435" s="28">
        <f t="shared" si="96"/>
        <v>0</v>
      </c>
      <c r="H435" s="33" t="s">
        <v>16</v>
      </c>
      <c r="I435" s="33"/>
      <c r="J435" s="33" t="s">
        <v>86</v>
      </c>
      <c r="K435" s="29">
        <v>0.58333333333333337</v>
      </c>
      <c r="L435" s="29">
        <v>0.77083333333333337</v>
      </c>
      <c r="M435" s="35">
        <f t="shared" ca="1" si="97"/>
        <v>0.1875</v>
      </c>
      <c r="N435" s="46"/>
      <c r="O435" s="47"/>
    </row>
    <row r="436" spans="1:15" ht="15" customHeight="1">
      <c r="A436" s="68">
        <v>46220</v>
      </c>
      <c r="B436" s="25">
        <f t="shared" si="98"/>
        <v>0.41666666666666635</v>
      </c>
      <c r="C436" s="26" t="s">
        <v>21</v>
      </c>
      <c r="D436" s="59" t="s">
        <v>30</v>
      </c>
      <c r="E436" s="59" t="s">
        <v>234</v>
      </c>
      <c r="F436" s="27">
        <v>40</v>
      </c>
      <c r="G436" s="28">
        <f t="shared" si="96"/>
        <v>200</v>
      </c>
      <c r="H436" s="26"/>
      <c r="I436" s="26"/>
      <c r="J436" s="26"/>
      <c r="K436" s="29"/>
      <c r="L436" s="29"/>
      <c r="M436" s="30" t="str">
        <f t="shared" ca="1" si="97"/>
        <v/>
      </c>
      <c r="N436" s="46"/>
      <c r="O436" s="47"/>
    </row>
    <row r="437" spans="1:15" ht="15" customHeight="1">
      <c r="A437" s="69">
        <v>46220</v>
      </c>
      <c r="B437" s="32">
        <f t="shared" si="98"/>
        <v>0.45833333333333304</v>
      </c>
      <c r="C437" s="26" t="s">
        <v>21</v>
      </c>
      <c r="D437" s="59" t="s">
        <v>30</v>
      </c>
      <c r="E437" s="59" t="s">
        <v>234</v>
      </c>
      <c r="F437" s="27">
        <v>34</v>
      </c>
      <c r="G437" s="34">
        <f t="shared" si="96"/>
        <v>170</v>
      </c>
      <c r="H437" s="33"/>
      <c r="I437" s="33"/>
      <c r="J437" s="33"/>
      <c r="K437" s="29"/>
      <c r="L437" s="29"/>
      <c r="M437" s="35" t="str">
        <f t="shared" ca="1" si="97"/>
        <v/>
      </c>
      <c r="N437" s="46"/>
      <c r="O437" s="47"/>
    </row>
    <row r="438" spans="1:15" ht="15" customHeight="1">
      <c r="A438" s="68">
        <v>46220</v>
      </c>
      <c r="B438" s="25">
        <f t="shared" si="98"/>
        <v>0.49999999999999972</v>
      </c>
      <c r="C438" s="26" t="s">
        <v>21</v>
      </c>
      <c r="D438" s="59" t="s">
        <v>30</v>
      </c>
      <c r="E438" s="59" t="s">
        <v>234</v>
      </c>
      <c r="F438" s="27">
        <v>30</v>
      </c>
      <c r="G438" s="28">
        <f t="shared" si="96"/>
        <v>150</v>
      </c>
      <c r="H438" s="26"/>
      <c r="I438" s="26"/>
      <c r="J438" s="26"/>
      <c r="K438" s="29"/>
      <c r="L438" s="29"/>
      <c r="M438" s="30" t="str">
        <f t="shared" ca="1" si="97"/>
        <v/>
      </c>
      <c r="N438" s="46"/>
      <c r="O438" s="47"/>
    </row>
    <row r="439" spans="1:15" ht="15" customHeight="1">
      <c r="A439" s="69">
        <v>46220</v>
      </c>
      <c r="B439" s="32">
        <f t="shared" si="98"/>
        <v>0.54166666666666641</v>
      </c>
      <c r="C439" s="26" t="s">
        <v>21</v>
      </c>
      <c r="D439" s="59" t="s">
        <v>30</v>
      </c>
      <c r="E439" s="59" t="s">
        <v>234</v>
      </c>
      <c r="F439" s="27">
        <v>40</v>
      </c>
      <c r="G439" s="34">
        <f t="shared" si="96"/>
        <v>200</v>
      </c>
      <c r="H439" s="33"/>
      <c r="I439" s="33"/>
      <c r="J439" s="33"/>
      <c r="K439" s="29"/>
      <c r="L439" s="29"/>
      <c r="M439" s="35" t="str">
        <f t="shared" ca="1" si="97"/>
        <v/>
      </c>
      <c r="N439" s="46"/>
      <c r="O439" s="47"/>
    </row>
    <row r="440" spans="1:15" ht="15" customHeight="1">
      <c r="A440" s="68">
        <v>46220</v>
      </c>
      <c r="B440" s="25">
        <f t="shared" si="98"/>
        <v>0.58333333333333304</v>
      </c>
      <c r="C440" s="26" t="s">
        <v>21</v>
      </c>
      <c r="D440" s="59" t="s">
        <v>30</v>
      </c>
      <c r="E440" s="59" t="s">
        <v>234</v>
      </c>
      <c r="F440" s="27">
        <v>28</v>
      </c>
      <c r="G440" s="28">
        <f t="shared" si="96"/>
        <v>140</v>
      </c>
      <c r="H440" s="26"/>
      <c r="I440" s="26"/>
      <c r="J440" s="26"/>
      <c r="K440" s="29"/>
      <c r="L440" s="29"/>
      <c r="M440" s="30" t="str">
        <f t="shared" ca="1" si="97"/>
        <v/>
      </c>
      <c r="N440" s="46"/>
      <c r="O440" s="47"/>
    </row>
    <row r="441" spans="1:15" ht="15" customHeight="1">
      <c r="A441" s="69">
        <v>46220</v>
      </c>
      <c r="B441" s="32">
        <f t="shared" si="98"/>
        <v>0.62499999999999967</v>
      </c>
      <c r="C441" s="26" t="s">
        <v>21</v>
      </c>
      <c r="D441" s="59" t="s">
        <v>30</v>
      </c>
      <c r="E441" s="59" t="s">
        <v>234</v>
      </c>
      <c r="F441" s="27">
        <v>0</v>
      </c>
      <c r="G441" s="34">
        <f t="shared" si="96"/>
        <v>0</v>
      </c>
      <c r="H441" s="33"/>
      <c r="I441" s="33"/>
      <c r="J441" s="33"/>
      <c r="K441" s="29"/>
      <c r="L441" s="29"/>
      <c r="M441" s="35" t="str">
        <f t="shared" ca="1" si="97"/>
        <v/>
      </c>
      <c r="N441" s="46"/>
      <c r="O441" s="47"/>
    </row>
    <row r="442" spans="1:15" ht="15" customHeight="1">
      <c r="A442" s="68">
        <v>46220</v>
      </c>
      <c r="B442" s="25">
        <f t="shared" si="98"/>
        <v>0.6666666666666663</v>
      </c>
      <c r="C442" s="26" t="s">
        <v>21</v>
      </c>
      <c r="D442" s="59" t="s">
        <v>30</v>
      </c>
      <c r="E442" s="59" t="s">
        <v>234</v>
      </c>
      <c r="F442" s="27">
        <v>0</v>
      </c>
      <c r="G442" s="28">
        <f t="shared" si="96"/>
        <v>0</v>
      </c>
      <c r="H442" s="26"/>
      <c r="I442" s="26"/>
      <c r="J442" s="26"/>
      <c r="K442" s="29"/>
      <c r="L442" s="29"/>
      <c r="M442" s="30" t="str">
        <f t="shared" ca="1" si="97"/>
        <v/>
      </c>
      <c r="N442" s="46"/>
      <c r="O442" s="47"/>
    </row>
    <row r="443" spans="1:15" ht="15" customHeight="1">
      <c r="A443" s="69">
        <v>46220</v>
      </c>
      <c r="B443" s="32">
        <f t="shared" si="98"/>
        <v>0.70833333333333293</v>
      </c>
      <c r="C443" s="26" t="s">
        <v>21</v>
      </c>
      <c r="D443" s="59" t="s">
        <v>30</v>
      </c>
      <c r="E443" s="59" t="s">
        <v>234</v>
      </c>
      <c r="F443" s="27">
        <v>0</v>
      </c>
      <c r="G443" s="34">
        <f t="shared" si="96"/>
        <v>0</v>
      </c>
      <c r="H443" s="33"/>
      <c r="I443" s="33"/>
      <c r="J443" s="33"/>
      <c r="K443" s="29"/>
      <c r="L443" s="29"/>
      <c r="M443" s="35" t="str">
        <f t="shared" ca="1" si="97"/>
        <v/>
      </c>
      <c r="N443" s="46"/>
      <c r="O443" s="47"/>
    </row>
    <row r="444" spans="1:15" ht="15" customHeight="1">
      <c r="A444" s="68">
        <v>46220</v>
      </c>
      <c r="B444" s="25">
        <f t="shared" si="98"/>
        <v>0.74999999999999956</v>
      </c>
      <c r="C444" s="26" t="s">
        <v>21</v>
      </c>
      <c r="D444" s="59" t="s">
        <v>30</v>
      </c>
      <c r="E444" s="59" t="s">
        <v>234</v>
      </c>
      <c r="F444" s="27">
        <v>0</v>
      </c>
      <c r="G444" s="28">
        <f t="shared" si="96"/>
        <v>0</v>
      </c>
      <c r="H444" s="26"/>
      <c r="I444" s="26"/>
      <c r="J444" s="26"/>
      <c r="K444" s="29"/>
      <c r="L444" s="29"/>
      <c r="M444" s="30" t="str">
        <f t="shared" ca="1" si="97"/>
        <v/>
      </c>
      <c r="N444" s="46"/>
      <c r="O444" s="47"/>
    </row>
    <row r="445" spans="1:15" ht="15" customHeight="1">
      <c r="A445" s="69">
        <v>46220</v>
      </c>
      <c r="B445" s="32">
        <f t="shared" si="98"/>
        <v>0.79166666666666619</v>
      </c>
      <c r="C445" s="26" t="s">
        <v>21</v>
      </c>
      <c r="D445" s="59" t="s">
        <v>30</v>
      </c>
      <c r="E445" s="59" t="s">
        <v>234</v>
      </c>
      <c r="F445" s="27">
        <v>0</v>
      </c>
      <c r="G445" s="34">
        <f t="shared" si="96"/>
        <v>0</v>
      </c>
      <c r="H445" s="33"/>
      <c r="I445" s="33"/>
      <c r="J445" s="33"/>
      <c r="K445" s="29"/>
      <c r="L445" s="29"/>
      <c r="M445" s="35" t="str">
        <f t="shared" ca="1" si="97"/>
        <v/>
      </c>
      <c r="N445" s="46"/>
      <c r="O445" s="47"/>
    </row>
    <row r="446" spans="1:15" ht="15.75" customHeight="1">
      <c r="A446" s="119" t="s">
        <v>236</v>
      </c>
      <c r="B446" s="120"/>
      <c r="C446" s="120"/>
      <c r="D446" s="120"/>
      <c r="E446" s="121">
        <f>SUM(E434:E445)</f>
        <v>0</v>
      </c>
      <c r="F446" s="36">
        <f>SUM(F434:F445)</f>
        <v>179</v>
      </c>
      <c r="G446" s="36">
        <f>SUM(G434:G445)</f>
        <v>895</v>
      </c>
      <c r="H446" s="37"/>
      <c r="I446" s="37"/>
      <c r="J446" s="37"/>
      <c r="K446" s="37"/>
      <c r="L446" s="37"/>
      <c r="M446" s="38">
        <f ca="1">IFERROR(SUM(M434:M445),"")</f>
        <v>0.23750000000000004</v>
      </c>
      <c r="N446" s="36" t="s">
        <v>237</v>
      </c>
      <c r="O446" s="39">
        <v>1241480</v>
      </c>
    </row>
    <row r="447" spans="1:15" ht="15" customHeight="1">
      <c r="A447" s="69">
        <v>46220</v>
      </c>
      <c r="B447" s="32">
        <v>0.83333333333333304</v>
      </c>
      <c r="C447" s="33" t="s">
        <v>45</v>
      </c>
      <c r="D447" s="62" t="s">
        <v>30</v>
      </c>
      <c r="E447" s="62" t="s">
        <v>261</v>
      </c>
      <c r="F447" s="27">
        <v>25</v>
      </c>
      <c r="G447" s="34">
        <f t="shared" ref="G447:G458" si="99">IF(F447="","",IF(E447="PC 17",F447*4.2,IF(E447="PC 19",F447*5,"")))</f>
        <v>105</v>
      </c>
      <c r="H447" s="33" t="s">
        <v>18</v>
      </c>
      <c r="I447" s="33" t="s">
        <v>23</v>
      </c>
      <c r="J447" s="33" t="s">
        <v>218</v>
      </c>
      <c r="K447" s="29">
        <v>0.82638888888888884</v>
      </c>
      <c r="L447" s="29">
        <v>0.8930555555555556</v>
      </c>
      <c r="M447" s="35">
        <f t="shared" ref="M447:M458" ca="1" si="100">IFERROR(IF(K447="","",IF(L447="",MOD(NOW()-K447,1),IF(L447&gt;=K447,L447-K447,L447+1-K447))),"")</f>
        <v>6.6666666666666763E-2</v>
      </c>
      <c r="N447" s="46"/>
      <c r="O447" s="47"/>
    </row>
    <row r="448" spans="1:15" ht="15" customHeight="1">
      <c r="A448" s="68">
        <v>46220</v>
      </c>
      <c r="B448" s="25">
        <f t="shared" ref="B448:B458" si="101">B447+TIME(0,60,0)</f>
        <v>0.87499999999999967</v>
      </c>
      <c r="C448" s="33" t="s">
        <v>45</v>
      </c>
      <c r="D448" s="62" t="s">
        <v>30</v>
      </c>
      <c r="E448" s="62" t="s">
        <v>261</v>
      </c>
      <c r="F448" s="27">
        <v>0</v>
      </c>
      <c r="G448" s="28">
        <f t="shared" si="99"/>
        <v>0</v>
      </c>
      <c r="H448" s="26"/>
      <c r="I448" s="26"/>
      <c r="J448" s="26"/>
      <c r="K448" s="29"/>
      <c r="L448" s="29"/>
      <c r="M448" s="30" t="str">
        <f t="shared" ca="1" si="100"/>
        <v/>
      </c>
      <c r="N448" s="46"/>
      <c r="O448" s="47"/>
    </row>
    <row r="449" spans="1:15" ht="15" customHeight="1">
      <c r="A449" s="69">
        <v>46220</v>
      </c>
      <c r="B449" s="32">
        <f t="shared" si="101"/>
        <v>0.9166666666666663</v>
      </c>
      <c r="C449" s="33" t="s">
        <v>45</v>
      </c>
      <c r="D449" s="62" t="s">
        <v>30</v>
      </c>
      <c r="E449" s="62" t="s">
        <v>261</v>
      </c>
      <c r="F449" s="27">
        <v>13</v>
      </c>
      <c r="G449" s="34">
        <f t="shared" si="99"/>
        <v>54.6</v>
      </c>
      <c r="H449" s="33"/>
      <c r="I449" s="33"/>
      <c r="J449" s="33"/>
      <c r="K449" s="29"/>
      <c r="L449" s="29"/>
      <c r="M449" s="35" t="str">
        <f t="shared" ca="1" si="100"/>
        <v/>
      </c>
      <c r="N449" s="46"/>
      <c r="O449" s="47"/>
    </row>
    <row r="450" spans="1:15" ht="15" customHeight="1">
      <c r="A450" s="68">
        <v>46220</v>
      </c>
      <c r="B450" s="25">
        <f t="shared" si="101"/>
        <v>0.95833333333333293</v>
      </c>
      <c r="C450" s="33" t="s">
        <v>45</v>
      </c>
      <c r="D450" s="62" t="s">
        <v>30</v>
      </c>
      <c r="E450" s="62" t="s">
        <v>261</v>
      </c>
      <c r="F450" s="27">
        <v>21</v>
      </c>
      <c r="G450" s="28">
        <f t="shared" si="99"/>
        <v>88.2</v>
      </c>
      <c r="H450" s="26"/>
      <c r="I450" s="26"/>
      <c r="J450" s="26"/>
      <c r="K450" s="29"/>
      <c r="L450" s="29"/>
      <c r="M450" s="30" t="str">
        <f t="shared" ca="1" si="100"/>
        <v/>
      </c>
      <c r="N450" s="46"/>
      <c r="O450" s="47"/>
    </row>
    <row r="451" spans="1:15" ht="15" customHeight="1">
      <c r="A451" s="69">
        <v>46220</v>
      </c>
      <c r="B451" s="32">
        <f t="shared" si="101"/>
        <v>0.99999999999999956</v>
      </c>
      <c r="C451" s="33" t="s">
        <v>45</v>
      </c>
      <c r="D451" s="62" t="s">
        <v>30</v>
      </c>
      <c r="E451" s="62" t="s">
        <v>261</v>
      </c>
      <c r="F451" s="27">
        <v>9</v>
      </c>
      <c r="G451" s="34">
        <f t="shared" si="99"/>
        <v>37.800000000000004</v>
      </c>
      <c r="H451" s="33"/>
      <c r="I451" s="33"/>
      <c r="J451" s="33"/>
      <c r="K451" s="29"/>
      <c r="L451" s="29"/>
      <c r="M451" s="35" t="str">
        <f t="shared" ca="1" si="100"/>
        <v/>
      </c>
      <c r="N451" s="46"/>
      <c r="O451" s="47"/>
    </row>
    <row r="452" spans="1:15" ht="15" customHeight="1">
      <c r="A452" s="68">
        <v>46220</v>
      </c>
      <c r="B452" s="25">
        <f t="shared" si="101"/>
        <v>1.0416666666666663</v>
      </c>
      <c r="C452" s="33" t="s">
        <v>45</v>
      </c>
      <c r="D452" s="62" t="s">
        <v>30</v>
      </c>
      <c r="E452" s="62" t="s">
        <v>261</v>
      </c>
      <c r="F452" s="27">
        <v>9</v>
      </c>
      <c r="G452" s="28">
        <f t="shared" si="99"/>
        <v>37.800000000000004</v>
      </c>
      <c r="H452" s="26"/>
      <c r="I452" s="26"/>
      <c r="J452" s="26"/>
      <c r="K452" s="29"/>
      <c r="L452" s="29"/>
      <c r="M452" s="30" t="str">
        <f t="shared" ca="1" si="100"/>
        <v/>
      </c>
      <c r="N452" s="46"/>
      <c r="O452" s="47"/>
    </row>
    <row r="453" spans="1:15" ht="15" customHeight="1">
      <c r="A453" s="69">
        <v>46220</v>
      </c>
      <c r="B453" s="32">
        <f t="shared" si="101"/>
        <v>1.083333333333333</v>
      </c>
      <c r="C453" s="33" t="s">
        <v>45</v>
      </c>
      <c r="D453" s="62" t="s">
        <v>30</v>
      </c>
      <c r="E453" s="20" t="s">
        <v>261</v>
      </c>
      <c r="F453" s="27">
        <v>7</v>
      </c>
      <c r="G453" s="34">
        <f>IF(F453="","",IF(E454="PC 17",F453*4.2,IF(E454="PC 19",F453*5,"")))</f>
        <v>29.400000000000002</v>
      </c>
      <c r="H453" s="33"/>
      <c r="I453" s="33"/>
      <c r="J453" s="33"/>
      <c r="K453" s="29"/>
      <c r="L453" s="29"/>
      <c r="M453" s="35" t="str">
        <f t="shared" ca="1" si="100"/>
        <v/>
      </c>
      <c r="N453" s="46"/>
      <c r="O453" s="47"/>
    </row>
    <row r="454" spans="1:15" ht="15" customHeight="1">
      <c r="A454" s="68">
        <v>46220</v>
      </c>
      <c r="B454" s="25">
        <f t="shared" si="101"/>
        <v>1.1249999999999998</v>
      </c>
      <c r="C454" s="33" t="s">
        <v>45</v>
      </c>
      <c r="D454" s="62" t="s">
        <v>30</v>
      </c>
      <c r="E454" s="62" t="s">
        <v>261</v>
      </c>
      <c r="F454" s="27">
        <v>20</v>
      </c>
      <c r="G454" s="28">
        <v>100</v>
      </c>
      <c r="H454" s="26"/>
      <c r="I454" s="26"/>
      <c r="J454" s="26"/>
      <c r="K454" s="29"/>
      <c r="L454" s="29"/>
      <c r="M454" s="30" t="str">
        <f t="shared" ca="1" si="100"/>
        <v/>
      </c>
      <c r="N454" s="46"/>
      <c r="O454" s="47"/>
    </row>
    <row r="455" spans="1:15" ht="15" customHeight="1">
      <c r="A455" s="69">
        <v>46220</v>
      </c>
      <c r="B455" s="32">
        <f t="shared" si="101"/>
        <v>1.1666666666666665</v>
      </c>
      <c r="C455" s="33" t="s">
        <v>45</v>
      </c>
      <c r="D455" s="62" t="s">
        <v>30</v>
      </c>
      <c r="E455" s="62" t="s">
        <v>261</v>
      </c>
      <c r="F455" s="27">
        <v>25</v>
      </c>
      <c r="G455" s="34">
        <f t="shared" si="99"/>
        <v>105</v>
      </c>
      <c r="H455" s="33"/>
      <c r="I455" s="33"/>
      <c r="J455" s="33"/>
      <c r="K455" s="29"/>
      <c r="L455" s="29"/>
      <c r="M455" s="35" t="str">
        <f t="shared" ca="1" si="100"/>
        <v/>
      </c>
      <c r="N455" s="46"/>
      <c r="O455" s="47"/>
    </row>
    <row r="456" spans="1:15" ht="15" customHeight="1">
      <c r="A456" s="68">
        <v>46220</v>
      </c>
      <c r="B456" s="25">
        <f t="shared" si="101"/>
        <v>1.2083333333333333</v>
      </c>
      <c r="C456" s="33" t="s">
        <v>45</v>
      </c>
      <c r="D456" s="62" t="s">
        <v>30</v>
      </c>
      <c r="E456" s="62" t="s">
        <v>261</v>
      </c>
      <c r="F456" s="27">
        <v>20</v>
      </c>
      <c r="G456" s="28">
        <f t="shared" si="99"/>
        <v>84</v>
      </c>
      <c r="H456" s="26"/>
      <c r="I456" s="26"/>
      <c r="J456" s="26"/>
      <c r="K456" s="29"/>
      <c r="L456" s="29"/>
      <c r="M456" s="30" t="str">
        <f t="shared" ca="1" si="100"/>
        <v/>
      </c>
      <c r="N456" s="46"/>
      <c r="O456" s="47"/>
    </row>
    <row r="457" spans="1:15" ht="15" customHeight="1">
      <c r="A457" s="69">
        <v>46220</v>
      </c>
      <c r="B457" s="32">
        <f t="shared" si="101"/>
        <v>1.25</v>
      </c>
      <c r="C457" s="33" t="s">
        <v>45</v>
      </c>
      <c r="D457" s="62" t="s">
        <v>30</v>
      </c>
      <c r="E457" s="62" t="s">
        <v>261</v>
      </c>
      <c r="F457" s="27">
        <v>19</v>
      </c>
      <c r="G457" s="34">
        <f t="shared" si="99"/>
        <v>79.8</v>
      </c>
      <c r="H457" s="33"/>
      <c r="I457" s="33"/>
      <c r="J457" s="33"/>
      <c r="K457" s="29"/>
      <c r="L457" s="29"/>
      <c r="M457" s="35" t="str">
        <f t="shared" ca="1" si="100"/>
        <v/>
      </c>
      <c r="N457" s="46"/>
      <c r="O457" s="47"/>
    </row>
    <row r="458" spans="1:15" ht="15" customHeight="1">
      <c r="A458" s="68">
        <v>46220</v>
      </c>
      <c r="B458" s="25">
        <f t="shared" si="101"/>
        <v>1.2916666666666667</v>
      </c>
      <c r="C458" s="33" t="s">
        <v>45</v>
      </c>
      <c r="D458" s="62" t="s">
        <v>30</v>
      </c>
      <c r="E458" s="62" t="s">
        <v>261</v>
      </c>
      <c r="F458" s="27">
        <v>18</v>
      </c>
      <c r="G458" s="28">
        <f t="shared" si="99"/>
        <v>75.600000000000009</v>
      </c>
      <c r="H458" s="26"/>
      <c r="I458" s="26"/>
      <c r="J458" s="26"/>
      <c r="K458" s="29"/>
      <c r="L458" s="29"/>
      <c r="M458" s="30" t="str">
        <f t="shared" ca="1" si="100"/>
        <v/>
      </c>
      <c r="N458" s="46"/>
      <c r="O458" s="47"/>
    </row>
    <row r="459" spans="1:15" ht="15.75" customHeight="1">
      <c r="A459" s="119" t="s">
        <v>238</v>
      </c>
      <c r="B459" s="120"/>
      <c r="C459" s="120"/>
      <c r="D459" s="120"/>
      <c r="E459" s="121">
        <f>SUM(E447:E458)</f>
        <v>0</v>
      </c>
      <c r="F459" s="36">
        <f>SUM(F447:F458)</f>
        <v>186</v>
      </c>
      <c r="G459" s="36">
        <f>SUM(G447:G458)</f>
        <v>797.19999999999993</v>
      </c>
      <c r="H459" s="37"/>
      <c r="I459" s="37"/>
      <c r="J459" s="37"/>
      <c r="K459" s="37"/>
      <c r="L459" s="37"/>
      <c r="M459" s="38">
        <f ca="1">IFERROR(SUM(M447:M458),"")</f>
        <v>6.6666666666666763E-2</v>
      </c>
      <c r="N459" s="36" t="s">
        <v>237</v>
      </c>
      <c r="O459" s="39">
        <v>2675000</v>
      </c>
    </row>
    <row r="460" spans="1:15" ht="18" customHeight="1">
      <c r="A460" s="122" t="s">
        <v>239</v>
      </c>
      <c r="B460" s="123"/>
      <c r="C460" s="123"/>
      <c r="D460" s="123"/>
      <c r="E460" s="124">
        <f>E446+E459</f>
        <v>0</v>
      </c>
      <c r="F460" s="40">
        <f>F446+F459</f>
        <v>365</v>
      </c>
      <c r="G460" s="40">
        <f>G446+G459</f>
        <v>1692.1999999999998</v>
      </c>
      <c r="H460" s="41"/>
      <c r="I460" s="41"/>
      <c r="J460" s="41"/>
      <c r="K460" s="41"/>
      <c r="L460" s="41"/>
      <c r="M460" s="42">
        <f ca="1">IFERROR(M446+M459,"")</f>
        <v>0.30416666666666681</v>
      </c>
      <c r="N460" s="40" t="s">
        <v>240</v>
      </c>
      <c r="O460" s="48">
        <f>IFERROR(O446+O459,"")</f>
        <v>3916480</v>
      </c>
    </row>
    <row r="461" spans="1:15" ht="15" customHeight="1">
      <c r="A461" s="69">
        <v>46221</v>
      </c>
      <c r="B461" s="32">
        <v>0.33333333333333298</v>
      </c>
      <c r="C461" s="33" t="s">
        <v>21</v>
      </c>
      <c r="D461" s="62" t="s">
        <v>30</v>
      </c>
      <c r="E461" s="62"/>
      <c r="F461" s="27"/>
      <c r="G461" s="34" t="str">
        <f t="shared" ref="G461:G472" si="102">IF(F461="","",IF(E461="PC 17",F461*4.2,IF(E461="PC 19",F461*5,"")))</f>
        <v/>
      </c>
      <c r="H461" s="33"/>
      <c r="I461" s="33"/>
      <c r="J461" s="33"/>
      <c r="K461" s="29"/>
      <c r="L461" s="29"/>
      <c r="M461" s="35" t="str">
        <f t="shared" ref="M461:M472" ca="1" si="103">IFERROR(IF(K461="","",IF(L461="",MOD(NOW()-K461,1),IF(L461&gt;=K461,L461-K461,L461+1-K461))),"")</f>
        <v/>
      </c>
      <c r="N461" s="46"/>
      <c r="O461" s="47"/>
    </row>
    <row r="462" spans="1:15" ht="15" customHeight="1">
      <c r="A462" s="68">
        <v>46221</v>
      </c>
      <c r="B462" s="25">
        <f t="shared" ref="B462:B472" si="104">B461+TIME(0,60,0)</f>
        <v>0.37499999999999967</v>
      </c>
      <c r="C462" s="33" t="s">
        <v>21</v>
      </c>
      <c r="D462" s="62" t="s">
        <v>30</v>
      </c>
      <c r="E462" s="62"/>
      <c r="F462" s="27"/>
      <c r="G462" s="28" t="str">
        <f t="shared" si="102"/>
        <v/>
      </c>
      <c r="H462" s="26"/>
      <c r="I462" s="26"/>
      <c r="J462" s="26"/>
      <c r="K462" s="29"/>
      <c r="L462" s="29"/>
      <c r="M462" s="30" t="str">
        <f t="shared" ca="1" si="103"/>
        <v/>
      </c>
      <c r="N462" s="46"/>
      <c r="O462" s="47"/>
    </row>
    <row r="463" spans="1:15" ht="15" customHeight="1">
      <c r="A463" s="69">
        <v>46221</v>
      </c>
      <c r="B463" s="32">
        <f t="shared" si="104"/>
        <v>0.41666666666666635</v>
      </c>
      <c r="C463" s="33" t="s">
        <v>21</v>
      </c>
      <c r="D463" s="62" t="s">
        <v>30</v>
      </c>
      <c r="E463" s="62" t="s">
        <v>234</v>
      </c>
      <c r="F463" s="27">
        <v>4</v>
      </c>
      <c r="G463" s="34">
        <f t="shared" si="102"/>
        <v>20</v>
      </c>
      <c r="H463" s="33"/>
      <c r="I463" s="33"/>
      <c r="J463" s="33"/>
      <c r="K463" s="29"/>
      <c r="L463" s="29"/>
      <c r="M463" s="51" t="str">
        <f t="shared" ca="1" si="103"/>
        <v/>
      </c>
      <c r="N463" s="52"/>
      <c r="O463" s="47"/>
    </row>
    <row r="464" spans="1:15" ht="15" customHeight="1">
      <c r="A464" s="68">
        <v>46221</v>
      </c>
      <c r="B464" s="25">
        <f t="shared" si="104"/>
        <v>0.45833333333333304</v>
      </c>
      <c r="C464" s="33" t="s">
        <v>21</v>
      </c>
      <c r="D464" s="62" t="s">
        <v>30</v>
      </c>
      <c r="E464" s="62"/>
      <c r="F464" s="27"/>
      <c r="G464" s="28" t="str">
        <f t="shared" si="102"/>
        <v/>
      </c>
      <c r="H464" s="26"/>
      <c r="I464" s="26"/>
      <c r="J464" s="26"/>
      <c r="K464" s="29"/>
      <c r="L464" s="29"/>
      <c r="M464" s="30" t="str">
        <f t="shared" ca="1" si="103"/>
        <v/>
      </c>
      <c r="N464" s="46"/>
      <c r="O464" s="47"/>
    </row>
    <row r="465" spans="1:15" ht="15" customHeight="1">
      <c r="A465" s="69">
        <v>46221</v>
      </c>
      <c r="B465" s="32">
        <f t="shared" si="104"/>
        <v>0.49999999999999972</v>
      </c>
      <c r="C465" s="33" t="s">
        <v>21</v>
      </c>
      <c r="D465" s="62" t="s">
        <v>30</v>
      </c>
      <c r="E465" s="62"/>
      <c r="F465" s="27"/>
      <c r="G465" s="34" t="str">
        <f t="shared" si="102"/>
        <v/>
      </c>
      <c r="H465" s="33"/>
      <c r="I465" s="33"/>
      <c r="J465" s="33"/>
      <c r="K465" s="29"/>
      <c r="L465" s="29"/>
      <c r="M465" s="35" t="str">
        <f t="shared" ca="1" si="103"/>
        <v/>
      </c>
      <c r="N465" s="53"/>
      <c r="O465" s="47"/>
    </row>
    <row r="466" spans="1:15" ht="15" customHeight="1">
      <c r="A466" s="68">
        <v>46221</v>
      </c>
      <c r="B466" s="25">
        <f t="shared" si="104"/>
        <v>0.54166666666666641</v>
      </c>
      <c r="C466" s="33" t="s">
        <v>21</v>
      </c>
      <c r="D466" s="62" t="s">
        <v>30</v>
      </c>
      <c r="E466" s="62" t="s">
        <v>234</v>
      </c>
      <c r="F466" s="27">
        <v>40</v>
      </c>
      <c r="G466" s="28">
        <f>IF(F466="","",IF(E466="PC 17",F466*4.2,IF(E466="PC 19",F466*5,"")))</f>
        <v>200</v>
      </c>
      <c r="H466" s="26"/>
      <c r="I466" s="26"/>
      <c r="J466" s="26"/>
      <c r="K466" s="29"/>
      <c r="L466" s="29"/>
      <c r="M466" s="30" t="str">
        <f t="shared" ca="1" si="103"/>
        <v/>
      </c>
      <c r="N466" s="53"/>
      <c r="O466" s="47"/>
    </row>
    <row r="467" spans="1:15" ht="15" customHeight="1">
      <c r="A467" s="69">
        <v>46221</v>
      </c>
      <c r="B467" s="32">
        <f t="shared" si="104"/>
        <v>0.58333333333333304</v>
      </c>
      <c r="C467" s="33" t="s">
        <v>21</v>
      </c>
      <c r="D467" s="62" t="s">
        <v>30</v>
      </c>
      <c r="E467" s="62"/>
      <c r="F467" s="27"/>
      <c r="G467" s="34" t="str">
        <f t="shared" si="102"/>
        <v/>
      </c>
      <c r="H467" s="33"/>
      <c r="I467" s="33"/>
      <c r="J467" s="33"/>
      <c r="K467" s="29"/>
      <c r="L467" s="29"/>
      <c r="M467" s="35" t="str">
        <f t="shared" ca="1" si="103"/>
        <v/>
      </c>
      <c r="N467" s="46"/>
      <c r="O467" s="47"/>
    </row>
    <row r="468" spans="1:15" ht="15" customHeight="1">
      <c r="A468" s="68">
        <v>46221</v>
      </c>
      <c r="B468" s="25">
        <f t="shared" si="104"/>
        <v>0.62499999999999967</v>
      </c>
      <c r="C468" s="33" t="s">
        <v>21</v>
      </c>
      <c r="D468" s="62" t="s">
        <v>30</v>
      </c>
      <c r="E468" s="62"/>
      <c r="F468" s="27"/>
      <c r="G468" s="28" t="str">
        <f t="shared" si="102"/>
        <v/>
      </c>
      <c r="H468" s="26"/>
      <c r="I468" s="26"/>
      <c r="J468" s="26"/>
      <c r="K468" s="29"/>
      <c r="L468" s="29"/>
      <c r="M468" s="30" t="str">
        <f t="shared" ca="1" si="103"/>
        <v/>
      </c>
      <c r="N468" s="46"/>
      <c r="O468" s="47"/>
    </row>
    <row r="469" spans="1:15" ht="15" customHeight="1">
      <c r="A469" s="69">
        <v>46221</v>
      </c>
      <c r="B469" s="32">
        <f t="shared" si="104"/>
        <v>0.6666666666666663</v>
      </c>
      <c r="C469" s="33" t="s">
        <v>21</v>
      </c>
      <c r="D469" s="62" t="s">
        <v>30</v>
      </c>
      <c r="E469" s="62"/>
      <c r="F469" s="27"/>
      <c r="G469" s="34" t="str">
        <f t="shared" si="102"/>
        <v/>
      </c>
      <c r="H469" s="33"/>
      <c r="I469" s="33"/>
      <c r="J469" s="33"/>
      <c r="K469" s="29"/>
      <c r="L469" s="29"/>
      <c r="M469" s="35" t="str">
        <f t="shared" ca="1" si="103"/>
        <v/>
      </c>
      <c r="N469" s="46"/>
      <c r="O469" s="47"/>
    </row>
    <row r="470" spans="1:15" ht="15" customHeight="1">
      <c r="A470" s="68">
        <v>46221</v>
      </c>
      <c r="B470" s="25">
        <f t="shared" si="104"/>
        <v>0.70833333333333293</v>
      </c>
      <c r="C470" s="33" t="s">
        <v>21</v>
      </c>
      <c r="D470" s="62" t="s">
        <v>30</v>
      </c>
      <c r="E470" s="62"/>
      <c r="F470" s="27"/>
      <c r="G470" s="28" t="str">
        <f t="shared" si="102"/>
        <v/>
      </c>
      <c r="H470" s="26"/>
      <c r="I470" s="26"/>
      <c r="J470" s="26"/>
      <c r="K470" s="29"/>
      <c r="L470" s="29"/>
      <c r="M470" s="30" t="str">
        <f t="shared" ca="1" si="103"/>
        <v/>
      </c>
      <c r="N470" s="46"/>
      <c r="O470" s="47"/>
    </row>
    <row r="471" spans="1:15" ht="15" customHeight="1">
      <c r="A471" s="69">
        <v>46221</v>
      </c>
      <c r="B471" s="32">
        <f t="shared" si="104"/>
        <v>0.74999999999999956</v>
      </c>
      <c r="C471" s="33" t="s">
        <v>21</v>
      </c>
      <c r="D471" s="62" t="s">
        <v>30</v>
      </c>
      <c r="E471" s="62"/>
      <c r="F471" s="27"/>
      <c r="G471" s="34" t="str">
        <f t="shared" si="102"/>
        <v/>
      </c>
      <c r="H471" s="33"/>
      <c r="I471" s="33"/>
      <c r="J471" s="33"/>
      <c r="K471" s="29"/>
      <c r="L471" s="29"/>
      <c r="M471" s="35" t="str">
        <f t="shared" ca="1" si="103"/>
        <v/>
      </c>
      <c r="N471" s="46"/>
      <c r="O471" s="47"/>
    </row>
    <row r="472" spans="1:15" ht="15" customHeight="1">
      <c r="A472" s="68">
        <v>46221</v>
      </c>
      <c r="B472" s="25">
        <f t="shared" si="104"/>
        <v>0.79166666666666619</v>
      </c>
      <c r="C472" s="33" t="s">
        <v>21</v>
      </c>
      <c r="D472" s="62" t="s">
        <v>30</v>
      </c>
      <c r="E472" s="62"/>
      <c r="F472" s="27"/>
      <c r="G472" s="28" t="str">
        <f t="shared" si="102"/>
        <v/>
      </c>
      <c r="H472" s="26"/>
      <c r="I472" s="26"/>
      <c r="J472" s="26"/>
      <c r="K472" s="29"/>
      <c r="L472" s="29"/>
      <c r="M472" s="30" t="str">
        <f t="shared" ca="1" si="103"/>
        <v/>
      </c>
      <c r="N472" s="46"/>
      <c r="O472" s="47"/>
    </row>
    <row r="473" spans="1:15" ht="15.75" customHeight="1">
      <c r="A473" s="119" t="s">
        <v>236</v>
      </c>
      <c r="B473" s="120"/>
      <c r="C473" s="120"/>
      <c r="D473" s="120"/>
      <c r="E473" s="121">
        <f>SUM(E461:E472)</f>
        <v>0</v>
      </c>
      <c r="F473" s="36">
        <f>SUM(F461:F472)</f>
        <v>44</v>
      </c>
      <c r="G473" s="36">
        <f>SUM(G461:G472)</f>
        <v>220</v>
      </c>
      <c r="H473" s="37"/>
      <c r="I473" s="37"/>
      <c r="J473" s="37"/>
      <c r="K473" s="37"/>
      <c r="L473" s="37"/>
      <c r="M473" s="38">
        <f ca="1">IFERROR(SUM(M461:M472),"")</f>
        <v>0</v>
      </c>
      <c r="N473" s="36" t="s">
        <v>237</v>
      </c>
      <c r="O473" s="39">
        <v>2034810</v>
      </c>
    </row>
    <row r="474" spans="1:15" ht="15" customHeight="1">
      <c r="A474" s="68">
        <v>46221</v>
      </c>
      <c r="B474" s="25">
        <v>0.83333333333333304</v>
      </c>
      <c r="C474" s="26" t="s">
        <v>45</v>
      </c>
      <c r="D474" s="59" t="s">
        <v>30</v>
      </c>
      <c r="E474" s="59"/>
      <c r="F474" s="27"/>
      <c r="G474" s="28" t="str">
        <f t="shared" ref="G474:G485" si="105">IF(F474="","",IF(E474="PC 17",F474*4.2,IF(E474="PC 19",F474*5,"")))</f>
        <v/>
      </c>
      <c r="H474" s="26"/>
      <c r="I474" s="26"/>
      <c r="J474" s="26"/>
      <c r="K474" s="29"/>
      <c r="L474" s="29"/>
      <c r="M474" s="30" t="str">
        <f t="shared" ref="M474:M485" ca="1" si="106">IFERROR(IF(K474="","",IF(L474="",MOD(NOW()-K474,1),IF(L474&gt;=K474,L474-K474,L474+1-K474))),"")</f>
        <v/>
      </c>
      <c r="N474" s="46"/>
      <c r="O474" s="47"/>
    </row>
    <row r="475" spans="1:15" ht="15" customHeight="1">
      <c r="A475" s="69">
        <v>46221</v>
      </c>
      <c r="B475" s="32">
        <f t="shared" ref="B475:B485" si="107">B474+TIME(0,60,0)</f>
        <v>0.87499999999999967</v>
      </c>
      <c r="C475" s="26" t="s">
        <v>45</v>
      </c>
      <c r="D475" s="59" t="s">
        <v>30</v>
      </c>
      <c r="E475" s="59" t="s">
        <v>234</v>
      </c>
      <c r="F475" s="27">
        <v>10</v>
      </c>
      <c r="G475" s="34">
        <f t="shared" si="105"/>
        <v>50</v>
      </c>
      <c r="H475" s="33"/>
      <c r="I475" s="33"/>
      <c r="J475" s="33"/>
      <c r="K475" s="29"/>
      <c r="L475" s="29"/>
      <c r="M475" s="35" t="str">
        <f t="shared" ca="1" si="106"/>
        <v/>
      </c>
      <c r="N475" s="46"/>
      <c r="O475" s="47"/>
    </row>
    <row r="476" spans="1:15" ht="15" customHeight="1">
      <c r="A476" s="68">
        <v>46221</v>
      </c>
      <c r="B476" s="25">
        <f t="shared" si="107"/>
        <v>0.9166666666666663</v>
      </c>
      <c r="C476" s="26" t="s">
        <v>45</v>
      </c>
      <c r="D476" s="59" t="s">
        <v>30</v>
      </c>
      <c r="E476" s="59"/>
      <c r="F476" s="27"/>
      <c r="G476" s="28" t="str">
        <f t="shared" si="105"/>
        <v/>
      </c>
      <c r="H476" s="26"/>
      <c r="I476" s="26"/>
      <c r="J476" s="26"/>
      <c r="K476" s="29"/>
      <c r="L476" s="29"/>
      <c r="M476" s="30" t="str">
        <f t="shared" ca="1" si="106"/>
        <v/>
      </c>
      <c r="N476" s="46"/>
      <c r="O476" s="47"/>
    </row>
    <row r="477" spans="1:15" ht="15" customHeight="1">
      <c r="A477" s="69">
        <v>46221</v>
      </c>
      <c r="B477" s="32">
        <f t="shared" si="107"/>
        <v>0.95833333333333293</v>
      </c>
      <c r="C477" s="26" t="s">
        <v>45</v>
      </c>
      <c r="D477" s="59" t="s">
        <v>30</v>
      </c>
      <c r="E477" s="59"/>
      <c r="F477" s="27"/>
      <c r="G477" s="34" t="str">
        <f t="shared" si="105"/>
        <v/>
      </c>
      <c r="H477" s="33"/>
      <c r="I477" s="33"/>
      <c r="J477" s="33"/>
      <c r="K477" s="29"/>
      <c r="L477" s="29"/>
      <c r="M477" s="35" t="str">
        <f t="shared" ca="1" si="106"/>
        <v/>
      </c>
      <c r="N477" s="46"/>
      <c r="O477" s="47"/>
    </row>
    <row r="478" spans="1:15" ht="15" customHeight="1">
      <c r="A478" s="68">
        <v>46221</v>
      </c>
      <c r="B478" s="25">
        <f t="shared" si="107"/>
        <v>0.99999999999999956</v>
      </c>
      <c r="C478" s="26" t="s">
        <v>45</v>
      </c>
      <c r="D478" s="59" t="s">
        <v>30</v>
      </c>
      <c r="E478" s="59"/>
      <c r="F478" s="27"/>
      <c r="G478" s="28" t="str">
        <f t="shared" si="105"/>
        <v/>
      </c>
      <c r="H478" s="26"/>
      <c r="I478" s="26"/>
      <c r="J478" s="26"/>
      <c r="K478" s="29"/>
      <c r="L478" s="29"/>
      <c r="M478" s="30" t="str">
        <f t="shared" ca="1" si="106"/>
        <v/>
      </c>
      <c r="N478" s="46"/>
      <c r="O478" s="47"/>
    </row>
    <row r="479" spans="1:15" ht="15" customHeight="1">
      <c r="A479" s="69">
        <v>46221</v>
      </c>
      <c r="B479" s="32">
        <f t="shared" si="107"/>
        <v>1.0416666666666663</v>
      </c>
      <c r="C479" s="26" t="s">
        <v>45</v>
      </c>
      <c r="D479" s="59" t="s">
        <v>30</v>
      </c>
      <c r="E479" s="59"/>
      <c r="F479" s="27"/>
      <c r="G479" s="34" t="str">
        <f t="shared" si="105"/>
        <v/>
      </c>
      <c r="H479" s="33"/>
      <c r="I479" s="33"/>
      <c r="J479" s="33"/>
      <c r="K479" s="29"/>
      <c r="L479" s="29"/>
      <c r="M479" s="35" t="str">
        <f t="shared" ca="1" si="106"/>
        <v/>
      </c>
      <c r="N479" s="46"/>
      <c r="O479" s="47"/>
    </row>
    <row r="480" spans="1:15" ht="15" customHeight="1">
      <c r="A480" s="68">
        <v>46221</v>
      </c>
      <c r="B480" s="25">
        <f t="shared" si="107"/>
        <v>1.083333333333333</v>
      </c>
      <c r="C480" s="26" t="s">
        <v>45</v>
      </c>
      <c r="D480" s="59" t="s">
        <v>30</v>
      </c>
      <c r="E480" s="59"/>
      <c r="F480" s="27"/>
      <c r="G480" s="28" t="str">
        <f t="shared" si="105"/>
        <v/>
      </c>
      <c r="H480" s="26"/>
      <c r="I480" s="26"/>
      <c r="J480" s="26"/>
      <c r="K480" s="29"/>
      <c r="L480" s="29"/>
      <c r="M480" s="30" t="str">
        <f t="shared" ca="1" si="106"/>
        <v/>
      </c>
      <c r="N480" s="46"/>
      <c r="O480" s="47"/>
    </row>
    <row r="481" spans="1:15" ht="15" customHeight="1">
      <c r="A481" s="69">
        <v>46221</v>
      </c>
      <c r="B481" s="32">
        <f t="shared" si="107"/>
        <v>1.1249999999999998</v>
      </c>
      <c r="C481" s="26" t="s">
        <v>45</v>
      </c>
      <c r="D481" s="59" t="s">
        <v>30</v>
      </c>
      <c r="E481" s="59"/>
      <c r="F481" s="27"/>
      <c r="G481" s="34" t="str">
        <f t="shared" si="105"/>
        <v/>
      </c>
      <c r="H481" s="33"/>
      <c r="I481" s="33"/>
      <c r="J481" s="33"/>
      <c r="K481" s="29"/>
      <c r="L481" s="29"/>
      <c r="M481" s="35" t="str">
        <f t="shared" ca="1" si="106"/>
        <v/>
      </c>
      <c r="N481" s="46"/>
      <c r="O481" s="47"/>
    </row>
    <row r="482" spans="1:15" ht="15" customHeight="1">
      <c r="A482" s="68">
        <v>46221</v>
      </c>
      <c r="B482" s="25">
        <f t="shared" si="107"/>
        <v>1.1666666666666665</v>
      </c>
      <c r="C482" s="26" t="s">
        <v>45</v>
      </c>
      <c r="D482" s="59" t="s">
        <v>30</v>
      </c>
      <c r="E482" s="59"/>
      <c r="F482" s="27"/>
      <c r="G482" s="28" t="str">
        <f t="shared" si="105"/>
        <v/>
      </c>
      <c r="H482" s="26"/>
      <c r="I482" s="26"/>
      <c r="J482" s="26"/>
      <c r="K482" s="29"/>
      <c r="L482" s="29"/>
      <c r="M482" s="30" t="str">
        <f t="shared" ca="1" si="106"/>
        <v/>
      </c>
      <c r="N482" s="46"/>
      <c r="O482" s="47"/>
    </row>
    <row r="483" spans="1:15" ht="15" customHeight="1">
      <c r="A483" s="69">
        <v>46221</v>
      </c>
      <c r="B483" s="32">
        <f t="shared" si="107"/>
        <v>1.2083333333333333</v>
      </c>
      <c r="C483" s="26" t="s">
        <v>45</v>
      </c>
      <c r="D483" s="59" t="s">
        <v>30</v>
      </c>
      <c r="E483" s="59"/>
      <c r="F483" s="27"/>
      <c r="G483" s="34" t="str">
        <f t="shared" si="105"/>
        <v/>
      </c>
      <c r="H483" s="33"/>
      <c r="I483" s="33"/>
      <c r="J483" s="33"/>
      <c r="K483" s="29"/>
      <c r="L483" s="29"/>
      <c r="M483" s="35" t="str">
        <f t="shared" ca="1" si="106"/>
        <v/>
      </c>
      <c r="N483" s="46"/>
      <c r="O483" s="47"/>
    </row>
    <row r="484" spans="1:15" ht="15" customHeight="1">
      <c r="A484" s="68">
        <v>46221</v>
      </c>
      <c r="B484" s="25">
        <f t="shared" si="107"/>
        <v>1.25</v>
      </c>
      <c r="C484" s="26" t="s">
        <v>45</v>
      </c>
      <c r="D484" s="59" t="s">
        <v>30</v>
      </c>
      <c r="E484" s="59"/>
      <c r="F484" s="27"/>
      <c r="G484" s="28" t="str">
        <f t="shared" si="105"/>
        <v/>
      </c>
      <c r="H484" s="26"/>
      <c r="I484" s="26"/>
      <c r="J484" s="26"/>
      <c r="K484" s="29"/>
      <c r="L484" s="29"/>
      <c r="M484" s="30" t="str">
        <f t="shared" ca="1" si="106"/>
        <v/>
      </c>
      <c r="N484" s="46"/>
      <c r="O484" s="47"/>
    </row>
    <row r="485" spans="1:15" ht="15" customHeight="1">
      <c r="A485" s="69">
        <v>46221</v>
      </c>
      <c r="B485" s="32">
        <f t="shared" si="107"/>
        <v>1.2916666666666667</v>
      </c>
      <c r="C485" s="26" t="s">
        <v>45</v>
      </c>
      <c r="D485" s="59" t="s">
        <v>30</v>
      </c>
      <c r="E485" s="59"/>
      <c r="F485" s="27"/>
      <c r="G485" s="34" t="str">
        <f t="shared" si="105"/>
        <v/>
      </c>
      <c r="H485" s="33"/>
      <c r="I485" s="33"/>
      <c r="J485" s="33"/>
      <c r="K485" s="29"/>
      <c r="L485" s="29"/>
      <c r="M485" s="35" t="str">
        <f t="shared" ca="1" si="106"/>
        <v/>
      </c>
      <c r="N485" s="46"/>
      <c r="O485" s="47"/>
    </row>
    <row r="486" spans="1:15" ht="15.75" customHeight="1">
      <c r="A486" s="119" t="s">
        <v>238</v>
      </c>
      <c r="B486" s="120"/>
      <c r="C486" s="120"/>
      <c r="D486" s="120"/>
      <c r="E486" s="121">
        <f>SUM(E474:E485)</f>
        <v>0</v>
      </c>
      <c r="F486" s="36">
        <f>SUM(F474:F485)</f>
        <v>10</v>
      </c>
      <c r="G486" s="36">
        <f>SUM(G474:G485)</f>
        <v>50</v>
      </c>
      <c r="H486" s="37"/>
      <c r="I486" s="37"/>
      <c r="J486" s="37"/>
      <c r="K486" s="37"/>
      <c r="L486" s="37"/>
      <c r="M486" s="38">
        <f ca="1">IFERROR(SUM(M474:M485),"")</f>
        <v>0</v>
      </c>
      <c r="N486" s="36" t="s">
        <v>237</v>
      </c>
      <c r="O486" s="39">
        <v>2310070</v>
      </c>
    </row>
    <row r="487" spans="1:15" ht="18" customHeight="1">
      <c r="A487" s="122" t="s">
        <v>239</v>
      </c>
      <c r="B487" s="123"/>
      <c r="C487" s="123"/>
      <c r="D487" s="123"/>
      <c r="E487" s="124">
        <f>E473+E486</f>
        <v>0</v>
      </c>
      <c r="F487" s="40">
        <f>F473+F486</f>
        <v>54</v>
      </c>
      <c r="G487" s="40">
        <f>G473+G486</f>
        <v>270</v>
      </c>
      <c r="H487" s="41"/>
      <c r="I487" s="41"/>
      <c r="J487" s="41"/>
      <c r="K487" s="41"/>
      <c r="L487" s="41"/>
      <c r="M487" s="42">
        <f ca="1">IFERROR(M473+M486,"")</f>
        <v>0</v>
      </c>
      <c r="N487" s="40" t="s">
        <v>240</v>
      </c>
      <c r="O487" s="48">
        <f>IFERROR(O473+O486,"")</f>
        <v>4344880</v>
      </c>
    </row>
    <row r="488" spans="1:15" ht="15" customHeight="1">
      <c r="A488" s="68">
        <v>46222</v>
      </c>
      <c r="B488" s="25">
        <v>0.33333333333333298</v>
      </c>
      <c r="C488" s="26" t="s">
        <v>21</v>
      </c>
      <c r="D488" s="59" t="s">
        <v>30</v>
      </c>
      <c r="E488" s="59"/>
      <c r="F488" s="27"/>
      <c r="G488" s="28" t="str">
        <f t="shared" ref="G488:G499" si="108">IF(F488="","",IF(E488="PC 17",F488*4.2,IF(E488="PC 19",F488*5,"")))</f>
        <v/>
      </c>
      <c r="H488" s="26" t="s">
        <v>18</v>
      </c>
      <c r="I488" s="26" t="s">
        <v>23</v>
      </c>
      <c r="J488" s="26" t="s">
        <v>164</v>
      </c>
      <c r="K488" s="29">
        <v>0.41319444444444442</v>
      </c>
      <c r="L488" s="29">
        <v>0.4201388888888889</v>
      </c>
      <c r="M488" s="30">
        <f t="shared" ref="M488:M499" ca="1" si="109">IFERROR(IF(K488="","",IF(L488="",MOD(NOW()-K488,1),IF(L488&gt;=K488,L488-K488,L488+1-K488))),"")</f>
        <v>6.9444444444444753E-3</v>
      </c>
      <c r="N488" s="46"/>
      <c r="O488" s="47"/>
    </row>
    <row r="489" spans="1:15" ht="15" customHeight="1">
      <c r="A489" s="69">
        <v>46222</v>
      </c>
      <c r="B489" s="32">
        <f t="shared" ref="B489:B499" si="110">B488+TIME(0,60,0)</f>
        <v>0.37499999999999967</v>
      </c>
      <c r="C489" s="26" t="s">
        <v>21</v>
      </c>
      <c r="D489" s="59" t="s">
        <v>30</v>
      </c>
      <c r="E489" s="59"/>
      <c r="F489" s="27"/>
      <c r="G489" s="34" t="str">
        <f t="shared" si="108"/>
        <v/>
      </c>
      <c r="H489" s="33" t="s">
        <v>20</v>
      </c>
      <c r="I489" s="33" t="s">
        <v>23</v>
      </c>
      <c r="J489" s="33" t="s">
        <v>187</v>
      </c>
      <c r="K489" s="29">
        <v>0.4465277777777778</v>
      </c>
      <c r="L489" s="29">
        <v>0.49027777777777776</v>
      </c>
      <c r="M489" s="35">
        <f t="shared" ca="1" si="109"/>
        <v>4.3749999999999956E-2</v>
      </c>
      <c r="N489" s="46"/>
      <c r="O489" s="47"/>
    </row>
    <row r="490" spans="1:15" ht="15" customHeight="1">
      <c r="A490" s="68">
        <v>46222</v>
      </c>
      <c r="B490" s="25">
        <f t="shared" si="110"/>
        <v>0.41666666666666635</v>
      </c>
      <c r="C490" s="26" t="s">
        <v>21</v>
      </c>
      <c r="D490" s="59" t="s">
        <v>30</v>
      </c>
      <c r="E490" s="59"/>
      <c r="F490" s="27"/>
      <c r="G490" s="28" t="str">
        <f t="shared" si="108"/>
        <v/>
      </c>
      <c r="H490" s="26"/>
      <c r="I490" s="26"/>
      <c r="J490" s="26"/>
      <c r="K490" s="29"/>
      <c r="L490" s="29"/>
      <c r="M490" s="30" t="str">
        <f t="shared" ca="1" si="109"/>
        <v/>
      </c>
      <c r="N490" s="46"/>
      <c r="O490" s="47"/>
    </row>
    <row r="491" spans="1:15" ht="15" customHeight="1">
      <c r="A491" s="69">
        <v>46222</v>
      </c>
      <c r="B491" s="32">
        <f t="shared" si="110"/>
        <v>0.45833333333333304</v>
      </c>
      <c r="C491" s="26" t="s">
        <v>21</v>
      </c>
      <c r="D491" s="59" t="s">
        <v>30</v>
      </c>
      <c r="E491" s="59"/>
      <c r="F491" s="27"/>
      <c r="G491" s="34" t="str">
        <f t="shared" si="108"/>
        <v/>
      </c>
      <c r="H491" s="33"/>
      <c r="I491" s="33"/>
      <c r="J491" s="33"/>
      <c r="K491" s="29"/>
      <c r="L491" s="29"/>
      <c r="M491" s="35" t="str">
        <f t="shared" ca="1" si="109"/>
        <v/>
      </c>
      <c r="N491" s="46"/>
      <c r="O491" s="47"/>
    </row>
    <row r="492" spans="1:15" ht="15" customHeight="1">
      <c r="A492" s="68">
        <v>46222</v>
      </c>
      <c r="B492" s="25">
        <f t="shared" si="110"/>
        <v>0.49999999999999972</v>
      </c>
      <c r="C492" s="26" t="s">
        <v>21</v>
      </c>
      <c r="D492" s="59" t="s">
        <v>30</v>
      </c>
      <c r="E492" s="59"/>
      <c r="F492" s="27"/>
      <c r="G492" s="28" t="str">
        <f t="shared" si="108"/>
        <v/>
      </c>
      <c r="H492" s="26"/>
      <c r="I492" s="26"/>
      <c r="J492" s="26"/>
      <c r="K492" s="29"/>
      <c r="L492" s="29"/>
      <c r="M492" s="30" t="str">
        <f t="shared" ca="1" si="109"/>
        <v/>
      </c>
      <c r="N492" s="46"/>
      <c r="O492" s="47"/>
    </row>
    <row r="493" spans="1:15" ht="15" customHeight="1">
      <c r="A493" s="69">
        <v>46222</v>
      </c>
      <c r="B493" s="32">
        <f t="shared" si="110"/>
        <v>0.54166666666666641</v>
      </c>
      <c r="C493" s="26" t="s">
        <v>21</v>
      </c>
      <c r="D493" s="59" t="s">
        <v>30</v>
      </c>
      <c r="E493" s="59" t="s">
        <v>261</v>
      </c>
      <c r="F493" s="27">
        <v>30</v>
      </c>
      <c r="G493" s="34">
        <f t="shared" si="108"/>
        <v>126</v>
      </c>
      <c r="H493" s="33"/>
      <c r="I493" s="33"/>
      <c r="J493" s="33"/>
      <c r="K493" s="29"/>
      <c r="L493" s="29"/>
      <c r="M493" s="35" t="str">
        <f t="shared" ca="1" si="109"/>
        <v/>
      </c>
      <c r="N493" s="46"/>
      <c r="O493" s="47"/>
    </row>
    <row r="494" spans="1:15" ht="15" customHeight="1">
      <c r="A494" s="68">
        <v>46222</v>
      </c>
      <c r="B494" s="25">
        <f t="shared" si="110"/>
        <v>0.58333333333333304</v>
      </c>
      <c r="C494" s="26" t="s">
        <v>21</v>
      </c>
      <c r="D494" s="59" t="s">
        <v>30</v>
      </c>
      <c r="E494" s="59" t="s">
        <v>261</v>
      </c>
      <c r="F494" s="27">
        <v>61</v>
      </c>
      <c r="G494" s="28">
        <f t="shared" si="108"/>
        <v>256.2</v>
      </c>
      <c r="H494" s="26"/>
      <c r="I494" s="26"/>
      <c r="J494" s="26"/>
      <c r="K494" s="29"/>
      <c r="L494" s="29"/>
      <c r="M494" s="30" t="str">
        <f t="shared" ca="1" si="109"/>
        <v/>
      </c>
      <c r="N494" s="46"/>
      <c r="O494" s="47"/>
    </row>
    <row r="495" spans="1:15" ht="15" customHeight="1">
      <c r="A495" s="69">
        <v>46222</v>
      </c>
      <c r="B495" s="32">
        <f t="shared" si="110"/>
        <v>0.62499999999999967</v>
      </c>
      <c r="C495" s="26" t="s">
        <v>21</v>
      </c>
      <c r="D495" s="59" t="s">
        <v>30</v>
      </c>
      <c r="E495" s="59" t="s">
        <v>234</v>
      </c>
      <c r="F495" s="27">
        <v>35</v>
      </c>
      <c r="G495" s="34">
        <f t="shared" si="108"/>
        <v>175</v>
      </c>
      <c r="H495" s="33"/>
      <c r="I495" s="33"/>
      <c r="J495" s="33"/>
      <c r="K495" s="29"/>
      <c r="L495" s="29"/>
      <c r="M495" s="35" t="str">
        <f t="shared" ca="1" si="109"/>
        <v/>
      </c>
      <c r="N495" s="46"/>
      <c r="O495" s="47"/>
    </row>
    <row r="496" spans="1:15" ht="15" customHeight="1">
      <c r="A496" s="68">
        <v>46222</v>
      </c>
      <c r="B496" s="25">
        <f t="shared" si="110"/>
        <v>0.6666666666666663</v>
      </c>
      <c r="C496" s="26" t="s">
        <v>21</v>
      </c>
      <c r="D496" s="59" t="s">
        <v>30</v>
      </c>
      <c r="E496" s="59" t="s">
        <v>234</v>
      </c>
      <c r="F496" s="27">
        <v>35</v>
      </c>
      <c r="G496" s="28">
        <f t="shared" si="108"/>
        <v>175</v>
      </c>
      <c r="H496" s="26"/>
      <c r="I496" s="26"/>
      <c r="J496" s="26"/>
      <c r="K496" s="29"/>
      <c r="L496" s="29"/>
      <c r="M496" s="30" t="str">
        <f t="shared" ca="1" si="109"/>
        <v/>
      </c>
      <c r="N496" s="46"/>
      <c r="O496" s="47"/>
    </row>
    <row r="497" spans="1:15" ht="15" customHeight="1">
      <c r="A497" s="69">
        <v>46222</v>
      </c>
      <c r="B497" s="32">
        <f t="shared" si="110"/>
        <v>0.70833333333333293</v>
      </c>
      <c r="C497" s="26" t="s">
        <v>21</v>
      </c>
      <c r="D497" s="59" t="s">
        <v>30</v>
      </c>
      <c r="E497" s="59" t="s">
        <v>234</v>
      </c>
      <c r="F497" s="27">
        <v>25</v>
      </c>
      <c r="G497" s="34">
        <f t="shared" si="108"/>
        <v>125</v>
      </c>
      <c r="H497" s="33"/>
      <c r="I497" s="33"/>
      <c r="J497" s="33"/>
      <c r="K497" s="29"/>
      <c r="L497" s="29"/>
      <c r="M497" s="35" t="str">
        <f t="shared" ca="1" si="109"/>
        <v/>
      </c>
      <c r="N497" s="46"/>
      <c r="O497" s="47"/>
    </row>
    <row r="498" spans="1:15" ht="15" customHeight="1">
      <c r="A498" s="68">
        <v>46222</v>
      </c>
      <c r="B498" s="25">
        <f t="shared" si="110"/>
        <v>0.74999999999999956</v>
      </c>
      <c r="C498" s="26" t="s">
        <v>21</v>
      </c>
      <c r="D498" s="59" t="s">
        <v>30</v>
      </c>
      <c r="E498" s="59" t="s">
        <v>234</v>
      </c>
      <c r="F498" s="27">
        <v>30</v>
      </c>
      <c r="G498" s="28">
        <f t="shared" si="108"/>
        <v>150</v>
      </c>
      <c r="H498" s="26"/>
      <c r="I498" s="26"/>
      <c r="J498" s="26"/>
      <c r="K498" s="29"/>
      <c r="L498" s="29"/>
      <c r="M498" s="30" t="str">
        <f t="shared" ca="1" si="109"/>
        <v/>
      </c>
      <c r="N498" s="46"/>
      <c r="O498" s="47"/>
    </row>
    <row r="499" spans="1:15" ht="15" customHeight="1">
      <c r="A499" s="69">
        <v>46222</v>
      </c>
      <c r="B499" s="32">
        <f t="shared" si="110"/>
        <v>0.79166666666666619</v>
      </c>
      <c r="C499" s="26" t="s">
        <v>21</v>
      </c>
      <c r="D499" s="59" t="s">
        <v>30</v>
      </c>
      <c r="E499" s="59" t="s">
        <v>234</v>
      </c>
      <c r="F499" s="27">
        <v>15</v>
      </c>
      <c r="G499" s="34">
        <f t="shared" si="108"/>
        <v>75</v>
      </c>
      <c r="H499" s="33"/>
      <c r="I499" s="33"/>
      <c r="J499" s="33"/>
      <c r="K499" s="29"/>
      <c r="L499" s="29"/>
      <c r="M499" s="35" t="str">
        <f t="shared" ca="1" si="109"/>
        <v/>
      </c>
      <c r="N499" s="46"/>
      <c r="O499" s="47"/>
    </row>
    <row r="500" spans="1:15" ht="15.75" customHeight="1">
      <c r="A500" s="119" t="s">
        <v>236</v>
      </c>
      <c r="B500" s="120"/>
      <c r="C500" s="120"/>
      <c r="D500" s="120"/>
      <c r="E500" s="121">
        <f>SUM(E488:E499)</f>
        <v>0</v>
      </c>
      <c r="F500" s="36">
        <f>SUM(F488:F499)</f>
        <v>231</v>
      </c>
      <c r="G500" s="36">
        <f>SUM(G488:G499)</f>
        <v>1082.2</v>
      </c>
      <c r="H500" s="37"/>
      <c r="I500" s="37"/>
      <c r="J500" s="37"/>
      <c r="K500" s="37"/>
      <c r="L500" s="37"/>
      <c r="M500" s="38">
        <f ca="1">IFERROR(SUM(M488:M499),"")</f>
        <v>5.0694444444444431E-2</v>
      </c>
      <c r="N500" s="36" t="s">
        <v>237</v>
      </c>
      <c r="O500" s="39">
        <v>2098690</v>
      </c>
    </row>
    <row r="501" spans="1:15" ht="15" customHeight="1">
      <c r="A501" s="69">
        <v>46222</v>
      </c>
      <c r="B501" s="32">
        <v>0.83333333333333304</v>
      </c>
      <c r="C501" s="33" t="s">
        <v>45</v>
      </c>
      <c r="D501" s="62" t="s">
        <v>30</v>
      </c>
      <c r="E501" s="62" t="s">
        <v>234</v>
      </c>
      <c r="F501" s="27">
        <v>17</v>
      </c>
      <c r="G501" s="34">
        <f t="shared" ref="G501:G512" si="111">IF(F501="","",IF(E501="PC 17",F501*4.2,IF(E501="PC 19",F501*5,"")))</f>
        <v>85</v>
      </c>
      <c r="H501" s="33"/>
      <c r="I501" s="33"/>
      <c r="J501" s="33"/>
      <c r="K501" s="29"/>
      <c r="L501" s="29"/>
      <c r="M501" s="35" t="str">
        <f t="shared" ref="M501:M512" ca="1" si="112">IFERROR(IF(K501="","",IF(L501="",MOD(NOW()-K501,1),IF(L501&gt;=K501,L501-K501,L501+1-K501))),"")</f>
        <v/>
      </c>
      <c r="N501" s="46"/>
      <c r="O501" s="47"/>
    </row>
    <row r="502" spans="1:15" ht="15" customHeight="1">
      <c r="A502" s="68">
        <v>46222</v>
      </c>
      <c r="B502" s="25">
        <f t="shared" ref="B502:B512" si="113">B501+TIME(0,60,0)</f>
        <v>0.87499999999999967</v>
      </c>
      <c r="C502" s="33" t="s">
        <v>45</v>
      </c>
      <c r="D502" s="62" t="s">
        <v>30</v>
      </c>
      <c r="E502" s="62" t="s">
        <v>234</v>
      </c>
      <c r="F502" s="27">
        <v>26</v>
      </c>
      <c r="G502" s="28">
        <f t="shared" si="111"/>
        <v>130</v>
      </c>
      <c r="H502" s="26"/>
      <c r="I502" s="26"/>
      <c r="J502" s="26"/>
      <c r="K502" s="29"/>
      <c r="L502" s="29"/>
      <c r="M502" s="30" t="str">
        <f t="shared" ca="1" si="112"/>
        <v/>
      </c>
      <c r="N502" s="46"/>
      <c r="O502" s="47"/>
    </row>
    <row r="503" spans="1:15" ht="15" customHeight="1">
      <c r="A503" s="69">
        <v>46222</v>
      </c>
      <c r="B503" s="32">
        <f t="shared" si="113"/>
        <v>0.9166666666666663</v>
      </c>
      <c r="C503" s="33" t="s">
        <v>45</v>
      </c>
      <c r="D503" s="62" t="s">
        <v>30</v>
      </c>
      <c r="E503" s="62" t="s">
        <v>234</v>
      </c>
      <c r="F503" s="27">
        <v>10</v>
      </c>
      <c r="G503" s="34">
        <f t="shared" si="111"/>
        <v>50</v>
      </c>
      <c r="H503" s="33"/>
      <c r="I503" s="33"/>
      <c r="J503" s="33"/>
      <c r="K503" s="29"/>
      <c r="L503" s="29"/>
      <c r="M503" s="35" t="str">
        <f t="shared" ca="1" si="112"/>
        <v/>
      </c>
      <c r="N503" s="46"/>
      <c r="O503" s="47"/>
    </row>
    <row r="504" spans="1:15" ht="15" customHeight="1">
      <c r="A504" s="68">
        <v>46222</v>
      </c>
      <c r="B504" s="25">
        <f t="shared" si="113"/>
        <v>0.95833333333333293</v>
      </c>
      <c r="C504" s="33" t="s">
        <v>45</v>
      </c>
      <c r="D504" s="62" t="s">
        <v>30</v>
      </c>
      <c r="E504" s="62" t="s">
        <v>234</v>
      </c>
      <c r="F504" s="27">
        <v>20</v>
      </c>
      <c r="G504" s="28">
        <f t="shared" si="111"/>
        <v>100</v>
      </c>
      <c r="H504" s="26"/>
      <c r="I504" s="26"/>
      <c r="J504" s="26"/>
      <c r="K504" s="29"/>
      <c r="L504" s="29"/>
      <c r="M504" s="30" t="str">
        <f t="shared" ca="1" si="112"/>
        <v/>
      </c>
      <c r="N504" s="46"/>
      <c r="O504" s="47"/>
    </row>
    <row r="505" spans="1:15" ht="15" customHeight="1">
      <c r="A505" s="69">
        <v>46222</v>
      </c>
      <c r="B505" s="32">
        <f t="shared" si="113"/>
        <v>0.99999999999999956</v>
      </c>
      <c r="C505" s="33" t="s">
        <v>45</v>
      </c>
      <c r="D505" s="62" t="s">
        <v>30</v>
      </c>
      <c r="E505" s="62" t="s">
        <v>234</v>
      </c>
      <c r="F505" s="27">
        <v>36</v>
      </c>
      <c r="G505" s="34">
        <f t="shared" si="111"/>
        <v>180</v>
      </c>
      <c r="H505" s="33"/>
      <c r="I505" s="33"/>
      <c r="J505" s="33"/>
      <c r="K505" s="29"/>
      <c r="L505" s="29"/>
      <c r="M505" s="35" t="str">
        <f t="shared" ca="1" si="112"/>
        <v/>
      </c>
      <c r="N505" s="46"/>
      <c r="O505" s="47"/>
    </row>
    <row r="506" spans="1:15" ht="15" customHeight="1">
      <c r="A506" s="68">
        <v>46222</v>
      </c>
      <c r="B506" s="25">
        <f t="shared" si="113"/>
        <v>1.0416666666666663</v>
      </c>
      <c r="C506" s="33" t="s">
        <v>45</v>
      </c>
      <c r="D506" s="62" t="s">
        <v>30</v>
      </c>
      <c r="E506" s="62" t="s">
        <v>234</v>
      </c>
      <c r="F506" s="27">
        <v>20</v>
      </c>
      <c r="G506" s="28">
        <f t="shared" si="111"/>
        <v>100</v>
      </c>
      <c r="H506" s="26"/>
      <c r="I506" s="26"/>
      <c r="J506" s="26"/>
      <c r="K506" s="29"/>
      <c r="L506" s="29"/>
      <c r="M506" s="30" t="str">
        <f t="shared" ca="1" si="112"/>
        <v/>
      </c>
      <c r="N506" s="46"/>
      <c r="O506" s="47"/>
    </row>
    <row r="507" spans="1:15" ht="15" customHeight="1">
      <c r="A507" s="69">
        <v>46222</v>
      </c>
      <c r="B507" s="32">
        <f t="shared" si="113"/>
        <v>1.083333333333333</v>
      </c>
      <c r="C507" s="33" t="s">
        <v>45</v>
      </c>
      <c r="D507" s="62" t="s">
        <v>30</v>
      </c>
      <c r="E507" s="62" t="s">
        <v>234</v>
      </c>
      <c r="F507" s="27">
        <v>28</v>
      </c>
      <c r="G507" s="34">
        <f t="shared" si="111"/>
        <v>140</v>
      </c>
      <c r="H507" s="33"/>
      <c r="I507" s="33"/>
      <c r="J507" s="33"/>
      <c r="K507" s="29"/>
      <c r="L507" s="29"/>
      <c r="M507" s="35" t="str">
        <f t="shared" ca="1" si="112"/>
        <v/>
      </c>
      <c r="N507" s="46"/>
      <c r="O507" s="47"/>
    </row>
    <row r="508" spans="1:15" ht="15" customHeight="1">
      <c r="A508" s="68">
        <v>46222</v>
      </c>
      <c r="B508" s="25">
        <f t="shared" si="113"/>
        <v>1.1249999999999998</v>
      </c>
      <c r="C508" s="33" t="s">
        <v>45</v>
      </c>
      <c r="D508" s="62" t="s">
        <v>30</v>
      </c>
      <c r="E508" s="62" t="s">
        <v>234</v>
      </c>
      <c r="F508" s="27">
        <v>16</v>
      </c>
      <c r="G508" s="28">
        <f t="shared" si="111"/>
        <v>80</v>
      </c>
      <c r="H508" s="26"/>
      <c r="I508" s="26"/>
      <c r="J508" s="26"/>
      <c r="K508" s="29"/>
      <c r="L508" s="29"/>
      <c r="M508" s="30" t="str">
        <f t="shared" ca="1" si="112"/>
        <v/>
      </c>
      <c r="N508" s="46"/>
      <c r="O508" s="47"/>
    </row>
    <row r="509" spans="1:15" ht="15" customHeight="1">
      <c r="A509" s="69">
        <v>46222</v>
      </c>
      <c r="B509" s="32">
        <f t="shared" si="113"/>
        <v>1.1666666666666665</v>
      </c>
      <c r="C509" s="33" t="s">
        <v>45</v>
      </c>
      <c r="D509" s="62" t="s">
        <v>30</v>
      </c>
      <c r="E509" s="62" t="s">
        <v>234</v>
      </c>
      <c r="F509" s="27">
        <v>35</v>
      </c>
      <c r="G509" s="34">
        <f t="shared" si="111"/>
        <v>175</v>
      </c>
      <c r="H509" s="33"/>
      <c r="I509" s="33"/>
      <c r="J509" s="33"/>
      <c r="K509" s="29"/>
      <c r="L509" s="29"/>
      <c r="M509" s="35" t="str">
        <f t="shared" ca="1" si="112"/>
        <v/>
      </c>
      <c r="N509" s="46"/>
      <c r="O509" s="47"/>
    </row>
    <row r="510" spans="1:15" ht="15" customHeight="1">
      <c r="A510" s="68">
        <v>46222</v>
      </c>
      <c r="B510" s="25">
        <f t="shared" si="113"/>
        <v>1.2083333333333333</v>
      </c>
      <c r="C510" s="33" t="s">
        <v>45</v>
      </c>
      <c r="D510" s="62" t="s">
        <v>30</v>
      </c>
      <c r="E510" s="62" t="s">
        <v>234</v>
      </c>
      <c r="F510" s="27">
        <v>10</v>
      </c>
      <c r="G510" s="28">
        <f t="shared" si="111"/>
        <v>50</v>
      </c>
      <c r="H510" s="26"/>
      <c r="I510" s="26"/>
      <c r="J510" s="26"/>
      <c r="K510" s="29"/>
      <c r="L510" s="29"/>
      <c r="M510" s="30" t="str">
        <f t="shared" ca="1" si="112"/>
        <v/>
      </c>
      <c r="N510" s="46"/>
      <c r="O510" s="47"/>
    </row>
    <row r="511" spans="1:15" ht="15" customHeight="1">
      <c r="A511" s="69">
        <v>46222</v>
      </c>
      <c r="B511" s="32">
        <f t="shared" si="113"/>
        <v>1.25</v>
      </c>
      <c r="C511" s="33" t="s">
        <v>45</v>
      </c>
      <c r="D511" s="62" t="s">
        <v>30</v>
      </c>
      <c r="E511" s="62" t="s">
        <v>234</v>
      </c>
      <c r="F511" s="27">
        <v>14</v>
      </c>
      <c r="G511" s="34">
        <f t="shared" si="111"/>
        <v>70</v>
      </c>
      <c r="H511" s="33"/>
      <c r="I511" s="33"/>
      <c r="J511" s="33"/>
      <c r="K511" s="29"/>
      <c r="L511" s="29"/>
      <c r="M511" s="35" t="str">
        <f t="shared" ca="1" si="112"/>
        <v/>
      </c>
      <c r="N511" s="46"/>
      <c r="O511" s="47"/>
    </row>
    <row r="512" spans="1:15" ht="15" customHeight="1">
      <c r="A512" s="68">
        <v>46222</v>
      </c>
      <c r="B512" s="25">
        <f t="shared" si="113"/>
        <v>1.2916666666666667</v>
      </c>
      <c r="C512" s="33" t="s">
        <v>45</v>
      </c>
      <c r="D512" s="62" t="s">
        <v>30</v>
      </c>
      <c r="E512" s="62" t="s">
        <v>234</v>
      </c>
      <c r="F512" s="27">
        <v>0</v>
      </c>
      <c r="G512" s="28">
        <f t="shared" si="111"/>
        <v>0</v>
      </c>
      <c r="H512" s="26"/>
      <c r="I512" s="26"/>
      <c r="J512" s="26"/>
      <c r="K512" s="29"/>
      <c r="L512" s="29"/>
      <c r="M512" s="30" t="str">
        <f t="shared" ca="1" si="112"/>
        <v/>
      </c>
      <c r="N512" s="46"/>
      <c r="O512" s="47"/>
    </row>
    <row r="513" spans="1:15" ht="15.75" customHeight="1">
      <c r="A513" s="119" t="s">
        <v>238</v>
      </c>
      <c r="B513" s="120"/>
      <c r="C513" s="120"/>
      <c r="D513" s="120"/>
      <c r="E513" s="121">
        <f>SUM(E501:E512)</f>
        <v>0</v>
      </c>
      <c r="F513" s="36">
        <f>SUM(F501:F512)</f>
        <v>232</v>
      </c>
      <c r="G513" s="36">
        <f>SUM(G501:G512)</f>
        <v>1160</v>
      </c>
      <c r="H513" s="37"/>
      <c r="I513" s="37"/>
      <c r="J513" s="37"/>
      <c r="K513" s="37"/>
      <c r="L513" s="37"/>
      <c r="M513" s="38">
        <f ca="1">IFERROR(SUM(M501:M512),"")</f>
        <v>0</v>
      </c>
      <c r="N513" s="36" t="s">
        <v>237</v>
      </c>
      <c r="O513" s="39">
        <v>1298429</v>
      </c>
    </row>
    <row r="514" spans="1:15" ht="18" customHeight="1">
      <c r="A514" s="122" t="s">
        <v>239</v>
      </c>
      <c r="B514" s="123"/>
      <c r="C514" s="123"/>
      <c r="D514" s="123"/>
      <c r="E514" s="124">
        <f>E500+E513</f>
        <v>0</v>
      </c>
      <c r="F514" s="40">
        <f>F500+F513</f>
        <v>463</v>
      </c>
      <c r="G514" s="40">
        <f>G500+G513</f>
        <v>2242.1999999999998</v>
      </c>
      <c r="H514" s="41"/>
      <c r="I514" s="41"/>
      <c r="J514" s="41"/>
      <c r="K514" s="41"/>
      <c r="L514" s="41"/>
      <c r="M514" s="42">
        <f ca="1">IFERROR(M500+M513,"")</f>
        <v>5.0694444444444431E-2</v>
      </c>
      <c r="N514" s="40" t="s">
        <v>240</v>
      </c>
      <c r="O514" s="48">
        <f>IFERROR(O500+O513,"")</f>
        <v>3397119</v>
      </c>
    </row>
    <row r="515" spans="1:15" ht="15" customHeight="1">
      <c r="A515" s="69">
        <v>46223</v>
      </c>
      <c r="B515" s="32">
        <v>0.33333333333333298</v>
      </c>
      <c r="C515" s="33" t="s">
        <v>21</v>
      </c>
      <c r="D515" s="62" t="s">
        <v>30</v>
      </c>
      <c r="E515" s="62" t="s">
        <v>234</v>
      </c>
      <c r="F515" s="27">
        <v>0</v>
      </c>
      <c r="G515" s="34">
        <f t="shared" ref="G515:G526" si="114">IF(F515="","",IF(E515="PC 17",F515*4.2,IF(E515="PC 19",F515*5,"")))</f>
        <v>0</v>
      </c>
      <c r="H515" s="33" t="s">
        <v>19</v>
      </c>
      <c r="I515" s="33" t="s">
        <v>23</v>
      </c>
      <c r="J515" s="33" t="s">
        <v>107</v>
      </c>
      <c r="K515" s="29">
        <v>0.30138888888888887</v>
      </c>
      <c r="L515" s="29">
        <v>0.38680555555555557</v>
      </c>
      <c r="M515" s="35">
        <f t="shared" ref="M515:M526" ca="1" si="115">IFERROR(IF(K515="","",IF(L515="",MOD(NOW()-K515,1),IF(L515&gt;=K515,L515-K515,L515+1-K515))),"")</f>
        <v>8.5416666666666696E-2</v>
      </c>
      <c r="N515" s="46" t="s">
        <v>262</v>
      </c>
      <c r="O515" s="47"/>
    </row>
    <row r="516" spans="1:15" ht="15" customHeight="1">
      <c r="A516" s="68">
        <v>46223</v>
      </c>
      <c r="B516" s="25">
        <f t="shared" ref="B516:B526" si="116">B515+TIME(0,60,0)</f>
        <v>0.37499999999999967</v>
      </c>
      <c r="C516" s="33" t="s">
        <v>21</v>
      </c>
      <c r="D516" s="62" t="s">
        <v>30</v>
      </c>
      <c r="E516" s="62" t="s">
        <v>234</v>
      </c>
      <c r="F516" s="27">
        <v>0</v>
      </c>
      <c r="G516" s="28">
        <f t="shared" si="114"/>
        <v>0</v>
      </c>
      <c r="H516" s="49" t="s">
        <v>18</v>
      </c>
      <c r="I516" s="26" t="s">
        <v>23</v>
      </c>
      <c r="J516" s="49" t="s">
        <v>34</v>
      </c>
      <c r="K516" s="29">
        <v>0.68055555555555558</v>
      </c>
      <c r="L516" s="29">
        <v>0.79166666666666663</v>
      </c>
      <c r="M516" s="30">
        <f t="shared" ca="1" si="115"/>
        <v>0.11111111111111105</v>
      </c>
      <c r="N516" s="46"/>
      <c r="O516" s="47"/>
    </row>
    <row r="517" spans="1:15" ht="15" customHeight="1">
      <c r="A517" s="69">
        <v>46223</v>
      </c>
      <c r="B517" s="32">
        <f t="shared" si="116"/>
        <v>0.41666666666666635</v>
      </c>
      <c r="C517" s="33" t="s">
        <v>21</v>
      </c>
      <c r="D517" s="62" t="s">
        <v>30</v>
      </c>
      <c r="E517" s="62" t="s">
        <v>234</v>
      </c>
      <c r="F517" s="27">
        <v>30</v>
      </c>
      <c r="G517" s="34">
        <f t="shared" si="114"/>
        <v>150</v>
      </c>
      <c r="H517" s="33"/>
      <c r="I517" s="33"/>
      <c r="J517" s="33"/>
      <c r="K517" s="29"/>
      <c r="L517" s="29"/>
      <c r="M517" s="35" t="str">
        <f t="shared" ca="1" si="115"/>
        <v/>
      </c>
      <c r="N517" s="46"/>
      <c r="O517" s="47"/>
    </row>
    <row r="518" spans="1:15" ht="15" customHeight="1">
      <c r="A518" s="68">
        <v>46223</v>
      </c>
      <c r="B518" s="25">
        <f t="shared" si="116"/>
        <v>0.45833333333333304</v>
      </c>
      <c r="C518" s="33" t="s">
        <v>21</v>
      </c>
      <c r="D518" s="62" t="s">
        <v>30</v>
      </c>
      <c r="E518" s="62" t="s">
        <v>234</v>
      </c>
      <c r="F518" s="27">
        <v>30</v>
      </c>
      <c r="G518" s="28">
        <f t="shared" si="114"/>
        <v>150</v>
      </c>
      <c r="H518" s="33"/>
      <c r="I518" s="26"/>
      <c r="J518" s="26"/>
      <c r="K518" s="29"/>
      <c r="L518" s="29"/>
      <c r="M518" s="30" t="str">
        <f t="shared" ca="1" si="115"/>
        <v/>
      </c>
      <c r="N518" s="46"/>
      <c r="O518" s="47"/>
    </row>
    <row r="519" spans="1:15" ht="15" customHeight="1">
      <c r="A519" s="69">
        <v>46223</v>
      </c>
      <c r="B519" s="32">
        <f t="shared" si="116"/>
        <v>0.49999999999999972</v>
      </c>
      <c r="C519" s="33" t="s">
        <v>21</v>
      </c>
      <c r="D519" s="62" t="s">
        <v>30</v>
      </c>
      <c r="E519" s="62" t="s">
        <v>234</v>
      </c>
      <c r="F519" s="27">
        <v>27</v>
      </c>
      <c r="G519" s="34">
        <f t="shared" si="114"/>
        <v>135</v>
      </c>
      <c r="H519" s="33"/>
      <c r="I519" s="33"/>
      <c r="J519" s="33"/>
      <c r="K519" s="29"/>
      <c r="L519" s="29"/>
      <c r="M519" s="35" t="str">
        <f t="shared" ca="1" si="115"/>
        <v/>
      </c>
      <c r="N519" s="46"/>
      <c r="O519" s="47"/>
    </row>
    <row r="520" spans="1:15" ht="15" customHeight="1">
      <c r="A520" s="68">
        <v>46223</v>
      </c>
      <c r="B520" s="25">
        <f t="shared" si="116"/>
        <v>0.54166666666666641</v>
      </c>
      <c r="C520" s="33" t="s">
        <v>21</v>
      </c>
      <c r="D520" s="62" t="s">
        <v>30</v>
      </c>
      <c r="E520" s="62" t="s">
        <v>234</v>
      </c>
      <c r="F520" s="27">
        <v>24</v>
      </c>
      <c r="G520" s="28">
        <f t="shared" si="114"/>
        <v>120</v>
      </c>
      <c r="H520" s="26"/>
      <c r="I520" s="26"/>
      <c r="J520" s="26"/>
      <c r="K520" s="29"/>
      <c r="L520" s="29"/>
      <c r="M520" s="30" t="str">
        <f t="shared" ca="1" si="115"/>
        <v/>
      </c>
      <c r="N520" s="46"/>
      <c r="O520" s="47"/>
    </row>
    <row r="521" spans="1:15" ht="15" customHeight="1">
      <c r="A521" s="69">
        <v>46223</v>
      </c>
      <c r="B521" s="32">
        <f t="shared" si="116"/>
        <v>0.58333333333333304</v>
      </c>
      <c r="C521" s="33" t="s">
        <v>21</v>
      </c>
      <c r="D521" s="62" t="s">
        <v>30</v>
      </c>
      <c r="E521" s="62" t="s">
        <v>234</v>
      </c>
      <c r="F521" s="27">
        <v>15</v>
      </c>
      <c r="G521" s="34">
        <f t="shared" si="114"/>
        <v>75</v>
      </c>
      <c r="H521" s="33"/>
      <c r="I521" s="33"/>
      <c r="J521" s="33"/>
      <c r="K521" s="29"/>
      <c r="L521" s="29"/>
      <c r="M521" s="35" t="str">
        <f t="shared" ca="1" si="115"/>
        <v/>
      </c>
      <c r="N521" s="46"/>
      <c r="O521" s="47"/>
    </row>
    <row r="522" spans="1:15" ht="15" customHeight="1">
      <c r="A522" s="68">
        <v>46223</v>
      </c>
      <c r="B522" s="25">
        <f t="shared" si="116"/>
        <v>0.62499999999999967</v>
      </c>
      <c r="C522" s="33" t="s">
        <v>21</v>
      </c>
      <c r="D522" s="62" t="s">
        <v>30</v>
      </c>
      <c r="E522" s="62" t="s">
        <v>234</v>
      </c>
      <c r="F522" s="27">
        <v>28</v>
      </c>
      <c r="G522" s="28">
        <f t="shared" si="114"/>
        <v>140</v>
      </c>
      <c r="H522" s="26"/>
      <c r="I522" s="26"/>
      <c r="J522" s="26"/>
      <c r="K522" s="29"/>
      <c r="L522" s="29"/>
      <c r="M522" s="30" t="str">
        <f t="shared" ca="1" si="115"/>
        <v/>
      </c>
      <c r="N522" s="46"/>
      <c r="O522" s="47"/>
    </row>
    <row r="523" spans="1:15" ht="15" customHeight="1">
      <c r="A523" s="69">
        <v>46223</v>
      </c>
      <c r="B523" s="32">
        <f t="shared" si="116"/>
        <v>0.6666666666666663</v>
      </c>
      <c r="C523" s="33" t="s">
        <v>21</v>
      </c>
      <c r="D523" s="62" t="s">
        <v>30</v>
      </c>
      <c r="E523" s="62" t="s">
        <v>234</v>
      </c>
      <c r="F523" s="27">
        <v>15</v>
      </c>
      <c r="G523" s="34">
        <f t="shared" si="114"/>
        <v>75</v>
      </c>
      <c r="H523" s="33"/>
      <c r="I523" s="33"/>
      <c r="J523" s="33"/>
      <c r="K523" s="29"/>
      <c r="L523" s="29"/>
      <c r="M523" s="35" t="str">
        <f t="shared" ca="1" si="115"/>
        <v/>
      </c>
      <c r="N523" s="46"/>
      <c r="O523" s="47"/>
    </row>
    <row r="524" spans="1:15" ht="15" customHeight="1">
      <c r="A524" s="68">
        <v>46223</v>
      </c>
      <c r="B524" s="25">
        <f t="shared" si="116"/>
        <v>0.70833333333333293</v>
      </c>
      <c r="C524" s="33" t="s">
        <v>21</v>
      </c>
      <c r="D524" s="62" t="s">
        <v>30</v>
      </c>
      <c r="E524" s="62" t="s">
        <v>234</v>
      </c>
      <c r="F524" s="27">
        <v>5</v>
      </c>
      <c r="G524" s="28">
        <f t="shared" si="114"/>
        <v>25</v>
      </c>
      <c r="H524" s="26"/>
      <c r="I524" s="26"/>
      <c r="J524" s="26"/>
      <c r="K524" s="29"/>
      <c r="L524" s="29"/>
      <c r="M524" s="30" t="str">
        <f t="shared" ca="1" si="115"/>
        <v/>
      </c>
      <c r="N524" s="46"/>
      <c r="O524" s="47"/>
    </row>
    <row r="525" spans="1:15" ht="15" customHeight="1">
      <c r="A525" s="69">
        <v>46223</v>
      </c>
      <c r="B525" s="32">
        <f t="shared" si="116"/>
        <v>0.74999999999999956</v>
      </c>
      <c r="C525" s="33" t="s">
        <v>21</v>
      </c>
      <c r="D525" s="62" t="s">
        <v>30</v>
      </c>
      <c r="E525" s="62" t="s">
        <v>234</v>
      </c>
      <c r="F525" s="27">
        <v>0</v>
      </c>
      <c r="G525" s="34">
        <f t="shared" si="114"/>
        <v>0</v>
      </c>
      <c r="H525" s="33"/>
      <c r="I525" s="33"/>
      <c r="J525" s="33"/>
      <c r="K525" s="29"/>
      <c r="L525" s="29"/>
      <c r="M525" s="35" t="str">
        <f t="shared" ca="1" si="115"/>
        <v/>
      </c>
      <c r="N525" s="46"/>
      <c r="O525" s="47"/>
    </row>
    <row r="526" spans="1:15" ht="15" customHeight="1">
      <c r="A526" s="68">
        <v>46223</v>
      </c>
      <c r="B526" s="25">
        <f t="shared" si="116"/>
        <v>0.79166666666666619</v>
      </c>
      <c r="C526" s="33" t="s">
        <v>21</v>
      </c>
      <c r="D526" s="62" t="s">
        <v>30</v>
      </c>
      <c r="E526" s="62" t="s">
        <v>234</v>
      </c>
      <c r="F526" s="27">
        <v>0</v>
      </c>
      <c r="G526" s="28">
        <f t="shared" si="114"/>
        <v>0</v>
      </c>
      <c r="H526" s="26"/>
      <c r="I526" s="26"/>
      <c r="J526" s="26"/>
      <c r="K526" s="29"/>
      <c r="L526" s="29"/>
      <c r="M526" s="30" t="str">
        <f t="shared" ca="1" si="115"/>
        <v/>
      </c>
      <c r="N526" s="46"/>
      <c r="O526" s="47"/>
    </row>
    <row r="527" spans="1:15" ht="15.75" customHeight="1">
      <c r="A527" s="119" t="s">
        <v>236</v>
      </c>
      <c r="B527" s="120"/>
      <c r="C527" s="120"/>
      <c r="D527" s="120"/>
      <c r="E527" s="121">
        <f>SUM(E515:E526)</f>
        <v>0</v>
      </c>
      <c r="F527" s="36">
        <f>SUM(F515:F526)</f>
        <v>174</v>
      </c>
      <c r="G527" s="36">
        <f>SUM(G515:G526)</f>
        <v>870</v>
      </c>
      <c r="H527" s="37"/>
      <c r="I527" s="37"/>
      <c r="J527" s="37"/>
      <c r="K527" s="37"/>
      <c r="L527" s="37"/>
      <c r="M527" s="38">
        <f ca="1">IFERROR(SUM(M515:M526),"")</f>
        <v>0.19652777777777775</v>
      </c>
      <c r="N527" s="36" t="s">
        <v>237</v>
      </c>
      <c r="O527" s="39">
        <v>1162570</v>
      </c>
    </row>
    <row r="528" spans="1:15" ht="15" customHeight="1">
      <c r="A528" s="68">
        <v>46223</v>
      </c>
      <c r="B528" s="25">
        <v>0.83333333333333304</v>
      </c>
      <c r="C528" s="26" t="s">
        <v>45</v>
      </c>
      <c r="D528" s="59" t="s">
        <v>30</v>
      </c>
      <c r="E528" s="59" t="s">
        <v>234</v>
      </c>
      <c r="F528" s="27">
        <v>12</v>
      </c>
      <c r="G528" s="28">
        <f t="shared" ref="G528:G539" si="117">IF(F528="","",IF(E528="PC 17",F528*4.2,IF(E528="PC 19",F528*5,"")))</f>
        <v>60</v>
      </c>
      <c r="H528" s="26" t="s">
        <v>18</v>
      </c>
      <c r="I528" s="26" t="s">
        <v>23</v>
      </c>
      <c r="J528" s="26" t="s">
        <v>34</v>
      </c>
      <c r="K528" s="29">
        <v>0.29166666666666669</v>
      </c>
      <c r="L528" s="29">
        <v>0.82499999999999996</v>
      </c>
      <c r="M528" s="30">
        <v>3.3333333333333333E-2</v>
      </c>
      <c r="N528" s="46"/>
      <c r="O528" s="47"/>
    </row>
    <row r="529" spans="1:15" ht="15" customHeight="1">
      <c r="A529" s="69">
        <v>46223</v>
      </c>
      <c r="B529" s="32">
        <f t="shared" ref="B529:B539" si="118">B528+TIME(0,60,0)</f>
        <v>0.87499999999999967</v>
      </c>
      <c r="C529" s="26" t="s">
        <v>45</v>
      </c>
      <c r="D529" s="59" t="s">
        <v>30</v>
      </c>
      <c r="E529" s="59" t="s">
        <v>234</v>
      </c>
      <c r="F529" s="27">
        <v>21</v>
      </c>
      <c r="G529" s="34">
        <f t="shared" si="117"/>
        <v>105</v>
      </c>
      <c r="H529" s="33" t="s">
        <v>16</v>
      </c>
      <c r="I529" s="33" t="s">
        <v>23</v>
      </c>
      <c r="J529" s="33" t="s">
        <v>32</v>
      </c>
      <c r="K529" s="29">
        <v>5.7638888888888892E-2</v>
      </c>
      <c r="L529" s="29">
        <v>0.16250000000000001</v>
      </c>
      <c r="M529" s="35">
        <f t="shared" ref="M528:M539" ca="1" si="119">IFERROR(IF(K529="","",IF(L529="",MOD(NOW()-K529,1),IF(L529&gt;=K529,L529-K529,L529+1-K529))),"")</f>
        <v>0.10486111111111111</v>
      </c>
      <c r="N529" s="46" t="s">
        <v>263</v>
      </c>
      <c r="O529" s="47"/>
    </row>
    <row r="530" spans="1:15" ht="15" customHeight="1">
      <c r="A530" s="68">
        <v>46223</v>
      </c>
      <c r="B530" s="25">
        <f t="shared" si="118"/>
        <v>0.9166666666666663</v>
      </c>
      <c r="C530" s="26" t="s">
        <v>45</v>
      </c>
      <c r="D530" s="59" t="s">
        <v>30</v>
      </c>
      <c r="E530" s="59" t="s">
        <v>234</v>
      </c>
      <c r="F530" s="27">
        <v>20</v>
      </c>
      <c r="G530" s="28">
        <f t="shared" si="117"/>
        <v>100</v>
      </c>
      <c r="H530" s="26"/>
      <c r="I530" s="26"/>
      <c r="J530" s="26"/>
      <c r="K530" s="29"/>
      <c r="L530" s="29"/>
      <c r="M530" s="30" t="str">
        <f t="shared" ca="1" si="119"/>
        <v/>
      </c>
      <c r="N530" s="46"/>
      <c r="O530" s="47"/>
    </row>
    <row r="531" spans="1:15" ht="15" customHeight="1">
      <c r="A531" s="69">
        <v>46223</v>
      </c>
      <c r="B531" s="32">
        <f t="shared" si="118"/>
        <v>0.95833333333333293</v>
      </c>
      <c r="C531" s="26" t="s">
        <v>45</v>
      </c>
      <c r="D531" s="59" t="s">
        <v>30</v>
      </c>
      <c r="E531" s="59" t="s">
        <v>234</v>
      </c>
      <c r="F531" s="27">
        <v>30</v>
      </c>
      <c r="G531" s="34">
        <f t="shared" si="117"/>
        <v>150</v>
      </c>
      <c r="H531" s="33"/>
      <c r="I531" s="33"/>
      <c r="J531" s="33"/>
      <c r="K531" s="29"/>
      <c r="L531" s="29"/>
      <c r="M531" s="35" t="str">
        <f t="shared" ca="1" si="119"/>
        <v/>
      </c>
      <c r="N531" s="46"/>
      <c r="O531" s="47"/>
    </row>
    <row r="532" spans="1:15" ht="15" customHeight="1">
      <c r="A532" s="68">
        <v>46223</v>
      </c>
      <c r="B532" s="25">
        <f t="shared" si="118"/>
        <v>0.99999999999999956</v>
      </c>
      <c r="C532" s="26" t="s">
        <v>45</v>
      </c>
      <c r="D532" s="59" t="s">
        <v>30</v>
      </c>
      <c r="E532" s="59" t="s">
        <v>234</v>
      </c>
      <c r="F532" s="27">
        <v>32</v>
      </c>
      <c r="G532" s="28">
        <f t="shared" si="117"/>
        <v>160</v>
      </c>
      <c r="H532" s="26"/>
      <c r="I532" s="26"/>
      <c r="J532" s="26"/>
      <c r="K532" s="29"/>
      <c r="L532" s="29"/>
      <c r="M532" s="30" t="str">
        <f t="shared" ca="1" si="119"/>
        <v/>
      </c>
      <c r="N532" s="46"/>
      <c r="O532" s="47"/>
    </row>
    <row r="533" spans="1:15" ht="15" customHeight="1">
      <c r="A533" s="69">
        <v>46223</v>
      </c>
      <c r="B533" s="32">
        <f t="shared" si="118"/>
        <v>1.0416666666666663</v>
      </c>
      <c r="C533" s="26" t="s">
        <v>45</v>
      </c>
      <c r="D533" s="59" t="s">
        <v>30</v>
      </c>
      <c r="E533" s="59" t="s">
        <v>234</v>
      </c>
      <c r="F533" s="27">
        <v>33</v>
      </c>
      <c r="G533" s="34">
        <f t="shared" si="117"/>
        <v>165</v>
      </c>
      <c r="H533" s="33"/>
      <c r="I533" s="33"/>
      <c r="J533" s="33"/>
      <c r="K533" s="29"/>
      <c r="L533" s="29"/>
      <c r="M533" s="35" t="str">
        <f t="shared" ca="1" si="119"/>
        <v/>
      </c>
      <c r="N533" s="46"/>
      <c r="O533" s="47"/>
    </row>
    <row r="534" spans="1:15" ht="15" customHeight="1">
      <c r="A534" s="68">
        <v>46223</v>
      </c>
      <c r="B534" s="25">
        <f t="shared" si="118"/>
        <v>1.083333333333333</v>
      </c>
      <c r="C534" s="26" t="s">
        <v>45</v>
      </c>
      <c r="D534" s="59" t="s">
        <v>30</v>
      </c>
      <c r="E534" s="59" t="s">
        <v>234</v>
      </c>
      <c r="F534" s="27">
        <v>25</v>
      </c>
      <c r="G534" s="28">
        <f t="shared" si="117"/>
        <v>125</v>
      </c>
      <c r="H534" s="26"/>
      <c r="I534" s="26"/>
      <c r="J534" s="26"/>
      <c r="K534" s="29"/>
      <c r="L534" s="29"/>
      <c r="M534" s="30" t="str">
        <f t="shared" ca="1" si="119"/>
        <v/>
      </c>
      <c r="N534" s="46"/>
      <c r="O534" s="47"/>
    </row>
    <row r="535" spans="1:15" ht="15" customHeight="1">
      <c r="A535" s="69">
        <v>46223</v>
      </c>
      <c r="B535" s="32">
        <f t="shared" si="118"/>
        <v>1.1249999999999998</v>
      </c>
      <c r="C535" s="26" t="s">
        <v>45</v>
      </c>
      <c r="D535" s="59" t="s">
        <v>30</v>
      </c>
      <c r="E535" s="59" t="s">
        <v>234</v>
      </c>
      <c r="F535" s="27">
        <v>0</v>
      </c>
      <c r="G535" s="34">
        <f t="shared" si="117"/>
        <v>0</v>
      </c>
      <c r="H535" s="33"/>
      <c r="I535" s="33"/>
      <c r="J535" s="33"/>
      <c r="K535" s="29"/>
      <c r="L535" s="29"/>
      <c r="M535" s="35" t="str">
        <f t="shared" ca="1" si="119"/>
        <v/>
      </c>
      <c r="N535" s="46"/>
      <c r="O535" s="47"/>
    </row>
    <row r="536" spans="1:15" ht="15" customHeight="1">
      <c r="A536" s="68">
        <v>46223</v>
      </c>
      <c r="B536" s="25">
        <f t="shared" si="118"/>
        <v>1.1666666666666665</v>
      </c>
      <c r="C536" s="26" t="s">
        <v>45</v>
      </c>
      <c r="D536" s="59" t="s">
        <v>30</v>
      </c>
      <c r="E536" s="59" t="s">
        <v>234</v>
      </c>
      <c r="F536" s="27">
        <v>0</v>
      </c>
      <c r="G536" s="28">
        <f t="shared" si="117"/>
        <v>0</v>
      </c>
      <c r="H536" s="26"/>
      <c r="I536" s="26"/>
      <c r="J536" s="26"/>
      <c r="K536" s="29"/>
      <c r="L536" s="29"/>
      <c r="M536" s="30" t="str">
        <f t="shared" ca="1" si="119"/>
        <v/>
      </c>
      <c r="N536" s="46"/>
      <c r="O536" s="47"/>
    </row>
    <row r="537" spans="1:15" ht="15" customHeight="1">
      <c r="A537" s="69">
        <v>46223</v>
      </c>
      <c r="B537" s="32">
        <f t="shared" si="118"/>
        <v>1.2083333333333333</v>
      </c>
      <c r="C537" s="26" t="s">
        <v>45</v>
      </c>
      <c r="D537" s="59" t="s">
        <v>30</v>
      </c>
      <c r="E537" s="59" t="s">
        <v>234</v>
      </c>
      <c r="F537" s="27">
        <v>25</v>
      </c>
      <c r="G537" s="34">
        <f t="shared" si="117"/>
        <v>125</v>
      </c>
      <c r="H537" s="33"/>
      <c r="I537" s="33"/>
      <c r="J537" s="33"/>
      <c r="K537" s="29"/>
      <c r="L537" s="29"/>
      <c r="M537" s="35" t="str">
        <f t="shared" ca="1" si="119"/>
        <v/>
      </c>
      <c r="N537" s="46"/>
      <c r="O537" s="47"/>
    </row>
    <row r="538" spans="1:15" ht="15" customHeight="1">
      <c r="A538" s="68">
        <v>46223</v>
      </c>
      <c r="B538" s="25">
        <f t="shared" si="118"/>
        <v>1.25</v>
      </c>
      <c r="C538" s="26" t="s">
        <v>45</v>
      </c>
      <c r="D538" s="59" t="s">
        <v>30</v>
      </c>
      <c r="E538" s="59" t="s">
        <v>234</v>
      </c>
      <c r="F538" s="27">
        <v>40</v>
      </c>
      <c r="G538" s="28">
        <f t="shared" si="117"/>
        <v>200</v>
      </c>
      <c r="H538" s="26"/>
      <c r="I538" s="26"/>
      <c r="J538" s="26"/>
      <c r="K538" s="29"/>
      <c r="L538" s="29"/>
      <c r="M538" s="30" t="str">
        <f t="shared" ca="1" si="119"/>
        <v/>
      </c>
      <c r="N538" s="46"/>
      <c r="O538" s="47"/>
    </row>
    <row r="539" spans="1:15" ht="15" customHeight="1">
      <c r="A539" s="69">
        <v>46223</v>
      </c>
      <c r="B539" s="32">
        <f t="shared" si="118"/>
        <v>1.2916666666666667</v>
      </c>
      <c r="C539" s="26" t="s">
        <v>45</v>
      </c>
      <c r="D539" s="59" t="s">
        <v>30</v>
      </c>
      <c r="E539" s="59" t="s">
        <v>234</v>
      </c>
      <c r="F539" s="27">
        <v>16</v>
      </c>
      <c r="G539" s="34">
        <f t="shared" si="117"/>
        <v>80</v>
      </c>
      <c r="H539" s="33"/>
      <c r="I539" s="33"/>
      <c r="J539" s="33"/>
      <c r="K539" s="29"/>
      <c r="L539" s="29"/>
      <c r="M539" s="35" t="str">
        <f t="shared" ca="1" si="119"/>
        <v/>
      </c>
      <c r="N539" s="46"/>
      <c r="O539" s="47"/>
    </row>
    <row r="540" spans="1:15" ht="15.75" customHeight="1">
      <c r="A540" s="119" t="s">
        <v>238</v>
      </c>
      <c r="B540" s="120"/>
      <c r="C540" s="120"/>
      <c r="D540" s="120"/>
      <c r="E540" s="121">
        <f>SUM(E528:E539)</f>
        <v>0</v>
      </c>
      <c r="F540" s="36">
        <f>SUM(F528:F539)</f>
        <v>254</v>
      </c>
      <c r="G540" s="36">
        <f>SUM(G528:G539)</f>
        <v>1270</v>
      </c>
      <c r="H540" s="37"/>
      <c r="I540" s="37"/>
      <c r="J540" s="37"/>
      <c r="K540" s="37"/>
      <c r="L540" s="37"/>
      <c r="M540" s="38">
        <f ca="1">IFERROR(SUM(M528:M539),"")</f>
        <v>0.13819444444444445</v>
      </c>
      <c r="N540" s="36" t="s">
        <v>237</v>
      </c>
      <c r="O540" s="39">
        <v>1240140</v>
      </c>
    </row>
    <row r="541" spans="1:15" ht="18" customHeight="1">
      <c r="A541" s="122" t="s">
        <v>239</v>
      </c>
      <c r="B541" s="123"/>
      <c r="C541" s="123"/>
      <c r="D541" s="123"/>
      <c r="E541" s="124">
        <f>E527+E540</f>
        <v>0</v>
      </c>
      <c r="F541" s="40">
        <f>F527+F540</f>
        <v>428</v>
      </c>
      <c r="G541" s="40">
        <f>G527+G540</f>
        <v>2140</v>
      </c>
      <c r="H541" s="41"/>
      <c r="I541" s="41"/>
      <c r="J541" s="41"/>
      <c r="K541" s="41"/>
      <c r="L541" s="41"/>
      <c r="M541" s="42">
        <f ca="1">IFERROR(M527+M540,"")</f>
        <v>0.3347222222222222</v>
      </c>
      <c r="N541" s="40" t="s">
        <v>240</v>
      </c>
      <c r="O541" s="48">
        <f>IFERROR(O527+O540,"")</f>
        <v>2402710</v>
      </c>
    </row>
    <row r="542" spans="1:15" ht="15" customHeight="1">
      <c r="A542" s="68">
        <v>46224</v>
      </c>
      <c r="B542" s="25">
        <v>0.33333333333333298</v>
      </c>
      <c r="C542" s="26" t="s">
        <v>21</v>
      </c>
      <c r="D542" s="59" t="s">
        <v>30</v>
      </c>
      <c r="E542" s="59" t="s">
        <v>234</v>
      </c>
      <c r="F542" s="27">
        <v>5</v>
      </c>
      <c r="G542" s="28">
        <f t="shared" ref="G542:G553" si="120">IF(F542="","",IF(E542="PC 17",F542*4.2,IF(E542="PC 19",F542*5,"")))</f>
        <v>25</v>
      </c>
      <c r="H542" s="26" t="s">
        <v>18</v>
      </c>
      <c r="I542" s="26" t="s">
        <v>23</v>
      </c>
      <c r="J542" s="26" t="s">
        <v>210</v>
      </c>
      <c r="K542" s="29">
        <v>0.30208333333333331</v>
      </c>
      <c r="L542" s="29">
        <v>0.625</v>
      </c>
      <c r="M542" s="30">
        <f t="shared" ref="M542:M553" ca="1" si="121">IFERROR(IF(K542="","",IF(L542="",MOD(NOW()-K542,1),IF(L542&gt;=K542,L542-K542,L542+1-K542))),"")</f>
        <v>0.32291666666666669</v>
      </c>
      <c r="N542" s="46" t="s">
        <v>264</v>
      </c>
      <c r="O542" s="47"/>
    </row>
    <row r="543" spans="1:15" ht="15" customHeight="1">
      <c r="A543" s="69">
        <v>46224</v>
      </c>
      <c r="B543" s="32">
        <f t="shared" ref="B543:B553" si="122">B542+TIME(0,60,0)</f>
        <v>0.37499999999999967</v>
      </c>
      <c r="C543" s="26" t="s">
        <v>21</v>
      </c>
      <c r="D543" s="59" t="s">
        <v>30</v>
      </c>
      <c r="E543" s="59" t="s">
        <v>234</v>
      </c>
      <c r="F543" s="27">
        <v>0</v>
      </c>
      <c r="G543" s="34">
        <f t="shared" si="120"/>
        <v>0</v>
      </c>
      <c r="H543" s="33"/>
      <c r="I543" s="33"/>
      <c r="J543" s="33"/>
      <c r="K543" s="29"/>
      <c r="L543" s="29"/>
      <c r="M543" s="35" t="str">
        <f t="shared" ca="1" si="121"/>
        <v/>
      </c>
      <c r="N543" s="46"/>
      <c r="O543" s="47"/>
    </row>
    <row r="544" spans="1:15" ht="15" customHeight="1">
      <c r="A544" s="68">
        <v>46224</v>
      </c>
      <c r="B544" s="25">
        <f t="shared" si="122"/>
        <v>0.41666666666666635</v>
      </c>
      <c r="C544" s="26" t="s">
        <v>21</v>
      </c>
      <c r="D544" s="59" t="s">
        <v>30</v>
      </c>
      <c r="E544" s="59" t="s">
        <v>234</v>
      </c>
      <c r="F544" s="27">
        <v>0</v>
      </c>
      <c r="G544" s="28">
        <f t="shared" si="120"/>
        <v>0</v>
      </c>
      <c r="H544" s="26"/>
      <c r="I544" s="26"/>
      <c r="J544" s="26"/>
      <c r="K544" s="29"/>
      <c r="L544" s="29"/>
      <c r="M544" s="30" t="str">
        <f t="shared" ca="1" si="121"/>
        <v/>
      </c>
      <c r="N544" s="46"/>
      <c r="O544" s="47"/>
    </row>
    <row r="545" spans="1:15" ht="15" customHeight="1">
      <c r="A545" s="69">
        <v>46224</v>
      </c>
      <c r="B545" s="32">
        <f t="shared" si="122"/>
        <v>0.45833333333333304</v>
      </c>
      <c r="C545" s="26" t="s">
        <v>21</v>
      </c>
      <c r="D545" s="59" t="s">
        <v>30</v>
      </c>
      <c r="E545" s="59" t="s">
        <v>234</v>
      </c>
      <c r="F545" s="27">
        <v>0</v>
      </c>
      <c r="G545" s="34">
        <f t="shared" si="120"/>
        <v>0</v>
      </c>
      <c r="H545" s="33"/>
      <c r="I545" s="33"/>
      <c r="J545" s="33"/>
      <c r="K545" s="29"/>
      <c r="L545" s="29"/>
      <c r="M545" s="35" t="str">
        <f t="shared" ca="1" si="121"/>
        <v/>
      </c>
      <c r="N545" s="46"/>
      <c r="O545" s="47"/>
    </row>
    <row r="546" spans="1:15" ht="15" customHeight="1">
      <c r="A546" s="68">
        <v>46224</v>
      </c>
      <c r="B546" s="25">
        <f t="shared" si="122"/>
        <v>0.49999999999999972</v>
      </c>
      <c r="C546" s="26" t="s">
        <v>21</v>
      </c>
      <c r="D546" s="59" t="s">
        <v>30</v>
      </c>
      <c r="E546" s="59" t="s">
        <v>234</v>
      </c>
      <c r="F546" s="27">
        <v>0</v>
      </c>
      <c r="G546" s="28">
        <f t="shared" si="120"/>
        <v>0</v>
      </c>
      <c r="H546" s="26"/>
      <c r="I546" s="26"/>
      <c r="J546" s="26"/>
      <c r="K546" s="29"/>
      <c r="L546" s="29"/>
      <c r="M546" s="30" t="str">
        <f t="shared" ca="1" si="121"/>
        <v/>
      </c>
      <c r="N546" s="46"/>
      <c r="O546" s="47"/>
    </row>
    <row r="547" spans="1:15" ht="15" customHeight="1">
      <c r="A547" s="69">
        <v>46224</v>
      </c>
      <c r="B547" s="32">
        <f t="shared" si="122"/>
        <v>0.54166666666666641</v>
      </c>
      <c r="C547" s="26" t="s">
        <v>21</v>
      </c>
      <c r="D547" s="59" t="s">
        <v>30</v>
      </c>
      <c r="E547" s="59" t="s">
        <v>234</v>
      </c>
      <c r="F547" s="27">
        <v>0</v>
      </c>
      <c r="G547" s="34">
        <f t="shared" si="120"/>
        <v>0</v>
      </c>
      <c r="H547" s="33"/>
      <c r="I547" s="33"/>
      <c r="J547" s="33"/>
      <c r="K547" s="29"/>
      <c r="L547" s="29"/>
      <c r="M547" s="35" t="str">
        <f t="shared" ca="1" si="121"/>
        <v/>
      </c>
      <c r="N547" s="46"/>
      <c r="O547" s="47"/>
    </row>
    <row r="548" spans="1:15" ht="15" customHeight="1">
      <c r="A548" s="68">
        <v>46224</v>
      </c>
      <c r="B548" s="25">
        <f t="shared" si="122"/>
        <v>0.58333333333333304</v>
      </c>
      <c r="C548" s="26" t="s">
        <v>21</v>
      </c>
      <c r="D548" s="59" t="s">
        <v>30</v>
      </c>
      <c r="E548" s="59" t="s">
        <v>234</v>
      </c>
      <c r="F548" s="27">
        <v>0</v>
      </c>
      <c r="G548" s="28">
        <f t="shared" si="120"/>
        <v>0</v>
      </c>
      <c r="H548" s="26"/>
      <c r="I548" s="26"/>
      <c r="J548" s="26"/>
      <c r="K548" s="29"/>
      <c r="L548" s="29"/>
      <c r="M548" s="30" t="str">
        <f t="shared" ca="1" si="121"/>
        <v/>
      </c>
      <c r="N548" s="46"/>
      <c r="O548" s="47"/>
    </row>
    <row r="549" spans="1:15" ht="15" customHeight="1">
      <c r="A549" s="69">
        <v>46224</v>
      </c>
      <c r="B549" s="32">
        <f t="shared" si="122"/>
        <v>0.62499999999999967</v>
      </c>
      <c r="C549" s="26" t="s">
        <v>21</v>
      </c>
      <c r="D549" s="59" t="s">
        <v>30</v>
      </c>
      <c r="E549" s="59" t="s">
        <v>234</v>
      </c>
      <c r="F549" s="27">
        <v>10</v>
      </c>
      <c r="G549" s="34">
        <f t="shared" si="120"/>
        <v>50</v>
      </c>
      <c r="H549" s="33"/>
      <c r="I549" s="33"/>
      <c r="J549" s="33"/>
      <c r="K549" s="29"/>
      <c r="L549" s="29"/>
      <c r="M549" s="35" t="str">
        <f t="shared" ca="1" si="121"/>
        <v/>
      </c>
      <c r="N549" s="46"/>
      <c r="O549" s="47"/>
    </row>
    <row r="550" spans="1:15" ht="15" customHeight="1">
      <c r="A550" s="68">
        <v>46224</v>
      </c>
      <c r="B550" s="25">
        <f t="shared" si="122"/>
        <v>0.6666666666666663</v>
      </c>
      <c r="C550" s="26" t="s">
        <v>21</v>
      </c>
      <c r="D550" s="59" t="s">
        <v>30</v>
      </c>
      <c r="E550" s="59" t="s">
        <v>234</v>
      </c>
      <c r="F550" s="27">
        <v>30</v>
      </c>
      <c r="G550" s="28">
        <f t="shared" si="120"/>
        <v>150</v>
      </c>
      <c r="H550" s="26"/>
      <c r="I550" s="26"/>
      <c r="J550" s="26"/>
      <c r="K550" s="29"/>
      <c r="L550" s="29"/>
      <c r="M550" s="30" t="str">
        <f t="shared" ca="1" si="121"/>
        <v/>
      </c>
      <c r="N550" s="46"/>
      <c r="O550" s="47"/>
    </row>
    <row r="551" spans="1:15" ht="15" customHeight="1">
      <c r="A551" s="69">
        <v>46224</v>
      </c>
      <c r="B551" s="32">
        <f t="shared" si="122"/>
        <v>0.70833333333333293</v>
      </c>
      <c r="C551" s="26" t="s">
        <v>21</v>
      </c>
      <c r="D551" s="59" t="s">
        <v>30</v>
      </c>
      <c r="E551" s="59" t="s">
        <v>234</v>
      </c>
      <c r="F551" s="27">
        <v>35</v>
      </c>
      <c r="G551" s="34">
        <f t="shared" si="120"/>
        <v>175</v>
      </c>
      <c r="H551" s="33"/>
      <c r="I551" s="33"/>
      <c r="J551" s="33"/>
      <c r="K551" s="29"/>
      <c r="L551" s="29"/>
      <c r="M551" s="35" t="str">
        <f t="shared" ca="1" si="121"/>
        <v/>
      </c>
      <c r="N551" s="46"/>
      <c r="O551" s="47"/>
    </row>
    <row r="552" spans="1:15" ht="15" customHeight="1">
      <c r="A552" s="68">
        <v>46224</v>
      </c>
      <c r="B552" s="25">
        <f t="shared" si="122"/>
        <v>0.74999999999999956</v>
      </c>
      <c r="C552" s="26" t="s">
        <v>21</v>
      </c>
      <c r="D552" s="59" t="s">
        <v>30</v>
      </c>
      <c r="E552" s="59" t="s">
        <v>234</v>
      </c>
      <c r="F552" s="27">
        <v>30</v>
      </c>
      <c r="G552" s="28">
        <f t="shared" si="120"/>
        <v>150</v>
      </c>
      <c r="H552" s="26"/>
      <c r="I552" s="26"/>
      <c r="J552" s="26"/>
      <c r="K552" s="29"/>
      <c r="L552" s="29"/>
      <c r="M552" s="30" t="str">
        <f t="shared" ca="1" si="121"/>
        <v/>
      </c>
      <c r="N552" s="46"/>
      <c r="O552" s="47"/>
    </row>
    <row r="553" spans="1:15" ht="15" customHeight="1">
      <c r="A553" s="69">
        <v>46224</v>
      </c>
      <c r="B553" s="32">
        <f t="shared" si="122"/>
        <v>0.79166666666666619</v>
      </c>
      <c r="C553" s="26" t="s">
        <v>21</v>
      </c>
      <c r="D553" s="59" t="s">
        <v>30</v>
      </c>
      <c r="E553" s="59" t="s">
        <v>234</v>
      </c>
      <c r="F553" s="27">
        <v>20</v>
      </c>
      <c r="G553" s="34">
        <f t="shared" si="120"/>
        <v>100</v>
      </c>
      <c r="H553" s="33"/>
      <c r="I553" s="33"/>
      <c r="J553" s="33"/>
      <c r="K553" s="29"/>
      <c r="L553" s="29"/>
      <c r="M553" s="35" t="str">
        <f t="shared" ca="1" si="121"/>
        <v/>
      </c>
      <c r="N553" s="46"/>
      <c r="O553" s="47"/>
    </row>
    <row r="554" spans="1:15" ht="15.75" customHeight="1">
      <c r="A554" s="119" t="s">
        <v>236</v>
      </c>
      <c r="B554" s="120"/>
      <c r="C554" s="120"/>
      <c r="D554" s="120"/>
      <c r="E554" s="121">
        <f>SUM(E542:E553)</f>
        <v>0</v>
      </c>
      <c r="F554" s="36">
        <f>SUM(F542:F553)</f>
        <v>130</v>
      </c>
      <c r="G554" s="36">
        <f>SUM(G542:G553)</f>
        <v>650</v>
      </c>
      <c r="H554" s="37"/>
      <c r="I554" s="37"/>
      <c r="J554" s="37"/>
      <c r="K554" s="37"/>
      <c r="L554" s="37"/>
      <c r="M554" s="38">
        <f ca="1">IFERROR(SUM(M542:M553),"")</f>
        <v>0.32291666666666669</v>
      </c>
      <c r="N554" s="36" t="s">
        <v>237</v>
      </c>
      <c r="O554" s="39">
        <v>726090</v>
      </c>
    </row>
    <row r="555" spans="1:15" ht="15" customHeight="1">
      <c r="A555" s="69">
        <v>46224</v>
      </c>
      <c r="B555" s="32">
        <v>0.83333333333333304</v>
      </c>
      <c r="C555" s="33" t="s">
        <v>45</v>
      </c>
      <c r="D555" s="62" t="s">
        <v>30</v>
      </c>
      <c r="E555" s="62" t="s">
        <v>234</v>
      </c>
      <c r="F555" s="27">
        <v>23</v>
      </c>
      <c r="G555" s="34">
        <f t="shared" ref="G555:G566" si="123">IF(F555="","",IF(E555="PC 17",F555*4.2,IF(E555="PC 19",F555*5,"")))</f>
        <v>115</v>
      </c>
      <c r="H555" s="33" t="s">
        <v>19</v>
      </c>
      <c r="I555" s="33" t="s">
        <v>23</v>
      </c>
      <c r="J555" s="33" t="s">
        <v>67</v>
      </c>
      <c r="K555" s="29">
        <v>0.99027777777777781</v>
      </c>
      <c r="L555" s="29">
        <v>1.8749999999999999E-2</v>
      </c>
      <c r="M555" s="35">
        <f t="shared" ref="M555:M566" ca="1" si="124">IFERROR(IF(K555="","",IF(L555="",MOD(NOW()-K555,1),IF(L555&gt;=K555,L555-K555,L555+1-K555))),"")</f>
        <v>2.8472222222222232E-2</v>
      </c>
      <c r="N555" s="46"/>
      <c r="O555" s="47"/>
    </row>
    <row r="556" spans="1:15" ht="15" customHeight="1">
      <c r="A556" s="68">
        <v>46224</v>
      </c>
      <c r="B556" s="25">
        <f t="shared" ref="B556:B566" si="125">B555+TIME(0,60,0)</f>
        <v>0.87499999999999967</v>
      </c>
      <c r="C556" s="33" t="s">
        <v>45</v>
      </c>
      <c r="D556" s="62" t="s">
        <v>30</v>
      </c>
      <c r="E556" s="62" t="s">
        <v>234</v>
      </c>
      <c r="F556" s="27">
        <v>30</v>
      </c>
      <c r="G556" s="28">
        <f t="shared" si="123"/>
        <v>150</v>
      </c>
      <c r="H556" s="26"/>
      <c r="I556" s="26"/>
      <c r="J556" s="26"/>
      <c r="K556" s="29"/>
      <c r="L556" s="29"/>
      <c r="M556" s="30" t="str">
        <f t="shared" ca="1" si="124"/>
        <v/>
      </c>
      <c r="N556" s="46"/>
      <c r="O556" s="47"/>
    </row>
    <row r="557" spans="1:15" ht="15" customHeight="1">
      <c r="A557" s="69">
        <v>46224</v>
      </c>
      <c r="B557" s="32">
        <f t="shared" si="125"/>
        <v>0.9166666666666663</v>
      </c>
      <c r="C557" s="33" t="s">
        <v>45</v>
      </c>
      <c r="D557" s="62" t="s">
        <v>30</v>
      </c>
      <c r="E557" s="62" t="s">
        <v>234</v>
      </c>
      <c r="F557" s="27">
        <v>0</v>
      </c>
      <c r="G557" s="34">
        <f t="shared" si="123"/>
        <v>0</v>
      </c>
      <c r="H557" s="33"/>
      <c r="I557" s="33"/>
      <c r="J557" s="33"/>
      <c r="K557" s="29"/>
      <c r="L557" s="29"/>
      <c r="M557" s="35" t="str">
        <f t="shared" ca="1" si="124"/>
        <v/>
      </c>
      <c r="N557" s="46"/>
      <c r="O557" s="47"/>
    </row>
    <row r="558" spans="1:15" ht="15" customHeight="1">
      <c r="A558" s="68">
        <v>46224</v>
      </c>
      <c r="B558" s="25">
        <f t="shared" si="125"/>
        <v>0.95833333333333293</v>
      </c>
      <c r="C558" s="33" t="s">
        <v>45</v>
      </c>
      <c r="D558" s="62" t="s">
        <v>30</v>
      </c>
      <c r="E558" s="62" t="s">
        <v>234</v>
      </c>
      <c r="F558" s="27">
        <v>26</v>
      </c>
      <c r="G558" s="28">
        <f t="shared" si="123"/>
        <v>130</v>
      </c>
      <c r="H558" s="26"/>
      <c r="I558" s="26"/>
      <c r="J558" s="26"/>
      <c r="K558" s="29"/>
      <c r="L558" s="29"/>
      <c r="M558" s="30" t="str">
        <f t="shared" ca="1" si="124"/>
        <v/>
      </c>
      <c r="N558" s="46"/>
      <c r="O558" s="47"/>
    </row>
    <row r="559" spans="1:15" ht="15" customHeight="1">
      <c r="A559" s="69">
        <v>46224</v>
      </c>
      <c r="B559" s="32">
        <f t="shared" si="125"/>
        <v>0.99999999999999956</v>
      </c>
      <c r="C559" s="33" t="s">
        <v>45</v>
      </c>
      <c r="D559" s="62" t="s">
        <v>30</v>
      </c>
      <c r="E559" s="62" t="s">
        <v>234</v>
      </c>
      <c r="F559" s="27">
        <v>0</v>
      </c>
      <c r="G559" s="34">
        <f t="shared" si="123"/>
        <v>0</v>
      </c>
      <c r="H559" s="33"/>
      <c r="I559" s="33"/>
      <c r="J559" s="33"/>
      <c r="K559" s="29"/>
      <c r="L559" s="29"/>
      <c r="M559" s="35" t="str">
        <f t="shared" ca="1" si="124"/>
        <v/>
      </c>
      <c r="N559" s="46"/>
      <c r="O559" s="47"/>
    </row>
    <row r="560" spans="1:15" ht="15" customHeight="1">
      <c r="A560" s="68">
        <v>46224</v>
      </c>
      <c r="B560" s="25">
        <f t="shared" si="125"/>
        <v>1.0416666666666663</v>
      </c>
      <c r="C560" s="33" t="s">
        <v>45</v>
      </c>
      <c r="D560" s="62" t="s">
        <v>30</v>
      </c>
      <c r="E560" s="62" t="s">
        <v>234</v>
      </c>
      <c r="F560" s="27">
        <v>24</v>
      </c>
      <c r="G560" s="28">
        <f t="shared" si="123"/>
        <v>120</v>
      </c>
      <c r="H560" s="26"/>
      <c r="I560" s="26"/>
      <c r="J560" s="26"/>
      <c r="K560" s="29"/>
      <c r="L560" s="29"/>
      <c r="M560" s="30" t="str">
        <f t="shared" ca="1" si="124"/>
        <v/>
      </c>
      <c r="N560" s="46"/>
      <c r="O560" s="47"/>
    </row>
    <row r="561" spans="1:15" ht="15" customHeight="1">
      <c r="A561" s="69">
        <v>46224</v>
      </c>
      <c r="B561" s="32">
        <f t="shared" si="125"/>
        <v>1.083333333333333</v>
      </c>
      <c r="C561" s="33" t="s">
        <v>45</v>
      </c>
      <c r="D561" s="62" t="s">
        <v>30</v>
      </c>
      <c r="E561" s="62" t="s">
        <v>234</v>
      </c>
      <c r="F561" s="27">
        <v>32</v>
      </c>
      <c r="G561" s="34">
        <f t="shared" si="123"/>
        <v>160</v>
      </c>
      <c r="H561" s="33"/>
      <c r="I561" s="33"/>
      <c r="J561" s="33"/>
      <c r="K561" s="29"/>
      <c r="L561" s="29"/>
      <c r="M561" s="35" t="str">
        <f t="shared" ca="1" si="124"/>
        <v/>
      </c>
      <c r="N561" s="46"/>
      <c r="O561" s="47"/>
    </row>
    <row r="562" spans="1:15" ht="15" customHeight="1">
      <c r="A562" s="68">
        <v>46224</v>
      </c>
      <c r="B562" s="25">
        <f t="shared" si="125"/>
        <v>1.1249999999999998</v>
      </c>
      <c r="C562" s="33" t="s">
        <v>45</v>
      </c>
      <c r="D562" s="62" t="s">
        <v>30</v>
      </c>
      <c r="E562" s="62" t="s">
        <v>234</v>
      </c>
      <c r="F562" s="27">
        <v>11</v>
      </c>
      <c r="G562" s="28">
        <f t="shared" si="123"/>
        <v>55</v>
      </c>
      <c r="H562" s="26"/>
      <c r="I562" s="26"/>
      <c r="J562" s="26"/>
      <c r="K562" s="29"/>
      <c r="L562" s="29"/>
      <c r="M562" s="30" t="str">
        <f t="shared" ca="1" si="124"/>
        <v/>
      </c>
      <c r="N562" s="46"/>
      <c r="O562" s="47"/>
    </row>
    <row r="563" spans="1:15" ht="15" customHeight="1">
      <c r="A563" s="69">
        <v>46224</v>
      </c>
      <c r="B563" s="32">
        <f t="shared" si="125"/>
        <v>1.1666666666666665</v>
      </c>
      <c r="C563" s="33" t="s">
        <v>45</v>
      </c>
      <c r="D563" s="62" t="s">
        <v>30</v>
      </c>
      <c r="E563" s="62" t="s">
        <v>234</v>
      </c>
      <c r="F563" s="27">
        <v>31</v>
      </c>
      <c r="G563" s="34">
        <f t="shared" si="123"/>
        <v>155</v>
      </c>
      <c r="H563" s="33"/>
      <c r="I563" s="33"/>
      <c r="J563" s="33"/>
      <c r="K563" s="29"/>
      <c r="L563" s="29"/>
      <c r="M563" s="35" t="str">
        <f t="shared" ca="1" si="124"/>
        <v/>
      </c>
      <c r="N563" s="46"/>
      <c r="O563" s="47"/>
    </row>
    <row r="564" spans="1:15" ht="15" customHeight="1">
      <c r="A564" s="68">
        <v>46224</v>
      </c>
      <c r="B564" s="25">
        <f t="shared" si="125"/>
        <v>1.2083333333333333</v>
      </c>
      <c r="C564" s="33" t="s">
        <v>45</v>
      </c>
      <c r="D564" s="62" t="s">
        <v>30</v>
      </c>
      <c r="E564" s="62" t="s">
        <v>234</v>
      </c>
      <c r="F564" s="27">
        <v>20</v>
      </c>
      <c r="G564" s="28">
        <f t="shared" si="123"/>
        <v>100</v>
      </c>
      <c r="H564" s="26"/>
      <c r="I564" s="26"/>
      <c r="J564" s="26"/>
      <c r="K564" s="29"/>
      <c r="L564" s="29"/>
      <c r="M564" s="30" t="str">
        <f t="shared" ca="1" si="124"/>
        <v/>
      </c>
      <c r="N564" s="46"/>
      <c r="O564" s="47"/>
    </row>
    <row r="565" spans="1:15" ht="15" customHeight="1">
      <c r="A565" s="69">
        <v>46224</v>
      </c>
      <c r="B565" s="32">
        <f t="shared" si="125"/>
        <v>1.25</v>
      </c>
      <c r="C565" s="33" t="s">
        <v>45</v>
      </c>
      <c r="D565" s="62" t="s">
        <v>30</v>
      </c>
      <c r="E565" s="62" t="s">
        <v>234</v>
      </c>
      <c r="F565" s="27">
        <v>18</v>
      </c>
      <c r="G565" s="34">
        <f t="shared" si="123"/>
        <v>90</v>
      </c>
      <c r="H565" s="33"/>
      <c r="I565" s="33"/>
      <c r="J565" s="33"/>
      <c r="K565" s="29"/>
      <c r="L565" s="29"/>
      <c r="M565" s="35" t="str">
        <f t="shared" ca="1" si="124"/>
        <v/>
      </c>
      <c r="N565" s="46"/>
      <c r="O565" s="47"/>
    </row>
    <row r="566" spans="1:15" ht="15" customHeight="1">
      <c r="A566" s="68">
        <v>46224</v>
      </c>
      <c r="B566" s="25">
        <f t="shared" si="125"/>
        <v>1.2916666666666667</v>
      </c>
      <c r="C566" s="33" t="s">
        <v>45</v>
      </c>
      <c r="D566" s="62" t="s">
        <v>30</v>
      </c>
      <c r="E566" s="62" t="s">
        <v>234</v>
      </c>
      <c r="F566" s="27">
        <v>6</v>
      </c>
      <c r="G566" s="28">
        <f t="shared" si="123"/>
        <v>30</v>
      </c>
      <c r="H566" s="26"/>
      <c r="I566" s="26"/>
      <c r="J566" s="26"/>
      <c r="K566" s="29"/>
      <c r="L566" s="29"/>
      <c r="M566" s="30" t="str">
        <f t="shared" ca="1" si="124"/>
        <v/>
      </c>
      <c r="N566" s="46"/>
      <c r="O566" s="47"/>
    </row>
    <row r="567" spans="1:15" ht="15.75" customHeight="1">
      <c r="A567" s="119" t="s">
        <v>238</v>
      </c>
      <c r="B567" s="120"/>
      <c r="C567" s="120"/>
      <c r="D567" s="120"/>
      <c r="E567" s="121">
        <f>SUM(E555:E566)</f>
        <v>0</v>
      </c>
      <c r="F567" s="36">
        <f>SUM(F555:F566)</f>
        <v>221</v>
      </c>
      <c r="G567" s="36">
        <f>SUM(G555:G566)</f>
        <v>1105</v>
      </c>
      <c r="H567" s="37"/>
      <c r="I567" s="37"/>
      <c r="J567" s="37"/>
      <c r="K567" s="37"/>
      <c r="L567" s="37"/>
      <c r="M567" s="38">
        <f ca="1">IFERROR(SUM(M555:M566),"")</f>
        <v>2.8472222222222232E-2</v>
      </c>
      <c r="N567" s="36" t="s">
        <v>237</v>
      </c>
      <c r="O567" s="39">
        <v>1482110</v>
      </c>
    </row>
    <row r="568" spans="1:15" ht="18" customHeight="1">
      <c r="A568" s="122" t="s">
        <v>239</v>
      </c>
      <c r="B568" s="123"/>
      <c r="C568" s="123"/>
      <c r="D568" s="123"/>
      <c r="E568" s="124">
        <f>E554+E567</f>
        <v>0</v>
      </c>
      <c r="F568" s="40">
        <f>F554+F567</f>
        <v>351</v>
      </c>
      <c r="G568" s="40">
        <f>G554+G567</f>
        <v>1755</v>
      </c>
      <c r="H568" s="41"/>
      <c r="I568" s="41"/>
      <c r="J568" s="41"/>
      <c r="K568" s="41"/>
      <c r="L568" s="41"/>
      <c r="M568" s="42">
        <f ca="1">IFERROR(M554+M567,"")</f>
        <v>0.35138888888888892</v>
      </c>
      <c r="N568" s="40" t="s">
        <v>240</v>
      </c>
      <c r="O568" s="48">
        <f>IFERROR(O554+O567,"")</f>
        <v>2208200</v>
      </c>
    </row>
    <row r="569" spans="1:15" ht="15" customHeight="1">
      <c r="A569" s="69">
        <v>46225</v>
      </c>
      <c r="B569" s="32">
        <v>0.33333333333333298</v>
      </c>
      <c r="C569" s="33" t="s">
        <v>21</v>
      </c>
      <c r="D569" s="62" t="s">
        <v>30</v>
      </c>
      <c r="E569" s="62"/>
      <c r="F569" s="27"/>
      <c r="G569" s="34" t="str">
        <f t="shared" ref="G569:G580" si="126">IF(F569="","",IF(E569="PC 17",F569*4.2,IF(E569="PC 19",F569*5,"")))</f>
        <v/>
      </c>
      <c r="H569" s="33" t="s">
        <v>19</v>
      </c>
      <c r="I569" s="33" t="s">
        <v>23</v>
      </c>
      <c r="J569" s="33" t="s">
        <v>67</v>
      </c>
      <c r="K569" s="29">
        <v>0.33333333333333331</v>
      </c>
      <c r="L569" s="29">
        <v>0.38194444444444442</v>
      </c>
      <c r="M569" s="35">
        <f t="shared" ref="M569:M580" ca="1" si="127">IFERROR(IF(K569="","",IF(L569="",MOD(NOW()-K569,1),IF(L569&gt;=K569,L569-K569,L569+1-K569))),"")</f>
        <v>4.8611111111111105E-2</v>
      </c>
      <c r="N569" s="46"/>
      <c r="O569" s="47"/>
    </row>
    <row r="570" spans="1:15" ht="15" customHeight="1">
      <c r="A570" s="68">
        <v>46225</v>
      </c>
      <c r="B570" s="25">
        <f t="shared" ref="B570:B580" si="128">B569+TIME(0,60,0)</f>
        <v>0.37499999999999967</v>
      </c>
      <c r="C570" s="33" t="s">
        <v>21</v>
      </c>
      <c r="D570" s="62" t="s">
        <v>30</v>
      </c>
      <c r="E570" s="62"/>
      <c r="F570" s="27"/>
      <c r="G570" s="34" t="str">
        <f t="shared" si="126"/>
        <v/>
      </c>
      <c r="H570" s="26" t="s">
        <v>18</v>
      </c>
      <c r="I570" s="26" t="s">
        <v>23</v>
      </c>
      <c r="J570" s="26" t="s">
        <v>164</v>
      </c>
      <c r="K570" s="29">
        <v>0.68055555555555558</v>
      </c>
      <c r="L570" s="29">
        <v>0.69027777777777777</v>
      </c>
      <c r="M570" s="30">
        <f t="shared" ca="1" si="127"/>
        <v>9.7222222222221877E-3</v>
      </c>
      <c r="N570" s="46"/>
      <c r="O570" s="47"/>
    </row>
    <row r="571" spans="1:15" ht="15" customHeight="1">
      <c r="A571" s="69">
        <v>46225</v>
      </c>
      <c r="B571" s="32">
        <f t="shared" si="128"/>
        <v>0.41666666666666635</v>
      </c>
      <c r="C571" s="33" t="s">
        <v>21</v>
      </c>
      <c r="D571" s="62" t="s">
        <v>30</v>
      </c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46"/>
      <c r="O571" s="47"/>
    </row>
    <row r="572" spans="1:15" ht="15" customHeight="1">
      <c r="A572" s="68">
        <v>46225</v>
      </c>
      <c r="B572" s="25">
        <f t="shared" si="128"/>
        <v>0.45833333333333304</v>
      </c>
      <c r="C572" s="33" t="s">
        <v>21</v>
      </c>
      <c r="D572" s="62" t="s">
        <v>30</v>
      </c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46"/>
      <c r="O572" s="47"/>
    </row>
    <row r="573" spans="1:15" ht="15" customHeight="1">
      <c r="A573" s="69">
        <v>46225</v>
      </c>
      <c r="B573" s="32">
        <f t="shared" si="128"/>
        <v>0.49999999999999972</v>
      </c>
      <c r="C573" s="33" t="s">
        <v>21</v>
      </c>
      <c r="D573" s="62" t="s">
        <v>30</v>
      </c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46"/>
      <c r="O573" s="47"/>
    </row>
    <row r="574" spans="1:15" ht="15" customHeight="1">
      <c r="A574" s="68">
        <v>46225</v>
      </c>
      <c r="B574" s="25">
        <f t="shared" si="128"/>
        <v>0.54166666666666641</v>
      </c>
      <c r="C574" s="33" t="s">
        <v>21</v>
      </c>
      <c r="D574" s="62" t="s">
        <v>30</v>
      </c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46"/>
      <c r="O574" s="47"/>
    </row>
    <row r="575" spans="1:15" ht="15" customHeight="1">
      <c r="A575" s="69">
        <v>46225</v>
      </c>
      <c r="B575" s="32">
        <f t="shared" si="128"/>
        <v>0.58333333333333304</v>
      </c>
      <c r="C575" s="33" t="s">
        <v>21</v>
      </c>
      <c r="D575" s="62" t="s">
        <v>30</v>
      </c>
      <c r="E575" s="62" t="s">
        <v>234</v>
      </c>
      <c r="F575" s="27">
        <v>32</v>
      </c>
      <c r="G575" s="34">
        <f t="shared" si="126"/>
        <v>160</v>
      </c>
      <c r="H575" s="33"/>
      <c r="I575" s="33"/>
      <c r="J575" s="33"/>
      <c r="K575" s="29"/>
      <c r="L575" s="29"/>
      <c r="M575" s="35" t="str">
        <f t="shared" ca="1" si="127"/>
        <v/>
      </c>
      <c r="N575" s="46"/>
      <c r="O575" s="47"/>
    </row>
    <row r="576" spans="1:15" ht="15" customHeight="1">
      <c r="A576" s="68">
        <v>46225</v>
      </c>
      <c r="B576" s="25">
        <f t="shared" si="128"/>
        <v>0.62499999999999967</v>
      </c>
      <c r="C576" s="33" t="s">
        <v>21</v>
      </c>
      <c r="D576" s="62" t="s">
        <v>30</v>
      </c>
      <c r="E576" s="62" t="s">
        <v>234</v>
      </c>
      <c r="F576" s="55">
        <v>50</v>
      </c>
      <c r="G576" s="34">
        <f t="shared" si="126"/>
        <v>250</v>
      </c>
      <c r="H576" s="26"/>
      <c r="I576" s="26"/>
      <c r="J576" s="26"/>
      <c r="K576" s="29"/>
      <c r="L576" s="29"/>
      <c r="M576" s="30" t="str">
        <f t="shared" ca="1" si="127"/>
        <v/>
      </c>
      <c r="N576" s="46"/>
      <c r="O576" s="47"/>
    </row>
    <row r="577" spans="1:15" ht="15" customHeight="1">
      <c r="A577" s="69">
        <v>46225</v>
      </c>
      <c r="B577" s="32">
        <f t="shared" si="128"/>
        <v>0.6666666666666663</v>
      </c>
      <c r="C577" s="33" t="s">
        <v>21</v>
      </c>
      <c r="D577" s="62" t="s">
        <v>30</v>
      </c>
      <c r="E577" s="62" t="s">
        <v>234</v>
      </c>
      <c r="F577" s="27">
        <v>20</v>
      </c>
      <c r="G577" s="34">
        <f t="shared" si="126"/>
        <v>100</v>
      </c>
      <c r="H577" s="33"/>
      <c r="I577" s="33"/>
      <c r="J577" s="33"/>
      <c r="K577" s="29"/>
      <c r="L577" s="29"/>
      <c r="M577" s="35" t="str">
        <f t="shared" ca="1" si="127"/>
        <v/>
      </c>
      <c r="N577" s="46"/>
      <c r="O577" s="47"/>
    </row>
    <row r="578" spans="1:15" ht="15" customHeight="1">
      <c r="A578" s="68">
        <v>46225</v>
      </c>
      <c r="B578" s="25">
        <f t="shared" si="128"/>
        <v>0.70833333333333293</v>
      </c>
      <c r="C578" s="33" t="s">
        <v>21</v>
      </c>
      <c r="D578" s="62" t="s">
        <v>30</v>
      </c>
      <c r="E578" s="62" t="s">
        <v>234</v>
      </c>
      <c r="F578" s="27">
        <v>30</v>
      </c>
      <c r="G578" s="34">
        <f t="shared" si="126"/>
        <v>150</v>
      </c>
      <c r="H578" s="26"/>
      <c r="I578" s="26"/>
      <c r="J578" s="26"/>
      <c r="K578" s="29"/>
      <c r="L578" s="29"/>
      <c r="M578" s="30" t="str">
        <f t="shared" ca="1" si="127"/>
        <v/>
      </c>
      <c r="N578" s="46"/>
      <c r="O578" s="47"/>
    </row>
    <row r="579" spans="1:15" ht="15" customHeight="1">
      <c r="A579" s="69">
        <v>46225</v>
      </c>
      <c r="B579" s="32">
        <f t="shared" si="128"/>
        <v>0.74999999999999956</v>
      </c>
      <c r="C579" s="33" t="s">
        <v>21</v>
      </c>
      <c r="D579" s="62" t="s">
        <v>30</v>
      </c>
      <c r="E579" s="62" t="s">
        <v>234</v>
      </c>
      <c r="F579" s="27">
        <v>35</v>
      </c>
      <c r="G579" s="34">
        <f t="shared" si="126"/>
        <v>175</v>
      </c>
      <c r="H579" s="33"/>
      <c r="I579" s="33"/>
      <c r="J579" s="33"/>
      <c r="K579" s="29"/>
      <c r="L579" s="29"/>
      <c r="M579" s="35" t="str">
        <f t="shared" ca="1" si="127"/>
        <v/>
      </c>
      <c r="N579" s="46"/>
      <c r="O579" s="47"/>
    </row>
    <row r="580" spans="1:15" ht="15" customHeight="1">
      <c r="A580" s="68">
        <v>46225</v>
      </c>
      <c r="B580" s="25">
        <f t="shared" si="128"/>
        <v>0.79166666666666619</v>
      </c>
      <c r="C580" s="33" t="s">
        <v>21</v>
      </c>
      <c r="D580" s="62" t="s">
        <v>30</v>
      </c>
      <c r="E580" s="62" t="s">
        <v>234</v>
      </c>
      <c r="F580" s="27">
        <v>19</v>
      </c>
      <c r="G580" s="34">
        <f t="shared" si="126"/>
        <v>95</v>
      </c>
      <c r="H580" s="26"/>
      <c r="I580" s="26"/>
      <c r="J580" s="26"/>
      <c r="K580" s="29"/>
      <c r="L580" s="29"/>
      <c r="M580" s="30" t="str">
        <f t="shared" ca="1" si="127"/>
        <v/>
      </c>
      <c r="N580" s="46"/>
      <c r="O580" s="47"/>
    </row>
    <row r="581" spans="1:15" ht="15.75" customHeight="1">
      <c r="A581" s="119" t="s">
        <v>236</v>
      </c>
      <c r="B581" s="120"/>
      <c r="C581" s="120"/>
      <c r="D581" s="120"/>
      <c r="E581" s="121">
        <f>SUM(E569:E580)</f>
        <v>0</v>
      </c>
      <c r="F581" s="36">
        <f>SUM(F569:F580)</f>
        <v>186</v>
      </c>
      <c r="G581" s="36">
        <f>SUM(G569:G580)</f>
        <v>930</v>
      </c>
      <c r="H581" s="37"/>
      <c r="I581" s="37"/>
      <c r="J581" s="37"/>
      <c r="K581" s="37"/>
      <c r="L581" s="37"/>
      <c r="M581" s="38">
        <f ca="1">IFERROR(SUM(M569:M580),"")</f>
        <v>5.8333333333333293E-2</v>
      </c>
      <c r="N581" s="36" t="s">
        <v>237</v>
      </c>
      <c r="O581" s="39">
        <v>1630000</v>
      </c>
    </row>
    <row r="582" spans="1:15" ht="15" customHeight="1">
      <c r="A582" s="68">
        <v>46225</v>
      </c>
      <c r="B582" s="25">
        <v>0.83333333333333304</v>
      </c>
      <c r="C582" s="26" t="s">
        <v>45</v>
      </c>
      <c r="D582" s="59" t="s">
        <v>30</v>
      </c>
      <c r="E582" s="59" t="s">
        <v>234</v>
      </c>
      <c r="F582" s="27">
        <v>20</v>
      </c>
      <c r="G582" s="28">
        <f t="shared" ref="G582:G593" si="129">IF(F582="","",IF(E582="PC 17",F582*4.2,IF(E582="PC 19",F582*5,"")))</f>
        <v>100</v>
      </c>
      <c r="H582" s="26" t="s">
        <v>20</v>
      </c>
      <c r="I582" s="26" t="s">
        <v>23</v>
      </c>
      <c r="J582" s="26" t="s">
        <v>204</v>
      </c>
      <c r="K582" s="29">
        <v>0.95833333333333337</v>
      </c>
      <c r="L582" s="29">
        <v>0.97222222222222221</v>
      </c>
      <c r="M582" s="30">
        <f t="shared" ref="M582:M593" ca="1" si="130">IFERROR(IF(K582="","",IF(L582="",MOD(NOW()-K582,1),IF(L582&gt;=K582,L582-K582,L582+1-K582))),"")</f>
        <v>1.388888888888884E-2</v>
      </c>
      <c r="N582" s="46"/>
      <c r="O582" s="47"/>
    </row>
    <row r="583" spans="1:15" ht="15" customHeight="1">
      <c r="A583" s="69">
        <v>46225</v>
      </c>
      <c r="B583" s="32">
        <f t="shared" ref="B583:B593" si="131">B582+TIME(0,60,0)</f>
        <v>0.87499999999999967</v>
      </c>
      <c r="C583" s="26" t="s">
        <v>45</v>
      </c>
      <c r="D583" s="59" t="s">
        <v>30</v>
      </c>
      <c r="E583" s="59" t="s">
        <v>234</v>
      </c>
      <c r="F583" s="27">
        <v>18</v>
      </c>
      <c r="G583" s="34">
        <f t="shared" si="129"/>
        <v>90</v>
      </c>
      <c r="H583" s="33" t="s">
        <v>20</v>
      </c>
      <c r="I583" s="33" t="s">
        <v>23</v>
      </c>
      <c r="J583" s="33" t="s">
        <v>204</v>
      </c>
      <c r="K583" s="29">
        <v>0.17916666666666667</v>
      </c>
      <c r="L583" s="29">
        <v>0.28680555555555554</v>
      </c>
      <c r="M583" s="35">
        <f t="shared" ca="1" si="130"/>
        <v>0.10763888888888887</v>
      </c>
      <c r="N583" s="46"/>
      <c r="O583" s="47"/>
    </row>
    <row r="584" spans="1:15" ht="15" customHeight="1">
      <c r="A584" s="68">
        <v>46225</v>
      </c>
      <c r="B584" s="25">
        <f t="shared" si="131"/>
        <v>0.9166666666666663</v>
      </c>
      <c r="C584" s="26" t="s">
        <v>45</v>
      </c>
      <c r="D584" s="59" t="s">
        <v>30</v>
      </c>
      <c r="E584" s="59" t="s">
        <v>234</v>
      </c>
      <c r="F584" s="27">
        <v>16</v>
      </c>
      <c r="G584" s="28">
        <f t="shared" si="129"/>
        <v>80</v>
      </c>
      <c r="H584" s="26"/>
      <c r="I584" s="26"/>
      <c r="J584" s="26"/>
      <c r="K584" s="29"/>
      <c r="L584" s="29"/>
      <c r="M584" s="30" t="str">
        <f t="shared" ca="1" si="130"/>
        <v/>
      </c>
      <c r="N584" s="46"/>
      <c r="O584" s="47"/>
    </row>
    <row r="585" spans="1:15" ht="15" customHeight="1">
      <c r="A585" s="69">
        <v>46225</v>
      </c>
      <c r="B585" s="32">
        <f t="shared" si="131"/>
        <v>0.95833333333333293</v>
      </c>
      <c r="C585" s="26" t="s">
        <v>45</v>
      </c>
      <c r="D585" s="59" t="s">
        <v>30</v>
      </c>
      <c r="E585" s="59" t="s">
        <v>234</v>
      </c>
      <c r="F585" s="27">
        <v>13</v>
      </c>
      <c r="G585" s="34">
        <f t="shared" si="129"/>
        <v>65</v>
      </c>
      <c r="H585" s="33"/>
      <c r="I585" s="33"/>
      <c r="J585" s="33"/>
      <c r="K585" s="29"/>
      <c r="L585" s="29"/>
      <c r="M585" s="35" t="str">
        <f t="shared" ca="1" si="130"/>
        <v/>
      </c>
      <c r="N585" s="46"/>
      <c r="O585" s="47"/>
    </row>
    <row r="586" spans="1:15" ht="15" customHeight="1">
      <c r="A586" s="68">
        <v>46225</v>
      </c>
      <c r="B586" s="25">
        <f t="shared" si="131"/>
        <v>0.99999999999999956</v>
      </c>
      <c r="C586" s="26" t="s">
        <v>45</v>
      </c>
      <c r="D586" s="59" t="s">
        <v>30</v>
      </c>
      <c r="E586" s="59" t="s">
        <v>234</v>
      </c>
      <c r="F586" s="27">
        <v>0</v>
      </c>
      <c r="G586" s="28">
        <f t="shared" si="129"/>
        <v>0</v>
      </c>
      <c r="H586" s="26"/>
      <c r="I586" s="26"/>
      <c r="J586" s="26"/>
      <c r="K586" s="29"/>
      <c r="L586" s="29"/>
      <c r="M586" s="30" t="str">
        <f t="shared" ca="1" si="130"/>
        <v/>
      </c>
      <c r="N586" s="46"/>
      <c r="O586" s="47"/>
    </row>
    <row r="587" spans="1:15" ht="15" customHeight="1">
      <c r="A587" s="69">
        <v>46225</v>
      </c>
      <c r="B587" s="32">
        <f t="shared" si="131"/>
        <v>1.0416666666666663</v>
      </c>
      <c r="C587" s="26" t="s">
        <v>45</v>
      </c>
      <c r="D587" s="59" t="s">
        <v>30</v>
      </c>
      <c r="E587" s="59" t="s">
        <v>234</v>
      </c>
      <c r="F587" s="27">
        <v>25</v>
      </c>
      <c r="G587" s="34">
        <f t="shared" si="129"/>
        <v>125</v>
      </c>
      <c r="H587" s="33"/>
      <c r="I587" s="33"/>
      <c r="J587" s="33"/>
      <c r="K587" s="29"/>
      <c r="L587" s="29"/>
      <c r="M587" s="35" t="str">
        <f t="shared" ca="1" si="130"/>
        <v/>
      </c>
      <c r="N587" s="46"/>
      <c r="O587" s="47"/>
    </row>
    <row r="588" spans="1:15" ht="15" customHeight="1">
      <c r="A588" s="68">
        <v>46225</v>
      </c>
      <c r="B588" s="25">
        <f t="shared" si="131"/>
        <v>1.083333333333333</v>
      </c>
      <c r="C588" s="26" t="s">
        <v>45</v>
      </c>
      <c r="D588" s="59" t="s">
        <v>30</v>
      </c>
      <c r="E588" s="59" t="s">
        <v>261</v>
      </c>
      <c r="F588" s="27">
        <v>31</v>
      </c>
      <c r="G588" s="28">
        <f t="shared" si="129"/>
        <v>130.20000000000002</v>
      </c>
      <c r="H588" s="26"/>
      <c r="I588" s="26"/>
      <c r="J588" s="26"/>
      <c r="K588" s="29"/>
      <c r="L588" s="29"/>
      <c r="M588" s="30" t="str">
        <f t="shared" ca="1" si="130"/>
        <v/>
      </c>
      <c r="N588" s="46"/>
      <c r="O588" s="47"/>
    </row>
    <row r="589" spans="1:15" ht="15" customHeight="1">
      <c r="A589" s="69">
        <v>46225</v>
      </c>
      <c r="B589" s="32">
        <f t="shared" si="131"/>
        <v>1.1249999999999998</v>
      </c>
      <c r="C589" s="26" t="s">
        <v>45</v>
      </c>
      <c r="D589" s="59" t="s">
        <v>30</v>
      </c>
      <c r="E589" s="59" t="s">
        <v>234</v>
      </c>
      <c r="F589" s="27">
        <v>32</v>
      </c>
      <c r="G589" s="34">
        <f t="shared" si="129"/>
        <v>160</v>
      </c>
      <c r="H589" s="33"/>
      <c r="I589" s="33"/>
      <c r="J589" s="33"/>
      <c r="K589" s="29"/>
      <c r="L589" s="29"/>
      <c r="M589" s="35" t="str">
        <f t="shared" ca="1" si="130"/>
        <v/>
      </c>
      <c r="N589" s="46"/>
      <c r="O589" s="47"/>
    </row>
    <row r="590" spans="1:15" ht="15" customHeight="1">
      <c r="A590" s="68">
        <v>46225</v>
      </c>
      <c r="B590" s="25">
        <f t="shared" si="131"/>
        <v>1.1666666666666665</v>
      </c>
      <c r="C590" s="26" t="s">
        <v>45</v>
      </c>
      <c r="D590" s="59" t="s">
        <v>30</v>
      </c>
      <c r="E590" s="59" t="s">
        <v>234</v>
      </c>
      <c r="F590" s="27">
        <v>21</v>
      </c>
      <c r="G590" s="28">
        <f t="shared" si="129"/>
        <v>105</v>
      </c>
      <c r="H590" s="26"/>
      <c r="I590" s="26"/>
      <c r="J590" s="26"/>
      <c r="K590" s="29"/>
      <c r="L590" s="29"/>
      <c r="M590" s="30" t="str">
        <f t="shared" ca="1" si="130"/>
        <v/>
      </c>
      <c r="N590" s="46"/>
      <c r="O590" s="47"/>
    </row>
    <row r="591" spans="1:15" ht="15" customHeight="1">
      <c r="A591" s="69">
        <v>46225</v>
      </c>
      <c r="B591" s="32">
        <f t="shared" si="131"/>
        <v>1.2083333333333333</v>
      </c>
      <c r="C591" s="26" t="s">
        <v>45</v>
      </c>
      <c r="D591" s="59" t="s">
        <v>30</v>
      </c>
      <c r="E591" s="59" t="s">
        <v>234</v>
      </c>
      <c r="F591" s="27">
        <v>0</v>
      </c>
      <c r="G591" s="34">
        <f t="shared" si="129"/>
        <v>0</v>
      </c>
      <c r="H591" s="33"/>
      <c r="I591" s="33"/>
      <c r="J591" s="33"/>
      <c r="K591" s="29"/>
      <c r="L591" s="29"/>
      <c r="M591" s="35" t="str">
        <f t="shared" ca="1" si="130"/>
        <v/>
      </c>
      <c r="N591" s="46"/>
      <c r="O591" s="47"/>
    </row>
    <row r="592" spans="1:15" ht="15" customHeight="1">
      <c r="A592" s="68">
        <v>46225</v>
      </c>
      <c r="B592" s="25">
        <f t="shared" si="131"/>
        <v>1.25</v>
      </c>
      <c r="C592" s="26" t="s">
        <v>45</v>
      </c>
      <c r="D592" s="59" t="s">
        <v>30</v>
      </c>
      <c r="E592" s="59" t="s">
        <v>234</v>
      </c>
      <c r="F592" s="27">
        <v>0</v>
      </c>
      <c r="G592" s="28">
        <f t="shared" si="129"/>
        <v>0</v>
      </c>
      <c r="H592" s="26"/>
      <c r="I592" s="26"/>
      <c r="J592" s="26"/>
      <c r="K592" s="29"/>
      <c r="L592" s="29"/>
      <c r="M592" s="30" t="str">
        <f t="shared" ca="1" si="130"/>
        <v/>
      </c>
      <c r="N592" s="46"/>
      <c r="O592" s="47"/>
    </row>
    <row r="593" spans="1:15" ht="15" customHeight="1">
      <c r="A593" s="69">
        <v>46225</v>
      </c>
      <c r="B593" s="32">
        <f t="shared" si="131"/>
        <v>1.2916666666666667</v>
      </c>
      <c r="C593" s="26" t="s">
        <v>45</v>
      </c>
      <c r="D593" s="59" t="s">
        <v>30</v>
      </c>
      <c r="E593" s="59" t="s">
        <v>234</v>
      </c>
      <c r="F593" s="27">
        <v>0</v>
      </c>
      <c r="G593" s="34">
        <f t="shared" si="129"/>
        <v>0</v>
      </c>
      <c r="H593" s="33"/>
      <c r="I593" s="33"/>
      <c r="J593" s="33"/>
      <c r="K593" s="29"/>
      <c r="L593" s="29"/>
      <c r="M593" s="35" t="str">
        <f t="shared" ca="1" si="130"/>
        <v/>
      </c>
      <c r="N593" s="46"/>
      <c r="O593" s="47"/>
    </row>
    <row r="594" spans="1:15" ht="15.75" customHeight="1">
      <c r="A594" s="119" t="s">
        <v>238</v>
      </c>
      <c r="B594" s="120"/>
      <c r="C594" s="120"/>
      <c r="D594" s="120"/>
      <c r="E594" s="121">
        <f>SUM(E582:E593)</f>
        <v>0</v>
      </c>
      <c r="F594" s="36">
        <f>SUM(F582:F593)</f>
        <v>176</v>
      </c>
      <c r="G594" s="36">
        <f>SUM(G582:G593)</f>
        <v>855.2</v>
      </c>
      <c r="H594" s="37"/>
      <c r="I594" s="37"/>
      <c r="J594" s="37"/>
      <c r="K594" s="37"/>
      <c r="L594" s="37"/>
      <c r="M594" s="38">
        <f ca="1">IFERROR(SUM(M582:M593),"")</f>
        <v>0.12152777777777771</v>
      </c>
      <c r="N594" s="36" t="s">
        <v>237</v>
      </c>
      <c r="O594" s="39">
        <v>1036800</v>
      </c>
    </row>
    <row r="595" spans="1:15" ht="18" customHeight="1">
      <c r="A595" s="122" t="s">
        <v>239</v>
      </c>
      <c r="B595" s="123"/>
      <c r="C595" s="123"/>
      <c r="D595" s="123"/>
      <c r="E595" s="124">
        <f>E581+E594</f>
        <v>0</v>
      </c>
      <c r="F595" s="40">
        <f>F581+F594</f>
        <v>362</v>
      </c>
      <c r="G595" s="40">
        <f>G581+G594</f>
        <v>1785.2</v>
      </c>
      <c r="H595" s="41"/>
      <c r="I595" s="41"/>
      <c r="J595" s="41"/>
      <c r="K595" s="41"/>
      <c r="L595" s="41"/>
      <c r="M595" s="42">
        <f ca="1">IFERROR(M581+M594,"")</f>
        <v>0.179861111111111</v>
      </c>
      <c r="N595" s="40" t="s">
        <v>240</v>
      </c>
      <c r="O595" s="48">
        <f>IFERROR(O581+O594,"")</f>
        <v>2666800</v>
      </c>
    </row>
    <row r="596" spans="1:15" ht="15" customHeight="1">
      <c r="A596" s="68">
        <v>46226</v>
      </c>
      <c r="B596" s="25">
        <v>0.33333333333333298</v>
      </c>
      <c r="C596" s="26" t="s">
        <v>29</v>
      </c>
      <c r="D596" s="59" t="s">
        <v>30</v>
      </c>
      <c r="E596" s="59" t="s">
        <v>234</v>
      </c>
      <c r="F596" s="27">
        <v>27</v>
      </c>
      <c r="G596" s="28">
        <f t="shared" ref="G596:G607" si="132">IF(F596="","",IF(E596="PC 17",F596*4.2,IF(E596="PC 19",F596*5,"")))</f>
        <v>135</v>
      </c>
      <c r="H596" s="26" t="s">
        <v>20</v>
      </c>
      <c r="I596" s="26" t="s">
        <v>23</v>
      </c>
      <c r="J596" s="33" t="s">
        <v>187</v>
      </c>
      <c r="K596" s="29">
        <v>0.55625000000000002</v>
      </c>
      <c r="L596" s="29">
        <v>0.58263888888888893</v>
      </c>
      <c r="M596" s="30">
        <f t="shared" ref="M596:M607" ca="1" si="133">IFERROR(IF(K596="","",IF(L596="",MOD(NOW()-K596,1),IF(L596&gt;=K596,L596-K596,L596+1-K596))),"")</f>
        <v>2.6388888888888906E-2</v>
      </c>
      <c r="N596" s="46"/>
      <c r="O596" s="47"/>
    </row>
    <row r="597" spans="1:15" ht="15" customHeight="1">
      <c r="A597" s="69">
        <v>46226</v>
      </c>
      <c r="B597" s="32">
        <f t="shared" ref="B597:B607" si="134">B596+TIME(0,60,0)</f>
        <v>0.37499999999999967</v>
      </c>
      <c r="C597" s="26" t="s">
        <v>29</v>
      </c>
      <c r="D597" s="59" t="s">
        <v>30</v>
      </c>
      <c r="E597" s="59" t="s">
        <v>234</v>
      </c>
      <c r="F597" s="27">
        <v>30</v>
      </c>
      <c r="G597" s="34">
        <f t="shared" si="132"/>
        <v>150</v>
      </c>
      <c r="H597" s="33"/>
      <c r="I597" s="33"/>
      <c r="J597" s="33"/>
      <c r="K597" s="29"/>
      <c r="L597" s="29"/>
      <c r="M597" s="35" t="str">
        <f t="shared" ca="1" si="133"/>
        <v/>
      </c>
      <c r="N597" s="46"/>
      <c r="O597" s="47"/>
    </row>
    <row r="598" spans="1:15" ht="15" customHeight="1">
      <c r="A598" s="68">
        <v>46226</v>
      </c>
      <c r="B598" s="25">
        <f t="shared" si="134"/>
        <v>0.41666666666666635</v>
      </c>
      <c r="C598" s="26" t="s">
        <v>29</v>
      </c>
      <c r="D598" s="59" t="s">
        <v>30</v>
      </c>
      <c r="E598" s="59" t="s">
        <v>234</v>
      </c>
      <c r="F598" s="27">
        <v>30</v>
      </c>
      <c r="G598" s="28">
        <f t="shared" si="132"/>
        <v>150</v>
      </c>
      <c r="H598" s="26"/>
      <c r="I598" s="26"/>
      <c r="J598" s="26"/>
      <c r="K598" s="29"/>
      <c r="L598" s="29"/>
      <c r="M598" s="30" t="str">
        <f t="shared" ca="1" si="133"/>
        <v/>
      </c>
      <c r="N598" s="46"/>
      <c r="O598" s="47"/>
    </row>
    <row r="599" spans="1:15" ht="15" customHeight="1">
      <c r="A599" s="69">
        <v>46226</v>
      </c>
      <c r="B599" s="32">
        <f t="shared" si="134"/>
        <v>0.45833333333333304</v>
      </c>
      <c r="C599" s="26" t="s">
        <v>29</v>
      </c>
      <c r="D599" s="59" t="s">
        <v>30</v>
      </c>
      <c r="E599" s="59" t="s">
        <v>234</v>
      </c>
      <c r="F599" s="27">
        <v>30</v>
      </c>
      <c r="G599" s="34">
        <f t="shared" si="132"/>
        <v>150</v>
      </c>
      <c r="H599" s="33"/>
      <c r="I599" s="33"/>
      <c r="J599" s="33"/>
      <c r="K599" s="29"/>
      <c r="L599" s="29"/>
      <c r="M599" s="35" t="str">
        <f t="shared" ca="1" si="133"/>
        <v/>
      </c>
      <c r="N599" s="46"/>
      <c r="O599" s="47"/>
    </row>
    <row r="600" spans="1:15" ht="15" customHeight="1">
      <c r="A600" s="68">
        <v>46226</v>
      </c>
      <c r="B600" s="25">
        <f t="shared" si="134"/>
        <v>0.49999999999999972</v>
      </c>
      <c r="C600" s="26" t="s">
        <v>29</v>
      </c>
      <c r="D600" s="59" t="s">
        <v>30</v>
      </c>
      <c r="E600" s="59" t="s">
        <v>234</v>
      </c>
      <c r="F600" s="27">
        <v>72</v>
      </c>
      <c r="G600" s="28">
        <f t="shared" si="132"/>
        <v>360</v>
      </c>
      <c r="H600" s="26"/>
      <c r="I600" s="26"/>
      <c r="J600" s="26"/>
      <c r="K600" s="29"/>
      <c r="L600" s="29"/>
      <c r="M600" s="30" t="str">
        <f t="shared" ca="1" si="133"/>
        <v/>
      </c>
      <c r="N600" s="46"/>
      <c r="O600" s="47"/>
    </row>
    <row r="601" spans="1:15" ht="15" customHeight="1">
      <c r="A601" s="69">
        <v>46226</v>
      </c>
      <c r="B601" s="32">
        <f t="shared" si="134"/>
        <v>0.54166666666666641</v>
      </c>
      <c r="C601" s="26" t="s">
        <v>29</v>
      </c>
      <c r="D601" s="59" t="s">
        <v>30</v>
      </c>
      <c r="E601" s="59" t="s">
        <v>234</v>
      </c>
      <c r="F601" s="27">
        <v>30</v>
      </c>
      <c r="G601" s="34">
        <f t="shared" si="132"/>
        <v>150</v>
      </c>
      <c r="H601" s="33"/>
      <c r="I601" s="33"/>
      <c r="J601" s="33"/>
      <c r="K601" s="29"/>
      <c r="L601" s="29"/>
      <c r="M601" s="35" t="str">
        <f t="shared" ca="1" si="133"/>
        <v/>
      </c>
      <c r="N601" s="46"/>
      <c r="O601" s="47"/>
    </row>
    <row r="602" spans="1:15" ht="15" customHeight="1">
      <c r="A602" s="68">
        <v>46226</v>
      </c>
      <c r="B602" s="25">
        <f t="shared" si="134"/>
        <v>0.58333333333333304</v>
      </c>
      <c r="C602" s="26" t="s">
        <v>29</v>
      </c>
      <c r="D602" s="59" t="s">
        <v>30</v>
      </c>
      <c r="E602" s="59" t="s">
        <v>234</v>
      </c>
      <c r="F602" s="27">
        <v>20</v>
      </c>
      <c r="G602" s="28">
        <f t="shared" si="132"/>
        <v>100</v>
      </c>
      <c r="H602" s="26"/>
      <c r="I602" s="26"/>
      <c r="J602" s="26"/>
      <c r="K602" s="29"/>
      <c r="L602" s="29"/>
      <c r="M602" s="30" t="str">
        <f t="shared" ca="1" si="133"/>
        <v/>
      </c>
      <c r="N602" s="46"/>
      <c r="O602" s="47"/>
    </row>
    <row r="603" spans="1:15" ht="15" customHeight="1">
      <c r="A603" s="69">
        <v>46226</v>
      </c>
      <c r="B603" s="32">
        <f t="shared" si="134"/>
        <v>0.62499999999999967</v>
      </c>
      <c r="C603" s="26" t="s">
        <v>29</v>
      </c>
      <c r="D603" s="59" t="s">
        <v>30</v>
      </c>
      <c r="E603" s="59" t="s">
        <v>234</v>
      </c>
      <c r="F603" s="27">
        <v>30</v>
      </c>
      <c r="G603" s="34">
        <f t="shared" si="132"/>
        <v>150</v>
      </c>
      <c r="H603" s="33"/>
      <c r="I603" s="33"/>
      <c r="J603" s="33"/>
      <c r="K603" s="29"/>
      <c r="L603" s="29"/>
      <c r="M603" s="35" t="str">
        <f t="shared" ca="1" si="133"/>
        <v/>
      </c>
      <c r="N603" s="46"/>
      <c r="O603" s="47"/>
    </row>
    <row r="604" spans="1:15" ht="15" customHeight="1">
      <c r="A604" s="68">
        <v>46226</v>
      </c>
      <c r="B604" s="25">
        <f t="shared" si="134"/>
        <v>0.6666666666666663</v>
      </c>
      <c r="C604" s="26" t="s">
        <v>29</v>
      </c>
      <c r="D604" s="59" t="s">
        <v>30</v>
      </c>
      <c r="E604" s="59" t="s">
        <v>234</v>
      </c>
      <c r="F604" s="27">
        <v>43</v>
      </c>
      <c r="G604" s="28">
        <f t="shared" si="132"/>
        <v>215</v>
      </c>
      <c r="H604" s="26"/>
      <c r="I604" s="26"/>
      <c r="J604" s="26"/>
      <c r="K604" s="29"/>
      <c r="L604" s="29"/>
      <c r="M604" s="30" t="str">
        <f t="shared" ca="1" si="133"/>
        <v/>
      </c>
      <c r="N604" s="46"/>
      <c r="O604" s="47"/>
    </row>
    <row r="605" spans="1:15" ht="15" customHeight="1">
      <c r="A605" s="69">
        <v>46226</v>
      </c>
      <c r="B605" s="32">
        <f t="shared" si="134"/>
        <v>0.70833333333333293</v>
      </c>
      <c r="C605" s="26" t="s">
        <v>29</v>
      </c>
      <c r="D605" s="59" t="s">
        <v>30</v>
      </c>
      <c r="E605" s="59" t="s">
        <v>234</v>
      </c>
      <c r="F605" s="27">
        <v>42</v>
      </c>
      <c r="G605" s="34">
        <f t="shared" si="132"/>
        <v>210</v>
      </c>
      <c r="H605" s="33"/>
      <c r="I605" s="33"/>
      <c r="J605" s="33"/>
      <c r="K605" s="29"/>
      <c r="L605" s="29"/>
      <c r="M605" s="35" t="str">
        <f t="shared" ca="1" si="133"/>
        <v/>
      </c>
      <c r="N605" s="46"/>
      <c r="O605" s="47"/>
    </row>
    <row r="606" spans="1:15" ht="15" customHeight="1">
      <c r="A606" s="68">
        <v>46226</v>
      </c>
      <c r="B606" s="25">
        <f t="shared" si="134"/>
        <v>0.74999999999999956</v>
      </c>
      <c r="C606" s="26" t="s">
        <v>29</v>
      </c>
      <c r="D606" s="59" t="s">
        <v>30</v>
      </c>
      <c r="E606" s="59" t="s">
        <v>234</v>
      </c>
      <c r="F606" s="27">
        <v>27</v>
      </c>
      <c r="G606" s="28">
        <f t="shared" si="132"/>
        <v>135</v>
      </c>
      <c r="H606" s="26"/>
      <c r="I606" s="26"/>
      <c r="J606" s="26"/>
      <c r="K606" s="29"/>
      <c r="L606" s="29"/>
      <c r="M606" s="30" t="str">
        <f t="shared" ca="1" si="133"/>
        <v/>
      </c>
      <c r="N606" s="46"/>
      <c r="O606" s="47"/>
    </row>
    <row r="607" spans="1:15" ht="15" customHeight="1">
      <c r="A607" s="69">
        <v>46226</v>
      </c>
      <c r="B607" s="32">
        <f t="shared" si="134"/>
        <v>0.79166666666666619</v>
      </c>
      <c r="C607" s="26" t="s">
        <v>29</v>
      </c>
      <c r="D607" s="59" t="s">
        <v>30</v>
      </c>
      <c r="E607" s="59" t="s">
        <v>234</v>
      </c>
      <c r="F607" s="27">
        <v>10</v>
      </c>
      <c r="G607" s="34">
        <f t="shared" si="132"/>
        <v>50</v>
      </c>
      <c r="H607" s="33"/>
      <c r="I607" s="33"/>
      <c r="J607" s="33"/>
      <c r="K607" s="29"/>
      <c r="L607" s="29"/>
      <c r="M607" s="35" t="str">
        <f t="shared" ca="1" si="133"/>
        <v/>
      </c>
      <c r="N607" s="46"/>
      <c r="O607" s="47"/>
    </row>
    <row r="608" spans="1:15" ht="15.75" customHeight="1">
      <c r="A608" s="119" t="s">
        <v>236</v>
      </c>
      <c r="B608" s="120"/>
      <c r="C608" s="120"/>
      <c r="D608" s="120"/>
      <c r="E608" s="121">
        <f>SUM(E596:E607)</f>
        <v>0</v>
      </c>
      <c r="F608" s="36">
        <f>SUM(F596:F607)</f>
        <v>391</v>
      </c>
      <c r="G608" s="36">
        <f>SUM(G596:G607)</f>
        <v>1955</v>
      </c>
      <c r="H608" s="37"/>
      <c r="I608" s="37"/>
      <c r="J608" s="37"/>
      <c r="K608" s="37"/>
      <c r="L608" s="37"/>
      <c r="M608" s="38">
        <f ca="1">IFERROR(SUM(M596:M607),"")</f>
        <v>2.6388888888888906E-2</v>
      </c>
      <c r="N608" s="36" t="s">
        <v>237</v>
      </c>
      <c r="O608" s="39">
        <v>2433062</v>
      </c>
    </row>
    <row r="609" spans="1:15" ht="15" customHeight="1">
      <c r="A609" s="69">
        <v>46226</v>
      </c>
      <c r="B609" s="32">
        <v>0.83333333333333304</v>
      </c>
      <c r="C609" s="33" t="s">
        <v>45</v>
      </c>
      <c r="D609" s="62" t="s">
        <v>30</v>
      </c>
      <c r="E609" s="62" t="s">
        <v>234</v>
      </c>
      <c r="F609" s="27">
        <v>13</v>
      </c>
      <c r="G609" s="34">
        <f t="shared" ref="G609:G614" si="135">IF(F609="","",IF(E609="PC 17",F609*4.2,IF(E609="PC 19",F609*5,"")))</f>
        <v>65</v>
      </c>
      <c r="H609" s="33" t="s">
        <v>18</v>
      </c>
      <c r="I609" s="33" t="s">
        <v>23</v>
      </c>
      <c r="J609" s="33" t="s">
        <v>164</v>
      </c>
      <c r="K609" s="29">
        <v>0.83333333333333337</v>
      </c>
      <c r="L609" s="29">
        <v>0.875</v>
      </c>
      <c r="M609" s="35">
        <f t="shared" ref="M609:M620" ca="1" si="136">IFERROR(IF(K609="","",IF(L609="",MOD(NOW()-K609,1),IF(L609&gt;=K609,L609-K609,L609+1-K609))),"")</f>
        <v>4.166666666666663E-2</v>
      </c>
      <c r="N609" s="46" t="s">
        <v>265</v>
      </c>
      <c r="O609" s="47"/>
    </row>
    <row r="610" spans="1:15" ht="15" customHeight="1">
      <c r="A610" s="68">
        <v>46226</v>
      </c>
      <c r="B610" s="25">
        <f t="shared" ref="B610:B620" si="137">B609+TIME(0,60,0)</f>
        <v>0.87499999999999967</v>
      </c>
      <c r="C610" s="33" t="s">
        <v>45</v>
      </c>
      <c r="D610" s="62" t="s">
        <v>30</v>
      </c>
      <c r="E610" s="62" t="s">
        <v>234</v>
      </c>
      <c r="F610" s="27">
        <v>0</v>
      </c>
      <c r="G610" s="28">
        <f t="shared" si="135"/>
        <v>0</v>
      </c>
      <c r="H610" s="26"/>
      <c r="I610" s="26"/>
      <c r="J610" s="26"/>
      <c r="K610" s="29"/>
      <c r="L610" s="29"/>
      <c r="M610" s="30" t="str">
        <f t="shared" ca="1" si="136"/>
        <v/>
      </c>
      <c r="N610" s="46"/>
      <c r="O610" s="47"/>
    </row>
    <row r="611" spans="1:15" ht="15" customHeight="1">
      <c r="A611" s="69">
        <v>46226</v>
      </c>
      <c r="B611" s="32">
        <f t="shared" si="137"/>
        <v>0.9166666666666663</v>
      </c>
      <c r="C611" s="33" t="s">
        <v>45</v>
      </c>
      <c r="D611" s="62" t="s">
        <v>30</v>
      </c>
      <c r="E611" s="62" t="s">
        <v>234</v>
      </c>
      <c r="F611" s="27">
        <v>40</v>
      </c>
      <c r="G611" s="34">
        <f t="shared" si="135"/>
        <v>200</v>
      </c>
      <c r="H611" s="33"/>
      <c r="I611" s="33"/>
      <c r="J611" s="33"/>
      <c r="K611" s="29"/>
      <c r="L611" s="29"/>
      <c r="M611" s="35" t="str">
        <f t="shared" ca="1" si="136"/>
        <v/>
      </c>
      <c r="N611" s="46"/>
      <c r="O611" s="47"/>
    </row>
    <row r="612" spans="1:15" ht="15" customHeight="1">
      <c r="A612" s="68">
        <v>46226</v>
      </c>
      <c r="B612" s="25">
        <f t="shared" si="137"/>
        <v>0.95833333333333293</v>
      </c>
      <c r="C612" s="33" t="s">
        <v>45</v>
      </c>
      <c r="D612" s="62" t="s">
        <v>30</v>
      </c>
      <c r="E612" s="62" t="s">
        <v>234</v>
      </c>
      <c r="F612" s="27">
        <v>27</v>
      </c>
      <c r="G612" s="28">
        <f t="shared" si="135"/>
        <v>135</v>
      </c>
      <c r="H612" s="26"/>
      <c r="I612" s="26"/>
      <c r="J612" s="26"/>
      <c r="K612" s="29"/>
      <c r="L612" s="29"/>
      <c r="M612" s="30" t="str">
        <f t="shared" ca="1" si="136"/>
        <v/>
      </c>
      <c r="N612" s="46"/>
      <c r="O612" s="47"/>
    </row>
    <row r="613" spans="1:15" ht="15" customHeight="1">
      <c r="A613" s="69">
        <v>46226</v>
      </c>
      <c r="B613" s="32">
        <f t="shared" si="137"/>
        <v>0.99999999999999956</v>
      </c>
      <c r="C613" s="33" t="s">
        <v>45</v>
      </c>
      <c r="D613" s="62" t="s">
        <v>30</v>
      </c>
      <c r="E613" s="62" t="s">
        <v>234</v>
      </c>
      <c r="F613" s="27">
        <v>12</v>
      </c>
      <c r="G613" s="34">
        <f t="shared" si="135"/>
        <v>60</v>
      </c>
      <c r="H613" s="33"/>
      <c r="I613" s="33"/>
      <c r="J613" s="33"/>
      <c r="K613" s="29"/>
      <c r="L613" s="29"/>
      <c r="M613" s="35" t="str">
        <f t="shared" ca="1" si="136"/>
        <v/>
      </c>
      <c r="N613" s="46"/>
      <c r="O613" s="47"/>
    </row>
    <row r="614" spans="1:15" ht="15" customHeight="1">
      <c r="A614" s="68">
        <v>46226</v>
      </c>
      <c r="B614" s="25">
        <f t="shared" si="137"/>
        <v>1.0416666666666663</v>
      </c>
      <c r="C614" s="33" t="s">
        <v>45</v>
      </c>
      <c r="D614" s="62" t="s">
        <v>30</v>
      </c>
      <c r="E614" s="62" t="s">
        <v>234</v>
      </c>
      <c r="F614" s="27">
        <v>28</v>
      </c>
      <c r="G614" s="28">
        <f t="shared" si="135"/>
        <v>140</v>
      </c>
      <c r="H614" s="26"/>
      <c r="I614" s="26"/>
      <c r="J614" s="26"/>
      <c r="K614" s="29"/>
      <c r="L614" s="29"/>
      <c r="M614" s="30" t="str">
        <f t="shared" ca="1" si="136"/>
        <v/>
      </c>
      <c r="N614" s="46"/>
      <c r="O614" s="47"/>
    </row>
    <row r="615" spans="1:15" ht="15" customHeight="1">
      <c r="A615" s="69">
        <v>46226</v>
      </c>
      <c r="B615" s="32">
        <f t="shared" si="137"/>
        <v>1.083333333333333</v>
      </c>
      <c r="C615" s="33" t="s">
        <v>45</v>
      </c>
      <c r="D615" s="62" t="s">
        <v>30</v>
      </c>
      <c r="E615" s="62" t="s">
        <v>234</v>
      </c>
      <c r="F615" s="27">
        <v>24</v>
      </c>
      <c r="G615" s="34">
        <v>120</v>
      </c>
      <c r="H615" s="33"/>
      <c r="I615" s="33"/>
      <c r="J615" s="33"/>
      <c r="K615" s="29"/>
      <c r="L615" s="29"/>
      <c r="M615" s="35" t="str">
        <f t="shared" ca="1" si="136"/>
        <v/>
      </c>
      <c r="N615" s="46"/>
      <c r="O615" s="47"/>
    </row>
    <row r="616" spans="1:15" ht="15" customHeight="1">
      <c r="A616" s="68">
        <v>46226</v>
      </c>
      <c r="B616" s="25">
        <f t="shared" si="137"/>
        <v>1.1249999999999998</v>
      </c>
      <c r="C616" s="33" t="s">
        <v>45</v>
      </c>
      <c r="D616" s="62" t="s">
        <v>30</v>
      </c>
      <c r="E616" s="62" t="s">
        <v>234</v>
      </c>
      <c r="F616" s="27">
        <v>22</v>
      </c>
      <c r="G616" s="28">
        <f>IF(F616="","",IF(E616="PC 17",F616*4.2,IF(E616="PC 19",F616*5,"")))</f>
        <v>110</v>
      </c>
      <c r="H616" s="26"/>
      <c r="I616" s="26"/>
      <c r="J616" s="26"/>
      <c r="K616" s="29"/>
      <c r="L616" s="29"/>
      <c r="M616" s="30" t="str">
        <f t="shared" ca="1" si="136"/>
        <v/>
      </c>
      <c r="N616" s="46"/>
      <c r="O616" s="47"/>
    </row>
    <row r="617" spans="1:15" ht="15" customHeight="1">
      <c r="A617" s="69">
        <v>46226</v>
      </c>
      <c r="B617" s="32">
        <f t="shared" si="137"/>
        <v>1.1666666666666665</v>
      </c>
      <c r="C617" s="33" t="s">
        <v>45</v>
      </c>
      <c r="D617" s="62" t="s">
        <v>30</v>
      </c>
      <c r="E617" s="62" t="s">
        <v>234</v>
      </c>
      <c r="F617" s="27">
        <v>12</v>
      </c>
      <c r="G617" s="34">
        <f>IF(F617="","",IF(E617="PC 17",F617*4.2,IF(E617="PC 19",F617*5,"")))</f>
        <v>60</v>
      </c>
      <c r="H617" s="33"/>
      <c r="I617" s="33"/>
      <c r="J617" s="33"/>
      <c r="K617" s="29"/>
      <c r="L617" s="29"/>
      <c r="M617" s="35" t="str">
        <f t="shared" ca="1" si="136"/>
        <v/>
      </c>
      <c r="N617" s="46"/>
      <c r="O617" s="47"/>
    </row>
    <row r="618" spans="1:15" ht="15" customHeight="1">
      <c r="A618" s="68">
        <v>46226</v>
      </c>
      <c r="B618" s="25">
        <f t="shared" si="137"/>
        <v>1.2083333333333333</v>
      </c>
      <c r="C618" s="33" t="s">
        <v>45</v>
      </c>
      <c r="D618" s="62" t="s">
        <v>30</v>
      </c>
      <c r="E618" s="62" t="s">
        <v>234</v>
      </c>
      <c r="F618" s="27">
        <v>19</v>
      </c>
      <c r="G618" s="28">
        <f>IF(F618="","",IF(E618="PC 17",F618*4.2,IF(E618="PC 19",F618*5,"")))</f>
        <v>95</v>
      </c>
      <c r="H618" s="26"/>
      <c r="I618" s="26"/>
      <c r="J618" s="26"/>
      <c r="K618" s="29"/>
      <c r="L618" s="29"/>
      <c r="M618" s="30" t="str">
        <f t="shared" ca="1" si="136"/>
        <v/>
      </c>
      <c r="N618" s="46"/>
      <c r="O618" s="47"/>
    </row>
    <row r="619" spans="1:15" ht="15" customHeight="1">
      <c r="A619" s="69">
        <v>46226</v>
      </c>
      <c r="B619" s="32">
        <f t="shared" si="137"/>
        <v>1.25</v>
      </c>
      <c r="C619" s="33" t="s">
        <v>45</v>
      </c>
      <c r="D619" s="62" t="s">
        <v>30</v>
      </c>
      <c r="E619" s="62" t="s">
        <v>234</v>
      </c>
      <c r="F619" s="27">
        <v>30</v>
      </c>
      <c r="G619" s="34">
        <f>IF(F619="","",IF(E619="PC 17",F619*4.2,IF(E619="PC 19",F619*5,"")))</f>
        <v>150</v>
      </c>
      <c r="H619" s="33"/>
      <c r="I619" s="33"/>
      <c r="J619" s="33"/>
      <c r="K619" s="29"/>
      <c r="L619" s="29"/>
      <c r="M619" s="35" t="str">
        <f t="shared" ca="1" si="136"/>
        <v/>
      </c>
      <c r="N619" s="46"/>
      <c r="O619" s="47"/>
    </row>
    <row r="620" spans="1:15" ht="15" customHeight="1">
      <c r="A620" s="68">
        <v>46226</v>
      </c>
      <c r="B620" s="25">
        <f t="shared" si="137"/>
        <v>1.2916666666666667</v>
      </c>
      <c r="C620" s="33" t="s">
        <v>45</v>
      </c>
      <c r="D620" s="62" t="s">
        <v>30</v>
      </c>
      <c r="E620" s="62" t="s">
        <v>234</v>
      </c>
      <c r="F620" s="27">
        <v>20</v>
      </c>
      <c r="G620" s="28">
        <f>IF(F620="","",IF(E620="PC 17",F620*4.2,IF(E620="PC 19",F620*5,"")))</f>
        <v>100</v>
      </c>
      <c r="H620" s="26"/>
      <c r="I620" s="26"/>
      <c r="J620" s="26"/>
      <c r="K620" s="29"/>
      <c r="L620" s="29"/>
      <c r="M620" s="30" t="str">
        <f t="shared" ca="1" si="136"/>
        <v/>
      </c>
      <c r="N620" s="46"/>
      <c r="O620" s="47"/>
    </row>
    <row r="621" spans="1:15" ht="15.75" customHeight="1">
      <c r="A621" s="119" t="s">
        <v>238</v>
      </c>
      <c r="B621" s="120"/>
      <c r="C621" s="120"/>
      <c r="D621" s="120"/>
      <c r="E621" s="121">
        <f>SUM(E609:E620)</f>
        <v>0</v>
      </c>
      <c r="F621" s="36">
        <f>SUM(F609:F620)</f>
        <v>247</v>
      </c>
      <c r="G621" s="36">
        <f>SUM(G609:G620)</f>
        <v>1235</v>
      </c>
      <c r="H621" s="37"/>
      <c r="I621" s="37"/>
      <c r="J621" s="37"/>
      <c r="K621" s="37"/>
      <c r="L621" s="37"/>
      <c r="M621" s="38">
        <f ca="1">IFERROR(SUM(M609:M620),"")</f>
        <v>4.166666666666663E-2</v>
      </c>
      <c r="N621" s="36" t="s">
        <v>237</v>
      </c>
      <c r="O621" s="39">
        <v>1295785</v>
      </c>
    </row>
    <row r="622" spans="1:15" ht="18" customHeight="1">
      <c r="A622" s="122" t="s">
        <v>239</v>
      </c>
      <c r="B622" s="123"/>
      <c r="C622" s="123"/>
      <c r="D622" s="123"/>
      <c r="E622" s="124">
        <f>E608+E621</f>
        <v>0</v>
      </c>
      <c r="F622" s="40">
        <f>F608+F621</f>
        <v>638</v>
      </c>
      <c r="G622" s="40">
        <f>G608+G621</f>
        <v>3190</v>
      </c>
      <c r="H622" s="41"/>
      <c r="I622" s="41"/>
      <c r="J622" s="41"/>
      <c r="K622" s="41"/>
      <c r="L622" s="41"/>
      <c r="M622" s="42">
        <f ca="1">IFERROR(M608+M621,"")</f>
        <v>6.8055555555555536E-2</v>
      </c>
      <c r="N622" s="40" t="s">
        <v>240</v>
      </c>
      <c r="O622" s="48">
        <f>IFERROR(O608+O621,"")</f>
        <v>3728847</v>
      </c>
    </row>
    <row r="623" spans="1:15" ht="15" customHeight="1">
      <c r="A623" s="69">
        <v>46227</v>
      </c>
      <c r="B623" s="32">
        <v>0.33333333333333298</v>
      </c>
      <c r="C623" s="33" t="s">
        <v>29</v>
      </c>
      <c r="D623" s="62" t="s">
        <v>30</v>
      </c>
      <c r="E623" s="62" t="s">
        <v>234</v>
      </c>
      <c r="F623" s="27">
        <v>20</v>
      </c>
      <c r="G623" s="34">
        <f t="shared" ref="G623:G634" si="138">IF(F623="","",IF(E623="PC 17",F623*4.2,IF(E623="PC 19",F623*5,"")))</f>
        <v>100</v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46"/>
      <c r="O623" s="47"/>
    </row>
    <row r="624" spans="1:15" ht="15" customHeight="1">
      <c r="A624" s="68">
        <v>46227</v>
      </c>
      <c r="B624" s="25">
        <f t="shared" ref="B624:B634" si="140">B623+TIME(0,60,0)</f>
        <v>0.37499999999999967</v>
      </c>
      <c r="C624" s="33" t="s">
        <v>29</v>
      </c>
      <c r="D624" s="62" t="s">
        <v>30</v>
      </c>
      <c r="E624" s="62" t="s">
        <v>234</v>
      </c>
      <c r="F624" s="27">
        <v>20</v>
      </c>
      <c r="G624" s="28">
        <f t="shared" si="138"/>
        <v>100</v>
      </c>
      <c r="H624" s="26"/>
      <c r="I624" s="26"/>
      <c r="J624" s="26"/>
      <c r="K624" s="29"/>
      <c r="L624" s="29"/>
      <c r="M624" s="30" t="str">
        <f t="shared" ca="1" si="139"/>
        <v/>
      </c>
      <c r="N624" s="46"/>
      <c r="O624" s="47"/>
    </row>
    <row r="625" spans="1:15" ht="15" customHeight="1">
      <c r="A625" s="69">
        <v>46227</v>
      </c>
      <c r="B625" s="32">
        <f t="shared" si="140"/>
        <v>0.41666666666666635</v>
      </c>
      <c r="C625" s="33" t="s">
        <v>29</v>
      </c>
      <c r="D625" s="62" t="s">
        <v>30</v>
      </c>
      <c r="E625" s="62" t="s">
        <v>234</v>
      </c>
      <c r="F625" s="27">
        <v>25</v>
      </c>
      <c r="G625" s="34">
        <f t="shared" si="138"/>
        <v>125</v>
      </c>
      <c r="H625" s="33"/>
      <c r="I625" s="33"/>
      <c r="J625" s="33"/>
      <c r="K625" s="29"/>
      <c r="L625" s="29"/>
      <c r="M625" s="35" t="str">
        <f t="shared" ca="1" si="139"/>
        <v/>
      </c>
      <c r="N625" s="46"/>
      <c r="O625" s="47"/>
    </row>
    <row r="626" spans="1:15" ht="15" customHeight="1">
      <c r="A626" s="68">
        <v>46227</v>
      </c>
      <c r="B626" s="25">
        <f t="shared" si="140"/>
        <v>0.45833333333333304</v>
      </c>
      <c r="C626" s="33" t="s">
        <v>29</v>
      </c>
      <c r="D626" s="62" t="s">
        <v>30</v>
      </c>
      <c r="E626" s="62" t="s">
        <v>234</v>
      </c>
      <c r="F626" s="27">
        <v>30</v>
      </c>
      <c r="G626" s="28">
        <f t="shared" si="138"/>
        <v>150</v>
      </c>
      <c r="H626" s="26"/>
      <c r="I626" s="26"/>
      <c r="J626" s="26"/>
      <c r="K626" s="29"/>
      <c r="L626" s="29"/>
      <c r="M626" s="30" t="str">
        <f t="shared" ca="1" si="139"/>
        <v/>
      </c>
      <c r="N626" s="46"/>
      <c r="O626" s="47"/>
    </row>
    <row r="627" spans="1:15" ht="15" customHeight="1">
      <c r="A627" s="69">
        <v>46227</v>
      </c>
      <c r="B627" s="32">
        <f t="shared" si="140"/>
        <v>0.49999999999999972</v>
      </c>
      <c r="C627" s="33" t="s">
        <v>29</v>
      </c>
      <c r="D627" s="62" t="s">
        <v>30</v>
      </c>
      <c r="E627" s="62" t="s">
        <v>234</v>
      </c>
      <c r="F627" s="27">
        <v>40</v>
      </c>
      <c r="G627" s="34">
        <f t="shared" si="138"/>
        <v>200</v>
      </c>
      <c r="H627" s="33"/>
      <c r="I627" s="33"/>
      <c r="J627" s="33"/>
      <c r="K627" s="29"/>
      <c r="L627" s="29"/>
      <c r="M627" s="35" t="str">
        <f t="shared" ca="1" si="139"/>
        <v/>
      </c>
      <c r="N627" s="46"/>
      <c r="O627" s="47"/>
    </row>
    <row r="628" spans="1:15" ht="15" customHeight="1">
      <c r="A628" s="68">
        <v>46227</v>
      </c>
      <c r="B628" s="25">
        <f t="shared" si="140"/>
        <v>0.54166666666666641</v>
      </c>
      <c r="C628" s="33" t="s">
        <v>29</v>
      </c>
      <c r="D628" s="62" t="s">
        <v>30</v>
      </c>
      <c r="E628" s="62" t="s">
        <v>234</v>
      </c>
      <c r="F628" s="27">
        <v>35</v>
      </c>
      <c r="G628" s="28">
        <f t="shared" si="138"/>
        <v>175</v>
      </c>
      <c r="H628" s="26"/>
      <c r="I628" s="26"/>
      <c r="J628" s="26"/>
      <c r="K628" s="29"/>
      <c r="L628" s="29"/>
      <c r="M628" s="30" t="str">
        <f t="shared" ca="1" si="139"/>
        <v/>
      </c>
      <c r="N628" s="46"/>
      <c r="O628" s="47"/>
    </row>
    <row r="629" spans="1:15" ht="15" customHeight="1">
      <c r="A629" s="69">
        <v>46227</v>
      </c>
      <c r="B629" s="32">
        <f t="shared" si="140"/>
        <v>0.58333333333333304</v>
      </c>
      <c r="C629" s="33" t="s">
        <v>29</v>
      </c>
      <c r="D629" s="62" t="s">
        <v>30</v>
      </c>
      <c r="E629" s="62" t="s">
        <v>234</v>
      </c>
      <c r="F629" s="27">
        <v>40</v>
      </c>
      <c r="G629" s="34">
        <f t="shared" si="138"/>
        <v>200</v>
      </c>
      <c r="H629" s="33"/>
      <c r="I629" s="33"/>
      <c r="J629" s="33"/>
      <c r="K629" s="29"/>
      <c r="L629" s="29"/>
      <c r="M629" s="35" t="str">
        <f t="shared" ca="1" si="139"/>
        <v/>
      </c>
      <c r="N629" s="46"/>
      <c r="O629" s="47"/>
    </row>
    <row r="630" spans="1:15" ht="15" customHeight="1">
      <c r="A630" s="68">
        <v>46227</v>
      </c>
      <c r="B630" s="25">
        <f t="shared" si="140"/>
        <v>0.62499999999999967</v>
      </c>
      <c r="C630" s="33" t="s">
        <v>29</v>
      </c>
      <c r="D630" s="62" t="s">
        <v>30</v>
      </c>
      <c r="E630" s="62" t="s">
        <v>234</v>
      </c>
      <c r="F630" s="27">
        <v>36</v>
      </c>
      <c r="G630" s="28">
        <f t="shared" si="138"/>
        <v>180</v>
      </c>
      <c r="H630" s="26"/>
      <c r="I630" s="26"/>
      <c r="J630" s="26"/>
      <c r="K630" s="29"/>
      <c r="L630" s="29"/>
      <c r="M630" s="30" t="str">
        <f t="shared" ca="1" si="139"/>
        <v/>
      </c>
      <c r="N630" s="46"/>
      <c r="O630" s="47"/>
    </row>
    <row r="631" spans="1:15" ht="15" customHeight="1">
      <c r="A631" s="69">
        <v>46227</v>
      </c>
      <c r="B631" s="32">
        <f t="shared" si="140"/>
        <v>0.6666666666666663</v>
      </c>
      <c r="C631" s="33" t="s">
        <v>29</v>
      </c>
      <c r="D631" s="62" t="s">
        <v>30</v>
      </c>
      <c r="E631" s="62" t="s">
        <v>234</v>
      </c>
      <c r="F631" s="27">
        <v>35</v>
      </c>
      <c r="G631" s="34">
        <f t="shared" si="138"/>
        <v>175</v>
      </c>
      <c r="H631" s="33"/>
      <c r="I631" s="33"/>
      <c r="J631" s="33"/>
      <c r="K631" s="29"/>
      <c r="L631" s="29"/>
      <c r="M631" s="35" t="str">
        <f t="shared" ca="1" si="139"/>
        <v/>
      </c>
      <c r="N631" s="46"/>
      <c r="O631" s="47"/>
    </row>
    <row r="632" spans="1:15" ht="15" customHeight="1">
      <c r="A632" s="68">
        <v>46227</v>
      </c>
      <c r="B632" s="25">
        <f t="shared" si="140"/>
        <v>0.70833333333333293</v>
      </c>
      <c r="C632" s="33" t="s">
        <v>29</v>
      </c>
      <c r="D632" s="62" t="s">
        <v>30</v>
      </c>
      <c r="E632" s="62" t="s">
        <v>234</v>
      </c>
      <c r="F632" s="27">
        <v>20</v>
      </c>
      <c r="G632" s="28">
        <f t="shared" si="138"/>
        <v>100</v>
      </c>
      <c r="H632" s="26"/>
      <c r="I632" s="26"/>
      <c r="J632" s="26"/>
      <c r="K632" s="29"/>
      <c r="L632" s="29"/>
      <c r="M632" s="30" t="str">
        <f t="shared" ca="1" si="139"/>
        <v/>
      </c>
      <c r="N632" s="46"/>
      <c r="O632" s="47"/>
    </row>
    <row r="633" spans="1:15" ht="15" customHeight="1">
      <c r="A633" s="69">
        <v>46227</v>
      </c>
      <c r="B633" s="32">
        <f t="shared" si="140"/>
        <v>0.74999999999999956</v>
      </c>
      <c r="C633" s="33" t="s">
        <v>29</v>
      </c>
      <c r="D633" s="62" t="s">
        <v>30</v>
      </c>
      <c r="E633" s="62" t="s">
        <v>234</v>
      </c>
      <c r="F633" s="27">
        <v>32</v>
      </c>
      <c r="G633" s="34">
        <f t="shared" si="138"/>
        <v>160</v>
      </c>
      <c r="H633" s="33"/>
      <c r="I633" s="33"/>
      <c r="J633" s="33"/>
      <c r="K633" s="29"/>
      <c r="L633" s="29"/>
      <c r="M633" s="35" t="str">
        <f t="shared" ca="1" si="139"/>
        <v/>
      </c>
      <c r="N633" s="46"/>
      <c r="O633" s="47"/>
    </row>
    <row r="634" spans="1:15" ht="15" customHeight="1">
      <c r="A634" s="68">
        <v>46227</v>
      </c>
      <c r="B634" s="25">
        <f t="shared" si="140"/>
        <v>0.79166666666666619</v>
      </c>
      <c r="C634" s="33" t="s">
        <v>29</v>
      </c>
      <c r="D634" s="62" t="s">
        <v>30</v>
      </c>
      <c r="E634" s="62" t="s">
        <v>234</v>
      </c>
      <c r="F634" s="27">
        <v>0</v>
      </c>
      <c r="G634" s="28">
        <f t="shared" si="138"/>
        <v>0</v>
      </c>
      <c r="H634" s="26"/>
      <c r="I634" s="26"/>
      <c r="J634" s="26"/>
      <c r="K634" s="29"/>
      <c r="L634" s="29"/>
      <c r="M634" s="30" t="str">
        <f t="shared" ca="1" si="139"/>
        <v/>
      </c>
      <c r="N634" s="46"/>
      <c r="O634" s="47"/>
    </row>
    <row r="635" spans="1:15" ht="15.75" customHeight="1">
      <c r="A635" s="119" t="s">
        <v>236</v>
      </c>
      <c r="B635" s="120"/>
      <c r="C635" s="120"/>
      <c r="D635" s="120"/>
      <c r="E635" s="121">
        <f>SUM(E623:E634)</f>
        <v>0</v>
      </c>
      <c r="F635" s="36">
        <f>SUM(F623:F634)</f>
        <v>333</v>
      </c>
      <c r="G635" s="36">
        <f>SUM(G623:G634)</f>
        <v>1665</v>
      </c>
      <c r="H635" s="37"/>
      <c r="I635" s="37"/>
      <c r="J635" s="37"/>
      <c r="K635" s="37"/>
      <c r="L635" s="37"/>
      <c r="M635" s="38">
        <f ca="1">IFERROR(SUM(M623:M634),"")</f>
        <v>0</v>
      </c>
      <c r="N635" s="36" t="s">
        <v>237</v>
      </c>
      <c r="O635" s="39">
        <v>2213310</v>
      </c>
    </row>
    <row r="636" spans="1:15" ht="15" customHeight="1">
      <c r="A636" s="68">
        <v>46227</v>
      </c>
      <c r="B636" s="25">
        <v>0.83333333333333304</v>
      </c>
      <c r="C636" s="26" t="s">
        <v>21</v>
      </c>
      <c r="D636" s="59" t="s">
        <v>30</v>
      </c>
      <c r="E636" s="59" t="s">
        <v>234</v>
      </c>
      <c r="F636" s="27">
        <v>28</v>
      </c>
      <c r="G636" s="28">
        <f t="shared" ref="G636:G647" si="141">IF(F636="","",IF(E636="PC 17",F636*4.2,IF(E636="PC 19",F636*5,"")))</f>
        <v>140</v>
      </c>
      <c r="H636" s="26" t="s">
        <v>18</v>
      </c>
      <c r="I636" s="26" t="s">
        <v>23</v>
      </c>
      <c r="J636" s="26" t="s">
        <v>164</v>
      </c>
      <c r="K636" s="29">
        <v>6.805555555555555E-2</v>
      </c>
      <c r="L636" s="29">
        <v>8.1944444444444445E-2</v>
      </c>
      <c r="M636" s="30">
        <f t="shared" ref="M636:M647" ca="1" si="142">IFERROR(IF(K636="","",IF(L636="",MOD(NOW()-K636,1),IF(L636&gt;=K636,L636-K636,L636+1-K636))),"")</f>
        <v>1.3888888888888895E-2</v>
      </c>
      <c r="N636" s="46" t="s">
        <v>266</v>
      </c>
      <c r="O636" s="47"/>
    </row>
    <row r="637" spans="1:15" ht="15" customHeight="1">
      <c r="A637" s="69">
        <v>46227</v>
      </c>
      <c r="B637" s="32">
        <f t="shared" ref="B637:B647" si="143">B636+TIME(0,60,0)</f>
        <v>0.87499999999999967</v>
      </c>
      <c r="C637" s="26" t="s">
        <v>21</v>
      </c>
      <c r="D637" s="59" t="s">
        <v>30</v>
      </c>
      <c r="E637" s="59" t="s">
        <v>234</v>
      </c>
      <c r="F637" s="27">
        <v>20</v>
      </c>
      <c r="G637" s="34">
        <f t="shared" si="141"/>
        <v>100</v>
      </c>
      <c r="H637" s="33"/>
      <c r="I637" s="33"/>
      <c r="J637" s="33"/>
      <c r="K637" s="29"/>
      <c r="L637" s="29"/>
      <c r="M637" s="35" t="str">
        <f t="shared" ca="1" si="142"/>
        <v/>
      </c>
      <c r="N637" s="46"/>
      <c r="O637" s="47"/>
    </row>
    <row r="638" spans="1:15" ht="15" customHeight="1">
      <c r="A638" s="68">
        <v>46227</v>
      </c>
      <c r="B638" s="25">
        <f t="shared" si="143"/>
        <v>0.9166666666666663</v>
      </c>
      <c r="C638" s="26" t="s">
        <v>21</v>
      </c>
      <c r="D638" s="59" t="s">
        <v>30</v>
      </c>
      <c r="E638" s="59" t="s">
        <v>234</v>
      </c>
      <c r="F638" s="27">
        <v>30</v>
      </c>
      <c r="G638" s="28">
        <f t="shared" si="141"/>
        <v>150</v>
      </c>
      <c r="H638" s="26"/>
      <c r="I638" s="26"/>
      <c r="J638" s="26"/>
      <c r="K638" s="29"/>
      <c r="L638" s="29"/>
      <c r="M638" s="30" t="str">
        <f t="shared" ca="1" si="142"/>
        <v/>
      </c>
      <c r="N638" s="46"/>
      <c r="O638" s="47"/>
    </row>
    <row r="639" spans="1:15" ht="15" customHeight="1">
      <c r="A639" s="69">
        <v>46227</v>
      </c>
      <c r="B639" s="32">
        <f t="shared" si="143"/>
        <v>0.95833333333333293</v>
      </c>
      <c r="C639" s="26" t="s">
        <v>21</v>
      </c>
      <c r="D639" s="59" t="s">
        <v>30</v>
      </c>
      <c r="E639" s="59" t="s">
        <v>234</v>
      </c>
      <c r="F639" s="27">
        <v>24</v>
      </c>
      <c r="G639" s="34">
        <f t="shared" si="141"/>
        <v>120</v>
      </c>
      <c r="H639" s="33"/>
      <c r="I639" s="33"/>
      <c r="J639" s="33"/>
      <c r="K639" s="29"/>
      <c r="L639" s="29"/>
      <c r="M639" s="35" t="str">
        <f t="shared" ca="1" si="142"/>
        <v/>
      </c>
      <c r="N639" s="46"/>
      <c r="O639" s="47"/>
    </row>
    <row r="640" spans="1:15" ht="15" customHeight="1">
      <c r="A640" s="68">
        <v>46227</v>
      </c>
      <c r="B640" s="25">
        <f t="shared" si="143"/>
        <v>0.99999999999999956</v>
      </c>
      <c r="C640" s="26" t="s">
        <v>21</v>
      </c>
      <c r="D640" s="59" t="s">
        <v>30</v>
      </c>
      <c r="E640" s="59" t="s">
        <v>234</v>
      </c>
      <c r="F640" s="27">
        <v>32</v>
      </c>
      <c r="G640" s="28">
        <f>IF(F640="","",IF(E640="PC 17",F640*4.2,IF(E640="PC 19",F640*5,"")))</f>
        <v>160</v>
      </c>
      <c r="H640" s="26"/>
      <c r="I640" s="26"/>
      <c r="J640" s="26"/>
      <c r="K640" s="29"/>
      <c r="L640" s="29"/>
      <c r="M640" s="30" t="str">
        <f t="shared" ca="1" si="142"/>
        <v/>
      </c>
      <c r="N640" s="46"/>
      <c r="O640" s="47"/>
    </row>
    <row r="641" spans="1:15" ht="15" customHeight="1">
      <c r="A641" s="69">
        <v>46227</v>
      </c>
      <c r="B641" s="32">
        <f t="shared" si="143"/>
        <v>1.0416666666666663</v>
      </c>
      <c r="C641" s="26" t="s">
        <v>21</v>
      </c>
      <c r="D641" s="59" t="s">
        <v>30</v>
      </c>
      <c r="E641" s="59" t="s">
        <v>234</v>
      </c>
      <c r="F641" s="27">
        <v>37</v>
      </c>
      <c r="G641" s="34">
        <f t="shared" si="141"/>
        <v>185</v>
      </c>
      <c r="H641" s="33"/>
      <c r="I641" s="33"/>
      <c r="J641" s="33"/>
      <c r="K641" s="29"/>
      <c r="L641" s="29"/>
      <c r="M641" s="35" t="str">
        <f t="shared" ca="1" si="142"/>
        <v/>
      </c>
      <c r="N641" s="46"/>
      <c r="O641" s="47"/>
    </row>
    <row r="642" spans="1:15" ht="15" customHeight="1">
      <c r="A642" s="68">
        <v>46227</v>
      </c>
      <c r="B642" s="25">
        <f t="shared" si="143"/>
        <v>1.083333333333333</v>
      </c>
      <c r="C642" s="26" t="s">
        <v>21</v>
      </c>
      <c r="D642" s="59" t="s">
        <v>30</v>
      </c>
      <c r="E642" s="59" t="s">
        <v>234</v>
      </c>
      <c r="F642" s="27">
        <v>23</v>
      </c>
      <c r="G642" s="28">
        <f t="shared" si="141"/>
        <v>115</v>
      </c>
      <c r="H642" s="26"/>
      <c r="I642" s="26"/>
      <c r="J642" s="26"/>
      <c r="K642" s="29"/>
      <c r="L642" s="29"/>
      <c r="M642" s="30" t="str">
        <f t="shared" ca="1" si="142"/>
        <v/>
      </c>
      <c r="N642" s="46"/>
      <c r="O642" s="47"/>
    </row>
    <row r="643" spans="1:15" ht="15" customHeight="1">
      <c r="A643" s="69">
        <v>46227</v>
      </c>
      <c r="B643" s="32">
        <f t="shared" si="143"/>
        <v>1.1249999999999998</v>
      </c>
      <c r="C643" s="26" t="s">
        <v>21</v>
      </c>
      <c r="D643" s="59" t="s">
        <v>30</v>
      </c>
      <c r="E643" s="59" t="s">
        <v>234</v>
      </c>
      <c r="F643" s="27">
        <v>19</v>
      </c>
      <c r="G643" s="34">
        <f t="shared" si="141"/>
        <v>95</v>
      </c>
      <c r="H643" s="33"/>
      <c r="I643" s="33"/>
      <c r="J643" s="33"/>
      <c r="K643" s="29"/>
      <c r="L643" s="29"/>
      <c r="M643" s="35" t="str">
        <f t="shared" ca="1" si="142"/>
        <v/>
      </c>
      <c r="N643" s="46"/>
      <c r="O643" s="47"/>
    </row>
    <row r="644" spans="1:15" ht="15" customHeight="1">
      <c r="A644" s="68">
        <v>46227</v>
      </c>
      <c r="B644" s="25">
        <f t="shared" si="143"/>
        <v>1.1666666666666665</v>
      </c>
      <c r="C644" s="26" t="s">
        <v>21</v>
      </c>
      <c r="D644" s="59" t="s">
        <v>30</v>
      </c>
      <c r="E644" s="59" t="s">
        <v>234</v>
      </c>
      <c r="F644" s="27">
        <v>30</v>
      </c>
      <c r="G644" s="28">
        <f t="shared" si="141"/>
        <v>150</v>
      </c>
      <c r="H644" s="26"/>
      <c r="I644" s="26"/>
      <c r="J644" s="26"/>
      <c r="K644" s="29"/>
      <c r="L644" s="29"/>
      <c r="M644" s="30" t="str">
        <f t="shared" ca="1" si="142"/>
        <v/>
      </c>
      <c r="N644" s="46"/>
      <c r="O644" s="47"/>
    </row>
    <row r="645" spans="1:15" ht="15" customHeight="1">
      <c r="A645" s="69">
        <v>46227</v>
      </c>
      <c r="B645" s="32">
        <f t="shared" si="143"/>
        <v>1.2083333333333333</v>
      </c>
      <c r="C645" s="26" t="s">
        <v>21</v>
      </c>
      <c r="D645" s="59" t="s">
        <v>30</v>
      </c>
      <c r="E645" s="59" t="s">
        <v>234</v>
      </c>
      <c r="F645" s="27">
        <v>31</v>
      </c>
      <c r="G645" s="34">
        <f t="shared" si="141"/>
        <v>155</v>
      </c>
      <c r="H645" s="33"/>
      <c r="I645" s="33"/>
      <c r="J645" s="33"/>
      <c r="K645" s="29"/>
      <c r="L645" s="29"/>
      <c r="M645" s="35" t="str">
        <f t="shared" ca="1" si="142"/>
        <v/>
      </c>
      <c r="N645" s="46"/>
      <c r="O645" s="47"/>
    </row>
    <row r="646" spans="1:15" ht="15" customHeight="1">
      <c r="A646" s="68">
        <v>46227</v>
      </c>
      <c r="B646" s="25">
        <f t="shared" si="143"/>
        <v>1.25</v>
      </c>
      <c r="C646" s="26" t="s">
        <v>21</v>
      </c>
      <c r="D646" s="59" t="s">
        <v>30</v>
      </c>
      <c r="E646" s="59" t="s">
        <v>234</v>
      </c>
      <c r="F646" s="27">
        <v>26</v>
      </c>
      <c r="G646" s="28">
        <f t="shared" si="141"/>
        <v>130</v>
      </c>
      <c r="H646" s="26"/>
      <c r="I646" s="26"/>
      <c r="J646" s="26"/>
      <c r="K646" s="29"/>
      <c r="L646" s="29"/>
      <c r="M646" s="30" t="str">
        <f t="shared" ca="1" si="142"/>
        <v/>
      </c>
      <c r="N646" s="46"/>
      <c r="O646" s="47"/>
    </row>
    <row r="647" spans="1:15" ht="15" customHeight="1">
      <c r="A647" s="69">
        <v>46227</v>
      </c>
      <c r="B647" s="32">
        <f t="shared" si="143"/>
        <v>1.2916666666666667</v>
      </c>
      <c r="C647" s="26" t="s">
        <v>21</v>
      </c>
      <c r="D647" s="59" t="s">
        <v>30</v>
      </c>
      <c r="E647" s="59" t="s">
        <v>234</v>
      </c>
      <c r="F647" s="27">
        <v>7</v>
      </c>
      <c r="G647" s="34">
        <f t="shared" si="141"/>
        <v>35</v>
      </c>
      <c r="H647" s="33"/>
      <c r="I647" s="33"/>
      <c r="J647" s="33"/>
      <c r="K647" s="29"/>
      <c r="L647" s="29"/>
      <c r="M647" s="35" t="str">
        <f t="shared" ca="1" si="142"/>
        <v/>
      </c>
      <c r="N647" s="46"/>
      <c r="O647" s="47"/>
    </row>
    <row r="648" spans="1:15" ht="15.75" customHeight="1">
      <c r="A648" s="119" t="s">
        <v>238</v>
      </c>
      <c r="B648" s="120"/>
      <c r="C648" s="120"/>
      <c r="D648" s="120"/>
      <c r="E648" s="121">
        <f>SUM(E636:E647)</f>
        <v>0</v>
      </c>
      <c r="F648" s="36">
        <f>SUM(F636:F647)</f>
        <v>307</v>
      </c>
      <c r="G648" s="36">
        <f>SUM(G636:G647)</f>
        <v>1535</v>
      </c>
      <c r="H648" s="37"/>
      <c r="I648" s="37"/>
      <c r="J648" s="37"/>
      <c r="K648" s="37"/>
      <c r="L648" s="37"/>
      <c r="M648" s="38">
        <f ca="1">IFERROR(SUM(M636:M647),"")</f>
        <v>1.3888888888888895E-2</v>
      </c>
      <c r="N648" s="36" t="s">
        <v>237</v>
      </c>
      <c r="O648" s="39">
        <v>1954490</v>
      </c>
    </row>
    <row r="649" spans="1:15" ht="18" customHeight="1">
      <c r="A649" s="122" t="s">
        <v>239</v>
      </c>
      <c r="B649" s="123"/>
      <c r="C649" s="123"/>
      <c r="D649" s="123"/>
      <c r="E649" s="124">
        <f>E635+E648</f>
        <v>0</v>
      </c>
      <c r="F649" s="40">
        <f>F635+F648</f>
        <v>640</v>
      </c>
      <c r="G649" s="40">
        <f>G635+G648</f>
        <v>3200</v>
      </c>
      <c r="H649" s="41"/>
      <c r="I649" s="41"/>
      <c r="J649" s="41"/>
      <c r="K649" s="41"/>
      <c r="L649" s="41"/>
      <c r="M649" s="42">
        <f ca="1">IFERROR(M635+M648,"")</f>
        <v>1.3888888888888895E-2</v>
      </c>
      <c r="N649" s="40" t="s">
        <v>240</v>
      </c>
      <c r="O649" s="48">
        <f>IFERROR(O635+O648,"")</f>
        <v>4167800</v>
      </c>
    </row>
    <row r="650" spans="1:15" ht="15" customHeight="1">
      <c r="A650" s="68">
        <v>46228</v>
      </c>
      <c r="B650" s="25">
        <v>0.33333333333333298</v>
      </c>
      <c r="C650" s="26" t="s">
        <v>29</v>
      </c>
      <c r="D650" s="59" t="s">
        <v>30</v>
      </c>
      <c r="E650" s="59" t="s">
        <v>234</v>
      </c>
      <c r="F650" s="27">
        <v>30</v>
      </c>
      <c r="G650" s="28">
        <f t="shared" ref="G650:G661" si="144">IF(F650="","",IF(E650="PC 17",F650*4.2,IF(E650="PC 19",F650*5,"")))</f>
        <v>150</v>
      </c>
      <c r="H650" s="26" t="s">
        <v>18</v>
      </c>
      <c r="I650" s="26" t="s">
        <v>23</v>
      </c>
      <c r="J650" s="26" t="s">
        <v>164</v>
      </c>
      <c r="K650" s="29">
        <v>0.72361111111111109</v>
      </c>
      <c r="L650" s="29">
        <v>0.73263888888888884</v>
      </c>
      <c r="M650" s="30">
        <f t="shared" ref="M650:M661" ca="1" si="145">IFERROR(IF(K650="","",IF(L650="",MOD(NOW()-K650,1),IF(L650&gt;=K650,L650-K650,L650+1-K650))),"")</f>
        <v>9.0277777777777457E-3</v>
      </c>
      <c r="N650" s="46"/>
      <c r="O650" s="47"/>
    </row>
    <row r="651" spans="1:15" ht="15" customHeight="1">
      <c r="A651" s="69">
        <v>46228</v>
      </c>
      <c r="B651" s="32">
        <f t="shared" ref="B651:B661" si="146">B650+TIME(0,60,0)</f>
        <v>0.37499999999999967</v>
      </c>
      <c r="C651" s="26" t="s">
        <v>29</v>
      </c>
      <c r="D651" s="59" t="s">
        <v>30</v>
      </c>
      <c r="E651" s="59" t="s">
        <v>234</v>
      </c>
      <c r="F651" s="27">
        <v>34</v>
      </c>
      <c r="G651" s="34">
        <f t="shared" si="144"/>
        <v>170</v>
      </c>
      <c r="H651" s="33"/>
      <c r="I651" s="33"/>
      <c r="J651" s="33"/>
      <c r="K651" s="29"/>
      <c r="L651" s="29"/>
      <c r="M651" s="35" t="str">
        <f t="shared" ca="1" si="145"/>
        <v/>
      </c>
      <c r="N651" s="46"/>
      <c r="O651" s="47"/>
    </row>
    <row r="652" spans="1:15" ht="15" customHeight="1">
      <c r="A652" s="68">
        <v>46228</v>
      </c>
      <c r="B652" s="25">
        <f t="shared" si="146"/>
        <v>0.41666666666666635</v>
      </c>
      <c r="C652" s="26" t="s">
        <v>29</v>
      </c>
      <c r="D652" s="59" t="s">
        <v>30</v>
      </c>
      <c r="E652" s="59" t="s">
        <v>234</v>
      </c>
      <c r="F652" s="27">
        <v>34</v>
      </c>
      <c r="G652" s="34">
        <f t="shared" si="144"/>
        <v>170</v>
      </c>
      <c r="H652" s="26"/>
      <c r="I652" s="26"/>
      <c r="J652" s="26"/>
      <c r="K652" s="29"/>
      <c r="L652" s="29"/>
      <c r="M652" s="30" t="str">
        <f t="shared" ca="1" si="145"/>
        <v/>
      </c>
      <c r="N652" s="46"/>
      <c r="O652" s="47"/>
    </row>
    <row r="653" spans="1:15" ht="15" customHeight="1">
      <c r="A653" s="69">
        <v>46228</v>
      </c>
      <c r="B653" s="32">
        <f t="shared" si="146"/>
        <v>0.45833333333333304</v>
      </c>
      <c r="C653" s="26" t="s">
        <v>29</v>
      </c>
      <c r="D653" s="59" t="s">
        <v>30</v>
      </c>
      <c r="E653" s="59" t="s">
        <v>234</v>
      </c>
      <c r="F653" s="27">
        <v>27</v>
      </c>
      <c r="G653" s="34">
        <f t="shared" si="144"/>
        <v>135</v>
      </c>
      <c r="H653" s="33"/>
      <c r="I653" s="33"/>
      <c r="J653" s="33"/>
      <c r="K653" s="29"/>
      <c r="L653" s="29"/>
      <c r="M653" s="35" t="str">
        <f t="shared" ca="1" si="145"/>
        <v/>
      </c>
      <c r="N653" s="46"/>
      <c r="O653" s="47"/>
    </row>
    <row r="654" spans="1:15" ht="15" customHeight="1">
      <c r="A654" s="68">
        <v>46228</v>
      </c>
      <c r="B654" s="25">
        <f t="shared" si="146"/>
        <v>0.49999999999999972</v>
      </c>
      <c r="C654" s="26" t="s">
        <v>29</v>
      </c>
      <c r="D654" s="59" t="s">
        <v>30</v>
      </c>
      <c r="E654" s="59" t="s">
        <v>234</v>
      </c>
      <c r="F654" s="27">
        <v>9</v>
      </c>
      <c r="G654" s="28">
        <f t="shared" si="144"/>
        <v>45</v>
      </c>
      <c r="H654" s="26"/>
      <c r="I654" s="26"/>
      <c r="J654" s="26"/>
      <c r="K654" s="29"/>
      <c r="L654" s="29"/>
      <c r="M654" s="30" t="str">
        <f t="shared" ca="1" si="145"/>
        <v/>
      </c>
      <c r="N654" s="46"/>
      <c r="O654" s="47"/>
    </row>
    <row r="655" spans="1:15" ht="15" customHeight="1">
      <c r="A655" s="69">
        <v>46228</v>
      </c>
      <c r="B655" s="32">
        <f t="shared" si="146"/>
        <v>0.54166666666666641</v>
      </c>
      <c r="C655" s="26" t="s">
        <v>29</v>
      </c>
      <c r="D655" s="59" t="s">
        <v>30</v>
      </c>
      <c r="E655" s="59" t="s">
        <v>234</v>
      </c>
      <c r="F655" s="27">
        <v>35</v>
      </c>
      <c r="G655" s="34">
        <f t="shared" si="144"/>
        <v>175</v>
      </c>
      <c r="H655" s="33"/>
      <c r="I655" s="33"/>
      <c r="J655" s="33"/>
      <c r="K655" s="29"/>
      <c r="L655" s="29"/>
      <c r="M655" s="35" t="str">
        <f t="shared" ca="1" si="145"/>
        <v/>
      </c>
      <c r="N655" s="46"/>
      <c r="O655" s="47"/>
    </row>
    <row r="656" spans="1:15" ht="15" customHeight="1">
      <c r="A656" s="68">
        <v>46228</v>
      </c>
      <c r="B656" s="25">
        <f t="shared" si="146"/>
        <v>0.58333333333333304</v>
      </c>
      <c r="C656" s="26" t="s">
        <v>29</v>
      </c>
      <c r="D656" s="59" t="s">
        <v>30</v>
      </c>
      <c r="E656" s="59" t="s">
        <v>234</v>
      </c>
      <c r="F656" s="27">
        <v>37</v>
      </c>
      <c r="G656" s="28">
        <f t="shared" si="144"/>
        <v>185</v>
      </c>
      <c r="H656" s="26"/>
      <c r="I656" s="26"/>
      <c r="J656" s="26"/>
      <c r="K656" s="29"/>
      <c r="L656" s="29"/>
      <c r="M656" s="30" t="str">
        <f t="shared" ca="1" si="145"/>
        <v/>
      </c>
      <c r="N656" s="46"/>
      <c r="O656" s="47"/>
    </row>
    <row r="657" spans="1:15" ht="15" customHeight="1">
      <c r="A657" s="69">
        <v>46228</v>
      </c>
      <c r="B657" s="32">
        <f t="shared" si="146"/>
        <v>0.62499999999999967</v>
      </c>
      <c r="C657" s="26" t="s">
        <v>29</v>
      </c>
      <c r="D657" s="59" t="s">
        <v>30</v>
      </c>
      <c r="E657" s="59" t="s">
        <v>234</v>
      </c>
      <c r="F657" s="27">
        <v>28</v>
      </c>
      <c r="G657" s="34">
        <f t="shared" si="144"/>
        <v>140</v>
      </c>
      <c r="H657" s="33"/>
      <c r="I657" s="33"/>
      <c r="J657" s="33"/>
      <c r="K657" s="29"/>
      <c r="L657" s="29"/>
      <c r="M657" s="35" t="str">
        <f t="shared" ca="1" si="145"/>
        <v/>
      </c>
      <c r="N657" s="46"/>
      <c r="O657" s="47"/>
    </row>
    <row r="658" spans="1:15" ht="15" customHeight="1">
      <c r="A658" s="68">
        <v>46228</v>
      </c>
      <c r="B658" s="25">
        <f t="shared" si="146"/>
        <v>0.6666666666666663</v>
      </c>
      <c r="C658" s="26" t="s">
        <v>29</v>
      </c>
      <c r="D658" s="59" t="s">
        <v>30</v>
      </c>
      <c r="E658" s="59" t="s">
        <v>234</v>
      </c>
      <c r="F658" s="27">
        <v>31</v>
      </c>
      <c r="G658" s="28">
        <f t="shared" si="144"/>
        <v>155</v>
      </c>
      <c r="H658" s="26"/>
      <c r="I658" s="26"/>
      <c r="J658" s="26"/>
      <c r="K658" s="29"/>
      <c r="L658" s="29"/>
      <c r="M658" s="30" t="str">
        <f t="shared" ca="1" si="145"/>
        <v/>
      </c>
      <c r="N658" s="46"/>
      <c r="O658" s="47"/>
    </row>
    <row r="659" spans="1:15" ht="15" customHeight="1">
      <c r="A659" s="69">
        <v>46228</v>
      </c>
      <c r="B659" s="32">
        <f t="shared" si="146"/>
        <v>0.70833333333333293</v>
      </c>
      <c r="C659" s="26" t="s">
        <v>29</v>
      </c>
      <c r="D659" s="59" t="s">
        <v>30</v>
      </c>
      <c r="E659" s="59" t="s">
        <v>234</v>
      </c>
      <c r="F659" s="27">
        <v>43</v>
      </c>
      <c r="G659" s="34">
        <f t="shared" si="144"/>
        <v>215</v>
      </c>
      <c r="H659" s="33"/>
      <c r="I659" s="33"/>
      <c r="J659" s="33"/>
      <c r="K659" s="29"/>
      <c r="L659" s="29"/>
      <c r="M659" s="35" t="str">
        <f t="shared" ca="1" si="145"/>
        <v/>
      </c>
      <c r="N659" s="46"/>
      <c r="O659" s="47"/>
    </row>
    <row r="660" spans="1:15" ht="15" customHeight="1">
      <c r="A660" s="68">
        <v>46228</v>
      </c>
      <c r="B660" s="25">
        <f t="shared" si="146"/>
        <v>0.74999999999999956</v>
      </c>
      <c r="C660" s="26" t="s">
        <v>29</v>
      </c>
      <c r="D660" s="59" t="s">
        <v>30</v>
      </c>
      <c r="E660" s="59" t="s">
        <v>234</v>
      </c>
      <c r="F660" s="27">
        <v>20</v>
      </c>
      <c r="G660" s="28">
        <f t="shared" si="144"/>
        <v>100</v>
      </c>
      <c r="H660" s="26"/>
      <c r="I660" s="26"/>
      <c r="J660" s="26"/>
      <c r="K660" s="29"/>
      <c r="L660" s="29"/>
      <c r="M660" s="30" t="str">
        <f t="shared" ca="1" si="145"/>
        <v/>
      </c>
      <c r="N660" s="46"/>
      <c r="O660" s="47"/>
    </row>
    <row r="661" spans="1:15" ht="15" customHeight="1">
      <c r="A661" s="69">
        <v>46228</v>
      </c>
      <c r="B661" s="32">
        <f t="shared" si="146"/>
        <v>0.79166666666666619</v>
      </c>
      <c r="C661" s="26" t="s">
        <v>29</v>
      </c>
      <c r="D661" s="59" t="s">
        <v>30</v>
      </c>
      <c r="E661" s="59" t="s">
        <v>234</v>
      </c>
      <c r="F661" s="27">
        <v>0</v>
      </c>
      <c r="G661" s="34">
        <f t="shared" si="144"/>
        <v>0</v>
      </c>
      <c r="H661" s="33"/>
      <c r="I661" s="33"/>
      <c r="J661" s="33"/>
      <c r="K661" s="29"/>
      <c r="L661" s="29"/>
      <c r="M661" s="35" t="str">
        <f t="shared" ca="1" si="145"/>
        <v/>
      </c>
      <c r="N661" s="46"/>
      <c r="O661" s="47"/>
    </row>
    <row r="662" spans="1:15" ht="15.75" customHeight="1">
      <c r="A662" s="119" t="s">
        <v>234</v>
      </c>
      <c r="B662" s="120"/>
      <c r="C662" s="120"/>
      <c r="D662" s="120"/>
      <c r="E662" s="121">
        <f>SUM(E650:E661)</f>
        <v>0</v>
      </c>
      <c r="F662" s="36">
        <f>SUM(F650:F661)</f>
        <v>328</v>
      </c>
      <c r="G662" s="36">
        <f>SUM(G650:G661)</f>
        <v>1640</v>
      </c>
      <c r="H662" s="37"/>
      <c r="I662" s="37"/>
      <c r="J662" s="37"/>
      <c r="K662" s="37"/>
      <c r="L662" s="37"/>
      <c r="M662" s="38">
        <f ca="1">IFERROR(SUM(M650:M661),"")</f>
        <v>9.0277777777777457E-3</v>
      </c>
      <c r="N662" s="36" t="s">
        <v>237</v>
      </c>
      <c r="O662" s="39">
        <v>927770</v>
      </c>
    </row>
    <row r="663" spans="1:15" ht="15" customHeight="1">
      <c r="A663" s="69">
        <v>46228</v>
      </c>
      <c r="B663" s="32">
        <v>0.83333333333333304</v>
      </c>
      <c r="C663" s="33" t="s">
        <v>21</v>
      </c>
      <c r="D663" s="62" t="s">
        <v>30</v>
      </c>
      <c r="E663" s="62" t="s">
        <v>234</v>
      </c>
      <c r="F663" s="27">
        <v>31</v>
      </c>
      <c r="G663" s="34">
        <f t="shared" ref="G663:G674" si="147">IF(F663="","",IF(E663="PC 17",F663*4.2,IF(E663="PC 19",F663*5,"")))</f>
        <v>155</v>
      </c>
      <c r="H663" s="33" t="s">
        <v>20</v>
      </c>
      <c r="I663" s="33" t="s">
        <v>23</v>
      </c>
      <c r="J663" s="33" t="s">
        <v>132</v>
      </c>
      <c r="K663" s="29">
        <v>0.85902777777777772</v>
      </c>
      <c r="L663" s="29">
        <v>2.013888888888889E-2</v>
      </c>
      <c r="M663" s="35">
        <f t="shared" ref="M663:M674" ca="1" si="148">IFERROR(IF(K663="","",IF(L663="",MOD(NOW()-K663,1),IF(L663&gt;=K663,L663-K663,L663+1-K663))),"")</f>
        <v>0.1611111111111112</v>
      </c>
      <c r="N663" s="46" t="s">
        <v>267</v>
      </c>
      <c r="O663" s="47"/>
    </row>
    <row r="664" spans="1:15" ht="15" customHeight="1">
      <c r="A664" s="68">
        <v>46228</v>
      </c>
      <c r="B664" s="25">
        <f t="shared" ref="B664:B674" si="149">B663+TIME(0,60,0)</f>
        <v>0.87499999999999967</v>
      </c>
      <c r="C664" s="33" t="s">
        <v>21</v>
      </c>
      <c r="D664" s="62" t="s">
        <v>30</v>
      </c>
      <c r="E664" s="62" t="s">
        <v>234</v>
      </c>
      <c r="F664" s="27">
        <v>8</v>
      </c>
      <c r="G664" s="28">
        <f t="shared" si="147"/>
        <v>40</v>
      </c>
      <c r="H664" s="26" t="s">
        <v>18</v>
      </c>
      <c r="I664" s="26" t="s">
        <v>23</v>
      </c>
      <c r="J664" s="26" t="s">
        <v>34</v>
      </c>
      <c r="K664" s="29">
        <v>9.7222222222222224E-2</v>
      </c>
      <c r="L664" s="29">
        <v>0.29166666666666669</v>
      </c>
      <c r="M664" s="30">
        <f t="shared" ca="1" si="148"/>
        <v>0.19444444444444448</v>
      </c>
      <c r="N664" s="46"/>
      <c r="O664" s="47"/>
    </row>
    <row r="665" spans="1:15" ht="15" customHeight="1">
      <c r="A665" s="69">
        <v>46228</v>
      </c>
      <c r="B665" s="32">
        <f t="shared" si="149"/>
        <v>0.9166666666666663</v>
      </c>
      <c r="C665" s="33" t="s">
        <v>21</v>
      </c>
      <c r="D665" s="62" t="s">
        <v>30</v>
      </c>
      <c r="E665" s="62" t="s">
        <v>234</v>
      </c>
      <c r="F665" s="27">
        <v>0</v>
      </c>
      <c r="G665" s="34">
        <f t="shared" si="147"/>
        <v>0</v>
      </c>
      <c r="H665" s="33"/>
      <c r="I665" s="33"/>
      <c r="J665" s="33"/>
      <c r="K665" s="29"/>
      <c r="L665" s="29"/>
      <c r="M665" s="35" t="str">
        <f t="shared" ca="1" si="148"/>
        <v/>
      </c>
      <c r="N665" s="46"/>
      <c r="O665" s="47"/>
    </row>
    <row r="666" spans="1:15" ht="15" customHeight="1">
      <c r="A666" s="68">
        <v>46228</v>
      </c>
      <c r="B666" s="25">
        <f t="shared" si="149"/>
        <v>0.95833333333333293</v>
      </c>
      <c r="C666" s="33" t="s">
        <v>21</v>
      </c>
      <c r="D666" s="62" t="s">
        <v>30</v>
      </c>
      <c r="E666" s="62" t="s">
        <v>234</v>
      </c>
      <c r="F666" s="27">
        <v>0</v>
      </c>
      <c r="G666" s="28">
        <f t="shared" si="147"/>
        <v>0</v>
      </c>
      <c r="H666" s="26"/>
      <c r="I666" s="26"/>
      <c r="J666" s="26"/>
      <c r="K666" s="29"/>
      <c r="L666" s="29"/>
      <c r="M666" s="30" t="str">
        <f t="shared" ca="1" si="148"/>
        <v/>
      </c>
      <c r="N666" s="46"/>
      <c r="O666" s="47"/>
    </row>
    <row r="667" spans="1:15" ht="15" customHeight="1">
      <c r="A667" s="69">
        <v>46228</v>
      </c>
      <c r="B667" s="32">
        <f t="shared" si="149"/>
        <v>0.99999999999999956</v>
      </c>
      <c r="C667" s="33" t="s">
        <v>21</v>
      </c>
      <c r="D667" s="62" t="s">
        <v>30</v>
      </c>
      <c r="E667" s="62" t="s">
        <v>234</v>
      </c>
      <c r="F667" s="27">
        <v>0</v>
      </c>
      <c r="G667" s="34">
        <f t="shared" si="147"/>
        <v>0</v>
      </c>
      <c r="H667" s="33"/>
      <c r="I667" s="33"/>
      <c r="J667" s="33"/>
      <c r="K667" s="29"/>
      <c r="L667" s="29"/>
      <c r="M667" s="35" t="str">
        <f t="shared" ca="1" si="148"/>
        <v/>
      </c>
      <c r="N667" s="46"/>
      <c r="O667" s="47"/>
    </row>
    <row r="668" spans="1:15" ht="15" customHeight="1">
      <c r="A668" s="68">
        <v>46228</v>
      </c>
      <c r="B668" s="25">
        <f t="shared" si="149"/>
        <v>1.0416666666666663</v>
      </c>
      <c r="C668" s="33" t="s">
        <v>21</v>
      </c>
      <c r="D668" s="62" t="s">
        <v>30</v>
      </c>
      <c r="E668" s="62" t="s">
        <v>234</v>
      </c>
      <c r="F668" s="27">
        <v>6</v>
      </c>
      <c r="G668" s="28">
        <f t="shared" si="147"/>
        <v>30</v>
      </c>
      <c r="H668" s="26"/>
      <c r="I668" s="26"/>
      <c r="J668" s="26"/>
      <c r="K668" s="29"/>
      <c r="L668" s="29"/>
      <c r="M668" s="30" t="str">
        <f t="shared" ca="1" si="148"/>
        <v/>
      </c>
      <c r="N668" s="46"/>
      <c r="O668" s="47"/>
    </row>
    <row r="669" spans="1:15" ht="15" customHeight="1">
      <c r="A669" s="69">
        <v>46228</v>
      </c>
      <c r="B669" s="32">
        <f t="shared" si="149"/>
        <v>1.083333333333333</v>
      </c>
      <c r="C669" s="33" t="s">
        <v>21</v>
      </c>
      <c r="D669" s="62" t="s">
        <v>30</v>
      </c>
      <c r="E669" s="62" t="s">
        <v>234</v>
      </c>
      <c r="F669" s="27">
        <v>31</v>
      </c>
      <c r="G669" s="34">
        <f t="shared" si="147"/>
        <v>155</v>
      </c>
      <c r="H669" s="33"/>
      <c r="I669" s="33"/>
      <c r="J669" s="33"/>
      <c r="K669" s="29"/>
      <c r="L669" s="29"/>
      <c r="M669" s="35" t="str">
        <f t="shared" ca="1" si="148"/>
        <v/>
      </c>
      <c r="N669" s="46"/>
      <c r="O669" s="47"/>
    </row>
    <row r="670" spans="1:15" ht="15" customHeight="1">
      <c r="A670" s="68">
        <v>46228</v>
      </c>
      <c r="B670" s="25">
        <f t="shared" si="149"/>
        <v>1.1249999999999998</v>
      </c>
      <c r="C670" s="33" t="s">
        <v>21</v>
      </c>
      <c r="D670" s="62" t="s">
        <v>30</v>
      </c>
      <c r="E670" s="62" t="s">
        <v>234</v>
      </c>
      <c r="F670" s="27">
        <v>0</v>
      </c>
      <c r="G670" s="28">
        <f t="shared" si="147"/>
        <v>0</v>
      </c>
      <c r="H670" s="26"/>
      <c r="I670" s="26"/>
      <c r="J670" s="26"/>
      <c r="K670" s="29"/>
      <c r="L670" s="29"/>
      <c r="M670" s="30" t="str">
        <f t="shared" ca="1" si="148"/>
        <v/>
      </c>
      <c r="N670" s="46"/>
      <c r="O670" s="47"/>
    </row>
    <row r="671" spans="1:15" ht="15" customHeight="1">
      <c r="A671" s="69">
        <v>46228</v>
      </c>
      <c r="B671" s="32">
        <f t="shared" si="149"/>
        <v>1.1666666666666665</v>
      </c>
      <c r="C671" s="33" t="s">
        <v>21</v>
      </c>
      <c r="D671" s="62" t="s">
        <v>30</v>
      </c>
      <c r="E671" s="62" t="s">
        <v>234</v>
      </c>
      <c r="F671" s="27">
        <v>0</v>
      </c>
      <c r="G671" s="34">
        <f t="shared" si="147"/>
        <v>0</v>
      </c>
      <c r="H671" s="33"/>
      <c r="I671" s="33"/>
      <c r="J671" s="33"/>
      <c r="K671" s="29"/>
      <c r="L671" s="29"/>
      <c r="M671" s="35" t="str">
        <f t="shared" ca="1" si="148"/>
        <v/>
      </c>
      <c r="N671" s="46"/>
      <c r="O671" s="47"/>
    </row>
    <row r="672" spans="1:15" ht="15" customHeight="1">
      <c r="A672" s="68">
        <v>46228</v>
      </c>
      <c r="B672" s="25">
        <f t="shared" si="149"/>
        <v>1.2083333333333333</v>
      </c>
      <c r="C672" s="33" t="s">
        <v>21</v>
      </c>
      <c r="D672" s="62" t="s">
        <v>30</v>
      </c>
      <c r="E672" s="62" t="s">
        <v>234</v>
      </c>
      <c r="F672" s="27">
        <v>0</v>
      </c>
      <c r="G672" s="28">
        <f t="shared" si="147"/>
        <v>0</v>
      </c>
      <c r="H672" s="26"/>
      <c r="I672" s="26"/>
      <c r="J672" s="26"/>
      <c r="K672" s="29"/>
      <c r="L672" s="29"/>
      <c r="M672" s="30" t="str">
        <f t="shared" ca="1" si="148"/>
        <v/>
      </c>
      <c r="N672" s="46"/>
      <c r="O672" s="47"/>
    </row>
    <row r="673" spans="1:15" ht="15" customHeight="1">
      <c r="A673" s="69">
        <v>46228</v>
      </c>
      <c r="B673" s="32">
        <f t="shared" si="149"/>
        <v>1.25</v>
      </c>
      <c r="C673" s="33" t="s">
        <v>21</v>
      </c>
      <c r="D673" s="62" t="s">
        <v>30</v>
      </c>
      <c r="E673" s="62" t="s">
        <v>234</v>
      </c>
      <c r="F673" s="27">
        <v>0</v>
      </c>
      <c r="G673" s="34">
        <f t="shared" si="147"/>
        <v>0</v>
      </c>
      <c r="H673" s="33"/>
      <c r="I673" s="33"/>
      <c r="J673" s="33"/>
      <c r="K673" s="29"/>
      <c r="L673" s="29"/>
      <c r="M673" s="35" t="str">
        <f t="shared" ca="1" si="148"/>
        <v/>
      </c>
      <c r="N673" s="46"/>
      <c r="O673" s="47"/>
    </row>
    <row r="674" spans="1:15" ht="15" customHeight="1">
      <c r="A674" s="68">
        <v>46228</v>
      </c>
      <c r="B674" s="25">
        <f t="shared" si="149"/>
        <v>1.2916666666666667</v>
      </c>
      <c r="C674" s="33" t="s">
        <v>21</v>
      </c>
      <c r="D674" s="62" t="s">
        <v>30</v>
      </c>
      <c r="E674" s="62" t="s">
        <v>234</v>
      </c>
      <c r="F674" s="27">
        <v>0</v>
      </c>
      <c r="G674" s="28">
        <f t="shared" si="147"/>
        <v>0</v>
      </c>
      <c r="H674" s="26"/>
      <c r="I674" s="26"/>
      <c r="J674" s="26"/>
      <c r="K674" s="29"/>
      <c r="L674" s="29"/>
      <c r="M674" s="30" t="str">
        <f t="shared" ca="1" si="148"/>
        <v/>
      </c>
      <c r="N674" s="46"/>
      <c r="O674" s="47"/>
    </row>
    <row r="675" spans="1:15" ht="15.75" customHeight="1">
      <c r="A675" s="119" t="s">
        <v>238</v>
      </c>
      <c r="B675" s="120"/>
      <c r="C675" s="120"/>
      <c r="D675" s="120"/>
      <c r="E675" s="121">
        <f>SUM(E663:E674)</f>
        <v>0</v>
      </c>
      <c r="F675" s="36">
        <f>SUM(F663:F674)</f>
        <v>76</v>
      </c>
      <c r="G675" s="36">
        <f>SUM(G663:G674)</f>
        <v>380</v>
      </c>
      <c r="H675" s="37"/>
      <c r="I675" s="37"/>
      <c r="J675" s="37"/>
      <c r="K675" s="37"/>
      <c r="L675" s="37"/>
      <c r="M675" s="38">
        <f ca="1">IFERROR(SUM(M663:M674),"")</f>
        <v>0.35555555555555568</v>
      </c>
      <c r="N675" s="36" t="s">
        <v>237</v>
      </c>
      <c r="O675" s="39">
        <v>471180</v>
      </c>
    </row>
    <row r="676" spans="1:15" ht="18" customHeight="1">
      <c r="A676" s="122" t="s">
        <v>239</v>
      </c>
      <c r="B676" s="123"/>
      <c r="C676" s="123"/>
      <c r="D676" s="123"/>
      <c r="E676" s="124">
        <f>E662+E675</f>
        <v>0</v>
      </c>
      <c r="F676" s="40">
        <f>F662+F675</f>
        <v>404</v>
      </c>
      <c r="G676" s="40">
        <f>G662+G675</f>
        <v>2020</v>
      </c>
      <c r="H676" s="41"/>
      <c r="I676" s="41"/>
      <c r="J676" s="41"/>
      <c r="K676" s="41"/>
      <c r="L676" s="41"/>
      <c r="M676" s="42">
        <f ca="1">IFERROR(M662+M675,"")</f>
        <v>0.36458333333333343</v>
      </c>
      <c r="N676" s="40" t="s">
        <v>240</v>
      </c>
      <c r="O676" s="48">
        <f>IFERROR(O662+O675,"")</f>
        <v>1398950</v>
      </c>
    </row>
    <row r="677" spans="1:15" ht="15" customHeight="1">
      <c r="A677" s="69">
        <v>46229</v>
      </c>
      <c r="B677" s="32">
        <v>0.33333333333333298</v>
      </c>
      <c r="C677" s="33" t="s">
        <v>29</v>
      </c>
      <c r="D677" s="62" t="s">
        <v>30</v>
      </c>
      <c r="E677" s="62" t="s">
        <v>234</v>
      </c>
      <c r="F677" s="27">
        <v>0</v>
      </c>
      <c r="G677" s="34">
        <f t="shared" ref="G677:G688" si="150">IF(F677="","",IF(E677="PC 17",F677*4.2,IF(E677="PC 19",F677*5,"")))</f>
        <v>0</v>
      </c>
      <c r="H677" s="33" t="s">
        <v>18</v>
      </c>
      <c r="I677" s="33" t="s">
        <v>23</v>
      </c>
      <c r="J677" s="33" t="s">
        <v>34</v>
      </c>
      <c r="K677" s="29">
        <v>0.29166666666666669</v>
      </c>
      <c r="L677" s="29">
        <v>0.41249999999999998</v>
      </c>
      <c r="M677" s="35">
        <f t="shared" ref="M677:M688" ca="1" si="151">IFERROR(IF(K677="","",IF(L677="",MOD(NOW()-K677,1),IF(L677&gt;=K677,L677-K677,L677+1-K677))),"")</f>
        <v>0.12083333333333329</v>
      </c>
      <c r="N677" s="46" t="s">
        <v>268</v>
      </c>
      <c r="O677" s="47"/>
    </row>
    <row r="678" spans="1:15" ht="15" customHeight="1">
      <c r="A678" s="68">
        <v>46229</v>
      </c>
      <c r="B678" s="25">
        <f t="shared" ref="B678:B688" si="152">B677+TIME(0,60,0)</f>
        <v>0.37499999999999967</v>
      </c>
      <c r="C678" s="33" t="s">
        <v>29</v>
      </c>
      <c r="D678" s="62" t="s">
        <v>30</v>
      </c>
      <c r="E678" s="62" t="s">
        <v>234</v>
      </c>
      <c r="F678" s="27">
        <v>0</v>
      </c>
      <c r="G678" s="28">
        <f t="shared" si="150"/>
        <v>0</v>
      </c>
      <c r="H678" s="26" t="s">
        <v>19</v>
      </c>
      <c r="I678" s="26" t="s">
        <v>23</v>
      </c>
      <c r="J678" s="26" t="s">
        <v>50</v>
      </c>
      <c r="K678" s="29">
        <v>0.47222222222222221</v>
      </c>
      <c r="L678" s="29">
        <v>0.54374999999999996</v>
      </c>
      <c r="M678" s="30">
        <f t="shared" ca="1" si="151"/>
        <v>7.1527777777777746E-2</v>
      </c>
      <c r="N678" s="46" t="s">
        <v>269</v>
      </c>
      <c r="O678" s="47"/>
    </row>
    <row r="679" spans="1:15" ht="15" customHeight="1">
      <c r="A679" s="69">
        <v>46229</v>
      </c>
      <c r="B679" s="32">
        <f t="shared" si="152"/>
        <v>0.41666666666666635</v>
      </c>
      <c r="C679" s="33" t="s">
        <v>29</v>
      </c>
      <c r="D679" s="62" t="s">
        <v>30</v>
      </c>
      <c r="E679" s="62" t="s">
        <v>234</v>
      </c>
      <c r="F679" s="27">
        <v>12</v>
      </c>
      <c r="G679" s="34">
        <f t="shared" si="150"/>
        <v>60</v>
      </c>
      <c r="H679" s="33"/>
      <c r="I679" s="33"/>
      <c r="J679" s="33"/>
      <c r="K679" s="29"/>
      <c r="L679" s="29"/>
      <c r="M679" s="35" t="str">
        <f t="shared" ca="1" si="151"/>
        <v/>
      </c>
      <c r="N679" s="46"/>
      <c r="O679" s="47"/>
    </row>
    <row r="680" spans="1:15" ht="15" customHeight="1">
      <c r="A680" s="68">
        <v>46229</v>
      </c>
      <c r="B680" s="25">
        <f t="shared" si="152"/>
        <v>0.45833333333333304</v>
      </c>
      <c r="C680" s="33" t="s">
        <v>29</v>
      </c>
      <c r="D680" s="62" t="s">
        <v>30</v>
      </c>
      <c r="E680" s="62" t="s">
        <v>234</v>
      </c>
      <c r="F680" s="27">
        <v>32</v>
      </c>
      <c r="G680" s="28">
        <f t="shared" si="150"/>
        <v>160</v>
      </c>
      <c r="H680" s="26"/>
      <c r="I680" s="26"/>
      <c r="J680" s="26"/>
      <c r="K680" s="29"/>
      <c r="L680" s="29"/>
      <c r="M680" s="30" t="str">
        <f t="shared" ca="1" si="151"/>
        <v/>
      </c>
      <c r="N680" s="46"/>
      <c r="O680" s="47"/>
    </row>
    <row r="681" spans="1:15" ht="15" customHeight="1">
      <c r="A681" s="69">
        <v>46229</v>
      </c>
      <c r="B681" s="32">
        <f t="shared" si="152"/>
        <v>0.49999999999999972</v>
      </c>
      <c r="C681" s="33" t="s">
        <v>29</v>
      </c>
      <c r="D681" s="62" t="s">
        <v>30</v>
      </c>
      <c r="E681" s="62" t="s">
        <v>234</v>
      </c>
      <c r="F681" s="27">
        <v>0</v>
      </c>
      <c r="G681" s="34">
        <f t="shared" si="150"/>
        <v>0</v>
      </c>
      <c r="H681" s="33"/>
      <c r="I681" s="33"/>
      <c r="J681" s="33"/>
      <c r="K681" s="29"/>
      <c r="L681" s="29"/>
      <c r="M681" s="35" t="str">
        <f t="shared" ca="1" si="151"/>
        <v/>
      </c>
      <c r="N681" s="46"/>
      <c r="O681" s="47"/>
    </row>
    <row r="682" spans="1:15" ht="15" customHeight="1">
      <c r="A682" s="68">
        <v>46229</v>
      </c>
      <c r="B682" s="25">
        <f t="shared" si="152"/>
        <v>0.54166666666666641</v>
      </c>
      <c r="C682" s="33" t="s">
        <v>29</v>
      </c>
      <c r="D682" s="62" t="s">
        <v>30</v>
      </c>
      <c r="E682" s="62" t="s">
        <v>234</v>
      </c>
      <c r="F682" s="27">
        <v>52</v>
      </c>
      <c r="G682" s="28">
        <f t="shared" si="150"/>
        <v>260</v>
      </c>
      <c r="H682" s="26"/>
      <c r="I682" s="26"/>
      <c r="J682" s="26"/>
      <c r="K682" s="29"/>
      <c r="L682" s="29"/>
      <c r="M682" s="30" t="str">
        <f t="shared" ca="1" si="151"/>
        <v/>
      </c>
      <c r="N682" s="46"/>
      <c r="O682" s="47"/>
    </row>
    <row r="683" spans="1:15" ht="15" customHeight="1">
      <c r="A683" s="69">
        <v>46229</v>
      </c>
      <c r="B683" s="32">
        <f t="shared" si="152"/>
        <v>0.58333333333333304</v>
      </c>
      <c r="C683" s="33" t="s">
        <v>29</v>
      </c>
      <c r="D683" s="62" t="s">
        <v>30</v>
      </c>
      <c r="E683" s="62" t="s">
        <v>234</v>
      </c>
      <c r="F683" s="27">
        <v>36</v>
      </c>
      <c r="G683" s="34">
        <f t="shared" si="150"/>
        <v>180</v>
      </c>
      <c r="H683" s="33"/>
      <c r="I683" s="33"/>
      <c r="J683" s="33"/>
      <c r="K683" s="29"/>
      <c r="L683" s="29"/>
      <c r="M683" s="35" t="str">
        <f t="shared" ca="1" si="151"/>
        <v/>
      </c>
      <c r="N683" s="46"/>
      <c r="O683" s="47"/>
    </row>
    <row r="684" spans="1:15" ht="15" customHeight="1">
      <c r="A684" s="68">
        <v>46229</v>
      </c>
      <c r="B684" s="25">
        <f t="shared" si="152"/>
        <v>0.62499999999999967</v>
      </c>
      <c r="C684" s="33" t="s">
        <v>29</v>
      </c>
      <c r="D684" s="62" t="s">
        <v>30</v>
      </c>
      <c r="E684" s="62" t="s">
        <v>234</v>
      </c>
      <c r="F684" s="27">
        <v>48</v>
      </c>
      <c r="G684" s="28">
        <f t="shared" si="150"/>
        <v>240</v>
      </c>
      <c r="H684" s="26"/>
      <c r="I684" s="26"/>
      <c r="J684" s="26"/>
      <c r="K684" s="29"/>
      <c r="L684" s="29"/>
      <c r="M684" s="30" t="str">
        <f t="shared" ca="1" si="151"/>
        <v/>
      </c>
      <c r="N684" s="46"/>
      <c r="O684" s="47"/>
    </row>
    <row r="685" spans="1:15" ht="15" customHeight="1">
      <c r="A685" s="69">
        <v>46229</v>
      </c>
      <c r="B685" s="32">
        <f t="shared" si="152"/>
        <v>0.6666666666666663</v>
      </c>
      <c r="C685" s="33" t="s">
        <v>29</v>
      </c>
      <c r="D685" s="62" t="s">
        <v>30</v>
      </c>
      <c r="E685" s="62" t="s">
        <v>234</v>
      </c>
      <c r="F685" s="27">
        <v>35</v>
      </c>
      <c r="G685" s="34">
        <f t="shared" si="150"/>
        <v>175</v>
      </c>
      <c r="H685" s="33"/>
      <c r="I685" s="33"/>
      <c r="J685" s="33"/>
      <c r="K685" s="29"/>
      <c r="L685" s="29"/>
      <c r="M685" s="35" t="str">
        <f t="shared" ca="1" si="151"/>
        <v/>
      </c>
      <c r="N685" s="46"/>
      <c r="O685" s="47"/>
    </row>
    <row r="686" spans="1:15" ht="15" customHeight="1">
      <c r="A686" s="68">
        <v>46229</v>
      </c>
      <c r="B686" s="25">
        <f t="shared" si="152"/>
        <v>0.70833333333333293</v>
      </c>
      <c r="C686" s="33" t="s">
        <v>29</v>
      </c>
      <c r="D686" s="62" t="s">
        <v>30</v>
      </c>
      <c r="E686" s="62" t="s">
        <v>234</v>
      </c>
      <c r="F686" s="27">
        <v>42</v>
      </c>
      <c r="G686" s="28">
        <f t="shared" si="150"/>
        <v>210</v>
      </c>
      <c r="H686" s="26"/>
      <c r="I686" s="26"/>
      <c r="J686" s="26"/>
      <c r="K686" s="29"/>
      <c r="L686" s="29"/>
      <c r="M686" s="30" t="str">
        <f t="shared" ca="1" si="151"/>
        <v/>
      </c>
      <c r="N686" s="46"/>
      <c r="O686" s="47"/>
    </row>
    <row r="687" spans="1:15" ht="15" customHeight="1">
      <c r="A687" s="69">
        <v>46229</v>
      </c>
      <c r="B687" s="32">
        <f t="shared" si="152"/>
        <v>0.74999999999999956</v>
      </c>
      <c r="C687" s="33" t="s">
        <v>29</v>
      </c>
      <c r="D687" s="62" t="s">
        <v>30</v>
      </c>
      <c r="E687" s="62" t="s">
        <v>234</v>
      </c>
      <c r="F687" s="27">
        <v>41</v>
      </c>
      <c r="G687" s="34">
        <f t="shared" si="150"/>
        <v>205</v>
      </c>
      <c r="H687" s="33"/>
      <c r="I687" s="33"/>
      <c r="J687" s="33"/>
      <c r="K687" s="29"/>
      <c r="L687" s="29"/>
      <c r="M687" s="35" t="str">
        <f t="shared" ca="1" si="151"/>
        <v/>
      </c>
      <c r="N687" s="46"/>
      <c r="O687" s="47"/>
    </row>
    <row r="688" spans="1:15" ht="15" customHeight="1">
      <c r="A688" s="68">
        <v>46229</v>
      </c>
      <c r="B688" s="25">
        <f t="shared" si="152"/>
        <v>0.79166666666666619</v>
      </c>
      <c r="C688" s="33" t="s">
        <v>29</v>
      </c>
      <c r="D688" s="62" t="s">
        <v>30</v>
      </c>
      <c r="E688" s="62" t="s">
        <v>234</v>
      </c>
      <c r="F688" s="27">
        <v>0</v>
      </c>
      <c r="G688" s="28">
        <f t="shared" si="150"/>
        <v>0</v>
      </c>
      <c r="H688" s="26"/>
      <c r="I688" s="26"/>
      <c r="J688" s="26"/>
      <c r="K688" s="29"/>
      <c r="L688" s="29"/>
      <c r="M688" s="30" t="str">
        <f t="shared" ca="1" si="151"/>
        <v/>
      </c>
      <c r="N688" s="46"/>
      <c r="O688" s="47"/>
    </row>
    <row r="689" spans="1:15" ht="15.75" customHeight="1">
      <c r="A689" s="119" t="s">
        <v>236</v>
      </c>
      <c r="B689" s="120"/>
      <c r="C689" s="120"/>
      <c r="D689" s="120"/>
      <c r="E689" s="121">
        <f>SUM(E677:E688)</f>
        <v>0</v>
      </c>
      <c r="F689" s="36">
        <f>SUM(F677:F688)</f>
        <v>298</v>
      </c>
      <c r="G689" s="36">
        <f>SUM(G677:G688)</f>
        <v>1490</v>
      </c>
      <c r="H689" s="37"/>
      <c r="I689" s="37"/>
      <c r="J689" s="37"/>
      <c r="K689" s="37"/>
      <c r="L689" s="37"/>
      <c r="M689" s="38">
        <f ca="1">IFERROR(SUM(M677:M688),"")</f>
        <v>0.19236111111111104</v>
      </c>
      <c r="N689" s="36" t="s">
        <v>237</v>
      </c>
      <c r="O689" s="39">
        <v>1352990</v>
      </c>
    </row>
    <row r="690" spans="1:15" ht="15" customHeight="1">
      <c r="A690" s="68">
        <v>46229</v>
      </c>
      <c r="B690" s="25">
        <v>0.83333333333333304</v>
      </c>
      <c r="C690" s="26" t="s">
        <v>21</v>
      </c>
      <c r="D690" s="59" t="s">
        <v>30</v>
      </c>
      <c r="E690" s="59" t="s">
        <v>234</v>
      </c>
      <c r="F690" s="27">
        <v>23</v>
      </c>
      <c r="G690" s="28">
        <f t="shared" ref="G690:G701" si="153">IF(F690="","",IF(E690="PC 17",F690*4.2,IF(E690="PC 19",F690*5,"")))</f>
        <v>115</v>
      </c>
      <c r="H690" s="26" t="s">
        <v>18</v>
      </c>
      <c r="I690" s="26" t="s">
        <v>23</v>
      </c>
      <c r="J690" s="26" t="s">
        <v>154</v>
      </c>
      <c r="K690" s="29">
        <v>0.82291666666666663</v>
      </c>
      <c r="L690" s="29">
        <v>0.92708333333333337</v>
      </c>
      <c r="M690" s="30">
        <f t="shared" ref="M690:M701" ca="1" si="154">IFERROR(IF(K690="","",IF(L690="",MOD(NOW()-K690,1),IF(L690&gt;=K690,L690-K690,L690+1-K690))),"")</f>
        <v>0.10416666666666674</v>
      </c>
      <c r="N690" s="46" t="s">
        <v>270</v>
      </c>
      <c r="O690" s="47"/>
    </row>
    <row r="691" spans="1:15" ht="15" customHeight="1">
      <c r="A691" s="69">
        <v>46229</v>
      </c>
      <c r="B691" s="32">
        <f t="shared" ref="B691:B701" si="155">B690+TIME(0,60,0)</f>
        <v>0.87499999999999967</v>
      </c>
      <c r="C691" s="26" t="s">
        <v>21</v>
      </c>
      <c r="D691" s="59" t="s">
        <v>30</v>
      </c>
      <c r="E691" s="59" t="s">
        <v>234</v>
      </c>
      <c r="F691" s="27">
        <v>0</v>
      </c>
      <c r="G691" s="34">
        <f t="shared" si="153"/>
        <v>0</v>
      </c>
      <c r="H691" s="33" t="s">
        <v>20</v>
      </c>
      <c r="I691" s="33" t="s">
        <v>23</v>
      </c>
      <c r="J691" s="33" t="s">
        <v>132</v>
      </c>
      <c r="K691" s="29">
        <v>0.24305555555555555</v>
      </c>
      <c r="L691" s="29">
        <v>0.29166666666666669</v>
      </c>
      <c r="M691" s="35">
        <f t="shared" ca="1" si="154"/>
        <v>4.8611111111111133E-2</v>
      </c>
      <c r="N691" s="46"/>
      <c r="O691" s="47"/>
    </row>
    <row r="692" spans="1:15" ht="15" customHeight="1">
      <c r="A692" s="68">
        <v>46229</v>
      </c>
      <c r="B692" s="25">
        <f t="shared" si="155"/>
        <v>0.9166666666666663</v>
      </c>
      <c r="C692" s="26" t="s">
        <v>21</v>
      </c>
      <c r="D692" s="59" t="s">
        <v>30</v>
      </c>
      <c r="E692" s="59" t="s">
        <v>234</v>
      </c>
      <c r="F692" s="27">
        <v>0</v>
      </c>
      <c r="G692" s="28">
        <f t="shared" si="153"/>
        <v>0</v>
      </c>
      <c r="H692" s="26"/>
      <c r="I692" s="26"/>
      <c r="J692" s="26"/>
      <c r="K692" s="29"/>
      <c r="L692" s="29"/>
      <c r="M692" s="30" t="str">
        <f t="shared" ca="1" si="154"/>
        <v/>
      </c>
      <c r="N692" s="46"/>
      <c r="O692" s="47"/>
    </row>
    <row r="693" spans="1:15" ht="15" customHeight="1">
      <c r="A693" s="69">
        <v>46229</v>
      </c>
      <c r="B693" s="32">
        <f t="shared" si="155"/>
        <v>0.95833333333333293</v>
      </c>
      <c r="C693" s="26" t="s">
        <v>21</v>
      </c>
      <c r="D693" s="59" t="s">
        <v>30</v>
      </c>
      <c r="E693" s="59" t="s">
        <v>234</v>
      </c>
      <c r="F693" s="27">
        <v>30</v>
      </c>
      <c r="G693" s="34">
        <f t="shared" si="153"/>
        <v>150</v>
      </c>
      <c r="H693" s="33"/>
      <c r="I693" s="33"/>
      <c r="J693" s="33"/>
      <c r="K693" s="29"/>
      <c r="L693" s="29"/>
      <c r="M693" s="35" t="str">
        <f t="shared" ca="1" si="154"/>
        <v/>
      </c>
      <c r="N693" s="46"/>
      <c r="O693" s="47"/>
    </row>
    <row r="694" spans="1:15" ht="15" customHeight="1">
      <c r="A694" s="68">
        <v>46229</v>
      </c>
      <c r="B694" s="25">
        <f t="shared" si="155"/>
        <v>0.99999999999999956</v>
      </c>
      <c r="C694" s="26" t="s">
        <v>21</v>
      </c>
      <c r="D694" s="59" t="s">
        <v>30</v>
      </c>
      <c r="E694" s="59" t="s">
        <v>234</v>
      </c>
      <c r="F694" s="27">
        <v>20</v>
      </c>
      <c r="G694" s="28">
        <f t="shared" si="153"/>
        <v>100</v>
      </c>
      <c r="H694" s="26"/>
      <c r="I694" s="26"/>
      <c r="J694" s="26"/>
      <c r="K694" s="29"/>
      <c r="L694" s="29"/>
      <c r="M694" s="30" t="str">
        <f t="shared" ca="1" si="154"/>
        <v/>
      </c>
      <c r="N694" s="46"/>
      <c r="O694" s="47"/>
    </row>
    <row r="695" spans="1:15" ht="15" customHeight="1">
      <c r="A695" s="69">
        <v>46229</v>
      </c>
      <c r="B695" s="32">
        <f t="shared" si="155"/>
        <v>1.0416666666666663</v>
      </c>
      <c r="C695" s="26" t="s">
        <v>21</v>
      </c>
      <c r="D695" s="59" t="s">
        <v>30</v>
      </c>
      <c r="E695" s="59" t="s">
        <v>234</v>
      </c>
      <c r="F695" s="27">
        <v>31</v>
      </c>
      <c r="G695" s="34">
        <f t="shared" si="153"/>
        <v>155</v>
      </c>
      <c r="H695" s="33"/>
      <c r="I695" s="33"/>
      <c r="J695" s="33"/>
      <c r="K695" s="29"/>
      <c r="L695" s="29"/>
      <c r="M695" s="35" t="str">
        <f t="shared" ca="1" si="154"/>
        <v/>
      </c>
      <c r="N695" s="46"/>
      <c r="O695" s="47"/>
    </row>
    <row r="696" spans="1:15" ht="15" customHeight="1">
      <c r="A696" s="68">
        <v>46229</v>
      </c>
      <c r="B696" s="25">
        <f t="shared" si="155"/>
        <v>1.083333333333333</v>
      </c>
      <c r="C696" s="26" t="s">
        <v>21</v>
      </c>
      <c r="D696" s="59" t="s">
        <v>30</v>
      </c>
      <c r="E696" s="59" t="s">
        <v>234</v>
      </c>
      <c r="F696" s="27">
        <v>31</v>
      </c>
      <c r="G696" s="28">
        <f t="shared" si="153"/>
        <v>155</v>
      </c>
      <c r="H696" s="26"/>
      <c r="I696" s="26"/>
      <c r="J696" s="26"/>
      <c r="K696" s="29"/>
      <c r="L696" s="29"/>
      <c r="M696" s="30" t="str">
        <f t="shared" ca="1" si="154"/>
        <v/>
      </c>
      <c r="N696" s="46"/>
      <c r="O696" s="47"/>
    </row>
    <row r="697" spans="1:15" ht="15" customHeight="1">
      <c r="A697" s="69">
        <v>46229</v>
      </c>
      <c r="B697" s="32">
        <f t="shared" si="155"/>
        <v>1.1249999999999998</v>
      </c>
      <c r="C697" s="26" t="s">
        <v>21</v>
      </c>
      <c r="D697" s="59" t="s">
        <v>30</v>
      </c>
      <c r="E697" s="59" t="s">
        <v>234</v>
      </c>
      <c r="F697" s="27">
        <v>22</v>
      </c>
      <c r="G697" s="34">
        <f t="shared" si="153"/>
        <v>110</v>
      </c>
      <c r="H697" s="33"/>
      <c r="I697" s="33"/>
      <c r="J697" s="33"/>
      <c r="K697" s="29"/>
      <c r="L697" s="29"/>
      <c r="M697" s="35" t="str">
        <f t="shared" ca="1" si="154"/>
        <v/>
      </c>
      <c r="N697" s="46"/>
      <c r="O697" s="47"/>
    </row>
    <row r="698" spans="1:15" ht="15" customHeight="1">
      <c r="A698" s="68">
        <v>46229</v>
      </c>
      <c r="B698" s="25">
        <f t="shared" si="155"/>
        <v>1.1666666666666665</v>
      </c>
      <c r="C698" s="26" t="s">
        <v>21</v>
      </c>
      <c r="D698" s="59" t="s">
        <v>30</v>
      </c>
      <c r="E698" s="59" t="s">
        <v>234</v>
      </c>
      <c r="F698" s="27">
        <v>38</v>
      </c>
      <c r="G698" s="28">
        <f t="shared" si="153"/>
        <v>190</v>
      </c>
      <c r="H698" s="26"/>
      <c r="I698" s="26"/>
      <c r="J698" s="26"/>
      <c r="K698" s="29"/>
      <c r="L698" s="29"/>
      <c r="M698" s="30" t="str">
        <f t="shared" ca="1" si="154"/>
        <v/>
      </c>
      <c r="N698" s="46"/>
      <c r="O698" s="47"/>
    </row>
    <row r="699" spans="1:15" ht="15" customHeight="1">
      <c r="A699" s="69">
        <v>46229</v>
      </c>
      <c r="B699" s="32">
        <f t="shared" si="155"/>
        <v>1.2083333333333333</v>
      </c>
      <c r="C699" s="26" t="s">
        <v>21</v>
      </c>
      <c r="D699" s="59" t="s">
        <v>30</v>
      </c>
      <c r="E699" s="59" t="s">
        <v>234</v>
      </c>
      <c r="F699" s="27">
        <v>26</v>
      </c>
      <c r="G699" s="34">
        <f t="shared" si="153"/>
        <v>130</v>
      </c>
      <c r="H699" s="33"/>
      <c r="I699" s="33"/>
      <c r="J699" s="33"/>
      <c r="K699" s="29"/>
      <c r="L699" s="29"/>
      <c r="M699" s="35" t="str">
        <f t="shared" ca="1" si="154"/>
        <v/>
      </c>
      <c r="N699" s="46"/>
      <c r="O699" s="47"/>
    </row>
    <row r="700" spans="1:15" ht="15" customHeight="1">
      <c r="A700" s="68">
        <v>46229</v>
      </c>
      <c r="B700" s="25">
        <f t="shared" si="155"/>
        <v>1.25</v>
      </c>
      <c r="C700" s="26" t="s">
        <v>21</v>
      </c>
      <c r="D700" s="59" t="s">
        <v>30</v>
      </c>
      <c r="E700" s="59" t="s">
        <v>234</v>
      </c>
      <c r="F700" s="27">
        <v>16</v>
      </c>
      <c r="G700" s="28">
        <f t="shared" si="153"/>
        <v>80</v>
      </c>
      <c r="H700" s="26"/>
      <c r="I700" s="26"/>
      <c r="J700" s="26"/>
      <c r="K700" s="29"/>
      <c r="L700" s="29"/>
      <c r="M700" s="30" t="str">
        <f t="shared" ca="1" si="154"/>
        <v/>
      </c>
      <c r="N700" s="46"/>
      <c r="O700" s="47"/>
    </row>
    <row r="701" spans="1:15" ht="15" customHeight="1">
      <c r="A701" s="69">
        <v>46229</v>
      </c>
      <c r="B701" s="32">
        <f t="shared" si="155"/>
        <v>1.2916666666666667</v>
      </c>
      <c r="C701" s="26" t="s">
        <v>21</v>
      </c>
      <c r="D701" s="59" t="s">
        <v>30</v>
      </c>
      <c r="E701" s="59" t="s">
        <v>234</v>
      </c>
      <c r="F701" s="27">
        <v>0</v>
      </c>
      <c r="G701" s="34">
        <f t="shared" si="153"/>
        <v>0</v>
      </c>
      <c r="H701" s="33"/>
      <c r="I701" s="33"/>
      <c r="J701" s="33"/>
      <c r="K701" s="29"/>
      <c r="L701" s="29"/>
      <c r="M701" s="35" t="str">
        <f t="shared" ca="1" si="154"/>
        <v/>
      </c>
      <c r="N701" s="46"/>
      <c r="O701" s="47"/>
    </row>
    <row r="702" spans="1:15" ht="15.75" customHeight="1">
      <c r="A702" s="119" t="s">
        <v>238</v>
      </c>
      <c r="B702" s="120"/>
      <c r="C702" s="120"/>
      <c r="D702" s="120"/>
      <c r="E702" s="121">
        <f>SUM(E690:E701)</f>
        <v>0</v>
      </c>
      <c r="F702" s="36">
        <f>SUM(F690:F701)</f>
        <v>237</v>
      </c>
      <c r="G702" s="36">
        <f>SUM(G690:G701)</f>
        <v>1185</v>
      </c>
      <c r="H702" s="37"/>
      <c r="I702" s="37"/>
      <c r="J702" s="37"/>
      <c r="K702" s="37"/>
      <c r="L702" s="37"/>
      <c r="M702" s="38">
        <f ca="1">IFERROR(SUM(M690:M701),"")</f>
        <v>0.15277777777777787</v>
      </c>
      <c r="N702" s="36" t="s">
        <v>237</v>
      </c>
      <c r="O702" s="39">
        <v>1620480</v>
      </c>
    </row>
    <row r="703" spans="1:15" ht="18" customHeight="1">
      <c r="A703" s="122" t="s">
        <v>239</v>
      </c>
      <c r="B703" s="123"/>
      <c r="C703" s="123"/>
      <c r="D703" s="123"/>
      <c r="E703" s="124">
        <f>E689+E702</f>
        <v>0</v>
      </c>
      <c r="F703" s="40">
        <f>F689+F702</f>
        <v>535</v>
      </c>
      <c r="G703" s="40">
        <f>G689+G702</f>
        <v>2675</v>
      </c>
      <c r="H703" s="41"/>
      <c r="I703" s="41"/>
      <c r="J703" s="41"/>
      <c r="K703" s="41"/>
      <c r="L703" s="41"/>
      <c r="M703" s="42">
        <f ca="1">IFERROR(M689+M702,"")</f>
        <v>0.34513888888888888</v>
      </c>
      <c r="N703" s="40" t="s">
        <v>240</v>
      </c>
      <c r="O703" s="48">
        <f>IFERROR(O689+O702,"")</f>
        <v>2973470</v>
      </c>
    </row>
    <row r="704" spans="1:15" ht="15" customHeight="1">
      <c r="A704" s="68">
        <v>46230</v>
      </c>
      <c r="B704" s="25">
        <v>0.33333333333333298</v>
      </c>
      <c r="C704" s="26" t="s">
        <v>29</v>
      </c>
      <c r="D704" s="59" t="s">
        <v>30</v>
      </c>
      <c r="E704" s="59" t="s">
        <v>234</v>
      </c>
      <c r="F704" s="27">
        <v>8</v>
      </c>
      <c r="G704" s="28">
        <f t="shared" ref="G704:G715" si="156">IF(F704="","",IF(E704="PC 17",F704*4.2,IF(E704="PC 19",F704*5,"")))</f>
        <v>40</v>
      </c>
      <c r="H704" s="26" t="s">
        <v>20</v>
      </c>
      <c r="I704" s="26" t="s">
        <v>23</v>
      </c>
      <c r="J704" s="26" t="s">
        <v>132</v>
      </c>
      <c r="K704" s="29">
        <v>0.29166666666666669</v>
      </c>
      <c r="L704" s="29">
        <v>0.31527777777777777</v>
      </c>
      <c r="M704" s="30">
        <f t="shared" ref="M704:M715" ca="1" si="157">IFERROR(IF(K704="","",IF(L704="",MOD(NOW()-K704,1),IF(L704&gt;=K704,L704-K704,L704+1-K704))),"")</f>
        <v>2.3611111111111083E-2</v>
      </c>
      <c r="N704" s="46"/>
      <c r="O704" s="47"/>
    </row>
    <row r="705" spans="1:15" ht="15" customHeight="1">
      <c r="A705" s="69">
        <v>46230</v>
      </c>
      <c r="B705" s="32">
        <f t="shared" ref="B705:B715" si="158">B704+TIME(0,60,0)</f>
        <v>0.37499999999999967</v>
      </c>
      <c r="C705" s="26" t="s">
        <v>29</v>
      </c>
      <c r="D705" s="59" t="s">
        <v>30</v>
      </c>
      <c r="E705" s="59" t="s">
        <v>234</v>
      </c>
      <c r="F705" s="27">
        <v>25</v>
      </c>
      <c r="G705" s="34">
        <f t="shared" si="156"/>
        <v>125</v>
      </c>
      <c r="H705" s="33" t="s">
        <v>18</v>
      </c>
      <c r="I705" s="33" t="s">
        <v>23</v>
      </c>
      <c r="J705" s="33" t="s">
        <v>128</v>
      </c>
      <c r="K705" s="29">
        <v>0.4465277777777778</v>
      </c>
      <c r="L705" s="29">
        <v>0.46736111111111112</v>
      </c>
      <c r="M705" s="35">
        <f t="shared" ca="1" si="157"/>
        <v>2.0833333333333315E-2</v>
      </c>
      <c r="N705" s="46"/>
      <c r="O705" s="47"/>
    </row>
    <row r="706" spans="1:15" ht="15" customHeight="1">
      <c r="A706" s="68">
        <v>46230</v>
      </c>
      <c r="B706" s="25">
        <f t="shared" si="158"/>
        <v>0.41666666666666635</v>
      </c>
      <c r="C706" s="26" t="s">
        <v>29</v>
      </c>
      <c r="D706" s="59" t="s">
        <v>30</v>
      </c>
      <c r="E706" s="59" t="s">
        <v>234</v>
      </c>
      <c r="F706" s="27">
        <v>45</v>
      </c>
      <c r="G706" s="28">
        <f t="shared" si="156"/>
        <v>225</v>
      </c>
      <c r="H706" s="26" t="s">
        <v>19</v>
      </c>
      <c r="I706" s="26" t="s">
        <v>23</v>
      </c>
      <c r="J706" s="26" t="s">
        <v>67</v>
      </c>
      <c r="K706" s="29">
        <v>0.74652777777777779</v>
      </c>
      <c r="L706" s="29">
        <v>0.79166666666666663</v>
      </c>
      <c r="M706" s="30">
        <f t="shared" ca="1" si="157"/>
        <v>4.513888888888884E-2</v>
      </c>
      <c r="N706" s="46"/>
      <c r="O706" s="47"/>
    </row>
    <row r="707" spans="1:15" ht="15" customHeight="1">
      <c r="A707" s="69">
        <v>46230</v>
      </c>
      <c r="B707" s="32">
        <f t="shared" si="158"/>
        <v>0.45833333333333304</v>
      </c>
      <c r="C707" s="26" t="s">
        <v>29</v>
      </c>
      <c r="D707" s="59" t="s">
        <v>30</v>
      </c>
      <c r="E707" s="59" t="s">
        <v>234</v>
      </c>
      <c r="F707" s="27">
        <v>10</v>
      </c>
      <c r="G707" s="34">
        <f t="shared" si="156"/>
        <v>50</v>
      </c>
      <c r="H707" s="33"/>
      <c r="I707" s="33"/>
      <c r="J707" s="33"/>
      <c r="K707" s="29"/>
      <c r="L707" s="29"/>
      <c r="M707" s="35" t="str">
        <f t="shared" ca="1" si="157"/>
        <v/>
      </c>
      <c r="N707" s="46"/>
      <c r="O707" s="47"/>
    </row>
    <row r="708" spans="1:15" ht="15" customHeight="1">
      <c r="A708" s="68">
        <v>46230</v>
      </c>
      <c r="B708" s="25">
        <f t="shared" si="158"/>
        <v>0.49999999999999972</v>
      </c>
      <c r="C708" s="26" t="s">
        <v>29</v>
      </c>
      <c r="D708" s="59" t="s">
        <v>30</v>
      </c>
      <c r="E708" s="59" t="s">
        <v>234</v>
      </c>
      <c r="F708" s="27">
        <v>21</v>
      </c>
      <c r="G708" s="28">
        <f t="shared" si="156"/>
        <v>105</v>
      </c>
      <c r="H708" s="26"/>
      <c r="I708" s="26"/>
      <c r="J708" s="26"/>
      <c r="K708" s="29"/>
      <c r="L708" s="29"/>
      <c r="M708" s="30" t="str">
        <f t="shared" ca="1" si="157"/>
        <v/>
      </c>
      <c r="N708" s="46"/>
      <c r="O708" s="47"/>
    </row>
    <row r="709" spans="1:15" ht="15" customHeight="1">
      <c r="A709" s="69">
        <v>46230</v>
      </c>
      <c r="B709" s="32">
        <f t="shared" si="158"/>
        <v>0.54166666666666641</v>
      </c>
      <c r="C709" s="26" t="s">
        <v>29</v>
      </c>
      <c r="D709" s="59" t="s">
        <v>30</v>
      </c>
      <c r="E709" s="59" t="s">
        <v>234</v>
      </c>
      <c r="F709" s="27">
        <v>33</v>
      </c>
      <c r="G709" s="34">
        <f t="shared" si="156"/>
        <v>165</v>
      </c>
      <c r="H709" s="33"/>
      <c r="I709" s="33"/>
      <c r="J709" s="33"/>
      <c r="K709" s="29"/>
      <c r="L709" s="29"/>
      <c r="M709" s="35" t="str">
        <f t="shared" ca="1" si="157"/>
        <v/>
      </c>
      <c r="N709" s="46"/>
      <c r="O709" s="47"/>
    </row>
    <row r="710" spans="1:15" ht="15" customHeight="1">
      <c r="A710" s="68">
        <v>46230</v>
      </c>
      <c r="B710" s="25">
        <f t="shared" si="158"/>
        <v>0.58333333333333304</v>
      </c>
      <c r="C710" s="26" t="s">
        <v>29</v>
      </c>
      <c r="D710" s="59" t="s">
        <v>30</v>
      </c>
      <c r="E710" s="59" t="s">
        <v>234</v>
      </c>
      <c r="F710" s="27">
        <v>26</v>
      </c>
      <c r="G710" s="28">
        <f t="shared" si="156"/>
        <v>130</v>
      </c>
      <c r="H710" s="26"/>
      <c r="I710" s="26"/>
      <c r="J710" s="26"/>
      <c r="K710" s="29"/>
      <c r="L710" s="29"/>
      <c r="M710" s="30" t="str">
        <f t="shared" ca="1" si="157"/>
        <v/>
      </c>
      <c r="N710" s="46"/>
      <c r="O710" s="47"/>
    </row>
    <row r="711" spans="1:15" ht="15" customHeight="1">
      <c r="A711" s="69">
        <v>46230</v>
      </c>
      <c r="B711" s="32">
        <f t="shared" si="158"/>
        <v>0.62499999999999967</v>
      </c>
      <c r="C711" s="26" t="s">
        <v>29</v>
      </c>
      <c r="D711" s="59" t="s">
        <v>30</v>
      </c>
      <c r="E711" s="59" t="s">
        <v>234</v>
      </c>
      <c r="F711" s="27">
        <v>40</v>
      </c>
      <c r="G711" s="34">
        <f t="shared" si="156"/>
        <v>200</v>
      </c>
      <c r="H711" s="33"/>
      <c r="I711" s="33"/>
      <c r="J711" s="33"/>
      <c r="K711" s="29"/>
      <c r="L711" s="29"/>
      <c r="M711" s="35" t="str">
        <f t="shared" ca="1" si="157"/>
        <v/>
      </c>
      <c r="N711" s="46"/>
      <c r="O711" s="47"/>
    </row>
    <row r="712" spans="1:15" ht="15" customHeight="1">
      <c r="A712" s="68">
        <v>46230</v>
      </c>
      <c r="B712" s="25">
        <f t="shared" si="158"/>
        <v>0.6666666666666663</v>
      </c>
      <c r="C712" s="26" t="s">
        <v>29</v>
      </c>
      <c r="D712" s="59" t="s">
        <v>30</v>
      </c>
      <c r="E712" s="59" t="s">
        <v>234</v>
      </c>
      <c r="F712" s="27">
        <v>39</v>
      </c>
      <c r="G712" s="28">
        <f t="shared" si="156"/>
        <v>195</v>
      </c>
      <c r="H712" s="26"/>
      <c r="I712" s="26"/>
      <c r="J712" s="26"/>
      <c r="K712" s="29"/>
      <c r="L712" s="29"/>
      <c r="M712" s="30" t="str">
        <f t="shared" ca="1" si="157"/>
        <v/>
      </c>
      <c r="N712" s="46"/>
      <c r="O712" s="47"/>
    </row>
    <row r="713" spans="1:15" ht="15" customHeight="1">
      <c r="A713" s="69">
        <v>46230</v>
      </c>
      <c r="B713" s="32">
        <f t="shared" si="158"/>
        <v>0.70833333333333293</v>
      </c>
      <c r="C713" s="26" t="s">
        <v>29</v>
      </c>
      <c r="D713" s="59" t="s">
        <v>30</v>
      </c>
      <c r="E713" s="59" t="s">
        <v>234</v>
      </c>
      <c r="F713" s="27">
        <v>38</v>
      </c>
      <c r="G713" s="34">
        <f t="shared" si="156"/>
        <v>190</v>
      </c>
      <c r="H713" s="33"/>
      <c r="I713" s="33"/>
      <c r="J713" s="33"/>
      <c r="K713" s="29"/>
      <c r="L713" s="29"/>
      <c r="M713" s="35" t="str">
        <f t="shared" ca="1" si="157"/>
        <v/>
      </c>
      <c r="N713" s="46"/>
      <c r="O713" s="47"/>
    </row>
    <row r="714" spans="1:15" ht="15" customHeight="1">
      <c r="A714" s="68">
        <v>46230</v>
      </c>
      <c r="B714" s="25">
        <f t="shared" si="158"/>
        <v>0.74999999999999956</v>
      </c>
      <c r="C714" s="26" t="s">
        <v>29</v>
      </c>
      <c r="D714" s="59" t="s">
        <v>30</v>
      </c>
      <c r="E714" s="59" t="s">
        <v>234</v>
      </c>
      <c r="F714" s="27">
        <v>18</v>
      </c>
      <c r="G714" s="28">
        <f t="shared" si="156"/>
        <v>90</v>
      </c>
      <c r="H714" s="26"/>
      <c r="I714" s="26"/>
      <c r="J714" s="26"/>
      <c r="K714" s="29"/>
      <c r="L714" s="29"/>
      <c r="M714" s="30" t="str">
        <f t="shared" ca="1" si="157"/>
        <v/>
      </c>
      <c r="N714" s="46"/>
      <c r="O714" s="47"/>
    </row>
    <row r="715" spans="1:15" ht="15" customHeight="1">
      <c r="A715" s="69">
        <v>46230</v>
      </c>
      <c r="B715" s="32">
        <f t="shared" si="158"/>
        <v>0.79166666666666619</v>
      </c>
      <c r="C715" s="26" t="s">
        <v>29</v>
      </c>
      <c r="D715" s="59" t="s">
        <v>30</v>
      </c>
      <c r="E715" s="59" t="s">
        <v>234</v>
      </c>
      <c r="F715" s="27">
        <v>0</v>
      </c>
      <c r="G715" s="34">
        <f t="shared" si="156"/>
        <v>0</v>
      </c>
      <c r="H715" s="33"/>
      <c r="I715" s="33"/>
      <c r="J715" s="33"/>
      <c r="K715" s="29"/>
      <c r="L715" s="29"/>
      <c r="M715" s="35" t="str">
        <f t="shared" ca="1" si="157"/>
        <v/>
      </c>
      <c r="N715" s="46"/>
      <c r="O715" s="47"/>
    </row>
    <row r="716" spans="1:15" ht="15.75" customHeight="1">
      <c r="A716" s="119" t="s">
        <v>236</v>
      </c>
      <c r="B716" s="120"/>
      <c r="C716" s="120"/>
      <c r="D716" s="120"/>
      <c r="E716" s="121">
        <f>SUM(E704:E715)</f>
        <v>0</v>
      </c>
      <c r="F716" s="36">
        <f>SUM(F704:F715)</f>
        <v>303</v>
      </c>
      <c r="G716" s="36">
        <f>SUM(G704:G715)</f>
        <v>1515</v>
      </c>
      <c r="H716" s="37"/>
      <c r="I716" s="37"/>
      <c r="J716" s="37"/>
      <c r="K716" s="37"/>
      <c r="L716" s="37"/>
      <c r="M716" s="38">
        <f ca="1">IFERROR(SUM(M704:M715),"")</f>
        <v>8.9583333333333237E-2</v>
      </c>
      <c r="N716" s="36" t="s">
        <v>237</v>
      </c>
      <c r="O716" s="39">
        <v>1568140</v>
      </c>
    </row>
    <row r="717" spans="1:15" ht="15" customHeight="1">
      <c r="A717" s="69">
        <v>46230</v>
      </c>
      <c r="B717" s="32">
        <v>0.83333333333333304</v>
      </c>
      <c r="C717" s="33" t="s">
        <v>21</v>
      </c>
      <c r="D717" s="62" t="s">
        <v>30</v>
      </c>
      <c r="E717" s="62" t="s">
        <v>234</v>
      </c>
      <c r="F717" s="27">
        <v>15</v>
      </c>
      <c r="G717" s="34">
        <f t="shared" ref="G717:G728" si="159">IF(F717="","",IF(E717="PC 17",F717*4.2,IF(E717="PC 19",F717*5,"")))</f>
        <v>75</v>
      </c>
      <c r="H717" s="33" t="s">
        <v>19</v>
      </c>
      <c r="I717" s="33" t="s">
        <v>23</v>
      </c>
      <c r="J717" s="33" t="s">
        <v>67</v>
      </c>
      <c r="K717" s="29">
        <v>0.83333333333333337</v>
      </c>
      <c r="L717" s="29">
        <v>0.83333333333333337</v>
      </c>
      <c r="M717" s="35">
        <f t="shared" ref="M717:M728" ca="1" si="160">IFERROR(IF(K717="","",IF(L717="",MOD(NOW()-K717,1),IF(L717&gt;=K717,L717-K717,L717+1-K717))),"")</f>
        <v>0</v>
      </c>
      <c r="N717" s="46" t="s">
        <v>271</v>
      </c>
      <c r="O717" s="47"/>
    </row>
    <row r="718" spans="1:15" ht="15" customHeight="1">
      <c r="A718" s="68">
        <v>46230</v>
      </c>
      <c r="B718" s="25">
        <f t="shared" ref="B718:B728" si="161">B717+TIME(0,60,0)</f>
        <v>0.87499999999999967</v>
      </c>
      <c r="C718" s="33" t="s">
        <v>21</v>
      </c>
      <c r="D718" s="62" t="s">
        <v>30</v>
      </c>
      <c r="E718" s="62" t="s">
        <v>234</v>
      </c>
      <c r="F718" s="27">
        <v>6</v>
      </c>
      <c r="G718" s="28">
        <f t="shared" si="159"/>
        <v>30</v>
      </c>
      <c r="H718" s="26" t="s">
        <v>18</v>
      </c>
      <c r="I718" s="26" t="s">
        <v>23</v>
      </c>
      <c r="J718" s="26" t="s">
        <v>154</v>
      </c>
      <c r="K718" s="29">
        <v>1.3888888888888888E-2</v>
      </c>
      <c r="L718" s="29">
        <v>4.1666666666666664E-2</v>
      </c>
      <c r="M718" s="30">
        <f t="shared" ca="1" si="160"/>
        <v>2.7777777777777776E-2</v>
      </c>
      <c r="N718" s="46"/>
      <c r="O718" s="47"/>
    </row>
    <row r="719" spans="1:15" ht="15" customHeight="1">
      <c r="A719" s="69">
        <v>46230</v>
      </c>
      <c r="B719" s="32">
        <f t="shared" si="161"/>
        <v>0.9166666666666663</v>
      </c>
      <c r="C719" s="33" t="s">
        <v>21</v>
      </c>
      <c r="D719" s="62" t="s">
        <v>30</v>
      </c>
      <c r="E719" s="62" t="s">
        <v>234</v>
      </c>
      <c r="F719" s="27">
        <v>25</v>
      </c>
      <c r="G719" s="34">
        <f t="shared" si="159"/>
        <v>125</v>
      </c>
      <c r="H719" s="33"/>
      <c r="I719" s="33"/>
      <c r="J719" s="33"/>
      <c r="K719" s="29"/>
      <c r="L719" s="29"/>
      <c r="M719" s="35" t="str">
        <f t="shared" ca="1" si="160"/>
        <v/>
      </c>
      <c r="N719" s="46"/>
      <c r="O719" s="47"/>
    </row>
    <row r="720" spans="1:15" ht="15" customHeight="1">
      <c r="A720" s="68">
        <v>46230</v>
      </c>
      <c r="B720" s="25">
        <f t="shared" si="161"/>
        <v>0.95833333333333293</v>
      </c>
      <c r="C720" s="33" t="s">
        <v>21</v>
      </c>
      <c r="D720" s="62" t="s">
        <v>30</v>
      </c>
      <c r="E720" s="62" t="s">
        <v>234</v>
      </c>
      <c r="F720" s="27">
        <v>20</v>
      </c>
      <c r="G720" s="28">
        <f t="shared" si="159"/>
        <v>100</v>
      </c>
      <c r="H720" s="26"/>
      <c r="I720" s="26"/>
      <c r="J720" s="26"/>
      <c r="K720" s="29"/>
      <c r="L720" s="29"/>
      <c r="M720" s="30" t="str">
        <f t="shared" ca="1" si="160"/>
        <v/>
      </c>
      <c r="N720" s="46"/>
      <c r="O720" s="47"/>
    </row>
    <row r="721" spans="1:15" ht="15" customHeight="1">
      <c r="A721" s="69">
        <v>46230</v>
      </c>
      <c r="B721" s="32">
        <f t="shared" si="161"/>
        <v>0.99999999999999956</v>
      </c>
      <c r="C721" s="33" t="s">
        <v>21</v>
      </c>
      <c r="D721" s="62" t="s">
        <v>30</v>
      </c>
      <c r="E721" s="62" t="s">
        <v>234</v>
      </c>
      <c r="F721" s="27">
        <v>20</v>
      </c>
      <c r="G721" s="34">
        <f t="shared" si="159"/>
        <v>100</v>
      </c>
      <c r="H721" s="33"/>
      <c r="I721" s="33"/>
      <c r="J721" s="33"/>
      <c r="K721" s="29"/>
      <c r="L721" s="29"/>
      <c r="M721" s="35" t="str">
        <f t="shared" ca="1" si="160"/>
        <v/>
      </c>
      <c r="N721" s="46"/>
      <c r="O721" s="47"/>
    </row>
    <row r="722" spans="1:15" ht="15" customHeight="1">
      <c r="A722" s="68">
        <v>46230</v>
      </c>
      <c r="B722" s="25">
        <f t="shared" si="161"/>
        <v>1.0416666666666663</v>
      </c>
      <c r="C722" s="33" t="s">
        <v>21</v>
      </c>
      <c r="D722" s="62" t="s">
        <v>30</v>
      </c>
      <c r="E722" s="62" t="s">
        <v>234</v>
      </c>
      <c r="F722" s="27">
        <v>5</v>
      </c>
      <c r="G722" s="28">
        <f t="shared" si="159"/>
        <v>25</v>
      </c>
      <c r="H722" s="26"/>
      <c r="I722" s="26"/>
      <c r="J722" s="26"/>
      <c r="K722" s="29"/>
      <c r="L722" s="29"/>
      <c r="M722" s="30" t="str">
        <f t="shared" ca="1" si="160"/>
        <v/>
      </c>
      <c r="N722" s="46"/>
      <c r="O722" s="47"/>
    </row>
    <row r="723" spans="1:15" ht="15" customHeight="1">
      <c r="A723" s="69">
        <v>46230</v>
      </c>
      <c r="B723" s="32">
        <f t="shared" si="161"/>
        <v>1.083333333333333</v>
      </c>
      <c r="C723" s="33" t="s">
        <v>21</v>
      </c>
      <c r="D723" s="62" t="s">
        <v>30</v>
      </c>
      <c r="E723" s="62" t="s">
        <v>234</v>
      </c>
      <c r="F723" s="27">
        <v>25</v>
      </c>
      <c r="G723" s="34">
        <f t="shared" si="159"/>
        <v>125</v>
      </c>
      <c r="H723" s="33"/>
      <c r="I723" s="33"/>
      <c r="J723" s="33"/>
      <c r="K723" s="29"/>
      <c r="L723" s="29"/>
      <c r="M723" s="35" t="str">
        <f t="shared" ca="1" si="160"/>
        <v/>
      </c>
      <c r="N723" s="46"/>
      <c r="O723" s="47"/>
    </row>
    <row r="724" spans="1:15" ht="15" customHeight="1">
      <c r="A724" s="68">
        <v>46230</v>
      </c>
      <c r="B724" s="25">
        <f t="shared" si="161"/>
        <v>1.1249999999999998</v>
      </c>
      <c r="C724" s="33" t="s">
        <v>21</v>
      </c>
      <c r="D724" s="62" t="s">
        <v>30</v>
      </c>
      <c r="E724" s="62" t="s">
        <v>234</v>
      </c>
      <c r="F724" s="27">
        <v>21</v>
      </c>
      <c r="G724" s="28">
        <f t="shared" si="159"/>
        <v>105</v>
      </c>
      <c r="H724" s="26"/>
      <c r="I724" s="26"/>
      <c r="J724" s="26"/>
      <c r="K724" s="29"/>
      <c r="L724" s="29"/>
      <c r="M724" s="30" t="str">
        <f t="shared" ca="1" si="160"/>
        <v/>
      </c>
      <c r="N724" s="46"/>
      <c r="O724" s="47"/>
    </row>
    <row r="725" spans="1:15" ht="15" customHeight="1">
      <c r="A725" s="69">
        <v>46230</v>
      </c>
      <c r="B725" s="32">
        <f t="shared" si="161"/>
        <v>1.1666666666666665</v>
      </c>
      <c r="C725" s="33" t="s">
        <v>21</v>
      </c>
      <c r="D725" s="62" t="s">
        <v>30</v>
      </c>
      <c r="E725" s="62" t="s">
        <v>261</v>
      </c>
      <c r="F725" s="27">
        <v>30</v>
      </c>
      <c r="G725" s="34">
        <f t="shared" si="159"/>
        <v>126</v>
      </c>
      <c r="H725" s="33"/>
      <c r="I725" s="33"/>
      <c r="J725" s="33"/>
      <c r="K725" s="29"/>
      <c r="L725" s="29"/>
      <c r="M725" s="35" t="str">
        <f t="shared" ca="1" si="160"/>
        <v/>
      </c>
      <c r="N725" s="46"/>
      <c r="O725" s="47"/>
    </row>
    <row r="726" spans="1:15" ht="15" customHeight="1">
      <c r="A726" s="68">
        <v>46230</v>
      </c>
      <c r="B726" s="25">
        <f t="shared" si="161"/>
        <v>1.2083333333333333</v>
      </c>
      <c r="C726" s="33" t="s">
        <v>21</v>
      </c>
      <c r="D726" s="62" t="s">
        <v>30</v>
      </c>
      <c r="E726" s="62" t="s">
        <v>261</v>
      </c>
      <c r="F726" s="27">
        <v>30</v>
      </c>
      <c r="G726" s="28">
        <f t="shared" si="159"/>
        <v>126</v>
      </c>
      <c r="H726" s="26"/>
      <c r="I726" s="26"/>
      <c r="J726" s="26"/>
      <c r="K726" s="29"/>
      <c r="L726" s="29"/>
      <c r="M726" s="30" t="str">
        <f t="shared" ca="1" si="160"/>
        <v/>
      </c>
      <c r="N726" s="46"/>
      <c r="O726" s="47"/>
    </row>
    <row r="727" spans="1:15" ht="15" customHeight="1">
      <c r="A727" s="69">
        <v>46230</v>
      </c>
      <c r="B727" s="32">
        <f t="shared" si="161"/>
        <v>1.25</v>
      </c>
      <c r="C727" s="33" t="s">
        <v>21</v>
      </c>
      <c r="D727" s="62" t="s">
        <v>30</v>
      </c>
      <c r="E727" s="62" t="s">
        <v>261</v>
      </c>
      <c r="F727" s="27">
        <v>22</v>
      </c>
      <c r="G727" s="34">
        <f t="shared" si="159"/>
        <v>92.4</v>
      </c>
      <c r="H727" s="33"/>
      <c r="I727" s="33"/>
      <c r="J727" s="33"/>
      <c r="K727" s="29"/>
      <c r="L727" s="29"/>
      <c r="M727" s="35" t="str">
        <f t="shared" ca="1" si="160"/>
        <v/>
      </c>
      <c r="N727" s="46"/>
      <c r="O727" s="47"/>
    </row>
    <row r="728" spans="1:15" ht="15" customHeight="1">
      <c r="A728" s="68">
        <v>46230</v>
      </c>
      <c r="B728" s="25">
        <f t="shared" si="161"/>
        <v>1.2916666666666667</v>
      </c>
      <c r="C728" s="33" t="s">
        <v>21</v>
      </c>
      <c r="D728" s="62" t="s">
        <v>30</v>
      </c>
      <c r="E728" s="62" t="s">
        <v>261</v>
      </c>
      <c r="F728" s="27">
        <v>20</v>
      </c>
      <c r="G728" s="28">
        <f t="shared" si="159"/>
        <v>84</v>
      </c>
      <c r="H728" s="26"/>
      <c r="I728" s="26"/>
      <c r="J728" s="26"/>
      <c r="K728" s="29"/>
      <c r="L728" s="29"/>
      <c r="M728" s="30" t="str">
        <f t="shared" ca="1" si="160"/>
        <v/>
      </c>
      <c r="N728" s="46"/>
      <c r="O728" s="47"/>
    </row>
    <row r="729" spans="1:15" ht="15.75" customHeight="1">
      <c r="A729" s="119" t="s">
        <v>238</v>
      </c>
      <c r="B729" s="120"/>
      <c r="C729" s="120"/>
      <c r="D729" s="120"/>
      <c r="E729" s="121">
        <f>SUM(E717:E728)</f>
        <v>0</v>
      </c>
      <c r="F729" s="36">
        <f>SUM(F717:F728)</f>
        <v>239</v>
      </c>
      <c r="G729" s="36">
        <f>SUM(G717:G728)</f>
        <v>1113.4000000000001</v>
      </c>
      <c r="H729" s="37"/>
      <c r="I729" s="37"/>
      <c r="J729" s="37"/>
      <c r="K729" s="37"/>
      <c r="L729" s="37"/>
      <c r="M729" s="38">
        <f ca="1">IFERROR(SUM(M717:M728),"")</f>
        <v>2.7777777777777776E-2</v>
      </c>
      <c r="N729" s="36" t="s">
        <v>237</v>
      </c>
      <c r="O729" s="39">
        <v>1145450</v>
      </c>
    </row>
    <row r="730" spans="1:15" ht="18" customHeight="1">
      <c r="A730" s="122" t="s">
        <v>239</v>
      </c>
      <c r="B730" s="123"/>
      <c r="C730" s="123"/>
      <c r="D730" s="123"/>
      <c r="E730" s="124">
        <f>E716+E729</f>
        <v>0</v>
      </c>
      <c r="F730" s="40">
        <f>F716+F729</f>
        <v>542</v>
      </c>
      <c r="G730" s="40">
        <f>G716+G729</f>
        <v>2628.4</v>
      </c>
      <c r="H730" s="41"/>
      <c r="I730" s="41"/>
      <c r="J730" s="41"/>
      <c r="K730" s="41"/>
      <c r="L730" s="41"/>
      <c r="M730" s="42">
        <f ca="1">IFERROR(M716+M729,"")</f>
        <v>0.11736111111111101</v>
      </c>
      <c r="N730" s="40" t="s">
        <v>240</v>
      </c>
      <c r="O730" s="48">
        <f>IFERROR(O716+O729,"")</f>
        <v>2713590</v>
      </c>
    </row>
    <row r="731" spans="1:15" ht="15" customHeight="1">
      <c r="A731" s="69">
        <v>46231</v>
      </c>
      <c r="B731" s="32">
        <v>0.33333333333333298</v>
      </c>
      <c r="C731" s="33" t="s">
        <v>29</v>
      </c>
      <c r="D731" s="62" t="s">
        <v>30</v>
      </c>
      <c r="E731" s="62"/>
      <c r="F731" s="27">
        <v>5</v>
      </c>
      <c r="G731" s="34" t="str">
        <f t="shared" ref="G731:G742" si="162">IF(F731="","",IF(E731="PC 17",F731*4.2,IF(E731="PC 19",F731*5,"")))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46" t="s">
        <v>272</v>
      </c>
      <c r="O731" s="47"/>
    </row>
    <row r="732" spans="1:15" ht="15" customHeight="1">
      <c r="A732" s="68">
        <v>46231</v>
      </c>
      <c r="B732" s="25">
        <f t="shared" ref="B732:B742" si="164">B731+TIME(0,60,0)</f>
        <v>0.37499999999999967</v>
      </c>
      <c r="C732" s="33" t="s">
        <v>29</v>
      </c>
      <c r="D732" s="62" t="s">
        <v>30</v>
      </c>
      <c r="E732" s="59" t="s">
        <v>234</v>
      </c>
      <c r="F732" s="27">
        <v>13</v>
      </c>
      <c r="G732" s="28">
        <f t="shared" si="162"/>
        <v>65</v>
      </c>
      <c r="H732" s="26"/>
      <c r="I732" s="26"/>
      <c r="J732" s="26"/>
      <c r="K732" s="29"/>
      <c r="L732" s="29"/>
      <c r="M732" s="30" t="str">
        <f t="shared" ca="1" si="163"/>
        <v/>
      </c>
      <c r="N732" s="46"/>
      <c r="O732" s="47"/>
    </row>
    <row r="733" spans="1:15" ht="15" customHeight="1">
      <c r="A733" s="69">
        <v>46231</v>
      </c>
      <c r="B733" s="32">
        <f t="shared" si="164"/>
        <v>0.41666666666666635</v>
      </c>
      <c r="C733" s="33" t="s">
        <v>29</v>
      </c>
      <c r="D733" s="62" t="s">
        <v>30</v>
      </c>
      <c r="E733" s="62" t="s">
        <v>234</v>
      </c>
      <c r="F733" s="27">
        <v>38</v>
      </c>
      <c r="G733" s="34">
        <f t="shared" si="162"/>
        <v>190</v>
      </c>
      <c r="H733" s="33"/>
      <c r="I733" s="33"/>
      <c r="J733" s="33"/>
      <c r="K733" s="29"/>
      <c r="L733" s="29"/>
      <c r="M733" s="35" t="str">
        <f t="shared" ca="1" si="163"/>
        <v/>
      </c>
      <c r="N733" s="46"/>
      <c r="O733" s="47"/>
    </row>
    <row r="734" spans="1:15" ht="15" customHeight="1">
      <c r="A734" s="68">
        <v>46231</v>
      </c>
      <c r="B734" s="25">
        <f t="shared" si="164"/>
        <v>0.45833333333333304</v>
      </c>
      <c r="C734" s="33" t="s">
        <v>29</v>
      </c>
      <c r="D734" s="62" t="s">
        <v>30</v>
      </c>
      <c r="E734" s="59" t="s">
        <v>234</v>
      </c>
      <c r="F734" s="27">
        <v>39</v>
      </c>
      <c r="G734" s="28">
        <f t="shared" si="162"/>
        <v>195</v>
      </c>
      <c r="H734" s="26"/>
      <c r="I734" s="26"/>
      <c r="J734" s="26"/>
      <c r="K734" s="29"/>
      <c r="L734" s="29"/>
      <c r="M734" s="30" t="str">
        <f t="shared" ca="1" si="163"/>
        <v/>
      </c>
      <c r="N734" s="46"/>
      <c r="O734" s="47"/>
    </row>
    <row r="735" spans="1:15" ht="15" customHeight="1">
      <c r="A735" s="69">
        <v>46231</v>
      </c>
      <c r="B735" s="32">
        <f t="shared" si="164"/>
        <v>0.49999999999999972</v>
      </c>
      <c r="C735" s="33" t="s">
        <v>29</v>
      </c>
      <c r="D735" s="62" t="s">
        <v>30</v>
      </c>
      <c r="E735" s="62" t="s">
        <v>234</v>
      </c>
      <c r="F735" s="27">
        <v>29</v>
      </c>
      <c r="G735" s="34">
        <f t="shared" si="162"/>
        <v>145</v>
      </c>
      <c r="H735" s="33"/>
      <c r="I735" s="33"/>
      <c r="J735" s="33"/>
      <c r="K735" s="29"/>
      <c r="L735" s="29"/>
      <c r="M735" s="35" t="str">
        <f t="shared" ca="1" si="163"/>
        <v/>
      </c>
      <c r="N735" s="46"/>
      <c r="O735" s="47"/>
    </row>
    <row r="736" spans="1:15" ht="15" customHeight="1">
      <c r="A736" s="68">
        <v>46231</v>
      </c>
      <c r="B736" s="25">
        <f t="shared" si="164"/>
        <v>0.54166666666666641</v>
      </c>
      <c r="C736" s="33" t="s">
        <v>29</v>
      </c>
      <c r="D736" s="62" t="s">
        <v>30</v>
      </c>
      <c r="E736" s="59" t="s">
        <v>234</v>
      </c>
      <c r="F736" s="27">
        <v>72</v>
      </c>
      <c r="G736" s="28">
        <f t="shared" si="162"/>
        <v>360</v>
      </c>
      <c r="H736" s="26"/>
      <c r="I736" s="26"/>
      <c r="J736" s="26"/>
      <c r="K736" s="29"/>
      <c r="L736" s="29"/>
      <c r="M736" s="30" t="str">
        <f t="shared" ca="1" si="163"/>
        <v/>
      </c>
      <c r="N736" s="46"/>
      <c r="O736" s="47"/>
    </row>
    <row r="737" spans="1:15" ht="15" customHeight="1">
      <c r="A737" s="69">
        <v>46231</v>
      </c>
      <c r="B737" s="32">
        <f t="shared" si="164"/>
        <v>0.58333333333333304</v>
      </c>
      <c r="C737" s="33" t="s">
        <v>29</v>
      </c>
      <c r="D737" s="62" t="s">
        <v>30</v>
      </c>
      <c r="E737" s="62" t="s">
        <v>234</v>
      </c>
      <c r="F737" s="27">
        <v>57</v>
      </c>
      <c r="G737" s="34">
        <f t="shared" si="162"/>
        <v>285</v>
      </c>
      <c r="H737" s="33"/>
      <c r="I737" s="33"/>
      <c r="J737" s="33"/>
      <c r="K737" s="29"/>
      <c r="L737" s="29"/>
      <c r="M737" s="35" t="str">
        <f t="shared" ca="1" si="163"/>
        <v/>
      </c>
      <c r="N737" s="46"/>
      <c r="O737" s="47"/>
    </row>
    <row r="738" spans="1:15" ht="15" customHeight="1">
      <c r="A738" s="68">
        <v>46231</v>
      </c>
      <c r="B738" s="25">
        <f t="shared" si="164"/>
        <v>0.62499999999999967</v>
      </c>
      <c r="C738" s="33" t="s">
        <v>29</v>
      </c>
      <c r="D738" s="62" t="s">
        <v>30</v>
      </c>
      <c r="E738" s="59" t="s">
        <v>234</v>
      </c>
      <c r="F738" s="27">
        <v>50</v>
      </c>
      <c r="G738" s="28">
        <f t="shared" si="162"/>
        <v>250</v>
      </c>
      <c r="H738" s="26"/>
      <c r="I738" s="26"/>
      <c r="J738" s="26"/>
      <c r="K738" s="29"/>
      <c r="L738" s="29"/>
      <c r="M738" s="30" t="str">
        <f t="shared" ca="1" si="163"/>
        <v/>
      </c>
      <c r="N738" s="46"/>
      <c r="O738" s="47"/>
    </row>
    <row r="739" spans="1:15" ht="15" customHeight="1">
      <c r="A739" s="69">
        <v>46231</v>
      </c>
      <c r="B739" s="32">
        <f t="shared" si="164"/>
        <v>0.6666666666666663</v>
      </c>
      <c r="C739" s="33" t="s">
        <v>29</v>
      </c>
      <c r="D739" s="62" t="s">
        <v>30</v>
      </c>
      <c r="E739" s="62" t="s">
        <v>234</v>
      </c>
      <c r="F739" s="27">
        <v>40</v>
      </c>
      <c r="G739" s="34">
        <f t="shared" si="162"/>
        <v>200</v>
      </c>
      <c r="H739" s="33"/>
      <c r="I739" s="33"/>
      <c r="J739" s="33"/>
      <c r="K739" s="29"/>
      <c r="L739" s="29"/>
      <c r="M739" s="35" t="str">
        <f t="shared" ca="1" si="163"/>
        <v/>
      </c>
      <c r="N739" s="46"/>
      <c r="O739" s="47"/>
    </row>
    <row r="740" spans="1:15" ht="15" customHeight="1">
      <c r="A740" s="68">
        <v>46231</v>
      </c>
      <c r="B740" s="25">
        <f t="shared" si="164"/>
        <v>0.70833333333333293</v>
      </c>
      <c r="C740" s="33" t="s">
        <v>29</v>
      </c>
      <c r="D740" s="62" t="s">
        <v>30</v>
      </c>
      <c r="E740" s="59" t="s">
        <v>234</v>
      </c>
      <c r="F740" s="27">
        <v>37</v>
      </c>
      <c r="G740" s="28">
        <f t="shared" si="162"/>
        <v>185</v>
      </c>
      <c r="H740" s="26"/>
      <c r="I740" s="26"/>
      <c r="J740" s="26"/>
      <c r="K740" s="29"/>
      <c r="L740" s="29"/>
      <c r="M740" s="30" t="str">
        <f t="shared" ca="1" si="163"/>
        <v/>
      </c>
      <c r="N740" s="46"/>
      <c r="O740" s="47"/>
    </row>
    <row r="741" spans="1:15" ht="15" customHeight="1">
      <c r="A741" s="69">
        <v>46231</v>
      </c>
      <c r="B741" s="32">
        <f t="shared" si="164"/>
        <v>0.74999999999999956</v>
      </c>
      <c r="C741" s="33" t="s">
        <v>29</v>
      </c>
      <c r="D741" s="62" t="s">
        <v>30</v>
      </c>
      <c r="E741" s="62" t="s">
        <v>234</v>
      </c>
      <c r="F741" s="27">
        <v>33</v>
      </c>
      <c r="G741" s="34">
        <f t="shared" si="162"/>
        <v>165</v>
      </c>
      <c r="H741" s="33"/>
      <c r="I741" s="33"/>
      <c r="J741" s="33"/>
      <c r="K741" s="29"/>
      <c r="L741" s="29"/>
      <c r="M741" s="35" t="str">
        <f t="shared" ca="1" si="163"/>
        <v/>
      </c>
      <c r="N741" s="46"/>
      <c r="O741" s="47"/>
    </row>
    <row r="742" spans="1:15" ht="15" customHeight="1">
      <c r="A742" s="68">
        <v>46231</v>
      </c>
      <c r="B742" s="25">
        <f t="shared" si="164"/>
        <v>0.79166666666666619</v>
      </c>
      <c r="C742" s="33" t="s">
        <v>29</v>
      </c>
      <c r="D742" s="62" t="s">
        <v>30</v>
      </c>
      <c r="E742" s="59" t="s">
        <v>234</v>
      </c>
      <c r="F742" s="27">
        <v>0</v>
      </c>
      <c r="G742" s="28">
        <f t="shared" si="162"/>
        <v>0</v>
      </c>
      <c r="H742" s="26"/>
      <c r="I742" s="26"/>
      <c r="J742" s="26"/>
      <c r="K742" s="29"/>
      <c r="L742" s="29"/>
      <c r="M742" s="30" t="str">
        <f t="shared" ca="1" si="163"/>
        <v/>
      </c>
      <c r="N742" s="46"/>
      <c r="O742" s="47"/>
    </row>
    <row r="743" spans="1:15" ht="15.75" customHeight="1">
      <c r="A743" s="119" t="s">
        <v>236</v>
      </c>
      <c r="B743" s="120"/>
      <c r="C743" s="120"/>
      <c r="D743" s="120"/>
      <c r="E743" s="121">
        <f>SUM(E731:E742)</f>
        <v>0</v>
      </c>
      <c r="F743" s="36">
        <f>SUM(F731:F742)</f>
        <v>413</v>
      </c>
      <c r="G743" s="90">
        <f>SUM(G731:G742)</f>
        <v>2040</v>
      </c>
      <c r="H743" s="37"/>
      <c r="I743" s="37"/>
      <c r="J743" s="37"/>
      <c r="K743" s="37"/>
      <c r="L743" s="37"/>
      <c r="M743" s="38">
        <f ca="1">IFERROR(SUM(M731:M742),"")</f>
        <v>0</v>
      </c>
      <c r="N743" s="36" t="s">
        <v>237</v>
      </c>
      <c r="O743" s="39">
        <v>1888710</v>
      </c>
    </row>
    <row r="744" spans="1:15" ht="15" customHeight="1">
      <c r="A744" s="68">
        <v>46231</v>
      </c>
      <c r="B744" s="25">
        <v>0.83333333333333304</v>
      </c>
      <c r="C744" s="26" t="s">
        <v>21</v>
      </c>
      <c r="D744" s="59" t="s">
        <v>30</v>
      </c>
      <c r="E744" s="59" t="s">
        <v>234</v>
      </c>
      <c r="F744" s="27">
        <v>30</v>
      </c>
      <c r="G744" s="28">
        <f t="shared" ref="G744:G755" si="165">IF(F744="","",IF(E744="PC 17",F744*4.2,IF(E744="PC 19",F744*5,"")))</f>
        <v>150</v>
      </c>
      <c r="H744" s="26" t="s">
        <v>19</v>
      </c>
      <c r="I744" s="26" t="s">
        <v>23</v>
      </c>
      <c r="J744" s="26" t="s">
        <v>50</v>
      </c>
      <c r="K744" s="29">
        <v>0.875</v>
      </c>
      <c r="L744" s="29">
        <v>0.95625000000000004</v>
      </c>
      <c r="M744" s="30">
        <f t="shared" ref="M744:M755" ca="1" si="166">IFERROR(IF(K744="","",IF(L744="",MOD(NOW()-K744,1),IF(L744&gt;=K744,L744-K744,L744+1-K744))),"")</f>
        <v>8.1250000000000044E-2</v>
      </c>
      <c r="N744" s="46" t="s">
        <v>273</v>
      </c>
      <c r="O744" s="47"/>
    </row>
    <row r="745" spans="1:15" ht="15" customHeight="1">
      <c r="A745" s="69">
        <v>46231</v>
      </c>
      <c r="B745" s="32">
        <f t="shared" ref="B745:B755" si="167">B744+TIME(0,60,0)</f>
        <v>0.87499999999999967</v>
      </c>
      <c r="C745" s="26" t="s">
        <v>21</v>
      </c>
      <c r="D745" s="59" t="s">
        <v>30</v>
      </c>
      <c r="E745" s="59" t="s">
        <v>234</v>
      </c>
      <c r="F745" s="27">
        <v>14</v>
      </c>
      <c r="G745" s="34">
        <f t="shared" si="165"/>
        <v>70</v>
      </c>
      <c r="H745" s="33"/>
      <c r="I745" s="33"/>
      <c r="J745" s="33"/>
      <c r="K745" s="29"/>
      <c r="L745" s="29"/>
      <c r="M745" s="35" t="str">
        <f t="shared" ca="1" si="166"/>
        <v/>
      </c>
      <c r="N745" s="46"/>
      <c r="O745" s="47"/>
    </row>
    <row r="746" spans="1:15" ht="15" customHeight="1">
      <c r="A746" s="68">
        <v>46231</v>
      </c>
      <c r="B746" s="25">
        <f t="shared" si="167"/>
        <v>0.9166666666666663</v>
      </c>
      <c r="C746" s="26" t="s">
        <v>21</v>
      </c>
      <c r="D746" s="59" t="s">
        <v>30</v>
      </c>
      <c r="E746" s="59" t="s">
        <v>234</v>
      </c>
      <c r="F746" s="27">
        <v>0</v>
      </c>
      <c r="G746" s="28">
        <f t="shared" si="165"/>
        <v>0</v>
      </c>
      <c r="H746" s="26"/>
      <c r="I746" s="26"/>
      <c r="J746" s="26"/>
      <c r="K746" s="29"/>
      <c r="L746" s="29"/>
      <c r="M746" s="30" t="str">
        <f t="shared" ca="1" si="166"/>
        <v/>
      </c>
      <c r="N746" s="46"/>
      <c r="O746" s="47"/>
    </row>
    <row r="747" spans="1:15" ht="15" customHeight="1">
      <c r="A747" s="69">
        <v>46231</v>
      </c>
      <c r="B747" s="32">
        <f t="shared" si="167"/>
        <v>0.95833333333333293</v>
      </c>
      <c r="C747" s="26" t="s">
        <v>21</v>
      </c>
      <c r="D747" s="59" t="s">
        <v>30</v>
      </c>
      <c r="E747" s="59" t="s">
        <v>234</v>
      </c>
      <c r="F747" s="27">
        <v>0</v>
      </c>
      <c r="G747" s="34">
        <f t="shared" si="165"/>
        <v>0</v>
      </c>
      <c r="H747" s="33"/>
      <c r="I747" s="33"/>
      <c r="J747" s="33"/>
      <c r="K747" s="29"/>
      <c r="L747" s="29"/>
      <c r="M747" s="35" t="str">
        <f t="shared" ca="1" si="166"/>
        <v/>
      </c>
      <c r="N747" s="46"/>
      <c r="O747" s="47"/>
    </row>
    <row r="748" spans="1:15" ht="15" customHeight="1">
      <c r="A748" s="68">
        <v>46231</v>
      </c>
      <c r="B748" s="25">
        <f t="shared" si="167"/>
        <v>0.99999999999999956</v>
      </c>
      <c r="C748" s="26" t="s">
        <v>21</v>
      </c>
      <c r="D748" s="59" t="s">
        <v>30</v>
      </c>
      <c r="E748" s="59" t="s">
        <v>234</v>
      </c>
      <c r="F748" s="27">
        <v>16</v>
      </c>
      <c r="G748" s="28">
        <f t="shared" si="165"/>
        <v>80</v>
      </c>
      <c r="H748" s="26"/>
      <c r="I748" s="26"/>
      <c r="J748" s="26"/>
      <c r="K748" s="29"/>
      <c r="L748" s="29"/>
      <c r="M748" s="30" t="str">
        <f t="shared" ca="1" si="166"/>
        <v/>
      </c>
      <c r="N748" s="46"/>
      <c r="O748" s="47"/>
    </row>
    <row r="749" spans="1:15" ht="15" customHeight="1">
      <c r="A749" s="69">
        <v>46231</v>
      </c>
      <c r="B749" s="32">
        <f t="shared" si="167"/>
        <v>1.0416666666666663</v>
      </c>
      <c r="C749" s="26" t="s">
        <v>21</v>
      </c>
      <c r="D749" s="59" t="s">
        <v>30</v>
      </c>
      <c r="E749" s="59" t="s">
        <v>234</v>
      </c>
      <c r="F749" s="27">
        <v>25</v>
      </c>
      <c r="G749" s="34">
        <f t="shared" si="165"/>
        <v>125</v>
      </c>
      <c r="H749" s="33"/>
      <c r="I749" s="33"/>
      <c r="J749" s="33"/>
      <c r="K749" s="29"/>
      <c r="L749" s="29"/>
      <c r="M749" s="35" t="str">
        <f t="shared" ca="1" si="166"/>
        <v/>
      </c>
      <c r="N749" s="46"/>
      <c r="O749" s="47"/>
    </row>
    <row r="750" spans="1:15" ht="15" customHeight="1">
      <c r="A750" s="68">
        <v>46231</v>
      </c>
      <c r="B750" s="25">
        <f t="shared" si="167"/>
        <v>1.083333333333333</v>
      </c>
      <c r="C750" s="26" t="s">
        <v>21</v>
      </c>
      <c r="D750" s="59" t="s">
        <v>30</v>
      </c>
      <c r="E750" s="59" t="s">
        <v>234</v>
      </c>
      <c r="F750" s="27">
        <v>30</v>
      </c>
      <c r="G750" s="28">
        <f t="shared" si="165"/>
        <v>150</v>
      </c>
      <c r="H750" s="26"/>
      <c r="I750" s="26"/>
      <c r="J750" s="26"/>
      <c r="K750" s="29"/>
      <c r="L750" s="29"/>
      <c r="M750" s="30" t="str">
        <f t="shared" ca="1" si="166"/>
        <v/>
      </c>
      <c r="N750" s="46"/>
      <c r="O750" s="47"/>
    </row>
    <row r="751" spans="1:15" ht="15" customHeight="1">
      <c r="A751" s="69">
        <v>46231</v>
      </c>
      <c r="B751" s="32">
        <f t="shared" si="167"/>
        <v>1.1249999999999998</v>
      </c>
      <c r="C751" s="26" t="s">
        <v>21</v>
      </c>
      <c r="D751" s="59" t="s">
        <v>30</v>
      </c>
      <c r="E751" s="59" t="s">
        <v>234</v>
      </c>
      <c r="F751" s="27">
        <v>25</v>
      </c>
      <c r="G751" s="34">
        <f t="shared" si="165"/>
        <v>125</v>
      </c>
      <c r="H751" s="33"/>
      <c r="I751" s="33"/>
      <c r="J751" s="33"/>
      <c r="K751" s="29"/>
      <c r="L751" s="29"/>
      <c r="M751" s="35" t="str">
        <f t="shared" ca="1" si="166"/>
        <v/>
      </c>
      <c r="N751" s="46"/>
      <c r="O751" s="47"/>
    </row>
    <row r="752" spans="1:15" ht="15" customHeight="1">
      <c r="A752" s="68">
        <v>46231</v>
      </c>
      <c r="B752" s="25">
        <f t="shared" si="167"/>
        <v>1.1666666666666665</v>
      </c>
      <c r="C752" s="26" t="s">
        <v>21</v>
      </c>
      <c r="D752" s="59" t="s">
        <v>30</v>
      </c>
      <c r="E752" s="59" t="s">
        <v>234</v>
      </c>
      <c r="F752" s="27">
        <v>30</v>
      </c>
      <c r="G752" s="28">
        <f t="shared" si="165"/>
        <v>150</v>
      </c>
      <c r="H752" s="26"/>
      <c r="I752" s="26"/>
      <c r="J752" s="26"/>
      <c r="K752" s="29"/>
      <c r="L752" s="29"/>
      <c r="M752" s="30" t="str">
        <f t="shared" ca="1" si="166"/>
        <v/>
      </c>
      <c r="N752" s="46"/>
      <c r="O752" s="47"/>
    </row>
    <row r="753" spans="1:15" ht="15" customHeight="1">
      <c r="A753" s="69">
        <v>46231</v>
      </c>
      <c r="B753" s="32">
        <f t="shared" si="167"/>
        <v>1.2083333333333333</v>
      </c>
      <c r="C753" s="26" t="s">
        <v>21</v>
      </c>
      <c r="D753" s="59" t="s">
        <v>30</v>
      </c>
      <c r="E753" s="59" t="s">
        <v>234</v>
      </c>
      <c r="F753" s="27">
        <v>30</v>
      </c>
      <c r="G753" s="34">
        <f t="shared" si="165"/>
        <v>150</v>
      </c>
      <c r="H753" s="33"/>
      <c r="I753" s="33"/>
      <c r="J753" s="33"/>
      <c r="K753" s="29"/>
      <c r="L753" s="29"/>
      <c r="M753" s="35" t="str">
        <f t="shared" ca="1" si="166"/>
        <v/>
      </c>
      <c r="N753" s="46"/>
      <c r="O753" s="47"/>
    </row>
    <row r="754" spans="1:15" ht="15" customHeight="1">
      <c r="A754" s="68">
        <v>46231</v>
      </c>
      <c r="B754" s="25">
        <f t="shared" si="167"/>
        <v>1.25</v>
      </c>
      <c r="C754" s="26" t="s">
        <v>21</v>
      </c>
      <c r="D754" s="59" t="s">
        <v>30</v>
      </c>
      <c r="E754" s="59" t="s">
        <v>234</v>
      </c>
      <c r="F754" s="27">
        <v>30</v>
      </c>
      <c r="G754" s="28">
        <f t="shared" si="165"/>
        <v>150</v>
      </c>
      <c r="H754" s="26"/>
      <c r="I754" s="26"/>
      <c r="J754" s="26"/>
      <c r="K754" s="29"/>
      <c r="L754" s="29"/>
      <c r="M754" s="30" t="str">
        <f t="shared" ca="1" si="166"/>
        <v/>
      </c>
      <c r="N754" s="46"/>
      <c r="O754" s="47"/>
    </row>
    <row r="755" spans="1:15" ht="15" customHeight="1">
      <c r="A755" s="69">
        <v>46231</v>
      </c>
      <c r="B755" s="32">
        <f t="shared" si="167"/>
        <v>1.2916666666666667</v>
      </c>
      <c r="C755" s="26" t="s">
        <v>21</v>
      </c>
      <c r="D755" s="59" t="s">
        <v>30</v>
      </c>
      <c r="E755" s="59" t="s">
        <v>234</v>
      </c>
      <c r="F755" s="27">
        <v>18</v>
      </c>
      <c r="G755" s="34">
        <f t="shared" si="165"/>
        <v>90</v>
      </c>
      <c r="H755" s="33"/>
      <c r="I755" s="33"/>
      <c r="J755" s="33"/>
      <c r="K755" s="29"/>
      <c r="L755" s="29"/>
      <c r="M755" s="35" t="str">
        <f t="shared" ca="1" si="166"/>
        <v/>
      </c>
      <c r="N755" s="46"/>
      <c r="O755" s="47"/>
    </row>
    <row r="756" spans="1:15" ht="15.75" customHeight="1">
      <c r="A756" s="119" t="s">
        <v>238</v>
      </c>
      <c r="B756" s="120"/>
      <c r="C756" s="120"/>
      <c r="D756" s="120"/>
      <c r="E756" s="121">
        <f>SUM(E744:E755)</f>
        <v>0</v>
      </c>
      <c r="F756" s="36">
        <f>SUM(F744:F755)</f>
        <v>248</v>
      </c>
      <c r="G756" s="36">
        <f>SUM(G744:G755)</f>
        <v>1240</v>
      </c>
      <c r="H756" s="37"/>
      <c r="I756" s="37"/>
      <c r="J756" s="37"/>
      <c r="K756" s="37"/>
      <c r="L756" s="37"/>
      <c r="M756" s="38">
        <f ca="1">IFERROR(SUM(M744:M755),"")</f>
        <v>8.1250000000000044E-2</v>
      </c>
      <c r="N756" s="36" t="s">
        <v>237</v>
      </c>
      <c r="O756" s="39">
        <v>1649510</v>
      </c>
    </row>
    <row r="757" spans="1:15" ht="18" customHeight="1">
      <c r="A757" s="122" t="s">
        <v>239</v>
      </c>
      <c r="B757" s="123"/>
      <c r="C757" s="123"/>
      <c r="D757" s="123"/>
      <c r="E757" s="124">
        <f>E743+E756</f>
        <v>0</v>
      </c>
      <c r="F757" s="40">
        <f>F743+F756</f>
        <v>661</v>
      </c>
      <c r="G757" s="40">
        <f>G743+G756</f>
        <v>3280</v>
      </c>
      <c r="H757" s="41"/>
      <c r="I757" s="41"/>
      <c r="J757" s="41"/>
      <c r="K757" s="41"/>
      <c r="L757" s="41"/>
      <c r="M757" s="42">
        <f ca="1">IFERROR(M743+M756,"")</f>
        <v>8.1250000000000044E-2</v>
      </c>
      <c r="N757" s="40" t="s">
        <v>240</v>
      </c>
      <c r="O757" s="48">
        <f>IFERROR(O743+O756,"")</f>
        <v>3538220</v>
      </c>
    </row>
    <row r="758" spans="1:15" ht="15" customHeight="1">
      <c r="A758" s="68">
        <v>46232</v>
      </c>
      <c r="B758" s="25">
        <v>0.33333333333333298</v>
      </c>
      <c r="C758" s="26" t="s">
        <v>29</v>
      </c>
      <c r="D758" s="59" t="s">
        <v>30</v>
      </c>
      <c r="E758" s="59" t="s">
        <v>234</v>
      </c>
      <c r="F758" s="27">
        <v>6</v>
      </c>
      <c r="G758" s="28">
        <f t="shared" ref="G758:G769" si="168">IF(F758="","",IF(E758="PC 17",F758*4.2,IF(E758="PC 19",F758*5,"")))</f>
        <v>30</v>
      </c>
      <c r="H758" s="26" t="s">
        <v>18</v>
      </c>
      <c r="I758" s="26" t="s">
        <v>23</v>
      </c>
      <c r="J758" s="26" t="s">
        <v>167</v>
      </c>
      <c r="K758" s="29">
        <v>0.29166666666666669</v>
      </c>
      <c r="L758" s="29">
        <v>0.32291666666666669</v>
      </c>
      <c r="M758" s="30">
        <f t="shared" ref="M758:M769" ca="1" si="169">IFERROR(IF(K758="","",IF(L758="",MOD(NOW()-K758,1),IF(L758&gt;=K758,L758-K758,L758+1-K758))),"")</f>
        <v>3.125E-2</v>
      </c>
      <c r="N758" s="46" t="s">
        <v>274</v>
      </c>
      <c r="O758" s="47"/>
    </row>
    <row r="759" spans="1:15" ht="15" customHeight="1">
      <c r="A759" s="69">
        <v>46232</v>
      </c>
      <c r="B759" s="32">
        <f t="shared" ref="B759:B769" si="170">B758+TIME(0,60,0)</f>
        <v>0.37499999999999967</v>
      </c>
      <c r="C759" s="26" t="s">
        <v>29</v>
      </c>
      <c r="D759" s="59" t="s">
        <v>30</v>
      </c>
      <c r="E759" s="62" t="s">
        <v>234</v>
      </c>
      <c r="F759" s="27">
        <v>40</v>
      </c>
      <c r="G759" s="34">
        <f t="shared" si="168"/>
        <v>200</v>
      </c>
      <c r="H759" s="33" t="s">
        <v>20</v>
      </c>
      <c r="I759" s="33" t="s">
        <v>23</v>
      </c>
      <c r="J759" s="33" t="s">
        <v>200</v>
      </c>
      <c r="K759" s="29">
        <v>0.75138888888888888</v>
      </c>
      <c r="L759" s="29">
        <v>0.79166666666666663</v>
      </c>
      <c r="M759" s="35">
        <f t="shared" ca="1" si="169"/>
        <v>4.0277777777777746E-2</v>
      </c>
      <c r="N759" s="46" t="s">
        <v>275</v>
      </c>
      <c r="O759" s="47"/>
    </row>
    <row r="760" spans="1:15" ht="15" customHeight="1">
      <c r="A760" s="68">
        <v>46232</v>
      </c>
      <c r="B760" s="25">
        <f t="shared" si="170"/>
        <v>0.41666666666666635</v>
      </c>
      <c r="C760" s="26" t="s">
        <v>29</v>
      </c>
      <c r="D760" s="59" t="s">
        <v>30</v>
      </c>
      <c r="E760" s="59" t="s">
        <v>234</v>
      </c>
      <c r="F760" s="27">
        <v>34</v>
      </c>
      <c r="G760" s="28">
        <f t="shared" si="168"/>
        <v>170</v>
      </c>
      <c r="H760" s="26"/>
      <c r="I760" s="26"/>
      <c r="J760" s="26"/>
      <c r="K760" s="29"/>
      <c r="L760" s="29"/>
      <c r="M760" s="30" t="str">
        <f t="shared" ca="1" si="169"/>
        <v/>
      </c>
      <c r="N760" s="46"/>
      <c r="O760" s="47"/>
    </row>
    <row r="761" spans="1:15" ht="15" customHeight="1">
      <c r="A761" s="69">
        <v>46232</v>
      </c>
      <c r="B761" s="32">
        <f t="shared" si="170"/>
        <v>0.45833333333333304</v>
      </c>
      <c r="C761" s="26" t="s">
        <v>29</v>
      </c>
      <c r="D761" s="59" t="s">
        <v>30</v>
      </c>
      <c r="E761" s="62" t="s">
        <v>234</v>
      </c>
      <c r="F761" s="27">
        <v>18</v>
      </c>
      <c r="G761" s="34">
        <f t="shared" si="168"/>
        <v>90</v>
      </c>
      <c r="H761" s="33"/>
      <c r="I761" s="33"/>
      <c r="J761" s="33"/>
      <c r="K761" s="29"/>
      <c r="L761" s="29"/>
      <c r="M761" s="35" t="str">
        <f t="shared" ca="1" si="169"/>
        <v/>
      </c>
      <c r="N761" s="46"/>
      <c r="O761" s="47"/>
    </row>
    <row r="762" spans="1:15" ht="15" customHeight="1">
      <c r="A762" s="68">
        <v>46232</v>
      </c>
      <c r="B762" s="25">
        <f t="shared" si="170"/>
        <v>0.49999999999999972</v>
      </c>
      <c r="C762" s="26" t="s">
        <v>29</v>
      </c>
      <c r="D762" s="59" t="s">
        <v>30</v>
      </c>
      <c r="E762" s="59" t="s">
        <v>234</v>
      </c>
      <c r="F762" s="27">
        <v>11</v>
      </c>
      <c r="G762" s="28">
        <f t="shared" si="168"/>
        <v>55</v>
      </c>
      <c r="H762" s="26"/>
      <c r="I762" s="26"/>
      <c r="J762" s="26"/>
      <c r="K762" s="29"/>
      <c r="L762" s="29"/>
      <c r="M762" s="30" t="str">
        <f t="shared" ca="1" si="169"/>
        <v/>
      </c>
      <c r="N762" s="46"/>
      <c r="O762" s="47"/>
    </row>
    <row r="763" spans="1:15" ht="15" customHeight="1">
      <c r="A763" s="69">
        <v>46232</v>
      </c>
      <c r="B763" s="32">
        <f t="shared" si="170"/>
        <v>0.54166666666666641</v>
      </c>
      <c r="C763" s="26" t="s">
        <v>29</v>
      </c>
      <c r="D763" s="59" t="s">
        <v>30</v>
      </c>
      <c r="E763" s="62" t="s">
        <v>234</v>
      </c>
      <c r="F763" s="27">
        <v>45</v>
      </c>
      <c r="G763" s="34">
        <f t="shared" si="168"/>
        <v>225</v>
      </c>
      <c r="H763" s="33"/>
      <c r="I763" s="33"/>
      <c r="J763" s="33"/>
      <c r="K763" s="29"/>
      <c r="L763" s="29"/>
      <c r="M763" s="35" t="str">
        <f t="shared" ca="1" si="169"/>
        <v/>
      </c>
      <c r="N763" s="46"/>
      <c r="O763" s="47"/>
    </row>
    <row r="764" spans="1:15" ht="15" customHeight="1">
      <c r="A764" s="68">
        <v>46232</v>
      </c>
      <c r="B764" s="25">
        <f t="shared" si="170"/>
        <v>0.58333333333333304</v>
      </c>
      <c r="C764" s="26" t="s">
        <v>29</v>
      </c>
      <c r="D764" s="59" t="s">
        <v>30</v>
      </c>
      <c r="E764" s="59" t="s">
        <v>234</v>
      </c>
      <c r="F764" s="27">
        <v>24</v>
      </c>
      <c r="G764" s="28">
        <f t="shared" si="168"/>
        <v>120</v>
      </c>
      <c r="H764" s="26"/>
      <c r="I764" s="26"/>
      <c r="J764" s="26"/>
      <c r="K764" s="29"/>
      <c r="L764" s="29"/>
      <c r="M764" s="30" t="str">
        <f t="shared" ca="1" si="169"/>
        <v/>
      </c>
      <c r="N764" s="46"/>
      <c r="O764" s="47"/>
    </row>
    <row r="765" spans="1:15" ht="15" customHeight="1">
      <c r="A765" s="69">
        <v>46232</v>
      </c>
      <c r="B765" s="32">
        <f t="shared" si="170"/>
        <v>0.62499999999999967</v>
      </c>
      <c r="C765" s="26" t="s">
        <v>29</v>
      </c>
      <c r="D765" s="59" t="s">
        <v>30</v>
      </c>
      <c r="E765" s="62" t="s">
        <v>234</v>
      </c>
      <c r="F765" s="27">
        <v>44</v>
      </c>
      <c r="G765" s="34">
        <f t="shared" si="168"/>
        <v>220</v>
      </c>
      <c r="H765" s="33"/>
      <c r="I765" s="33"/>
      <c r="J765" s="33"/>
      <c r="K765" s="29"/>
      <c r="L765" s="29"/>
      <c r="M765" s="35" t="str">
        <f t="shared" ca="1" si="169"/>
        <v/>
      </c>
      <c r="N765" s="46"/>
      <c r="O765" s="47"/>
    </row>
    <row r="766" spans="1:15" ht="15" customHeight="1">
      <c r="A766" s="68">
        <v>46232</v>
      </c>
      <c r="B766" s="25">
        <f t="shared" si="170"/>
        <v>0.6666666666666663</v>
      </c>
      <c r="C766" s="26" t="s">
        <v>29</v>
      </c>
      <c r="D766" s="59" t="s">
        <v>30</v>
      </c>
      <c r="E766" s="59" t="s">
        <v>234</v>
      </c>
      <c r="F766" s="27">
        <v>45</v>
      </c>
      <c r="G766" s="28">
        <f t="shared" si="168"/>
        <v>225</v>
      </c>
      <c r="H766" s="26"/>
      <c r="I766" s="26"/>
      <c r="J766" s="26"/>
      <c r="K766" s="29"/>
      <c r="L766" s="29"/>
      <c r="M766" s="30" t="str">
        <f t="shared" ca="1" si="169"/>
        <v/>
      </c>
      <c r="N766" s="46"/>
      <c r="O766" s="47"/>
    </row>
    <row r="767" spans="1:15" ht="15" customHeight="1">
      <c r="A767" s="69">
        <v>46232</v>
      </c>
      <c r="B767" s="32">
        <f t="shared" si="170"/>
        <v>0.70833333333333293</v>
      </c>
      <c r="C767" s="26" t="s">
        <v>29</v>
      </c>
      <c r="D767" s="59" t="s">
        <v>30</v>
      </c>
      <c r="E767" s="62" t="s">
        <v>234</v>
      </c>
      <c r="F767" s="27">
        <v>38</v>
      </c>
      <c r="G767" s="34">
        <f t="shared" si="168"/>
        <v>190</v>
      </c>
      <c r="H767" s="33"/>
      <c r="I767" s="33"/>
      <c r="J767" s="33"/>
      <c r="K767" s="29"/>
      <c r="L767" s="29"/>
      <c r="M767" s="35" t="str">
        <f t="shared" ca="1" si="169"/>
        <v/>
      </c>
      <c r="N767" s="46"/>
      <c r="O767" s="47"/>
    </row>
    <row r="768" spans="1:15" ht="15" customHeight="1">
      <c r="A768" s="68">
        <v>46232</v>
      </c>
      <c r="B768" s="25">
        <f t="shared" si="170"/>
        <v>0.74999999999999956</v>
      </c>
      <c r="C768" s="26" t="s">
        <v>29</v>
      </c>
      <c r="D768" s="59" t="s">
        <v>30</v>
      </c>
      <c r="E768" s="59" t="s">
        <v>234</v>
      </c>
      <c r="F768" s="27">
        <v>45</v>
      </c>
      <c r="G768" s="28">
        <f t="shared" si="168"/>
        <v>225</v>
      </c>
      <c r="H768" s="26"/>
      <c r="I768" s="26"/>
      <c r="J768" s="26"/>
      <c r="K768" s="29"/>
      <c r="L768" s="29"/>
      <c r="M768" s="30" t="str">
        <f t="shared" ca="1" si="169"/>
        <v/>
      </c>
      <c r="N768" s="46"/>
      <c r="O768" s="47"/>
    </row>
    <row r="769" spans="1:15" ht="15" customHeight="1">
      <c r="A769" s="69">
        <v>46232</v>
      </c>
      <c r="B769" s="32">
        <f t="shared" si="170"/>
        <v>0.79166666666666619</v>
      </c>
      <c r="C769" s="26" t="s">
        <v>29</v>
      </c>
      <c r="D769" s="59" t="s">
        <v>30</v>
      </c>
      <c r="E769" s="62" t="s">
        <v>234</v>
      </c>
      <c r="F769" s="27">
        <v>0</v>
      </c>
      <c r="G769" s="34">
        <f t="shared" si="168"/>
        <v>0</v>
      </c>
      <c r="H769" s="33"/>
      <c r="I769" s="33"/>
      <c r="J769" s="33"/>
      <c r="K769" s="29"/>
      <c r="L769" s="29"/>
      <c r="M769" s="35" t="str">
        <f t="shared" ca="1" si="169"/>
        <v/>
      </c>
      <c r="N769" s="46"/>
      <c r="O769" s="47"/>
    </row>
    <row r="770" spans="1:15" ht="15.75" customHeight="1">
      <c r="A770" s="119" t="s">
        <v>236</v>
      </c>
      <c r="B770" s="120"/>
      <c r="C770" s="120"/>
      <c r="D770" s="120"/>
      <c r="E770" s="121">
        <f>SUM(E758:E769)</f>
        <v>0</v>
      </c>
      <c r="F770" s="36">
        <f>SUM(F758:F769)</f>
        <v>350</v>
      </c>
      <c r="G770" s="36">
        <f>SUM(G758:G769)</f>
        <v>1750</v>
      </c>
      <c r="H770" s="37"/>
      <c r="I770" s="37"/>
      <c r="J770" s="37"/>
      <c r="K770" s="37"/>
      <c r="L770" s="37"/>
      <c r="M770" s="38">
        <f ca="1">IFERROR(SUM(M758:M769),"")</f>
        <v>7.1527777777777746E-2</v>
      </c>
      <c r="N770" s="36" t="s">
        <v>237</v>
      </c>
      <c r="O770" s="39">
        <v>2135900</v>
      </c>
    </row>
    <row r="771" spans="1:15" ht="15" customHeight="1">
      <c r="A771" s="69">
        <v>46232</v>
      </c>
      <c r="B771" s="32">
        <v>0.83333333333333304</v>
      </c>
      <c r="C771" s="33" t="s">
        <v>21</v>
      </c>
      <c r="D771" s="62" t="s">
        <v>22</v>
      </c>
      <c r="E771" s="62" t="s">
        <v>234</v>
      </c>
      <c r="F771" s="27">
        <v>30</v>
      </c>
      <c r="G771" s="34">
        <f t="shared" ref="G771:G782" si="171">IF(F771="","",IF(E771="PC 17",F771*4.2,IF(E771="PC 19",F771*5,"")))</f>
        <v>150</v>
      </c>
      <c r="H771" s="33" t="s">
        <v>18</v>
      </c>
      <c r="I771" s="33" t="s">
        <v>23</v>
      </c>
      <c r="J771" s="33" t="s">
        <v>164</v>
      </c>
      <c r="K771" s="29">
        <v>7.9166666666666663E-2</v>
      </c>
      <c r="L771" s="29">
        <v>9.8611111111111108E-2</v>
      </c>
      <c r="M771" s="35">
        <f t="shared" ref="M771:M782" ca="1" si="172">IFERROR(IF(K771="","",IF(L771="",MOD(NOW()-K771,1),IF(L771&gt;=K771,L771-K771,L771+1-K771))),"")</f>
        <v>1.9444444444444445E-2</v>
      </c>
      <c r="N771" s="46" t="s">
        <v>276</v>
      </c>
      <c r="O771" s="47"/>
    </row>
    <row r="772" spans="1:15" ht="15" customHeight="1">
      <c r="A772" s="68">
        <v>46232</v>
      </c>
      <c r="B772" s="25">
        <f t="shared" ref="B772:B782" si="173">B771+TIME(0,60,0)</f>
        <v>0.87499999999999967</v>
      </c>
      <c r="C772" s="33" t="s">
        <v>21</v>
      </c>
      <c r="D772" s="62" t="s">
        <v>22</v>
      </c>
      <c r="E772" s="62" t="s">
        <v>234</v>
      </c>
      <c r="F772" s="27">
        <v>45</v>
      </c>
      <c r="G772" s="28">
        <f t="shared" si="171"/>
        <v>225</v>
      </c>
      <c r="H772" s="26"/>
      <c r="I772" s="26"/>
      <c r="J772" s="26"/>
      <c r="K772" s="29"/>
      <c r="L772" s="29"/>
      <c r="M772" s="30" t="str">
        <f t="shared" ca="1" si="172"/>
        <v/>
      </c>
      <c r="N772" s="46"/>
      <c r="O772" s="47"/>
    </row>
    <row r="773" spans="1:15" ht="15" customHeight="1">
      <c r="A773" s="69">
        <v>46232</v>
      </c>
      <c r="B773" s="32">
        <f t="shared" si="173"/>
        <v>0.9166666666666663</v>
      </c>
      <c r="C773" s="33" t="s">
        <v>21</v>
      </c>
      <c r="D773" s="62" t="s">
        <v>22</v>
      </c>
      <c r="E773" s="62" t="s">
        <v>234</v>
      </c>
      <c r="F773" s="27">
        <v>5</v>
      </c>
      <c r="G773" s="34">
        <f>IF(F773="","",IF(E773="PC 17",F773*4.2,IF(E773="PC 19",F773*5,"")))</f>
        <v>25</v>
      </c>
      <c r="H773" s="33"/>
      <c r="I773" s="33"/>
      <c r="J773" s="33"/>
      <c r="K773" s="29"/>
      <c r="L773" s="29"/>
      <c r="M773" s="35" t="str">
        <f t="shared" ca="1" si="172"/>
        <v/>
      </c>
      <c r="N773" s="46"/>
      <c r="O773" s="47"/>
    </row>
    <row r="774" spans="1:15" ht="15" customHeight="1">
      <c r="A774" s="68">
        <v>46232</v>
      </c>
      <c r="B774" s="25">
        <f t="shared" si="173"/>
        <v>0.95833333333333293</v>
      </c>
      <c r="C774" s="33" t="s">
        <v>21</v>
      </c>
      <c r="D774" s="62" t="s">
        <v>22</v>
      </c>
      <c r="E774" s="62" t="s">
        <v>234</v>
      </c>
      <c r="F774" s="27">
        <v>45</v>
      </c>
      <c r="G774" s="28">
        <f>IF(F774="","",IF(E774="PC 17",F774*4.2,IF(E774="PC 19",F774*5,"")))</f>
        <v>225</v>
      </c>
      <c r="H774" s="26"/>
      <c r="I774" s="26"/>
      <c r="J774" s="26"/>
      <c r="K774" s="29"/>
      <c r="L774" s="29"/>
      <c r="M774" s="30" t="str">
        <f t="shared" ca="1" si="172"/>
        <v/>
      </c>
      <c r="N774" s="46"/>
      <c r="O774" s="47"/>
    </row>
    <row r="775" spans="1:15" ht="15" customHeight="1">
      <c r="A775" s="69">
        <v>46232</v>
      </c>
      <c r="B775" s="32">
        <f t="shared" si="173"/>
        <v>0.99999999999999956</v>
      </c>
      <c r="C775" s="33" t="s">
        <v>21</v>
      </c>
      <c r="D775" s="62" t="s">
        <v>30</v>
      </c>
      <c r="E775" s="62" t="s">
        <v>234</v>
      </c>
      <c r="F775" s="27">
        <v>25</v>
      </c>
      <c r="G775" s="34">
        <f>IF(F775="","",IF(E775="PC 17",F775*4.2,IF(E775="PC 19",F775*5,"")))</f>
        <v>125</v>
      </c>
      <c r="H775" s="33"/>
      <c r="I775" s="33"/>
      <c r="J775" s="33"/>
      <c r="K775" s="29"/>
      <c r="L775" s="29"/>
      <c r="M775" s="35" t="str">
        <f t="shared" ca="1" si="172"/>
        <v/>
      </c>
      <c r="N775" s="46"/>
      <c r="O775" s="47"/>
    </row>
    <row r="776" spans="1:15" ht="15" customHeight="1">
      <c r="A776" s="68">
        <v>46232</v>
      </c>
      <c r="B776" s="25">
        <f t="shared" si="173"/>
        <v>1.0416666666666663</v>
      </c>
      <c r="C776" s="33" t="s">
        <v>21</v>
      </c>
      <c r="D776" s="62" t="s">
        <v>30</v>
      </c>
      <c r="E776" s="62" t="s">
        <v>234</v>
      </c>
      <c r="F776" s="27">
        <v>35</v>
      </c>
      <c r="G776" s="28">
        <f t="shared" si="171"/>
        <v>175</v>
      </c>
      <c r="H776" s="26"/>
      <c r="I776" s="26"/>
      <c r="J776" s="26"/>
      <c r="K776" s="29"/>
      <c r="L776" s="29"/>
      <c r="M776" s="30" t="str">
        <f t="shared" ca="1" si="172"/>
        <v/>
      </c>
      <c r="N776" s="46"/>
      <c r="O776" s="47"/>
    </row>
    <row r="777" spans="1:15" ht="15" customHeight="1">
      <c r="A777" s="69">
        <v>46232</v>
      </c>
      <c r="B777" s="32">
        <f t="shared" si="173"/>
        <v>1.083333333333333</v>
      </c>
      <c r="C777" s="33" t="s">
        <v>21</v>
      </c>
      <c r="D777" s="62" t="s">
        <v>30</v>
      </c>
      <c r="E777" s="62" t="s">
        <v>234</v>
      </c>
      <c r="F777" s="27">
        <v>25</v>
      </c>
      <c r="G777" s="34">
        <f t="shared" si="171"/>
        <v>125</v>
      </c>
      <c r="H777" s="33"/>
      <c r="I777" s="33"/>
      <c r="J777" s="33"/>
      <c r="K777" s="29"/>
      <c r="L777" s="29"/>
      <c r="M777" s="35" t="str">
        <f t="shared" ca="1" si="172"/>
        <v/>
      </c>
      <c r="N777" s="46"/>
      <c r="O777" s="47"/>
    </row>
    <row r="778" spans="1:15" ht="15" customHeight="1">
      <c r="A778" s="68">
        <v>46232</v>
      </c>
      <c r="B778" s="25">
        <f t="shared" si="173"/>
        <v>1.1249999999999998</v>
      </c>
      <c r="C778" s="33" t="s">
        <v>21</v>
      </c>
      <c r="D778" s="62" t="s">
        <v>30</v>
      </c>
      <c r="E778" s="62" t="s">
        <v>234</v>
      </c>
      <c r="F778" s="27">
        <v>15</v>
      </c>
      <c r="G778" s="28">
        <f t="shared" si="171"/>
        <v>75</v>
      </c>
      <c r="H778" s="26"/>
      <c r="I778" s="26"/>
      <c r="J778" s="26"/>
      <c r="K778" s="29"/>
      <c r="L778" s="29"/>
      <c r="M778" s="30" t="str">
        <f t="shared" ca="1" si="172"/>
        <v/>
      </c>
      <c r="N778" s="46"/>
      <c r="O778" s="47"/>
    </row>
    <row r="779" spans="1:15" ht="15" customHeight="1">
      <c r="A779" s="69">
        <v>46232</v>
      </c>
      <c r="B779" s="32">
        <f t="shared" si="173"/>
        <v>1.1666666666666665</v>
      </c>
      <c r="C779" s="33" t="s">
        <v>21</v>
      </c>
      <c r="D779" s="62" t="s">
        <v>30</v>
      </c>
      <c r="E779" s="62" t="s">
        <v>234</v>
      </c>
      <c r="F779" s="27">
        <v>25</v>
      </c>
      <c r="G779" s="34">
        <f t="shared" si="171"/>
        <v>125</v>
      </c>
      <c r="H779" s="33"/>
      <c r="I779" s="33"/>
      <c r="J779" s="33"/>
      <c r="K779" s="29"/>
      <c r="L779" s="29"/>
      <c r="M779" s="35" t="str">
        <f t="shared" ca="1" si="172"/>
        <v/>
      </c>
      <c r="N779" s="46"/>
      <c r="O779" s="47"/>
    </row>
    <row r="780" spans="1:15" ht="15" customHeight="1">
      <c r="A780" s="68">
        <v>46232</v>
      </c>
      <c r="B780" s="25">
        <f t="shared" si="173"/>
        <v>1.2083333333333333</v>
      </c>
      <c r="C780" s="33" t="s">
        <v>21</v>
      </c>
      <c r="D780" s="62" t="s">
        <v>30</v>
      </c>
      <c r="E780" s="62" t="s">
        <v>234</v>
      </c>
      <c r="F780" s="27">
        <v>30</v>
      </c>
      <c r="G780" s="28">
        <f t="shared" si="171"/>
        <v>150</v>
      </c>
      <c r="H780" s="26"/>
      <c r="I780" s="26"/>
      <c r="J780" s="26"/>
      <c r="K780" s="29"/>
      <c r="L780" s="29"/>
      <c r="M780" s="30" t="str">
        <f t="shared" ca="1" si="172"/>
        <v/>
      </c>
      <c r="N780" s="46"/>
      <c r="O780" s="47"/>
    </row>
    <row r="781" spans="1:15" ht="15" customHeight="1">
      <c r="A781" s="69">
        <v>46232</v>
      </c>
      <c r="B781" s="32">
        <f t="shared" si="173"/>
        <v>1.25</v>
      </c>
      <c r="C781" s="33" t="s">
        <v>21</v>
      </c>
      <c r="D781" s="62" t="s">
        <v>30</v>
      </c>
      <c r="E781" s="62" t="s">
        <v>234</v>
      </c>
      <c r="F781" s="27">
        <v>15</v>
      </c>
      <c r="G781" s="34">
        <f t="shared" si="171"/>
        <v>75</v>
      </c>
      <c r="H781" s="33"/>
      <c r="I781" s="33"/>
      <c r="J781" s="33"/>
      <c r="K781" s="29"/>
      <c r="L781" s="29"/>
      <c r="M781" s="35" t="str">
        <f t="shared" ca="1" si="172"/>
        <v/>
      </c>
      <c r="N781" s="46"/>
      <c r="O781" s="47"/>
    </row>
    <row r="782" spans="1:15" ht="15" customHeight="1">
      <c r="A782" s="68">
        <v>46232</v>
      </c>
      <c r="B782" s="25">
        <f t="shared" si="173"/>
        <v>1.2916666666666667</v>
      </c>
      <c r="C782" s="33" t="s">
        <v>21</v>
      </c>
      <c r="D782" s="62" t="s">
        <v>30</v>
      </c>
      <c r="E782" s="62" t="s">
        <v>234</v>
      </c>
      <c r="F782" s="27">
        <v>15</v>
      </c>
      <c r="G782" s="28">
        <f t="shared" si="171"/>
        <v>75</v>
      </c>
      <c r="H782" s="26"/>
      <c r="I782" s="26"/>
      <c r="J782" s="26"/>
      <c r="K782" s="29"/>
      <c r="L782" s="29"/>
      <c r="M782" s="30" t="str">
        <f t="shared" ca="1" si="172"/>
        <v/>
      </c>
      <c r="N782" s="46"/>
      <c r="O782" s="47"/>
    </row>
    <row r="783" spans="1:15" ht="15.75" customHeight="1">
      <c r="A783" s="119" t="s">
        <v>238</v>
      </c>
      <c r="B783" s="120"/>
      <c r="C783" s="120"/>
      <c r="D783" s="120"/>
      <c r="E783" s="121">
        <f>SUM(E771:E782)</f>
        <v>0</v>
      </c>
      <c r="F783" s="36">
        <f>SUM(F771:F782)</f>
        <v>310</v>
      </c>
      <c r="G783" s="36">
        <f>SUM(G771:G782)</f>
        <v>1550</v>
      </c>
      <c r="H783" s="37"/>
      <c r="I783" s="37"/>
      <c r="J783" s="37"/>
      <c r="K783" s="37"/>
      <c r="L783" s="37"/>
      <c r="M783" s="38">
        <f ca="1">IFERROR(SUM(M771:M782),"")</f>
        <v>1.9444444444444445E-2</v>
      </c>
      <c r="N783" s="36" t="s">
        <v>237</v>
      </c>
      <c r="O783" s="39">
        <v>2113690</v>
      </c>
    </row>
    <row r="784" spans="1:15" ht="18" customHeight="1">
      <c r="A784" s="122" t="s">
        <v>239</v>
      </c>
      <c r="B784" s="123"/>
      <c r="C784" s="123"/>
      <c r="D784" s="123"/>
      <c r="E784" s="124">
        <f>E770+E783</f>
        <v>0</v>
      </c>
      <c r="F784" s="40">
        <f>F770+F783</f>
        <v>660</v>
      </c>
      <c r="G784" s="40">
        <f>G770+G783</f>
        <v>3300</v>
      </c>
      <c r="H784" s="41"/>
      <c r="I784" s="41"/>
      <c r="J784" s="41"/>
      <c r="K784" s="41"/>
      <c r="L784" s="41"/>
      <c r="M784" s="42">
        <f ca="1">IFERROR(M770+M783,"")</f>
        <v>9.097222222222219E-2</v>
      </c>
      <c r="N784" s="40" t="s">
        <v>240</v>
      </c>
      <c r="O784" s="48">
        <f>IFERROR(O770+O783,"")</f>
        <v>4249590</v>
      </c>
    </row>
    <row r="785" spans="1:15" ht="15" customHeight="1">
      <c r="A785" s="69">
        <v>46233</v>
      </c>
      <c r="B785" s="32">
        <v>0.33333333333333298</v>
      </c>
      <c r="C785" s="33" t="s">
        <v>29</v>
      </c>
      <c r="D785" s="62" t="s">
        <v>22</v>
      </c>
      <c r="E785" s="62" t="s">
        <v>234</v>
      </c>
      <c r="F785" s="27">
        <v>4</v>
      </c>
      <c r="G785" s="34"/>
      <c r="H785" s="33" t="s">
        <v>20</v>
      </c>
      <c r="I785" s="33" t="s">
        <v>23</v>
      </c>
      <c r="J785" s="33" t="s">
        <v>132</v>
      </c>
      <c r="K785" s="29">
        <v>0.6069444444444444</v>
      </c>
      <c r="L785" s="29">
        <v>0.63472222222222219</v>
      </c>
      <c r="M785" s="35">
        <f t="shared" ref="M785:M796" ca="1" si="174">IFERROR(IF(K785="","",IF(L785="",MOD(NOW()-K785,1),IF(L785&gt;=K785,L785-K785,L785+1-K785))),"")</f>
        <v>2.777777777777779E-2</v>
      </c>
      <c r="N785" s="46"/>
      <c r="O785" s="47"/>
    </row>
    <row r="786" spans="1:15" ht="15" customHeight="1">
      <c r="A786" s="68">
        <v>46233</v>
      </c>
      <c r="B786" s="25">
        <f t="shared" ref="B786:B796" si="175">B785+TIME(0,60,0)</f>
        <v>0.37499999999999967</v>
      </c>
      <c r="C786" s="33" t="s">
        <v>29</v>
      </c>
      <c r="D786" s="62" t="s">
        <v>22</v>
      </c>
      <c r="E786" s="59" t="s">
        <v>234</v>
      </c>
      <c r="F786" s="27">
        <v>37</v>
      </c>
      <c r="G786" s="28"/>
      <c r="H786" s="26" t="s">
        <v>20</v>
      </c>
      <c r="I786" s="26" t="s">
        <v>23</v>
      </c>
      <c r="J786" s="26" t="s">
        <v>143</v>
      </c>
      <c r="K786" s="29">
        <v>0.64930555555555558</v>
      </c>
      <c r="L786" s="29">
        <v>0.6645833333333333</v>
      </c>
      <c r="M786" s="30">
        <f t="shared" ca="1" si="174"/>
        <v>1.5277777777777724E-2</v>
      </c>
      <c r="N786" s="46"/>
      <c r="O786" s="47"/>
    </row>
    <row r="787" spans="1:15" ht="15" customHeight="1">
      <c r="A787" s="69">
        <v>46233</v>
      </c>
      <c r="B787" s="32">
        <f t="shared" si="175"/>
        <v>0.41666666666666635</v>
      </c>
      <c r="C787" s="33" t="s">
        <v>29</v>
      </c>
      <c r="D787" s="62" t="s">
        <v>22</v>
      </c>
      <c r="E787" s="62" t="s">
        <v>234</v>
      </c>
      <c r="F787" s="27">
        <v>30</v>
      </c>
      <c r="G787" s="34"/>
      <c r="H787" s="33" t="s">
        <v>20</v>
      </c>
      <c r="I787" s="33" t="s">
        <v>23</v>
      </c>
      <c r="J787" s="33" t="s">
        <v>181</v>
      </c>
      <c r="K787" s="29">
        <v>0.75347222222222221</v>
      </c>
      <c r="L787" s="29">
        <v>0.79166666666666663</v>
      </c>
      <c r="M787" s="35">
        <f t="shared" ca="1" si="174"/>
        <v>3.819444444444442E-2</v>
      </c>
      <c r="N787" s="46"/>
      <c r="O787" s="47"/>
    </row>
    <row r="788" spans="1:15" ht="15" customHeight="1">
      <c r="A788" s="68">
        <v>46233</v>
      </c>
      <c r="B788" s="25">
        <f t="shared" si="175"/>
        <v>0.45833333333333304</v>
      </c>
      <c r="C788" s="33" t="s">
        <v>29</v>
      </c>
      <c r="D788" s="62" t="s">
        <v>22</v>
      </c>
      <c r="E788" s="59" t="s">
        <v>234</v>
      </c>
      <c r="F788" s="27">
        <v>8</v>
      </c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46"/>
      <c r="O788" s="47"/>
    </row>
    <row r="789" spans="1:15" ht="15" customHeight="1">
      <c r="A789" s="69">
        <v>46233</v>
      </c>
      <c r="B789" s="32">
        <f t="shared" si="175"/>
        <v>0.49999999999999972</v>
      </c>
      <c r="C789" s="33" t="s">
        <v>29</v>
      </c>
      <c r="D789" s="62" t="s">
        <v>22</v>
      </c>
      <c r="E789" s="62" t="s">
        <v>234</v>
      </c>
      <c r="F789" s="27">
        <v>15</v>
      </c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46"/>
      <c r="O789" s="47"/>
    </row>
    <row r="790" spans="1:15" ht="15" customHeight="1">
      <c r="A790" s="68">
        <v>46233</v>
      </c>
      <c r="B790" s="25">
        <f t="shared" si="175"/>
        <v>0.54166666666666641</v>
      </c>
      <c r="C790" s="33" t="s">
        <v>29</v>
      </c>
      <c r="D790" s="62" t="s">
        <v>22</v>
      </c>
      <c r="E790" s="59" t="s">
        <v>234</v>
      </c>
      <c r="F790" s="27">
        <v>49</v>
      </c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46" t="s">
        <v>277</v>
      </c>
      <c r="O790" s="47"/>
    </row>
    <row r="791" spans="1:15" ht="15" customHeight="1">
      <c r="A791" s="69">
        <v>46233</v>
      </c>
      <c r="B791" s="32">
        <f t="shared" si="175"/>
        <v>0.58333333333333304</v>
      </c>
      <c r="C791" s="33" t="s">
        <v>29</v>
      </c>
      <c r="D791" s="62" t="s">
        <v>22</v>
      </c>
      <c r="E791" s="62" t="s">
        <v>234</v>
      </c>
      <c r="F791" s="27">
        <v>45</v>
      </c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46"/>
      <c r="O791" s="47"/>
    </row>
    <row r="792" spans="1:15" ht="15" customHeight="1">
      <c r="A792" s="68">
        <v>46233</v>
      </c>
      <c r="B792" s="25">
        <f t="shared" si="175"/>
        <v>0.62499999999999967</v>
      </c>
      <c r="C792" s="33" t="s">
        <v>29</v>
      </c>
      <c r="D792" s="62" t="s">
        <v>22</v>
      </c>
      <c r="E792" s="59" t="s">
        <v>234</v>
      </c>
      <c r="F792" s="27">
        <v>0</v>
      </c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46"/>
      <c r="O792" s="47"/>
    </row>
    <row r="793" spans="1:15" ht="15" customHeight="1">
      <c r="A793" s="69">
        <v>46233</v>
      </c>
      <c r="B793" s="32">
        <f t="shared" si="175"/>
        <v>0.6666666666666663</v>
      </c>
      <c r="C793" s="33" t="s">
        <v>29</v>
      </c>
      <c r="D793" s="62" t="s">
        <v>22</v>
      </c>
      <c r="E793" s="62" t="s">
        <v>234</v>
      </c>
      <c r="F793" s="27">
        <v>35</v>
      </c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46"/>
      <c r="O793" s="47"/>
    </row>
    <row r="794" spans="1:15" ht="15" customHeight="1">
      <c r="A794" s="68">
        <v>46233</v>
      </c>
      <c r="B794" s="25">
        <f t="shared" si="175"/>
        <v>0.70833333333333293</v>
      </c>
      <c r="C794" s="33" t="s">
        <v>29</v>
      </c>
      <c r="D794" s="62" t="s">
        <v>22</v>
      </c>
      <c r="E794" s="59" t="s">
        <v>234</v>
      </c>
      <c r="F794" s="27">
        <v>45</v>
      </c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46"/>
      <c r="O794" s="47"/>
    </row>
    <row r="795" spans="1:15" ht="15" customHeight="1">
      <c r="A795" s="69">
        <v>46233</v>
      </c>
      <c r="B795" s="32">
        <f t="shared" si="175"/>
        <v>0.74999999999999956</v>
      </c>
      <c r="C795" s="33" t="s">
        <v>29</v>
      </c>
      <c r="D795" s="62" t="s">
        <v>22</v>
      </c>
      <c r="E795" s="62" t="s">
        <v>234</v>
      </c>
      <c r="F795" s="27">
        <v>23</v>
      </c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46"/>
      <c r="O795" s="47"/>
    </row>
    <row r="796" spans="1:15" ht="15" customHeight="1">
      <c r="A796" s="68">
        <v>46233</v>
      </c>
      <c r="B796" s="25">
        <f t="shared" si="175"/>
        <v>0.79166666666666619</v>
      </c>
      <c r="C796" s="33" t="s">
        <v>29</v>
      </c>
      <c r="D796" s="62" t="s">
        <v>22</v>
      </c>
      <c r="E796" s="59" t="s">
        <v>234</v>
      </c>
      <c r="F796" s="27">
        <v>0</v>
      </c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46"/>
      <c r="O796" s="47"/>
    </row>
    <row r="797" spans="1:15" ht="15.75" customHeight="1">
      <c r="A797" s="119" t="s">
        <v>236</v>
      </c>
      <c r="B797" s="120"/>
      <c r="C797" s="120"/>
      <c r="D797" s="120"/>
      <c r="E797" s="121">
        <f>SUM(E785:E796)</f>
        <v>0</v>
      </c>
      <c r="F797" s="36">
        <f>SUM(F785:F796)</f>
        <v>291</v>
      </c>
      <c r="G797" s="37"/>
      <c r="H797" s="37"/>
      <c r="I797" s="37"/>
      <c r="J797" s="37"/>
      <c r="K797" s="37"/>
      <c r="L797" s="37"/>
      <c r="M797" s="38">
        <f ca="1">IFERROR(SUM(M785:M796),"")</f>
        <v>8.1249999999999933E-2</v>
      </c>
      <c r="N797" s="36" t="s">
        <v>237</v>
      </c>
      <c r="O797" s="39">
        <v>2191180</v>
      </c>
    </row>
    <row r="798" spans="1:15" ht="15" customHeight="1">
      <c r="A798" s="68">
        <v>46233</v>
      </c>
      <c r="B798" s="25">
        <v>0.83333333333333304</v>
      </c>
      <c r="C798" s="26" t="s">
        <v>21</v>
      </c>
      <c r="D798" s="59" t="s">
        <v>22</v>
      </c>
      <c r="E798" s="59" t="s">
        <v>234</v>
      </c>
      <c r="F798" s="27">
        <v>35</v>
      </c>
      <c r="G798" s="28">
        <f t="shared" ref="G796:G809" si="176">IF(F798="","",IF(E798="PC 17",F798*4.2,IF(E798="PC 19",F798*5,"")))</f>
        <v>175</v>
      </c>
      <c r="H798" s="26" t="s">
        <v>16</v>
      </c>
      <c r="I798" s="26" t="s">
        <v>23</v>
      </c>
      <c r="J798" s="26" t="s">
        <v>32</v>
      </c>
      <c r="K798" s="29">
        <v>3.8194444444444448E-2</v>
      </c>
      <c r="L798" s="29">
        <v>5.5555555555555552E-2</v>
      </c>
      <c r="M798" s="30">
        <f t="shared" ref="M798:M809" ca="1" si="177">IFERROR(IF(K798="","",IF(L798="",MOD(NOW()-K798,1),IF(L798&gt;=K798,L798-K798,L798+1-K798))),"")</f>
        <v>1.7361111111111105E-2</v>
      </c>
      <c r="N798" s="46"/>
      <c r="O798" s="47"/>
    </row>
    <row r="799" spans="1:15" ht="15" customHeight="1">
      <c r="A799" s="69">
        <v>46233</v>
      </c>
      <c r="B799" s="32">
        <f t="shared" ref="B799:B809" si="178">B798+TIME(0,60,0)</f>
        <v>0.87499999999999967</v>
      </c>
      <c r="C799" s="26" t="s">
        <v>21</v>
      </c>
      <c r="D799" s="59" t="s">
        <v>22</v>
      </c>
      <c r="E799" s="59" t="s">
        <v>261</v>
      </c>
      <c r="F799" s="27">
        <v>26</v>
      </c>
      <c r="G799" s="28">
        <f t="shared" si="176"/>
        <v>109.2</v>
      </c>
      <c r="H799" s="26" t="s">
        <v>20</v>
      </c>
      <c r="I799" s="26"/>
      <c r="J799" s="26" t="s">
        <v>143</v>
      </c>
      <c r="K799" s="29">
        <v>0.10069444444444445</v>
      </c>
      <c r="L799" s="29">
        <v>0.13055555555555556</v>
      </c>
      <c r="M799" s="35">
        <f t="shared" ca="1" si="177"/>
        <v>2.9861111111111116E-2</v>
      </c>
      <c r="N799" s="46"/>
      <c r="O799" s="47"/>
    </row>
    <row r="800" spans="1:15" ht="15" customHeight="1">
      <c r="A800" s="68">
        <v>46233</v>
      </c>
      <c r="B800" s="25">
        <f t="shared" si="178"/>
        <v>0.9166666666666663</v>
      </c>
      <c r="C800" s="26" t="s">
        <v>21</v>
      </c>
      <c r="D800" s="59" t="s">
        <v>22</v>
      </c>
      <c r="E800" s="59" t="s">
        <v>234</v>
      </c>
      <c r="F800" s="27">
        <v>39</v>
      </c>
      <c r="G800" s="28">
        <f t="shared" si="176"/>
        <v>195</v>
      </c>
      <c r="H800" s="26"/>
      <c r="I800" s="26"/>
      <c r="J800" s="26"/>
      <c r="K800" s="29"/>
      <c r="L800" s="29"/>
      <c r="M800" s="30" t="str">
        <f t="shared" ca="1" si="177"/>
        <v/>
      </c>
      <c r="N800" s="46"/>
      <c r="O800" s="47"/>
    </row>
    <row r="801" spans="1:15" ht="15" customHeight="1">
      <c r="A801" s="69">
        <v>46233</v>
      </c>
      <c r="B801" s="32">
        <f t="shared" si="178"/>
        <v>0.95833333333333293</v>
      </c>
      <c r="C801" s="26" t="s">
        <v>21</v>
      </c>
      <c r="D801" s="59" t="s">
        <v>22</v>
      </c>
      <c r="E801" s="59" t="s">
        <v>234</v>
      </c>
      <c r="F801" s="27">
        <v>40</v>
      </c>
      <c r="G801" s="28">
        <f t="shared" si="176"/>
        <v>200</v>
      </c>
      <c r="H801" s="33"/>
      <c r="I801" s="33"/>
      <c r="J801" s="33"/>
      <c r="K801" s="29"/>
      <c r="L801" s="29"/>
      <c r="M801" s="35" t="str">
        <f t="shared" ca="1" si="177"/>
        <v/>
      </c>
      <c r="N801" s="46"/>
      <c r="O801" s="47"/>
    </row>
    <row r="802" spans="1:15" ht="15" customHeight="1">
      <c r="A802" s="68">
        <v>46233</v>
      </c>
      <c r="B802" s="25">
        <f t="shared" si="178"/>
        <v>0.99999999999999956</v>
      </c>
      <c r="C802" s="26" t="s">
        <v>21</v>
      </c>
      <c r="D802" s="59" t="s">
        <v>22</v>
      </c>
      <c r="E802" s="59" t="s">
        <v>234</v>
      </c>
      <c r="F802" s="27">
        <v>30</v>
      </c>
      <c r="G802" s="28">
        <f t="shared" si="176"/>
        <v>150</v>
      </c>
      <c r="H802" s="26"/>
      <c r="I802" s="26"/>
      <c r="J802" s="26"/>
      <c r="K802" s="29"/>
      <c r="L802" s="29"/>
      <c r="M802" s="30" t="str">
        <f t="shared" ca="1" si="177"/>
        <v/>
      </c>
      <c r="N802" s="46"/>
      <c r="O802" s="47"/>
    </row>
    <row r="803" spans="1:15" ht="15" customHeight="1">
      <c r="A803" s="69">
        <v>46233</v>
      </c>
      <c r="B803" s="32">
        <f t="shared" si="178"/>
        <v>1.0416666666666663</v>
      </c>
      <c r="C803" s="26" t="s">
        <v>21</v>
      </c>
      <c r="D803" s="59" t="s">
        <v>22</v>
      </c>
      <c r="E803" s="59" t="s">
        <v>234</v>
      </c>
      <c r="F803" s="27">
        <v>55</v>
      </c>
      <c r="G803" s="28">
        <f t="shared" si="176"/>
        <v>275</v>
      </c>
      <c r="H803" s="33"/>
      <c r="I803" s="33"/>
      <c r="J803" s="33"/>
      <c r="K803" s="29"/>
      <c r="L803" s="29"/>
      <c r="M803" s="35" t="str">
        <f t="shared" ca="1" si="177"/>
        <v/>
      </c>
      <c r="N803" s="46"/>
      <c r="O803" s="47"/>
    </row>
    <row r="804" spans="1:15" ht="15" customHeight="1">
      <c r="A804" s="68">
        <v>46233</v>
      </c>
      <c r="B804" s="25">
        <f t="shared" si="178"/>
        <v>1.083333333333333</v>
      </c>
      <c r="C804" s="26" t="s">
        <v>21</v>
      </c>
      <c r="D804" s="59" t="s">
        <v>30</v>
      </c>
      <c r="E804" s="59" t="s">
        <v>234</v>
      </c>
      <c r="F804" s="27">
        <v>25</v>
      </c>
      <c r="G804" s="28">
        <f t="shared" si="176"/>
        <v>125</v>
      </c>
      <c r="H804" s="26"/>
      <c r="I804" s="26"/>
      <c r="J804" s="26"/>
      <c r="K804" s="29"/>
      <c r="L804" s="29"/>
      <c r="M804" s="30" t="str">
        <f t="shared" ca="1" si="177"/>
        <v/>
      </c>
      <c r="N804" s="46"/>
      <c r="O804" s="47"/>
    </row>
    <row r="805" spans="1:15" ht="15" customHeight="1">
      <c r="A805" s="69">
        <v>46233</v>
      </c>
      <c r="B805" s="32">
        <f t="shared" si="178"/>
        <v>1.1249999999999998</v>
      </c>
      <c r="C805" s="26" t="s">
        <v>21</v>
      </c>
      <c r="D805" s="59" t="s">
        <v>30</v>
      </c>
      <c r="E805" s="59" t="s">
        <v>234</v>
      </c>
      <c r="F805" s="27">
        <v>14</v>
      </c>
      <c r="G805" s="28">
        <f t="shared" si="176"/>
        <v>70</v>
      </c>
      <c r="H805" s="33"/>
      <c r="I805" s="33"/>
      <c r="J805" s="33"/>
      <c r="K805" s="29"/>
      <c r="L805" s="29"/>
      <c r="M805" s="35" t="str">
        <f t="shared" ca="1" si="177"/>
        <v/>
      </c>
      <c r="N805" s="46"/>
      <c r="O805" s="47"/>
    </row>
    <row r="806" spans="1:15" ht="15" customHeight="1">
      <c r="A806" s="68">
        <v>46233</v>
      </c>
      <c r="B806" s="25">
        <f t="shared" si="178"/>
        <v>1.1666666666666665</v>
      </c>
      <c r="C806" s="26" t="s">
        <v>21</v>
      </c>
      <c r="D806" s="59" t="s">
        <v>30</v>
      </c>
      <c r="E806" s="59" t="s">
        <v>234</v>
      </c>
      <c r="F806" s="27">
        <v>20</v>
      </c>
      <c r="G806" s="28">
        <f t="shared" si="176"/>
        <v>100</v>
      </c>
      <c r="H806" s="26"/>
      <c r="I806" s="26"/>
      <c r="J806" s="26"/>
      <c r="K806" s="29"/>
      <c r="L806" s="29"/>
      <c r="M806" s="30" t="str">
        <f t="shared" ca="1" si="177"/>
        <v/>
      </c>
      <c r="N806" s="46"/>
      <c r="O806" s="47"/>
    </row>
    <row r="807" spans="1:15" ht="15" customHeight="1">
      <c r="A807" s="69">
        <v>46233</v>
      </c>
      <c r="B807" s="32">
        <f t="shared" si="178"/>
        <v>1.2083333333333333</v>
      </c>
      <c r="C807" s="26" t="s">
        <v>21</v>
      </c>
      <c r="D807" s="59" t="s">
        <v>30</v>
      </c>
      <c r="E807" s="59" t="s">
        <v>234</v>
      </c>
      <c r="F807" s="27">
        <v>10</v>
      </c>
      <c r="G807" s="28">
        <f t="shared" si="176"/>
        <v>50</v>
      </c>
      <c r="H807" s="33"/>
      <c r="I807" s="33"/>
      <c r="J807" s="33"/>
      <c r="K807" s="29"/>
      <c r="L807" s="29"/>
      <c r="M807" s="35" t="str">
        <f t="shared" ca="1" si="177"/>
        <v/>
      </c>
      <c r="N807" s="46"/>
      <c r="O807" s="47"/>
    </row>
    <row r="808" spans="1:15" ht="15" customHeight="1">
      <c r="A808" s="68">
        <v>46233</v>
      </c>
      <c r="B808" s="25">
        <f t="shared" si="178"/>
        <v>1.25</v>
      </c>
      <c r="C808" s="26" t="s">
        <v>21</v>
      </c>
      <c r="D808" s="59" t="s">
        <v>30</v>
      </c>
      <c r="E808" s="59" t="s">
        <v>234</v>
      </c>
      <c r="F808" s="27">
        <v>15</v>
      </c>
      <c r="G808" s="28">
        <f t="shared" si="176"/>
        <v>75</v>
      </c>
      <c r="H808" s="26"/>
      <c r="I808" s="26"/>
      <c r="J808" s="26"/>
      <c r="K808" s="29"/>
      <c r="L808" s="29"/>
      <c r="M808" s="30" t="str">
        <f t="shared" ca="1" si="177"/>
        <v/>
      </c>
      <c r="N808" s="46"/>
      <c r="O808" s="47"/>
    </row>
    <row r="809" spans="1:15" ht="15" customHeight="1">
      <c r="A809" s="69">
        <v>46233</v>
      </c>
      <c r="B809" s="32">
        <f t="shared" si="178"/>
        <v>1.2916666666666667</v>
      </c>
      <c r="C809" s="26" t="s">
        <v>21</v>
      </c>
      <c r="D809" s="59" t="s">
        <v>30</v>
      </c>
      <c r="E809" s="59" t="s">
        <v>234</v>
      </c>
      <c r="F809" s="27">
        <v>10</v>
      </c>
      <c r="G809" s="28">
        <f t="shared" si="176"/>
        <v>50</v>
      </c>
      <c r="H809" s="33"/>
      <c r="I809" s="33"/>
      <c r="J809" s="33"/>
      <c r="K809" s="29"/>
      <c r="L809" s="29"/>
      <c r="M809" s="35" t="str">
        <f t="shared" ca="1" si="177"/>
        <v/>
      </c>
      <c r="N809" s="46"/>
      <c r="O809" s="47"/>
    </row>
    <row r="810" spans="1:15" ht="15.75" customHeight="1">
      <c r="A810" s="119" t="s">
        <v>238</v>
      </c>
      <c r="B810" s="120"/>
      <c r="C810" s="120"/>
      <c r="D810" s="120"/>
      <c r="E810" s="121">
        <f>SUM(E798:E809)</f>
        <v>0</v>
      </c>
      <c r="F810" s="36">
        <f>SUM(F798:F809)</f>
        <v>319</v>
      </c>
      <c r="G810" s="36">
        <f>SUM(G798:G809)</f>
        <v>1574.2</v>
      </c>
      <c r="H810" s="37"/>
      <c r="I810" s="37"/>
      <c r="J810" s="37"/>
      <c r="K810" s="37"/>
      <c r="L810" s="37"/>
      <c r="M810" s="38">
        <f ca="1">IFERROR(SUM(M798:M809),"")</f>
        <v>4.7222222222222221E-2</v>
      </c>
      <c r="N810" s="36" t="s">
        <v>237</v>
      </c>
      <c r="O810" s="39">
        <v>1802980</v>
      </c>
    </row>
    <row r="811" spans="1:15" ht="18" customHeight="1">
      <c r="A811" s="116" t="s">
        <v>239</v>
      </c>
      <c r="B811" s="117"/>
      <c r="C811" s="117"/>
      <c r="D811" s="117"/>
      <c r="E811" s="118">
        <f>E797+E810</f>
        <v>0</v>
      </c>
      <c r="F811" s="40">
        <f>F797+F810</f>
        <v>610</v>
      </c>
      <c r="G811" s="40">
        <f>G797+G810</f>
        <v>1574.2</v>
      </c>
      <c r="H811" s="41"/>
      <c r="I811" s="41"/>
      <c r="J811" s="41"/>
      <c r="K811" s="41"/>
      <c r="L811" s="41"/>
      <c r="M811" s="42">
        <f ca="1">IFERROR(M797+M810,"")</f>
        <v>0.12847222222222215</v>
      </c>
      <c r="N811" s="40" t="s">
        <v>240</v>
      </c>
      <c r="O811" s="83">
        <f>IFERROR(O797+O810,"")</f>
        <v>3994160</v>
      </c>
    </row>
    <row r="812" spans="1:15" ht="15">
      <c r="A812" s="106">
        <v>46234</v>
      </c>
      <c r="B812" s="103">
        <v>0.33333333333333298</v>
      </c>
      <c r="C812" s="80" t="s">
        <v>45</v>
      </c>
      <c r="D812" s="99" t="s">
        <v>22</v>
      </c>
      <c r="E812" s="99" t="s">
        <v>234</v>
      </c>
      <c r="F812" s="100">
        <v>18</v>
      </c>
      <c r="G812" s="104">
        <v>50</v>
      </c>
      <c r="H812" s="80" t="s">
        <v>18</v>
      </c>
      <c r="I812" s="80" t="s">
        <v>23</v>
      </c>
      <c r="J812" s="80" t="s">
        <v>222</v>
      </c>
      <c r="K812" s="98">
        <v>0.5</v>
      </c>
      <c r="L812" s="98">
        <v>0.65972222222222221</v>
      </c>
      <c r="M812" s="78">
        <f ca="1">IFERROR(IF(K812="","",IF(L812="",MOD(NOW()-K812,1),IF(L812&gt;=K812,L812-K812,L812+1-K812))),"")</f>
        <v>0.15972222222222221</v>
      </c>
      <c r="N812" s="105" t="s">
        <v>278</v>
      </c>
      <c r="O812" s="47"/>
    </row>
    <row r="813" spans="1:15" ht="15">
      <c r="A813" s="102">
        <v>46234</v>
      </c>
      <c r="B813" s="107">
        <f>B812+TIME(0,60,0)</f>
        <v>0.37499999999999967</v>
      </c>
      <c r="C813" s="80" t="s">
        <v>45</v>
      </c>
      <c r="D813" s="99" t="s">
        <v>22</v>
      </c>
      <c r="E813" s="108" t="s">
        <v>234</v>
      </c>
      <c r="F813" s="100">
        <v>8</v>
      </c>
      <c r="G813" s="101">
        <v>35</v>
      </c>
      <c r="H813" s="81"/>
      <c r="I813" s="81"/>
      <c r="J813" s="81"/>
      <c r="K813" s="98"/>
      <c r="L813" s="98"/>
      <c r="M813" s="79" t="str">
        <f ca="1">IFERROR(IF(K813="","",IF(L813="",MOD(NOW()-K813,1),IF(L813&gt;=K813,L813-K813,L813+1-K813))),"")</f>
        <v/>
      </c>
      <c r="N813" s="105"/>
      <c r="O813" s="47"/>
    </row>
    <row r="814" spans="1:15" ht="15">
      <c r="A814" s="106">
        <v>46234</v>
      </c>
      <c r="B814" s="103">
        <f>B813+TIME(0,60,0)</f>
        <v>0.41666666666666635</v>
      </c>
      <c r="C814" s="80" t="s">
        <v>45</v>
      </c>
      <c r="D814" s="99" t="s">
        <v>22</v>
      </c>
      <c r="E814" s="99" t="s">
        <v>234</v>
      </c>
      <c r="F814" s="100">
        <v>8</v>
      </c>
      <c r="G814" s="104">
        <v>35</v>
      </c>
      <c r="H814" s="80"/>
      <c r="I814" s="80"/>
      <c r="J814" s="80"/>
      <c r="K814" s="98"/>
      <c r="L814" s="98"/>
      <c r="M814" s="78" t="str">
        <f ca="1">IFERROR(IF(K814="","",IF(L814="",MOD(NOW()-K814,1),IF(L814&gt;=K814,L814-K814,L814+1-K814))),"")</f>
        <v/>
      </c>
      <c r="N814" s="105"/>
      <c r="O814" s="47"/>
    </row>
    <row r="815" spans="1:15" ht="15">
      <c r="A815" s="102">
        <v>46234</v>
      </c>
      <c r="B815" s="107">
        <f>B814+TIME(0,60,0)</f>
        <v>0.45833333333333304</v>
      </c>
      <c r="C815" s="80" t="s">
        <v>45</v>
      </c>
      <c r="D815" s="99" t="s">
        <v>22</v>
      </c>
      <c r="E815" s="108" t="s">
        <v>234</v>
      </c>
      <c r="F815" s="100">
        <v>10</v>
      </c>
      <c r="G815" s="101">
        <v>25</v>
      </c>
      <c r="H815" s="81"/>
      <c r="I815" s="81"/>
      <c r="J815" s="81"/>
      <c r="K815" s="98"/>
      <c r="L815" s="98"/>
      <c r="M815" s="79" t="str">
        <f ca="1">IFERROR(IF(K815="","",IF(L815="",MOD(NOW()-K815,1),IF(L815&gt;=K815,L815-K815,L815+1-K815))),"")</f>
        <v/>
      </c>
      <c r="N815" s="105"/>
      <c r="O815" s="47"/>
    </row>
    <row r="816" spans="1:15" ht="15">
      <c r="A816" s="106">
        <v>46234</v>
      </c>
      <c r="B816" s="103">
        <f>B815+TIME(0,60,0)</f>
        <v>0.49999999999999972</v>
      </c>
      <c r="C816" s="80" t="s">
        <v>45</v>
      </c>
      <c r="D816" s="99" t="s">
        <v>22</v>
      </c>
      <c r="E816" s="99" t="s">
        <v>234</v>
      </c>
      <c r="F816" s="100">
        <v>10</v>
      </c>
      <c r="G816" s="104">
        <v>25</v>
      </c>
      <c r="H816" s="80"/>
      <c r="I816" s="80"/>
      <c r="J816" s="80"/>
      <c r="K816" s="98"/>
      <c r="L816" s="98"/>
      <c r="M816" s="78" t="str">
        <f ca="1">IFERROR(IF(K816="","",IF(L816="",MOD(NOW()-K816,1),IF(L816&gt;=K816,L816-K816,L816+1-K816))),"")</f>
        <v/>
      </c>
      <c r="N816" s="105"/>
      <c r="O816" s="47"/>
    </row>
    <row r="817" spans="1:15" ht="15">
      <c r="A817" s="102">
        <v>46234</v>
      </c>
      <c r="B817" s="107">
        <f>B816+TIME(0,60,0)</f>
        <v>0.54166666666666641</v>
      </c>
      <c r="C817" s="80" t="s">
        <v>45</v>
      </c>
      <c r="D817" s="99" t="s">
        <v>22</v>
      </c>
      <c r="E817" s="108" t="s">
        <v>234</v>
      </c>
      <c r="F817" s="100">
        <v>0</v>
      </c>
      <c r="G817" s="101">
        <v>0</v>
      </c>
      <c r="H817" s="81"/>
      <c r="I817" s="81"/>
      <c r="J817" s="81"/>
      <c r="K817" s="98"/>
      <c r="L817" s="98"/>
      <c r="M817" s="79" t="str">
        <f ca="1">IFERROR(IF(K817="","",IF(L817="",MOD(NOW()-K817,1),IF(L817&gt;=K817,L817-K817,L817+1-K817))),"")</f>
        <v/>
      </c>
      <c r="N817" s="105"/>
      <c r="O817" s="47"/>
    </row>
    <row r="818" spans="1:15" ht="15">
      <c r="A818" s="106">
        <v>46234</v>
      </c>
      <c r="B818" s="103">
        <f>B817+TIME(0,60,0)</f>
        <v>0.58333333333333304</v>
      </c>
      <c r="C818" s="80" t="s">
        <v>45</v>
      </c>
      <c r="D818" s="99" t="s">
        <v>22</v>
      </c>
      <c r="E818" s="99" t="s">
        <v>234</v>
      </c>
      <c r="F818" s="100">
        <v>0</v>
      </c>
      <c r="G818" s="104">
        <v>0</v>
      </c>
      <c r="H818" s="80"/>
      <c r="I818" s="80"/>
      <c r="J818" s="80"/>
      <c r="K818" s="98"/>
      <c r="L818" s="98"/>
      <c r="M818" s="78" t="str">
        <f ca="1">IFERROR(IF(K818="","",IF(L818="",MOD(NOW()-K818,1),IF(L818&gt;=K818,L818-K818,L818+1-K818))),"")</f>
        <v/>
      </c>
      <c r="N818" s="105"/>
      <c r="O818" s="47"/>
    </row>
    <row r="819" spans="1:15" ht="15">
      <c r="A819" s="102">
        <v>46234</v>
      </c>
      <c r="B819" s="107">
        <f>B818+TIME(0,60,0)</f>
        <v>0.62499999999999967</v>
      </c>
      <c r="C819" s="80" t="s">
        <v>45</v>
      </c>
      <c r="D819" s="99" t="s">
        <v>22</v>
      </c>
      <c r="E819" s="108" t="s">
        <v>234</v>
      </c>
      <c r="F819" s="100">
        <v>0</v>
      </c>
      <c r="G819" s="101">
        <v>0</v>
      </c>
      <c r="H819" s="81"/>
      <c r="I819" s="81"/>
      <c r="J819" s="81"/>
      <c r="K819" s="98"/>
      <c r="L819" s="98"/>
      <c r="M819" s="79" t="str">
        <f ca="1">IFERROR(IF(K819="","",IF(L819="",MOD(NOW()-K819,1),IF(L819&gt;=K819,L819-K819,L819+1-K819))),"")</f>
        <v/>
      </c>
      <c r="N819" s="105"/>
      <c r="O819" s="47"/>
    </row>
    <row r="820" spans="1:15" ht="15">
      <c r="A820" s="106">
        <v>46234</v>
      </c>
      <c r="B820" s="103">
        <f>B819+TIME(0,60,0)</f>
        <v>0.6666666666666663</v>
      </c>
      <c r="C820" s="80" t="s">
        <v>45</v>
      </c>
      <c r="D820" s="99" t="s">
        <v>22</v>
      </c>
      <c r="E820" s="99" t="s">
        <v>234</v>
      </c>
      <c r="F820" s="100">
        <v>0</v>
      </c>
      <c r="G820" s="104">
        <v>0</v>
      </c>
      <c r="H820" s="80"/>
      <c r="I820" s="80"/>
      <c r="J820" s="80"/>
      <c r="K820" s="98"/>
      <c r="L820" s="98"/>
      <c r="M820" s="78" t="str">
        <f ca="1">IFERROR(IF(K820="","",IF(L820="",MOD(NOW()-K820,1),IF(L820&gt;=K820,L820-K820,L820+1-K820))),"")</f>
        <v/>
      </c>
      <c r="N820" s="105"/>
      <c r="O820" s="47"/>
    </row>
    <row r="821" spans="1:15" ht="15">
      <c r="A821" s="102">
        <v>46234</v>
      </c>
      <c r="B821" s="107">
        <f>B820+TIME(0,60,0)</f>
        <v>0.70833333333333293</v>
      </c>
      <c r="C821" s="80" t="s">
        <v>45</v>
      </c>
      <c r="D821" s="99" t="s">
        <v>22</v>
      </c>
      <c r="E821" s="108" t="s">
        <v>234</v>
      </c>
      <c r="F821" s="100">
        <v>44</v>
      </c>
      <c r="G821" s="101"/>
      <c r="H821" s="81"/>
      <c r="I821" s="81"/>
      <c r="J821" s="81"/>
      <c r="K821" s="98"/>
      <c r="L821" s="98"/>
      <c r="M821" s="79" t="str">
        <f ca="1">IFERROR(IF(K821="","",IF(L821="",MOD(NOW()-K821,1),IF(L821&gt;=K821,L821-K821,L821+1-K821))),"")</f>
        <v/>
      </c>
      <c r="N821" s="105"/>
      <c r="O821" s="47"/>
    </row>
    <row r="822" spans="1:15" ht="15">
      <c r="A822" s="106">
        <v>46234</v>
      </c>
      <c r="B822" s="103">
        <f>B821+TIME(0,60,0)</f>
        <v>0.74999999999999956</v>
      </c>
      <c r="C822" s="80" t="s">
        <v>45</v>
      </c>
      <c r="D822" s="99" t="s">
        <v>22</v>
      </c>
      <c r="E822" s="99" t="s">
        <v>234</v>
      </c>
      <c r="F822" s="100">
        <v>20</v>
      </c>
      <c r="G822" s="104"/>
      <c r="H822" s="80"/>
      <c r="I822" s="80"/>
      <c r="J822" s="80"/>
      <c r="K822" s="98"/>
      <c r="L822" s="98"/>
      <c r="M822" s="78" t="str">
        <f ca="1">IFERROR(IF(K822="","",IF(L822="",MOD(NOW()-K822,1),IF(L822&gt;=K822,L822-K822,L822+1-K822))),"")</f>
        <v/>
      </c>
      <c r="N822" s="105"/>
      <c r="O822" s="47"/>
    </row>
    <row r="823" spans="1:15" ht="15">
      <c r="A823" s="102">
        <v>46234</v>
      </c>
      <c r="B823" s="107">
        <f>B822+TIME(0,60,0)</f>
        <v>0.79166666666666619</v>
      </c>
      <c r="C823" s="80" t="s">
        <v>45</v>
      </c>
      <c r="D823" s="99" t="s">
        <v>22</v>
      </c>
      <c r="E823" s="108" t="s">
        <v>234</v>
      </c>
      <c r="F823" s="100">
        <v>15</v>
      </c>
      <c r="G823" s="101"/>
      <c r="H823" s="81"/>
      <c r="I823" s="81"/>
      <c r="J823" s="81"/>
      <c r="K823" s="98"/>
      <c r="L823" s="98"/>
      <c r="M823" s="79" t="str">
        <f ca="1">IFERROR(IF(K823="","",IF(L823="",MOD(NOW()-K823,1),IF(L823&gt;=K823,L823-K823,L823+1-K823))),"")</f>
        <v/>
      </c>
      <c r="N823" s="105"/>
      <c r="O823" s="47"/>
    </row>
    <row r="824" spans="1:15" ht="15">
      <c r="A824" s="113" t="s">
        <v>236</v>
      </c>
      <c r="B824" s="114"/>
      <c r="C824" s="114"/>
      <c r="D824" s="114"/>
      <c r="E824" s="115">
        <f>SUM(E812:E823)</f>
        <v>0</v>
      </c>
      <c r="F824" s="109">
        <f>SUM(F812:F823)</f>
        <v>133</v>
      </c>
      <c r="G824" s="37"/>
      <c r="H824" s="37"/>
      <c r="I824" s="37"/>
      <c r="J824" s="37"/>
      <c r="K824" s="37"/>
      <c r="L824" s="37"/>
      <c r="M824" s="110">
        <f ca="1">IFERROR(SUM(M812:M823),"")</f>
        <v>0.15972222222222221</v>
      </c>
      <c r="N824" s="109" t="s">
        <v>237</v>
      </c>
      <c r="O824" s="77">
        <v>656110</v>
      </c>
    </row>
    <row r="825" spans="1:15" ht="15">
      <c r="A825" s="106">
        <v>46234</v>
      </c>
      <c r="B825" s="107">
        <v>0.83333333333333304</v>
      </c>
      <c r="C825" s="81" t="s">
        <v>29</v>
      </c>
      <c r="D825" s="108" t="s">
        <v>22</v>
      </c>
      <c r="E825" s="108" t="s">
        <v>234</v>
      </c>
      <c r="F825" s="100">
        <v>13</v>
      </c>
      <c r="G825" s="101">
        <f>IF(F825="","",IF(E825="PC 17",F825*4.2,IF(E825="PC 19",F825*5,"")))</f>
        <v>65</v>
      </c>
      <c r="H825" s="81" t="s">
        <v>16</v>
      </c>
      <c r="I825" s="81" t="s">
        <v>23</v>
      </c>
      <c r="J825" s="81" t="s">
        <v>32</v>
      </c>
      <c r="K825" s="98">
        <v>0.79166666666666663</v>
      </c>
      <c r="L825" s="98">
        <v>0.7993055555555556</v>
      </c>
      <c r="M825" s="79">
        <f ca="1">IFERROR(IF(K825="","",IF(L825="",MOD(NOW()-K825,1),IF(L825&gt;=K825,L825-K825,L825+1-K825))),"")</f>
        <v>7.6388888888889728E-3</v>
      </c>
      <c r="N825" s="105"/>
      <c r="O825" s="47"/>
    </row>
    <row r="826" spans="1:15" ht="15">
      <c r="A826" s="102">
        <v>46234</v>
      </c>
      <c r="B826" s="103">
        <f>B825+TIME(0,60,0)</f>
        <v>0.87499999999999967</v>
      </c>
      <c r="C826" s="81" t="s">
        <v>29</v>
      </c>
      <c r="D826" s="108" t="s">
        <v>22</v>
      </c>
      <c r="E826" s="108" t="s">
        <v>234</v>
      </c>
      <c r="F826" s="100"/>
      <c r="G826" s="101" t="str">
        <f>IF(F826="","",IF(E826="PC 17",F826*4.2,IF(E826="PC 19",F826*5,"")))</f>
        <v/>
      </c>
      <c r="H826" s="80"/>
      <c r="I826" s="80"/>
      <c r="J826" s="80"/>
      <c r="K826" s="98"/>
      <c r="L826" s="98"/>
      <c r="M826" s="78" t="str">
        <f ca="1">IFERROR(IF(K826="","",IF(L826="",MOD(NOW()-K826,1),IF(L826&gt;=K826,L826-K826,L826+1-K826))),"")</f>
        <v/>
      </c>
      <c r="N826" s="105"/>
      <c r="O826" s="47"/>
    </row>
    <row r="827" spans="1:15" ht="15">
      <c r="A827" s="106">
        <v>46234</v>
      </c>
      <c r="B827" s="107">
        <f>B826+TIME(0,60,0)</f>
        <v>0.9166666666666663</v>
      </c>
      <c r="C827" s="81" t="s">
        <v>29</v>
      </c>
      <c r="D827" s="108" t="s">
        <v>22</v>
      </c>
      <c r="E827" s="108"/>
      <c r="F827" s="100"/>
      <c r="G827" s="101" t="str">
        <f>IF(F827="","",IF(E827="PC 17",F827*4.2,IF(E827="PC 19",F827*5,"")))</f>
        <v/>
      </c>
      <c r="H827" s="81"/>
      <c r="I827" s="81"/>
      <c r="J827" s="81"/>
      <c r="K827" s="98"/>
      <c r="L827" s="98"/>
      <c r="M827" s="79" t="str">
        <f ca="1">IFERROR(IF(K827="","",IF(L827="",MOD(NOW()-K827,1),IF(L827&gt;=K827,L827-K827,L827+1-K827))),"")</f>
        <v/>
      </c>
      <c r="N827" s="105"/>
      <c r="O827" s="47"/>
    </row>
    <row r="828" spans="1:15" ht="15">
      <c r="A828" s="102">
        <v>46234</v>
      </c>
      <c r="B828" s="103">
        <f>B827+TIME(0,60,0)</f>
        <v>0.95833333333333293</v>
      </c>
      <c r="C828" s="81" t="s">
        <v>29</v>
      </c>
      <c r="D828" s="108" t="s">
        <v>22</v>
      </c>
      <c r="E828" s="108"/>
      <c r="F828" s="100"/>
      <c r="G828" s="101" t="str">
        <f>IF(F828="","",IF(E828="PC 17",F828*4.2,IF(E828="PC 19",F828*5,"")))</f>
        <v/>
      </c>
      <c r="H828" s="80"/>
      <c r="I828" s="80"/>
      <c r="J828" s="80"/>
      <c r="K828" s="98"/>
      <c r="L828" s="98"/>
      <c r="M828" s="78" t="str">
        <f ca="1">IFERROR(IF(K828="","",IF(L828="",MOD(NOW()-K828,1),IF(L828&gt;=K828,L828-K828,L828+1-K828))),"")</f>
        <v/>
      </c>
      <c r="N828" s="105"/>
      <c r="O828" s="47"/>
    </row>
    <row r="829" spans="1:15" ht="15">
      <c r="A829" s="106">
        <v>46234</v>
      </c>
      <c r="B829" s="107">
        <f>B828+TIME(0,60,0)</f>
        <v>0.99999999999999956</v>
      </c>
      <c r="C829" s="81" t="s">
        <v>29</v>
      </c>
      <c r="D829" s="108" t="s">
        <v>22</v>
      </c>
      <c r="E829" s="108"/>
      <c r="F829" s="100"/>
      <c r="G829" s="101" t="str">
        <f>IF(F829="","",IF(E829="PC 17",F829*4.2,IF(E829="PC 19",F829*5,"")))</f>
        <v/>
      </c>
      <c r="H829" s="81"/>
      <c r="I829" s="81"/>
      <c r="J829" s="81"/>
      <c r="K829" s="98"/>
      <c r="L829" s="98"/>
      <c r="M829" s="79" t="str">
        <f ca="1">IFERROR(IF(K829="","",IF(L829="",MOD(NOW()-K829,1),IF(L829&gt;=K829,L829-K829,L829+1-K829))),"")</f>
        <v/>
      </c>
      <c r="N829" s="105"/>
      <c r="O829" s="47"/>
    </row>
    <row r="830" spans="1:15" ht="15">
      <c r="A830" s="102">
        <v>46234</v>
      </c>
      <c r="B830" s="103">
        <f>B829+TIME(0,60,0)</f>
        <v>1.0416666666666663</v>
      </c>
      <c r="C830" s="81" t="s">
        <v>29</v>
      </c>
      <c r="D830" s="108" t="s">
        <v>22</v>
      </c>
      <c r="E830" s="108"/>
      <c r="F830" s="100"/>
      <c r="G830" s="101" t="str">
        <f>IF(F830="","",IF(E830="PC 17",F830*4.2,IF(E830="PC 19",F830*5,"")))</f>
        <v/>
      </c>
      <c r="H830" s="80"/>
      <c r="I830" s="80"/>
      <c r="J830" s="80"/>
      <c r="K830" s="98"/>
      <c r="L830" s="98"/>
      <c r="M830" s="78" t="str">
        <f ca="1">IFERROR(IF(K830="","",IF(L830="",MOD(NOW()-K830,1),IF(L830&gt;=K830,L830-K830,L830+1-K830))),"")</f>
        <v/>
      </c>
      <c r="N830" s="105"/>
      <c r="O830" s="47"/>
    </row>
    <row r="831" spans="1:15" ht="15">
      <c r="A831" s="106">
        <v>46234</v>
      </c>
      <c r="B831" s="107">
        <f>B830+TIME(0,60,0)</f>
        <v>1.083333333333333</v>
      </c>
      <c r="C831" s="81" t="s">
        <v>29</v>
      </c>
      <c r="D831" s="108" t="s">
        <v>22</v>
      </c>
      <c r="E831" s="108"/>
      <c r="F831" s="100"/>
      <c r="G831" s="101" t="str">
        <f>IF(F831="","",IF(E831="PC 17",F831*4.2,IF(E831="PC 19",F831*5,"")))</f>
        <v/>
      </c>
      <c r="H831" s="81"/>
      <c r="I831" s="81"/>
      <c r="J831" s="81"/>
      <c r="K831" s="98"/>
      <c r="L831" s="98"/>
      <c r="M831" s="79" t="str">
        <f ca="1">IFERROR(IF(K831="","",IF(L831="",MOD(NOW()-K831,1),IF(L831&gt;=K831,L831-K831,L831+1-K831))),"")</f>
        <v/>
      </c>
      <c r="N831" s="105"/>
      <c r="O831" s="47"/>
    </row>
    <row r="832" spans="1:15" ht="15">
      <c r="A832" s="102">
        <v>46234</v>
      </c>
      <c r="B832" s="103">
        <f>B831+TIME(0,60,0)</f>
        <v>1.1249999999999998</v>
      </c>
      <c r="C832" s="81" t="s">
        <v>29</v>
      </c>
      <c r="D832" s="108" t="s">
        <v>22</v>
      </c>
      <c r="E832" s="108"/>
      <c r="F832" s="100"/>
      <c r="G832" s="101" t="str">
        <f>IF(F832="","",IF(E832="PC 17",F832*4.2,IF(E832="PC 19",F832*5,"")))</f>
        <v/>
      </c>
      <c r="H832" s="80"/>
      <c r="I832" s="80"/>
      <c r="J832" s="80"/>
      <c r="K832" s="98"/>
      <c r="L832" s="98"/>
      <c r="M832" s="78" t="str">
        <f ca="1">IFERROR(IF(K832="","",IF(L832="",MOD(NOW()-K832,1),IF(L832&gt;=K832,L832-K832,L832+1-K832))),"")</f>
        <v/>
      </c>
      <c r="N832" s="105"/>
      <c r="O832" s="47"/>
    </row>
    <row r="833" spans="1:15" ht="15">
      <c r="A833" s="106">
        <v>46234</v>
      </c>
      <c r="B833" s="107">
        <f>B832+TIME(0,60,0)</f>
        <v>1.1666666666666665</v>
      </c>
      <c r="C833" s="81" t="s">
        <v>29</v>
      </c>
      <c r="D833" s="108" t="s">
        <v>22</v>
      </c>
      <c r="E833" s="108"/>
      <c r="F833" s="100"/>
      <c r="G833" s="101" t="str">
        <f>IF(F833="","",IF(E833="PC 17",F833*4.2,IF(E833="PC 19",F833*5,"")))</f>
        <v/>
      </c>
      <c r="H833" s="81"/>
      <c r="I833" s="81"/>
      <c r="J833" s="81"/>
      <c r="K833" s="98"/>
      <c r="L833" s="98"/>
      <c r="M833" s="79" t="str">
        <f ca="1">IFERROR(IF(K833="","",IF(L833="",MOD(NOW()-K833,1),IF(L833&gt;=K833,L833-K833,L833+1-K833))),"")</f>
        <v/>
      </c>
      <c r="N833" s="105"/>
      <c r="O833" s="47"/>
    </row>
    <row r="834" spans="1:15" ht="15">
      <c r="A834" s="102">
        <v>46234</v>
      </c>
      <c r="B834" s="103">
        <f>B833+TIME(0,60,0)</f>
        <v>1.2083333333333333</v>
      </c>
      <c r="C834" s="81" t="s">
        <v>29</v>
      </c>
      <c r="D834" s="108" t="s">
        <v>22</v>
      </c>
      <c r="E834" s="108"/>
      <c r="F834" s="100"/>
      <c r="G834" s="101" t="str">
        <f>IF(F834="","",IF(E834="PC 17",F834*4.2,IF(E834="PC 19",F834*5,"")))</f>
        <v/>
      </c>
      <c r="H834" s="80"/>
      <c r="I834" s="80"/>
      <c r="J834" s="80"/>
      <c r="K834" s="98"/>
      <c r="L834" s="98"/>
      <c r="M834" s="78" t="str">
        <f ca="1">IFERROR(IF(K834="","",IF(L834="",MOD(NOW()-K834,1),IF(L834&gt;=K834,L834-K834,L834+1-K834))),"")</f>
        <v/>
      </c>
      <c r="N834" s="105"/>
      <c r="O834" s="47"/>
    </row>
    <row r="835" spans="1:15" ht="15">
      <c r="A835" s="106">
        <v>46234</v>
      </c>
      <c r="B835" s="107">
        <f>B834+TIME(0,60,0)</f>
        <v>1.25</v>
      </c>
      <c r="C835" s="81" t="s">
        <v>29</v>
      </c>
      <c r="D835" s="108" t="s">
        <v>22</v>
      </c>
      <c r="E835" s="108"/>
      <c r="F835" s="100"/>
      <c r="G835" s="101" t="str">
        <f>IF(F835="","",IF(E835="PC 17",F835*4.2,IF(E835="PC 19",F835*5,"")))</f>
        <v/>
      </c>
      <c r="H835" s="81"/>
      <c r="I835" s="81"/>
      <c r="J835" s="81"/>
      <c r="K835" s="98"/>
      <c r="L835" s="98"/>
      <c r="M835" s="79" t="str">
        <f ca="1">IFERROR(IF(K835="","",IF(L835="",MOD(NOW()-K835,1),IF(L835&gt;=K835,L835-K835,L835+1-K835))),"")</f>
        <v/>
      </c>
      <c r="N835" s="105"/>
      <c r="O835" s="47"/>
    </row>
    <row r="836" spans="1:15" ht="15">
      <c r="A836" s="102">
        <v>46234</v>
      </c>
      <c r="B836" s="103">
        <f>B835+TIME(0,60,0)</f>
        <v>1.2916666666666667</v>
      </c>
      <c r="C836" s="81" t="s">
        <v>29</v>
      </c>
      <c r="D836" s="108" t="s">
        <v>22</v>
      </c>
      <c r="E836" s="108"/>
      <c r="F836" s="100"/>
      <c r="G836" s="101" t="str">
        <f>IF(F836="","",IF(E836="PC 17",F836*4.2,IF(E836="PC 19",F836*5,"")))</f>
        <v/>
      </c>
      <c r="H836" s="80"/>
      <c r="I836" s="80"/>
      <c r="J836" s="80"/>
      <c r="K836" s="98"/>
      <c r="L836" s="98"/>
      <c r="M836" s="78" t="str">
        <f ca="1">IFERROR(IF(K836="","",IF(L836="",MOD(NOW()-K836,1),IF(L836&gt;=K836,L836-K836,L836+1-K836))),"")</f>
        <v/>
      </c>
      <c r="N836" s="105"/>
      <c r="O836" s="47"/>
    </row>
    <row r="837" spans="1:15" ht="15">
      <c r="A837" s="113" t="s">
        <v>238</v>
      </c>
      <c r="B837" s="114"/>
      <c r="C837" s="114"/>
      <c r="D837" s="114"/>
      <c r="E837" s="115">
        <f>SUM(E825:E836)</f>
        <v>0</v>
      </c>
      <c r="F837" s="109">
        <f>SUM(F825:F836)</f>
        <v>13</v>
      </c>
      <c r="G837" s="109">
        <f>SUM(G825:G836)</f>
        <v>65</v>
      </c>
      <c r="H837" s="37"/>
      <c r="I837" s="37"/>
      <c r="J837" s="37"/>
      <c r="K837" s="37"/>
      <c r="L837" s="37"/>
      <c r="M837" s="110">
        <f ca="1">IFERROR(SUM(M825:M836),"")</f>
        <v>7.6388888888889728E-3</v>
      </c>
      <c r="N837" s="109" t="s">
        <v>237</v>
      </c>
      <c r="O837" s="77"/>
    </row>
    <row r="838" spans="1:15" ht="15">
      <c r="A838" s="116" t="s">
        <v>239</v>
      </c>
      <c r="B838" s="117"/>
      <c r="C838" s="117"/>
      <c r="D838" s="117"/>
      <c r="E838" s="118">
        <f>E824+E837</f>
        <v>0</v>
      </c>
      <c r="F838" s="111">
        <f>F824+F837</f>
        <v>146</v>
      </c>
      <c r="G838" s="111">
        <f>G824+G837</f>
        <v>65</v>
      </c>
      <c r="H838" s="41"/>
      <c r="I838" s="41"/>
      <c r="J838" s="41"/>
      <c r="K838" s="41"/>
      <c r="L838" s="41"/>
      <c r="M838" s="112">
        <f ca="1">IFERROR(M824+M837,"")</f>
        <v>0.16736111111111118</v>
      </c>
      <c r="N838" s="111" t="s">
        <v>240</v>
      </c>
      <c r="O838" s="83">
        <f>IFERROR(O824+O837,"")</f>
        <v>656110</v>
      </c>
    </row>
  </sheetData>
  <mergeCells count="93">
    <mergeCell ref="A122:E122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11:E311"/>
    <mergeCell ref="A324:E324"/>
    <mergeCell ref="A325:E325"/>
    <mergeCell ref="A338:E338"/>
    <mergeCell ref="A351:E351"/>
    <mergeCell ref="A352:E352"/>
    <mergeCell ref="A365:E365"/>
    <mergeCell ref="A460:E460"/>
    <mergeCell ref="A378:E378"/>
    <mergeCell ref="A379:E379"/>
    <mergeCell ref="A392:E392"/>
    <mergeCell ref="A405:E405"/>
    <mergeCell ref="A406:E406"/>
    <mergeCell ref="A419:E419"/>
    <mergeCell ref="A432:E432"/>
    <mergeCell ref="A433:E433"/>
    <mergeCell ref="A446:E446"/>
    <mergeCell ref="A459:E459"/>
    <mergeCell ref="A473:E473"/>
    <mergeCell ref="A486:E486"/>
    <mergeCell ref="A487:E487"/>
    <mergeCell ref="A500:E500"/>
    <mergeCell ref="A513:E513"/>
    <mergeCell ref="A568:E568"/>
    <mergeCell ref="A581:E581"/>
    <mergeCell ref="A594:E594"/>
    <mergeCell ref="A595:E595"/>
    <mergeCell ref="A514:E514"/>
    <mergeCell ref="A527:E527"/>
    <mergeCell ref="A540:E540"/>
    <mergeCell ref="A541:E541"/>
    <mergeCell ref="A554:E554"/>
    <mergeCell ref="A770:E770"/>
    <mergeCell ref="A783:E783"/>
    <mergeCell ref="A702:E702"/>
    <mergeCell ref="A703:E703"/>
    <mergeCell ref="A716:E716"/>
    <mergeCell ref="A729:E729"/>
    <mergeCell ref="A730:E730"/>
    <mergeCell ref="A108:E108"/>
    <mergeCell ref="A109:E109"/>
    <mergeCell ref="A743:E743"/>
    <mergeCell ref="A756:E756"/>
    <mergeCell ref="A757:E757"/>
    <mergeCell ref="A649:E649"/>
    <mergeCell ref="A662:E662"/>
    <mergeCell ref="A675:E675"/>
    <mergeCell ref="A676:E676"/>
    <mergeCell ref="A689:E689"/>
    <mergeCell ref="A608:E608"/>
    <mergeCell ref="A621:E621"/>
    <mergeCell ref="A622:E622"/>
    <mergeCell ref="A635:E635"/>
    <mergeCell ref="A648:E648"/>
    <mergeCell ref="A567:E567"/>
    <mergeCell ref="A55:E55"/>
    <mergeCell ref="A68:E68"/>
    <mergeCell ref="A81:E81"/>
    <mergeCell ref="A82:E82"/>
    <mergeCell ref="A95:E95"/>
    <mergeCell ref="A14:E14"/>
    <mergeCell ref="A27:E27"/>
    <mergeCell ref="A28:E28"/>
    <mergeCell ref="A41:E41"/>
    <mergeCell ref="A54:E54"/>
    <mergeCell ref="A811:E811"/>
    <mergeCell ref="A824:E824"/>
    <mergeCell ref="A837:E837"/>
    <mergeCell ref="A838:E838"/>
    <mergeCell ref="A784:E784"/>
    <mergeCell ref="A797:E797"/>
    <mergeCell ref="A810:E810"/>
  </mergeCells>
  <phoneticPr fontId="18" type="noConversion"/>
  <dataValidations count="2">
    <dataValidation type="list" showErrorMessage="1" errorTitle="Atenção" error="Selecione primeiro o Tipo de Parada (col G) e depois escolha a Descrição da lista." sqref="J2:J900" xr:uid="{00000000-0002-0000-02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15:E26 E2:E13 E454:E838 E29:E452" xr:uid="{7188C92F-485A-440E-AF29-C2FC80E6A9F8}">
      <formula1>"PC 17,PC 19"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200-000002000000}">
          <x14:formula1>
            <xm:f>Cadastro!$A$4:$A$50</xm:f>
          </x14:formula1>
          <x14:formula2>
            <xm:f>0</xm:f>
          </x14:formula2>
          <xm:sqref>C15:C26 C2:C13 C29:C900</xm:sqref>
        </x14:dataValidation>
        <x14:dataValidation type="list" allowBlank="1" showErrorMessage="1" errorTitle="Valor inválido" error="Selecione da lista." xr:uid="{00000000-0002-0000-0200-000003000000}">
          <x14:formula1>
            <xm:f>Cadastro!$C$4:$C$10</xm:f>
          </x14:formula1>
          <x14:formula2>
            <xm:f>0</xm:f>
          </x14:formula2>
          <xm:sqref>D15:D26 D3:D13 D29:D900</xm:sqref>
        </x14:dataValidation>
        <x14:dataValidation type="list" allowBlank="1" showErrorMessage="1" errorTitle="Valor inválido" error="Selecione da lista." xr:uid="{00000000-0002-0000-0200-000004000000}">
          <x14:formula1>
            <xm:f>Cadastro!$E$4:$E$10</xm:f>
          </x14:formula1>
          <x14:formula2>
            <xm:f>0</xm:f>
          </x14:formula2>
          <xm:sqref>G797 G824 H2:H900</xm:sqref>
        </x14:dataValidation>
        <x14:dataValidation type="list" allowBlank="1" showErrorMessage="1" errorTitle="Valor inválido" error="Selecione da lista." xr:uid="{00000000-0002-0000-0200-000005000000}">
          <x14:formula1>
            <xm:f>Cadastro!$G$4:$G$40</xm:f>
          </x14:formula1>
          <x14:formula2>
            <xm:f>0</xm:f>
          </x14:formula2>
          <xm:sqref>I2:I900</xm:sqref>
        </x14:dataValidation>
      </x14:dataValidations>
    </ext>
  </extLst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>
    <tabColor rgb="FFC0504D"/>
  </sheetPr>
  <dimension ref="A1:O838"/>
  <sheetViews>
    <sheetView showGridLines="0" zoomScale="50" zoomScaleNormal="50" workbookViewId="0">
      <pane ySplit="1" topLeftCell="A804" activePane="bottomLeft" state="frozen"/>
      <selection pane="bottomLeft" activeCell="E825" sqref="E825"/>
    </sheetView>
  </sheetViews>
  <sheetFormatPr defaultColWidth="8.5703125" defaultRowHeight="14.45"/>
  <cols>
    <col min="1" max="1" width="13" style="74" customWidth="1"/>
    <col min="2" max="2" width="9" style="20" customWidth="1"/>
    <col min="3" max="3" width="14" style="20" customWidth="1"/>
    <col min="4" max="5" width="16.140625" style="20" customWidth="1"/>
    <col min="6" max="6" width="13" style="20" customWidth="1"/>
    <col min="7" max="7" width="14" style="20" customWidth="1"/>
    <col min="8" max="8" width="29.42578125" style="20" customWidth="1"/>
    <col min="9" max="9" width="29.28515625" style="20" customWidth="1"/>
    <col min="10" max="10" width="46.140625" style="20" customWidth="1"/>
    <col min="11" max="11" width="15.42578125" style="20" customWidth="1"/>
    <col min="12" max="12" width="12" style="21" customWidth="1"/>
    <col min="13" max="13" width="15.5703125" style="20" customWidth="1"/>
    <col min="14" max="14" width="53.5703125" style="20" customWidth="1"/>
    <col min="15" max="15" width="20" customWidth="1"/>
    <col min="16" max="16" width="20.140625" customWidth="1"/>
  </cols>
  <sheetData>
    <row r="1" spans="1:15" ht="37.5" customHeight="1">
      <c r="A1" s="67" t="s">
        <v>7</v>
      </c>
      <c r="B1" s="23" t="s">
        <v>223</v>
      </c>
      <c r="C1" s="23" t="s">
        <v>12</v>
      </c>
      <c r="D1" s="22" t="s">
        <v>13</v>
      </c>
      <c r="E1" s="22" t="s">
        <v>224</v>
      </c>
      <c r="F1" s="23" t="s">
        <v>225</v>
      </c>
      <c r="G1" s="23" t="s">
        <v>226</v>
      </c>
      <c r="H1" s="23" t="s">
        <v>14</v>
      </c>
      <c r="I1" s="23" t="s">
        <v>15</v>
      </c>
      <c r="J1" s="23" t="s">
        <v>227</v>
      </c>
      <c r="K1" s="23" t="s">
        <v>228</v>
      </c>
      <c r="L1" s="23" t="s">
        <v>229</v>
      </c>
      <c r="M1" s="24" t="s">
        <v>230</v>
      </c>
      <c r="N1" s="23" t="s">
        <v>231</v>
      </c>
      <c r="O1" s="23" t="s">
        <v>232</v>
      </c>
    </row>
    <row r="2" spans="1:15" ht="15" customHeight="1">
      <c r="A2" s="68">
        <v>46204</v>
      </c>
      <c r="B2" s="25">
        <v>0.33333333333333298</v>
      </c>
      <c r="C2" s="26" t="s">
        <v>29</v>
      </c>
      <c r="D2" s="59" t="s">
        <v>30</v>
      </c>
      <c r="E2" s="59" t="s">
        <v>261</v>
      </c>
      <c r="F2" s="27">
        <v>0</v>
      </c>
      <c r="G2" s="28">
        <f t="shared" ref="G2:G13" si="0">IF(F2="","",IF(E2="PC 17",F2*4.2,IF(E2="PC 19",F2*5,"")))</f>
        <v>0</v>
      </c>
      <c r="H2" s="26" t="s">
        <v>20</v>
      </c>
      <c r="I2" s="26"/>
      <c r="J2" s="26" t="s">
        <v>178</v>
      </c>
      <c r="K2" s="29">
        <v>0.29166666666666669</v>
      </c>
      <c r="L2" s="29">
        <v>0.33333333333333331</v>
      </c>
      <c r="M2" s="35">
        <f t="shared" ref="M2:M13" ca="1" si="1">IFERROR(IF(K2="","",IF(L2="",MOD(NOW()-K2,1),IF(L2&gt;=K2,L2-K2,L2+1-K2))),"")</f>
        <v>4.166666666666663E-2</v>
      </c>
      <c r="N2" s="46"/>
      <c r="O2" s="31"/>
    </row>
    <row r="3" spans="1:15" ht="15" customHeight="1">
      <c r="A3" s="69">
        <v>46204</v>
      </c>
      <c r="B3" s="32">
        <f t="shared" ref="B3:B13" si="2">B2+TIME(0,60,0)</f>
        <v>0.37499999999999967</v>
      </c>
      <c r="C3" s="26" t="s">
        <v>29</v>
      </c>
      <c r="D3" s="59" t="s">
        <v>30</v>
      </c>
      <c r="E3" s="59" t="s">
        <v>261</v>
      </c>
      <c r="F3" s="27">
        <v>10</v>
      </c>
      <c r="G3" s="34">
        <f t="shared" si="0"/>
        <v>42</v>
      </c>
      <c r="H3" s="33" t="s">
        <v>19</v>
      </c>
      <c r="I3" s="33" t="s">
        <v>157</v>
      </c>
      <c r="J3" s="33" t="s">
        <v>27</v>
      </c>
      <c r="K3" s="29">
        <v>0.44930555555555557</v>
      </c>
      <c r="L3" s="29">
        <v>0.47222222222222221</v>
      </c>
      <c r="M3" s="30">
        <f t="shared" ca="1" si="1"/>
        <v>2.2916666666666641E-2</v>
      </c>
      <c r="N3" s="46"/>
      <c r="O3" s="31"/>
    </row>
    <row r="4" spans="1:15" ht="15" customHeight="1">
      <c r="A4" s="68">
        <v>46204</v>
      </c>
      <c r="B4" s="25">
        <f t="shared" si="2"/>
        <v>0.41666666666666635</v>
      </c>
      <c r="C4" s="26" t="s">
        <v>29</v>
      </c>
      <c r="D4" s="59" t="s">
        <v>30</v>
      </c>
      <c r="E4" s="59" t="s">
        <v>261</v>
      </c>
      <c r="F4" s="27">
        <v>8</v>
      </c>
      <c r="G4" s="28">
        <f t="shared" si="0"/>
        <v>33.6</v>
      </c>
      <c r="H4" s="26" t="s">
        <v>19</v>
      </c>
      <c r="I4" s="26" t="s">
        <v>157</v>
      </c>
      <c r="J4" s="26" t="s">
        <v>27</v>
      </c>
      <c r="K4" s="29">
        <v>0.71736111111111112</v>
      </c>
      <c r="L4" s="29">
        <v>0.74236111111111114</v>
      </c>
      <c r="M4" s="35">
        <f t="shared" ca="1" si="1"/>
        <v>2.5000000000000022E-2</v>
      </c>
      <c r="N4" s="46"/>
      <c r="O4" s="31"/>
    </row>
    <row r="5" spans="1:15" ht="15" customHeight="1">
      <c r="A5" s="69">
        <v>46204</v>
      </c>
      <c r="B5" s="32">
        <f t="shared" si="2"/>
        <v>0.45833333333333304</v>
      </c>
      <c r="C5" s="26" t="s">
        <v>29</v>
      </c>
      <c r="D5" s="59" t="s">
        <v>30</v>
      </c>
      <c r="E5" s="59" t="s">
        <v>261</v>
      </c>
      <c r="F5" s="27">
        <v>8</v>
      </c>
      <c r="G5" s="34">
        <f t="shared" si="0"/>
        <v>33.6</v>
      </c>
      <c r="H5" s="33"/>
      <c r="I5" s="33"/>
      <c r="J5" s="33"/>
      <c r="K5" s="29"/>
      <c r="L5" s="29"/>
      <c r="M5" s="30" t="str">
        <f t="shared" ca="1" si="1"/>
        <v/>
      </c>
      <c r="N5" s="46"/>
      <c r="O5" s="31"/>
    </row>
    <row r="6" spans="1:15" ht="15" customHeight="1">
      <c r="A6" s="68">
        <v>46204</v>
      </c>
      <c r="B6" s="25">
        <f t="shared" si="2"/>
        <v>0.49999999999999972</v>
      </c>
      <c r="C6" s="26" t="s">
        <v>29</v>
      </c>
      <c r="D6" s="59" t="s">
        <v>30</v>
      </c>
      <c r="E6" s="59" t="s">
        <v>261</v>
      </c>
      <c r="F6" s="27">
        <v>15</v>
      </c>
      <c r="G6" s="28">
        <f t="shared" si="0"/>
        <v>63</v>
      </c>
      <c r="H6" s="26"/>
      <c r="I6" s="26"/>
      <c r="J6" s="26"/>
      <c r="K6" s="29"/>
      <c r="L6" s="29"/>
      <c r="M6" s="35" t="str">
        <f t="shared" ca="1" si="1"/>
        <v/>
      </c>
      <c r="N6" s="46"/>
      <c r="O6" s="31"/>
    </row>
    <row r="7" spans="1:15" ht="15" customHeight="1">
      <c r="A7" s="69">
        <v>46204</v>
      </c>
      <c r="B7" s="32">
        <f t="shared" si="2"/>
        <v>0.54166666666666641</v>
      </c>
      <c r="C7" s="26" t="s">
        <v>29</v>
      </c>
      <c r="D7" s="59" t="s">
        <v>30</v>
      </c>
      <c r="E7" s="59" t="s">
        <v>261</v>
      </c>
      <c r="F7" s="27">
        <v>8</v>
      </c>
      <c r="G7" s="34">
        <f t="shared" si="0"/>
        <v>33.6</v>
      </c>
      <c r="H7" s="33"/>
      <c r="I7" s="33"/>
      <c r="J7" s="33"/>
      <c r="K7" s="29"/>
      <c r="L7" s="29"/>
      <c r="M7" s="30" t="str">
        <f t="shared" ca="1" si="1"/>
        <v/>
      </c>
      <c r="N7" s="46"/>
      <c r="O7" s="31"/>
    </row>
    <row r="8" spans="1:15" ht="15" customHeight="1">
      <c r="A8" s="68">
        <v>46204</v>
      </c>
      <c r="B8" s="25">
        <f t="shared" si="2"/>
        <v>0.58333333333333304</v>
      </c>
      <c r="C8" s="26" t="s">
        <v>29</v>
      </c>
      <c r="D8" s="59" t="s">
        <v>30</v>
      </c>
      <c r="E8" s="59" t="s">
        <v>261</v>
      </c>
      <c r="F8" s="27">
        <v>25</v>
      </c>
      <c r="G8" s="28">
        <f t="shared" si="0"/>
        <v>105</v>
      </c>
      <c r="H8" s="26"/>
      <c r="I8" s="26"/>
      <c r="J8" s="26"/>
      <c r="K8" s="29"/>
      <c r="L8" s="29"/>
      <c r="M8" s="35" t="str">
        <f t="shared" ca="1" si="1"/>
        <v/>
      </c>
      <c r="N8" s="46"/>
      <c r="O8" s="31"/>
    </row>
    <row r="9" spans="1:15" ht="15" customHeight="1">
      <c r="A9" s="69">
        <v>46204</v>
      </c>
      <c r="B9" s="32">
        <f t="shared" si="2"/>
        <v>0.62499999999999967</v>
      </c>
      <c r="C9" s="26" t="s">
        <v>29</v>
      </c>
      <c r="D9" s="59" t="s">
        <v>30</v>
      </c>
      <c r="E9" s="59" t="s">
        <v>261</v>
      </c>
      <c r="F9" s="27">
        <v>24</v>
      </c>
      <c r="G9" s="28">
        <f t="shared" si="0"/>
        <v>100.80000000000001</v>
      </c>
      <c r="H9" s="33"/>
      <c r="I9" s="33"/>
      <c r="J9" s="33"/>
      <c r="K9" s="29"/>
      <c r="L9" s="29"/>
      <c r="M9" s="30" t="str">
        <f t="shared" ca="1" si="1"/>
        <v/>
      </c>
      <c r="N9" s="46"/>
      <c r="O9" s="31"/>
    </row>
    <row r="10" spans="1:15" ht="15" customHeight="1">
      <c r="A10" s="68">
        <v>46204</v>
      </c>
      <c r="B10" s="25">
        <f t="shared" si="2"/>
        <v>0.6666666666666663</v>
      </c>
      <c r="C10" s="26" t="s">
        <v>29</v>
      </c>
      <c r="D10" s="59" t="s">
        <v>30</v>
      </c>
      <c r="E10" s="59" t="s">
        <v>261</v>
      </c>
      <c r="F10" s="27">
        <v>14</v>
      </c>
      <c r="G10" s="28">
        <f t="shared" si="0"/>
        <v>58.800000000000004</v>
      </c>
      <c r="H10" s="26"/>
      <c r="I10" s="26"/>
      <c r="J10" s="26"/>
      <c r="K10" s="29"/>
      <c r="L10" s="29"/>
      <c r="M10" s="35" t="str">
        <f t="shared" ca="1" si="1"/>
        <v/>
      </c>
      <c r="N10" s="46"/>
      <c r="O10" s="31"/>
    </row>
    <row r="11" spans="1:15" ht="15" customHeight="1">
      <c r="A11" s="69">
        <v>46204</v>
      </c>
      <c r="B11" s="32">
        <f t="shared" si="2"/>
        <v>0.70833333333333293</v>
      </c>
      <c r="C11" s="26" t="s">
        <v>29</v>
      </c>
      <c r="D11" s="59" t="s">
        <v>30</v>
      </c>
      <c r="E11" s="59" t="s">
        <v>261</v>
      </c>
      <c r="F11" s="27">
        <v>21</v>
      </c>
      <c r="G11" s="28">
        <f t="shared" si="0"/>
        <v>88.2</v>
      </c>
      <c r="H11" s="33"/>
      <c r="I11" s="33"/>
      <c r="J11" s="33"/>
      <c r="K11" s="29"/>
      <c r="L11" s="29"/>
      <c r="M11" s="30" t="str">
        <f t="shared" ca="1" si="1"/>
        <v/>
      </c>
      <c r="N11" s="46"/>
      <c r="O11" s="31"/>
    </row>
    <row r="12" spans="1:15" ht="15" customHeight="1">
      <c r="A12" s="68">
        <v>46204</v>
      </c>
      <c r="B12" s="25">
        <f t="shared" si="2"/>
        <v>0.74999999999999956</v>
      </c>
      <c r="C12" s="26" t="s">
        <v>29</v>
      </c>
      <c r="D12" s="59" t="s">
        <v>30</v>
      </c>
      <c r="E12" s="59" t="s">
        <v>261</v>
      </c>
      <c r="F12" s="27">
        <v>4</v>
      </c>
      <c r="G12" s="28">
        <f t="shared" si="0"/>
        <v>16.8</v>
      </c>
      <c r="H12" s="26"/>
      <c r="I12" s="26"/>
      <c r="J12" s="26"/>
      <c r="K12" s="29"/>
      <c r="L12" s="29"/>
      <c r="M12" s="35" t="str">
        <f t="shared" ca="1" si="1"/>
        <v/>
      </c>
      <c r="N12" s="46"/>
      <c r="O12" s="31"/>
    </row>
    <row r="13" spans="1:15" ht="15" customHeight="1">
      <c r="A13" s="69">
        <v>46204</v>
      </c>
      <c r="B13" s="32">
        <f t="shared" si="2"/>
        <v>0.79166666666666619</v>
      </c>
      <c r="C13" s="26" t="s">
        <v>29</v>
      </c>
      <c r="D13" s="59" t="s">
        <v>30</v>
      </c>
      <c r="E13" s="59" t="s">
        <v>261</v>
      </c>
      <c r="F13" s="27">
        <v>11</v>
      </c>
      <c r="G13" s="28">
        <f t="shared" si="0"/>
        <v>46.2</v>
      </c>
      <c r="H13" s="33"/>
      <c r="I13" s="33"/>
      <c r="J13" s="33"/>
      <c r="K13" s="29"/>
      <c r="L13" s="29"/>
      <c r="M13" s="30" t="str">
        <f t="shared" ca="1" si="1"/>
        <v/>
      </c>
      <c r="N13" s="46"/>
      <c r="O13" s="31"/>
    </row>
    <row r="14" spans="1:15" ht="15.75" customHeight="1">
      <c r="A14" s="119" t="s">
        <v>236</v>
      </c>
      <c r="B14" s="120"/>
      <c r="C14" s="120"/>
      <c r="D14" s="120"/>
      <c r="E14" s="121"/>
      <c r="F14" s="36">
        <f>SUM(F2:F13)</f>
        <v>148</v>
      </c>
      <c r="G14" s="36">
        <f>SUM(G2:G13)</f>
        <v>621.6</v>
      </c>
      <c r="H14" s="37"/>
      <c r="I14" s="37"/>
      <c r="J14" s="37"/>
      <c r="K14" s="37"/>
      <c r="L14" s="37"/>
      <c r="M14" s="38">
        <f ca="1">IFERROR(SUM(M2:M13),"")</f>
        <v>8.9583333333333293E-2</v>
      </c>
      <c r="N14" s="36" t="s">
        <v>237</v>
      </c>
      <c r="O14" s="77">
        <v>627260</v>
      </c>
    </row>
    <row r="15" spans="1:15" ht="15" customHeight="1">
      <c r="A15" s="69">
        <v>46204</v>
      </c>
      <c r="B15" s="32">
        <v>0.83333333333333304</v>
      </c>
      <c r="C15" s="33" t="s">
        <v>45</v>
      </c>
      <c r="D15" s="62" t="s">
        <v>30</v>
      </c>
      <c r="E15" s="62" t="s">
        <v>261</v>
      </c>
      <c r="F15" s="27">
        <v>17</v>
      </c>
      <c r="G15" s="34">
        <f t="shared" ref="G15:G26" si="3">IF(F15="","",IF(E15="PC 17",F15*4.2,IF(E15="PC 19",F15*5,"")))</f>
        <v>71.400000000000006</v>
      </c>
      <c r="H15" s="33" t="s">
        <v>18</v>
      </c>
      <c r="I15" s="33" t="s">
        <v>157</v>
      </c>
      <c r="J15" s="33" t="s">
        <v>164</v>
      </c>
      <c r="K15" s="29">
        <v>0.91666666666666663</v>
      </c>
      <c r="L15" s="29">
        <v>5.2777777777777778E-2</v>
      </c>
      <c r="M15" s="35">
        <f t="shared" ref="M15:M26" ca="1" si="4">IFERROR(IF(K15="","",IF(L15="",MOD(NOW()-K15,1),IF(L15&gt;=K15,L15-K15,L15+1-K15))),"")</f>
        <v>0.13611111111111118</v>
      </c>
      <c r="N15" s="46"/>
      <c r="O15" s="31"/>
    </row>
    <row r="16" spans="1:15" ht="15" customHeight="1">
      <c r="A16" s="68">
        <v>46204</v>
      </c>
      <c r="B16" s="25">
        <f t="shared" ref="B16:B26" si="5">B15+TIME(0,60,0)</f>
        <v>0.87499999999999967</v>
      </c>
      <c r="C16" s="33" t="s">
        <v>45</v>
      </c>
      <c r="D16" s="62" t="s">
        <v>30</v>
      </c>
      <c r="E16" s="62" t="s">
        <v>261</v>
      </c>
      <c r="F16" s="27">
        <v>14</v>
      </c>
      <c r="G16" s="34">
        <f t="shared" si="3"/>
        <v>58.800000000000004</v>
      </c>
      <c r="H16" s="26"/>
      <c r="I16" s="26"/>
      <c r="J16" s="26"/>
      <c r="K16" s="29"/>
      <c r="L16" s="29"/>
      <c r="M16" s="35" t="str">
        <f t="shared" ca="1" si="4"/>
        <v/>
      </c>
      <c r="N16" s="46"/>
      <c r="O16" s="31"/>
    </row>
    <row r="17" spans="1:15" ht="15" customHeight="1">
      <c r="A17" s="69">
        <v>46204</v>
      </c>
      <c r="B17" s="32">
        <f t="shared" si="5"/>
        <v>0.9166666666666663</v>
      </c>
      <c r="C17" s="33" t="s">
        <v>45</v>
      </c>
      <c r="D17" s="62" t="s">
        <v>30</v>
      </c>
      <c r="E17" s="62" t="s">
        <v>261</v>
      </c>
      <c r="F17" s="27">
        <v>14</v>
      </c>
      <c r="G17" s="34">
        <f t="shared" si="3"/>
        <v>58.800000000000004</v>
      </c>
      <c r="H17" s="33"/>
      <c r="I17" s="33"/>
      <c r="J17" s="33"/>
      <c r="K17" s="29"/>
      <c r="L17" s="29"/>
      <c r="M17" s="35" t="str">
        <f t="shared" ca="1" si="4"/>
        <v/>
      </c>
      <c r="N17" s="46"/>
      <c r="O17" s="31"/>
    </row>
    <row r="18" spans="1:15" ht="15" customHeight="1">
      <c r="A18" s="68">
        <v>46204</v>
      </c>
      <c r="B18" s="25">
        <f t="shared" si="5"/>
        <v>0.95833333333333293</v>
      </c>
      <c r="C18" s="33" t="s">
        <v>45</v>
      </c>
      <c r="D18" s="62" t="s">
        <v>30</v>
      </c>
      <c r="E18" s="62" t="s">
        <v>261</v>
      </c>
      <c r="F18" s="27">
        <v>14</v>
      </c>
      <c r="G18" s="34">
        <f t="shared" si="3"/>
        <v>58.800000000000004</v>
      </c>
      <c r="H18" s="26"/>
      <c r="I18" s="26"/>
      <c r="J18" s="26"/>
      <c r="K18" s="29"/>
      <c r="L18" s="29"/>
      <c r="M18" s="35" t="str">
        <f t="shared" ca="1" si="4"/>
        <v/>
      </c>
      <c r="N18" s="46"/>
      <c r="O18" s="31"/>
    </row>
    <row r="19" spans="1:15" ht="15" customHeight="1">
      <c r="A19" s="69">
        <v>46204</v>
      </c>
      <c r="B19" s="32">
        <f t="shared" si="5"/>
        <v>0.99999999999999956</v>
      </c>
      <c r="C19" s="33" t="s">
        <v>45</v>
      </c>
      <c r="D19" s="62" t="s">
        <v>30</v>
      </c>
      <c r="E19" s="62" t="s">
        <v>261</v>
      </c>
      <c r="F19" s="27">
        <v>3</v>
      </c>
      <c r="G19" s="34">
        <f t="shared" si="3"/>
        <v>12.600000000000001</v>
      </c>
      <c r="H19" s="33"/>
      <c r="I19" s="33"/>
      <c r="J19" s="33"/>
      <c r="K19" s="29"/>
      <c r="L19" s="29"/>
      <c r="M19" s="35" t="str">
        <f t="shared" ca="1" si="4"/>
        <v/>
      </c>
      <c r="N19" s="46"/>
      <c r="O19" s="31"/>
    </row>
    <row r="20" spans="1:15" ht="15" customHeight="1">
      <c r="A20" s="68">
        <v>46204</v>
      </c>
      <c r="B20" s="25">
        <f t="shared" si="5"/>
        <v>1.0416666666666663</v>
      </c>
      <c r="C20" s="33" t="s">
        <v>45</v>
      </c>
      <c r="D20" s="62" t="s">
        <v>30</v>
      </c>
      <c r="E20" s="62" t="s">
        <v>261</v>
      </c>
      <c r="F20" s="27">
        <v>3</v>
      </c>
      <c r="G20" s="34">
        <f t="shared" si="3"/>
        <v>12.600000000000001</v>
      </c>
      <c r="H20" s="26"/>
      <c r="I20" s="26"/>
      <c r="J20" s="26"/>
      <c r="K20" s="29"/>
      <c r="L20" s="29"/>
      <c r="M20" s="35" t="str">
        <f t="shared" ca="1" si="4"/>
        <v/>
      </c>
      <c r="N20" s="46"/>
      <c r="O20" s="31"/>
    </row>
    <row r="21" spans="1:15" ht="15" customHeight="1">
      <c r="A21" s="69">
        <v>46204</v>
      </c>
      <c r="B21" s="32">
        <f t="shared" si="5"/>
        <v>1.083333333333333</v>
      </c>
      <c r="C21" s="33" t="s">
        <v>45</v>
      </c>
      <c r="D21" s="62" t="s">
        <v>30</v>
      </c>
      <c r="E21" s="62" t="s">
        <v>261</v>
      </c>
      <c r="F21" s="27">
        <v>3</v>
      </c>
      <c r="G21" s="34">
        <f t="shared" si="3"/>
        <v>12.600000000000001</v>
      </c>
      <c r="H21" s="33"/>
      <c r="I21" s="33"/>
      <c r="J21" s="33"/>
      <c r="K21" s="29"/>
      <c r="L21" s="29"/>
      <c r="M21" s="35" t="str">
        <f t="shared" ca="1" si="4"/>
        <v/>
      </c>
      <c r="N21" s="46"/>
      <c r="O21" s="31"/>
    </row>
    <row r="22" spans="1:15" ht="15" customHeight="1">
      <c r="A22" s="68">
        <v>46204</v>
      </c>
      <c r="B22" s="25">
        <f t="shared" si="5"/>
        <v>1.1249999999999998</v>
      </c>
      <c r="C22" s="33" t="s">
        <v>45</v>
      </c>
      <c r="D22" s="62" t="s">
        <v>30</v>
      </c>
      <c r="E22" s="62" t="s">
        <v>261</v>
      </c>
      <c r="F22" s="27">
        <v>6</v>
      </c>
      <c r="G22" s="34">
        <f t="shared" si="3"/>
        <v>25.200000000000003</v>
      </c>
      <c r="H22" s="26"/>
      <c r="I22" s="26"/>
      <c r="J22" s="26"/>
      <c r="K22" s="29"/>
      <c r="L22" s="29"/>
      <c r="M22" s="35" t="str">
        <f t="shared" ca="1" si="4"/>
        <v/>
      </c>
      <c r="N22" s="46"/>
      <c r="O22" s="31"/>
    </row>
    <row r="23" spans="1:15" ht="15" customHeight="1">
      <c r="A23" s="69">
        <v>46204</v>
      </c>
      <c r="B23" s="32">
        <f t="shared" si="5"/>
        <v>1.1666666666666665</v>
      </c>
      <c r="C23" s="33" t="s">
        <v>45</v>
      </c>
      <c r="D23" s="62" t="s">
        <v>30</v>
      </c>
      <c r="E23" s="62" t="s">
        <v>261</v>
      </c>
      <c r="F23" s="76">
        <v>6</v>
      </c>
      <c r="G23" s="34">
        <f t="shared" si="3"/>
        <v>25.200000000000003</v>
      </c>
      <c r="H23" s="33"/>
      <c r="I23" s="33"/>
      <c r="J23" s="33"/>
      <c r="K23" s="29"/>
      <c r="L23" s="29"/>
      <c r="M23" s="35" t="str">
        <f t="shared" ca="1" si="4"/>
        <v/>
      </c>
      <c r="N23" s="46"/>
      <c r="O23" s="31"/>
    </row>
    <row r="24" spans="1:15" ht="15" customHeight="1">
      <c r="A24" s="68">
        <v>46204</v>
      </c>
      <c r="B24" s="25">
        <f t="shared" si="5"/>
        <v>1.2083333333333333</v>
      </c>
      <c r="C24" s="33" t="s">
        <v>45</v>
      </c>
      <c r="D24" s="62" t="s">
        <v>30</v>
      </c>
      <c r="E24" s="62" t="s">
        <v>261</v>
      </c>
      <c r="F24" s="27">
        <v>4</v>
      </c>
      <c r="G24" s="34">
        <f t="shared" si="3"/>
        <v>16.8</v>
      </c>
      <c r="H24" s="26"/>
      <c r="I24" s="26"/>
      <c r="J24" s="26"/>
      <c r="K24" s="29"/>
      <c r="L24" s="29"/>
      <c r="M24" s="35" t="str">
        <f t="shared" ca="1" si="4"/>
        <v/>
      </c>
      <c r="N24" s="46"/>
      <c r="O24" s="31"/>
    </row>
    <row r="25" spans="1:15" ht="15" customHeight="1">
      <c r="A25" s="69">
        <v>46204</v>
      </c>
      <c r="B25" s="32">
        <f t="shared" si="5"/>
        <v>1.25</v>
      </c>
      <c r="C25" s="33" t="s">
        <v>45</v>
      </c>
      <c r="D25" s="62" t="s">
        <v>30</v>
      </c>
      <c r="E25" s="62" t="s">
        <v>261</v>
      </c>
      <c r="F25" s="27">
        <v>7</v>
      </c>
      <c r="G25" s="34">
        <f t="shared" si="3"/>
        <v>29.400000000000002</v>
      </c>
      <c r="H25" s="33"/>
      <c r="I25" s="33"/>
      <c r="J25" s="33"/>
      <c r="K25" s="29"/>
      <c r="L25" s="29"/>
      <c r="M25" s="35" t="str">
        <f t="shared" ca="1" si="4"/>
        <v/>
      </c>
      <c r="N25" s="46"/>
      <c r="O25" s="31"/>
    </row>
    <row r="26" spans="1:15" ht="15" customHeight="1">
      <c r="A26" s="68">
        <v>46204</v>
      </c>
      <c r="B26" s="25">
        <f t="shared" si="5"/>
        <v>1.2916666666666667</v>
      </c>
      <c r="C26" s="33" t="s">
        <v>45</v>
      </c>
      <c r="D26" s="62" t="s">
        <v>30</v>
      </c>
      <c r="E26" s="62" t="s">
        <v>261</v>
      </c>
      <c r="F26" s="27">
        <v>0</v>
      </c>
      <c r="G26" s="34">
        <f t="shared" si="3"/>
        <v>0</v>
      </c>
      <c r="H26" s="26"/>
      <c r="I26" s="26"/>
      <c r="J26" s="26"/>
      <c r="K26" s="29"/>
      <c r="L26" s="29"/>
      <c r="M26" s="35" t="str">
        <f t="shared" ca="1" si="4"/>
        <v/>
      </c>
      <c r="N26" s="46"/>
    </row>
    <row r="27" spans="1:15" ht="15.75" customHeight="1">
      <c r="A27" s="119" t="s">
        <v>238</v>
      </c>
      <c r="B27" s="120"/>
      <c r="C27" s="120"/>
      <c r="D27" s="120"/>
      <c r="E27" s="121"/>
      <c r="F27" s="36">
        <f>SUM(F15:F26)</f>
        <v>91</v>
      </c>
      <c r="G27" s="36">
        <f>SUM(G15:G26)</f>
        <v>382.20000000000005</v>
      </c>
      <c r="H27" s="37"/>
      <c r="I27" s="37"/>
      <c r="J27" s="37"/>
      <c r="K27" s="37"/>
      <c r="L27" s="37"/>
      <c r="M27" s="38">
        <f ca="1">IFERROR(SUM(M15:M26),"")</f>
        <v>0.13611111111111118</v>
      </c>
      <c r="N27" s="36" t="s">
        <v>237</v>
      </c>
      <c r="O27" s="77">
        <v>393200</v>
      </c>
    </row>
    <row r="28" spans="1:15" ht="18" customHeight="1">
      <c r="A28" s="122" t="s">
        <v>239</v>
      </c>
      <c r="B28" s="123"/>
      <c r="C28" s="123"/>
      <c r="D28" s="123"/>
      <c r="E28" s="124"/>
      <c r="F28" s="40">
        <f>F14+F27</f>
        <v>239</v>
      </c>
      <c r="G28" s="40">
        <f>G14+G27</f>
        <v>1003.8000000000001</v>
      </c>
      <c r="H28" s="41"/>
      <c r="I28" s="41"/>
      <c r="J28" s="41"/>
      <c r="K28" s="41"/>
      <c r="L28" s="41"/>
      <c r="M28" s="42">
        <f ca="1">IFERROR(M14+M27,"")</f>
        <v>0.22569444444444448</v>
      </c>
      <c r="N28" s="40" t="s">
        <v>240</v>
      </c>
      <c r="O28" s="82">
        <f>O14+O27</f>
        <v>1020460</v>
      </c>
    </row>
    <row r="29" spans="1:15" ht="15" customHeight="1">
      <c r="A29" s="68">
        <v>46205</v>
      </c>
      <c r="B29" s="25">
        <v>0.33333333333333298</v>
      </c>
      <c r="C29" s="26" t="s">
        <v>21</v>
      </c>
      <c r="D29" s="59" t="s">
        <v>30</v>
      </c>
      <c r="E29" s="59" t="s">
        <v>261</v>
      </c>
      <c r="F29" s="27">
        <v>11</v>
      </c>
      <c r="G29" s="28">
        <f t="shared" ref="G29:G40" si="6">IF(F29="","",IF(E29="PC 17",F29*4.2,IF(E29="PC 19",F29*5,"")))</f>
        <v>46.2</v>
      </c>
      <c r="H29" s="33" t="s">
        <v>19</v>
      </c>
      <c r="I29" s="33" t="s">
        <v>31</v>
      </c>
      <c r="J29" s="33" t="s">
        <v>27</v>
      </c>
      <c r="K29" s="29">
        <v>0.30763888888888891</v>
      </c>
      <c r="L29" s="29">
        <v>0.37916666666666665</v>
      </c>
      <c r="M29" s="79">
        <f t="shared" ref="M29:M40" ca="1" si="7">IFERROR(IF(K29="","",IF(L29="",MOD(NOW()-K29,1),IF(L29&gt;=K29,L29-K29,L29+1-K29))),"")</f>
        <v>7.1527777777777746E-2</v>
      </c>
      <c r="N29" s="46" t="s">
        <v>279</v>
      </c>
      <c r="O29" s="31"/>
    </row>
    <row r="30" spans="1:15" ht="15" customHeight="1">
      <c r="A30" s="69">
        <v>46205</v>
      </c>
      <c r="B30" s="32">
        <f t="shared" ref="B30:B40" si="8">B29+TIME(0,60,0)</f>
        <v>0.37499999999999967</v>
      </c>
      <c r="C30" s="26" t="s">
        <v>21</v>
      </c>
      <c r="D30" s="59" t="s">
        <v>30</v>
      </c>
      <c r="E30" s="59" t="s">
        <v>261</v>
      </c>
      <c r="F30" s="27">
        <v>0</v>
      </c>
      <c r="G30" s="34">
        <f t="shared" si="6"/>
        <v>0</v>
      </c>
      <c r="H30" s="26" t="s">
        <v>18</v>
      </c>
      <c r="I30" s="26" t="s">
        <v>31</v>
      </c>
      <c r="J30" s="26" t="s">
        <v>193</v>
      </c>
      <c r="K30" s="29">
        <v>0.38472222222222224</v>
      </c>
      <c r="L30" s="29">
        <v>0.40763888888888888</v>
      </c>
      <c r="M30" s="30">
        <f t="shared" ca="1" si="7"/>
        <v>2.2916666666666641E-2</v>
      </c>
      <c r="N30" s="46"/>
      <c r="O30" s="31"/>
    </row>
    <row r="31" spans="1:15" ht="15" customHeight="1">
      <c r="A31" s="68">
        <v>46205</v>
      </c>
      <c r="B31" s="25">
        <f t="shared" si="8"/>
        <v>0.41666666666666635</v>
      </c>
      <c r="C31" s="26" t="s">
        <v>21</v>
      </c>
      <c r="D31" s="59" t="s">
        <v>30</v>
      </c>
      <c r="E31" s="59" t="s">
        <v>261</v>
      </c>
      <c r="F31" s="27">
        <v>9</v>
      </c>
      <c r="G31" s="28">
        <f t="shared" si="6"/>
        <v>37.800000000000004</v>
      </c>
      <c r="H31" s="33" t="s">
        <v>20</v>
      </c>
      <c r="I31" s="33" t="s">
        <v>31</v>
      </c>
      <c r="J31" s="33" t="s">
        <v>165</v>
      </c>
      <c r="K31" s="29">
        <v>0.51388888888888884</v>
      </c>
      <c r="L31" s="29">
        <v>0.54236111111111107</v>
      </c>
      <c r="M31" s="35">
        <f t="shared" ca="1" si="7"/>
        <v>2.8472222222222232E-2</v>
      </c>
      <c r="N31" s="46"/>
      <c r="O31" s="31"/>
    </row>
    <row r="32" spans="1:15" ht="15" customHeight="1">
      <c r="A32" s="69">
        <v>46205</v>
      </c>
      <c r="B32" s="32">
        <f t="shared" si="8"/>
        <v>0.45833333333333304</v>
      </c>
      <c r="C32" s="26" t="s">
        <v>21</v>
      </c>
      <c r="D32" s="59" t="s">
        <v>30</v>
      </c>
      <c r="E32" s="59" t="s">
        <v>261</v>
      </c>
      <c r="F32" s="27">
        <v>0</v>
      </c>
      <c r="G32" s="34">
        <f t="shared" si="6"/>
        <v>0</v>
      </c>
      <c r="H32" s="26" t="s">
        <v>18</v>
      </c>
      <c r="I32" s="26"/>
      <c r="J32" s="26" t="s">
        <v>34</v>
      </c>
      <c r="K32" s="29">
        <v>0.55138888888888893</v>
      </c>
      <c r="L32" s="29">
        <v>0.60833333333333328</v>
      </c>
      <c r="M32" s="30">
        <f t="shared" ca="1" si="7"/>
        <v>5.6944444444444353E-2</v>
      </c>
      <c r="N32" s="46"/>
      <c r="O32" s="31"/>
    </row>
    <row r="33" spans="1:15" ht="15" customHeight="1">
      <c r="A33" s="68">
        <v>46205</v>
      </c>
      <c r="B33" s="25">
        <f t="shared" si="8"/>
        <v>0.49999999999999972</v>
      </c>
      <c r="C33" s="26" t="s">
        <v>21</v>
      </c>
      <c r="D33" s="59" t="s">
        <v>30</v>
      </c>
      <c r="E33" s="59" t="s">
        <v>261</v>
      </c>
      <c r="F33" s="27">
        <v>17</v>
      </c>
      <c r="G33" s="28">
        <f t="shared" si="6"/>
        <v>71.400000000000006</v>
      </c>
      <c r="H33" s="33"/>
      <c r="I33" s="33"/>
      <c r="J33" s="33"/>
      <c r="K33" s="29"/>
      <c r="L33" s="29"/>
      <c r="M33" s="35" t="str">
        <f t="shared" ca="1" si="7"/>
        <v/>
      </c>
      <c r="N33" s="46"/>
      <c r="O33" s="31"/>
    </row>
    <row r="34" spans="1:15" ht="15" customHeight="1">
      <c r="A34" s="69">
        <v>46205</v>
      </c>
      <c r="B34" s="32">
        <f t="shared" si="8"/>
        <v>0.54166666666666641</v>
      </c>
      <c r="C34" s="26" t="s">
        <v>21</v>
      </c>
      <c r="D34" s="59" t="s">
        <v>30</v>
      </c>
      <c r="E34" s="59" t="s">
        <v>261</v>
      </c>
      <c r="F34" s="27">
        <v>5</v>
      </c>
      <c r="G34" s="34">
        <f t="shared" si="6"/>
        <v>21</v>
      </c>
      <c r="H34" s="26"/>
      <c r="I34" s="26"/>
      <c r="J34" s="26"/>
      <c r="K34" s="29"/>
      <c r="L34" s="29"/>
      <c r="M34" s="30" t="str">
        <f t="shared" ca="1" si="7"/>
        <v/>
      </c>
      <c r="N34" s="46"/>
      <c r="O34" s="31"/>
    </row>
    <row r="35" spans="1:15" ht="15" customHeight="1">
      <c r="A35" s="68">
        <v>46205</v>
      </c>
      <c r="B35" s="25">
        <f t="shared" si="8"/>
        <v>0.58333333333333304</v>
      </c>
      <c r="C35" s="26" t="s">
        <v>21</v>
      </c>
      <c r="D35" s="59" t="s">
        <v>30</v>
      </c>
      <c r="E35" s="59" t="s">
        <v>261</v>
      </c>
      <c r="F35" s="27">
        <v>0</v>
      </c>
      <c r="G35" s="28">
        <f t="shared" si="6"/>
        <v>0</v>
      </c>
      <c r="H35" s="33"/>
      <c r="I35" s="33"/>
      <c r="J35" s="33"/>
      <c r="K35" s="29"/>
      <c r="L35" s="29"/>
      <c r="M35" s="35" t="str">
        <f t="shared" ca="1" si="7"/>
        <v/>
      </c>
      <c r="N35" s="46"/>
      <c r="O35" s="31"/>
    </row>
    <row r="36" spans="1:15" ht="15" customHeight="1">
      <c r="A36" s="69">
        <v>46205</v>
      </c>
      <c r="B36" s="32">
        <f t="shared" si="8"/>
        <v>0.62499999999999967</v>
      </c>
      <c r="C36" s="26" t="s">
        <v>21</v>
      </c>
      <c r="D36" s="59" t="s">
        <v>30</v>
      </c>
      <c r="E36" s="59" t="s">
        <v>261</v>
      </c>
      <c r="F36" s="27">
        <v>3</v>
      </c>
      <c r="G36" s="34">
        <f t="shared" si="6"/>
        <v>12.600000000000001</v>
      </c>
      <c r="H36" s="26"/>
      <c r="I36" s="26"/>
      <c r="J36" s="26"/>
      <c r="K36" s="29"/>
      <c r="L36" s="29"/>
      <c r="M36" s="30" t="str">
        <f t="shared" ca="1" si="7"/>
        <v/>
      </c>
      <c r="N36" s="46"/>
      <c r="O36" s="31"/>
    </row>
    <row r="37" spans="1:15" ht="15" customHeight="1">
      <c r="A37" s="68">
        <v>46205</v>
      </c>
      <c r="B37" s="25">
        <f t="shared" si="8"/>
        <v>0.6666666666666663</v>
      </c>
      <c r="C37" s="26" t="s">
        <v>21</v>
      </c>
      <c r="D37" s="59" t="s">
        <v>30</v>
      </c>
      <c r="E37" s="59" t="s">
        <v>261</v>
      </c>
      <c r="F37" s="27">
        <v>9</v>
      </c>
      <c r="G37" s="28">
        <f t="shared" si="6"/>
        <v>37.800000000000004</v>
      </c>
      <c r="H37" s="33"/>
      <c r="I37" s="33"/>
      <c r="J37" s="33"/>
      <c r="K37" s="29"/>
      <c r="L37" s="29"/>
      <c r="M37" s="35" t="str">
        <f t="shared" ca="1" si="7"/>
        <v/>
      </c>
      <c r="N37" s="46"/>
      <c r="O37" s="31"/>
    </row>
    <row r="38" spans="1:15" ht="15" customHeight="1">
      <c r="A38" s="69">
        <v>46205</v>
      </c>
      <c r="B38" s="32">
        <f t="shared" si="8"/>
        <v>0.70833333333333293</v>
      </c>
      <c r="C38" s="26" t="s">
        <v>21</v>
      </c>
      <c r="D38" s="59" t="s">
        <v>30</v>
      </c>
      <c r="E38" s="59" t="s">
        <v>261</v>
      </c>
      <c r="F38" s="27">
        <v>17</v>
      </c>
      <c r="G38" s="34">
        <f t="shared" si="6"/>
        <v>71.400000000000006</v>
      </c>
      <c r="H38" s="26"/>
      <c r="I38" s="26"/>
      <c r="J38" s="26"/>
      <c r="K38" s="29"/>
      <c r="L38" s="29"/>
      <c r="M38" s="30" t="str">
        <f t="shared" ca="1" si="7"/>
        <v/>
      </c>
      <c r="N38" s="46"/>
      <c r="O38" s="31"/>
    </row>
    <row r="39" spans="1:15" ht="15" customHeight="1">
      <c r="A39" s="68">
        <v>46205</v>
      </c>
      <c r="B39" s="25">
        <f t="shared" si="8"/>
        <v>0.74999999999999956</v>
      </c>
      <c r="C39" s="26" t="s">
        <v>21</v>
      </c>
      <c r="D39" s="59" t="s">
        <v>30</v>
      </c>
      <c r="E39" s="59" t="s">
        <v>261</v>
      </c>
      <c r="F39" s="27">
        <v>17</v>
      </c>
      <c r="G39" s="28">
        <f t="shared" si="6"/>
        <v>71.400000000000006</v>
      </c>
      <c r="H39" s="33"/>
      <c r="I39" s="33"/>
      <c r="J39" s="33"/>
      <c r="K39" s="29"/>
      <c r="L39" s="29"/>
      <c r="M39" s="35" t="str">
        <f t="shared" ca="1" si="7"/>
        <v/>
      </c>
      <c r="N39" s="46"/>
      <c r="O39" s="31"/>
    </row>
    <row r="40" spans="1:15" ht="15" customHeight="1">
      <c r="A40" s="69">
        <v>46205</v>
      </c>
      <c r="B40" s="32">
        <f t="shared" si="8"/>
        <v>0.79166666666666619</v>
      </c>
      <c r="C40" s="26" t="s">
        <v>21</v>
      </c>
      <c r="D40" s="59" t="s">
        <v>30</v>
      </c>
      <c r="E40" s="59" t="s">
        <v>261</v>
      </c>
      <c r="F40" s="27">
        <v>0</v>
      </c>
      <c r="G40" s="34">
        <f t="shared" si="6"/>
        <v>0</v>
      </c>
      <c r="H40" s="26"/>
      <c r="I40" s="26"/>
      <c r="J40" s="26"/>
      <c r="K40" s="29"/>
      <c r="L40" s="29"/>
      <c r="M40" s="30" t="str">
        <f t="shared" ca="1" si="7"/>
        <v/>
      </c>
      <c r="N40" s="46"/>
      <c r="O40" s="31"/>
    </row>
    <row r="41" spans="1:15" ht="15.75" customHeight="1">
      <c r="A41" s="119" t="s">
        <v>236</v>
      </c>
      <c r="B41" s="120"/>
      <c r="C41" s="120"/>
      <c r="D41" s="120"/>
      <c r="E41" s="121">
        <f>SUM(E29:E40)</f>
        <v>0</v>
      </c>
      <c r="F41" s="36">
        <f>SUM(F29:F40)</f>
        <v>88</v>
      </c>
      <c r="G41" s="36">
        <f>SUM(G29:G40)</f>
        <v>369.6</v>
      </c>
      <c r="H41" s="37"/>
      <c r="I41" s="37"/>
      <c r="J41" s="37"/>
      <c r="K41" s="37"/>
      <c r="L41" s="37"/>
      <c r="M41" s="38">
        <f ca="1">IFERROR(SUM(M29:M40),"")</f>
        <v>0.17986111111111097</v>
      </c>
      <c r="N41" s="36" t="s">
        <v>237</v>
      </c>
      <c r="O41" s="84">
        <v>351740</v>
      </c>
    </row>
    <row r="42" spans="1:15" ht="15" customHeight="1">
      <c r="A42" s="69">
        <v>46205</v>
      </c>
      <c r="B42" s="32">
        <v>0.83333333333333304</v>
      </c>
      <c r="C42" s="33" t="s">
        <v>45</v>
      </c>
      <c r="D42" s="62" t="s">
        <v>30</v>
      </c>
      <c r="E42" s="62" t="s">
        <v>261</v>
      </c>
      <c r="F42" s="27">
        <v>5</v>
      </c>
      <c r="G42" s="34">
        <f t="shared" ref="G42:G53" si="9">IF(F42="","",IF(E42="PC 17",F42*4.2,IF(E42="PC 19",F42*5,"")))</f>
        <v>21</v>
      </c>
      <c r="H42" s="26" t="s">
        <v>19</v>
      </c>
      <c r="I42" s="26" t="s">
        <v>39</v>
      </c>
      <c r="J42" s="26" t="s">
        <v>50</v>
      </c>
      <c r="K42" s="29">
        <v>0.92708333333333337</v>
      </c>
      <c r="L42" s="29">
        <v>0.98611111111111116</v>
      </c>
      <c r="M42" s="30">
        <f ca="1">IFERROR(IF(K42="","",IF(L42="",MOD(NOW()-K42,1),IF(L42&gt;=K42,L42-K42,L42+1-K42))),"")</f>
        <v>5.902777777777779E-2</v>
      </c>
      <c r="N42" s="46"/>
      <c r="O42" s="31"/>
    </row>
    <row r="43" spans="1:15" ht="15" customHeight="1">
      <c r="A43" s="68">
        <v>46205</v>
      </c>
      <c r="B43" s="25">
        <f t="shared" ref="B43:B53" si="10">B42+TIME(0,60,0)</f>
        <v>0.87499999999999967</v>
      </c>
      <c r="C43" s="33" t="s">
        <v>45</v>
      </c>
      <c r="D43" s="62" t="s">
        <v>30</v>
      </c>
      <c r="E43" s="62" t="s">
        <v>261</v>
      </c>
      <c r="F43" s="27">
        <v>10</v>
      </c>
      <c r="G43" s="28">
        <f t="shared" si="9"/>
        <v>42</v>
      </c>
      <c r="H43" s="33" t="s">
        <v>19</v>
      </c>
      <c r="I43" s="33" t="s">
        <v>39</v>
      </c>
      <c r="J43" s="33" t="s">
        <v>27</v>
      </c>
      <c r="K43" s="29">
        <v>3.125E-2</v>
      </c>
      <c r="L43" s="29">
        <v>5.1388888888888887E-2</v>
      </c>
      <c r="M43" s="30">
        <f t="shared" ref="M43:M53" ca="1" si="11">IFERROR(IF(K43="","",IF(L43="",MOD(NOW()-K43,1),IF(L43&gt;=K43,L43-K43,L43+1-K43))),"")</f>
        <v>2.0138888888888887E-2</v>
      </c>
      <c r="N43" s="46"/>
      <c r="O43" s="31"/>
    </row>
    <row r="44" spans="1:15" ht="15" customHeight="1">
      <c r="A44" s="69">
        <v>46205</v>
      </c>
      <c r="B44" s="32">
        <f t="shared" si="10"/>
        <v>0.9166666666666663</v>
      </c>
      <c r="C44" s="33" t="s">
        <v>45</v>
      </c>
      <c r="D44" s="62" t="s">
        <v>30</v>
      </c>
      <c r="E44" s="62" t="s">
        <v>261</v>
      </c>
      <c r="F44" s="27">
        <v>10</v>
      </c>
      <c r="G44" s="34">
        <f t="shared" si="9"/>
        <v>42</v>
      </c>
      <c r="H44" s="26" t="s">
        <v>18</v>
      </c>
      <c r="I44" s="26" t="s">
        <v>39</v>
      </c>
      <c r="J44" s="26" t="s">
        <v>100</v>
      </c>
      <c r="K44" s="29">
        <v>0.25</v>
      </c>
      <c r="L44" s="29">
        <v>0.29166666666666669</v>
      </c>
      <c r="M44" s="30">
        <f ca="1">IFERROR(IF(K44="","",IF(L44="",MOD(NOW()-K44,1),IF(L44&gt;=K44,L44-K44,L44+1-K44))),"")</f>
        <v>4.1666666666666685E-2</v>
      </c>
      <c r="N44" s="46" t="s">
        <v>280</v>
      </c>
      <c r="O44" s="31"/>
    </row>
    <row r="45" spans="1:15" ht="15" customHeight="1">
      <c r="A45" s="68">
        <v>46205</v>
      </c>
      <c r="B45" s="25">
        <f t="shared" si="10"/>
        <v>0.95833333333333293</v>
      </c>
      <c r="C45" s="33" t="s">
        <v>45</v>
      </c>
      <c r="D45" s="62" t="s">
        <v>30</v>
      </c>
      <c r="E45" s="62" t="s">
        <v>261</v>
      </c>
      <c r="F45" s="27">
        <v>0</v>
      </c>
      <c r="G45" s="28">
        <f t="shared" si="9"/>
        <v>0</v>
      </c>
      <c r="H45" s="33" t="s">
        <v>20</v>
      </c>
      <c r="I45" s="33" t="s">
        <v>157</v>
      </c>
      <c r="J45" s="33" t="s">
        <v>28</v>
      </c>
      <c r="K45" s="29">
        <v>6.0416666666666667E-2</v>
      </c>
      <c r="L45" s="29">
        <v>0.10416666666666667</v>
      </c>
      <c r="M45" s="30">
        <f t="shared" ca="1" si="11"/>
        <v>4.3750000000000004E-2</v>
      </c>
      <c r="N45" s="46"/>
      <c r="O45" s="31"/>
    </row>
    <row r="46" spans="1:15" ht="15" customHeight="1">
      <c r="A46" s="69">
        <v>46205</v>
      </c>
      <c r="B46" s="32">
        <f t="shared" si="10"/>
        <v>0.99999999999999956</v>
      </c>
      <c r="C46" s="33" t="s">
        <v>45</v>
      </c>
      <c r="D46" s="62" t="s">
        <v>30</v>
      </c>
      <c r="E46" s="62" t="s">
        <v>261</v>
      </c>
      <c r="F46" s="27">
        <v>6</v>
      </c>
      <c r="G46" s="34">
        <f t="shared" si="9"/>
        <v>25.200000000000003</v>
      </c>
      <c r="H46" s="26"/>
      <c r="I46" s="26"/>
      <c r="J46" s="26"/>
      <c r="K46" s="29"/>
      <c r="L46" s="29"/>
      <c r="M46" s="30" t="str">
        <f t="shared" ca="1" si="11"/>
        <v/>
      </c>
      <c r="N46" s="46"/>
      <c r="O46" s="31"/>
    </row>
    <row r="47" spans="1:15" ht="15" customHeight="1">
      <c r="A47" s="68">
        <v>46205</v>
      </c>
      <c r="B47" s="25">
        <f t="shared" si="10"/>
        <v>1.0416666666666663</v>
      </c>
      <c r="C47" s="33" t="s">
        <v>45</v>
      </c>
      <c r="D47" s="62" t="s">
        <v>30</v>
      </c>
      <c r="E47" s="62" t="s">
        <v>261</v>
      </c>
      <c r="F47" s="27">
        <v>1</v>
      </c>
      <c r="G47" s="28">
        <f t="shared" si="9"/>
        <v>4.2</v>
      </c>
      <c r="H47" s="33"/>
      <c r="I47" s="33"/>
      <c r="J47" s="33"/>
      <c r="K47" s="29"/>
      <c r="L47" s="29"/>
      <c r="M47" s="30" t="str">
        <f t="shared" ca="1" si="11"/>
        <v/>
      </c>
      <c r="N47" s="46"/>
      <c r="O47" s="31"/>
    </row>
    <row r="48" spans="1:15" ht="15" customHeight="1">
      <c r="A48" s="69">
        <v>46205</v>
      </c>
      <c r="B48" s="32">
        <f t="shared" si="10"/>
        <v>1.083333333333333</v>
      </c>
      <c r="C48" s="33" t="s">
        <v>45</v>
      </c>
      <c r="D48" s="62" t="s">
        <v>30</v>
      </c>
      <c r="E48" s="62" t="s">
        <v>261</v>
      </c>
      <c r="F48" s="27">
        <v>6</v>
      </c>
      <c r="G48" s="34">
        <f t="shared" si="9"/>
        <v>25.200000000000003</v>
      </c>
      <c r="H48" s="26"/>
      <c r="I48" s="26"/>
      <c r="J48" s="26"/>
      <c r="K48" s="29"/>
      <c r="L48" s="29"/>
      <c r="M48" s="30" t="str">
        <f t="shared" ca="1" si="11"/>
        <v/>
      </c>
      <c r="N48" s="46"/>
      <c r="O48" s="31"/>
    </row>
    <row r="49" spans="1:15" ht="15" customHeight="1">
      <c r="A49" s="68">
        <v>46205</v>
      </c>
      <c r="B49" s="25">
        <f t="shared" si="10"/>
        <v>1.1249999999999998</v>
      </c>
      <c r="C49" s="33" t="s">
        <v>45</v>
      </c>
      <c r="D49" s="62" t="s">
        <v>30</v>
      </c>
      <c r="E49" s="62" t="s">
        <v>261</v>
      </c>
      <c r="F49" s="27">
        <v>6</v>
      </c>
      <c r="G49" s="28">
        <f t="shared" si="9"/>
        <v>25.200000000000003</v>
      </c>
      <c r="H49" s="33"/>
      <c r="I49" s="33"/>
      <c r="J49" s="33"/>
      <c r="K49" s="29"/>
      <c r="L49" s="29"/>
      <c r="M49" s="30" t="str">
        <f t="shared" ca="1" si="11"/>
        <v/>
      </c>
      <c r="N49" s="46"/>
      <c r="O49" s="31"/>
    </row>
    <row r="50" spans="1:15" ht="15" customHeight="1">
      <c r="A50" s="69">
        <v>46205</v>
      </c>
      <c r="B50" s="32">
        <f t="shared" si="10"/>
        <v>1.1666666666666665</v>
      </c>
      <c r="C50" s="33" t="s">
        <v>45</v>
      </c>
      <c r="D50" s="62" t="s">
        <v>30</v>
      </c>
      <c r="E50" s="62" t="s">
        <v>261</v>
      </c>
      <c r="F50" s="27">
        <v>7</v>
      </c>
      <c r="G50" s="34">
        <f t="shared" si="9"/>
        <v>29.400000000000002</v>
      </c>
      <c r="H50" s="26"/>
      <c r="I50" s="26"/>
      <c r="J50" s="26"/>
      <c r="K50" s="29"/>
      <c r="L50" s="29"/>
      <c r="M50" s="30" t="str">
        <f t="shared" ca="1" si="11"/>
        <v/>
      </c>
      <c r="N50" s="46"/>
      <c r="O50" s="31"/>
    </row>
    <row r="51" spans="1:15" ht="15" customHeight="1">
      <c r="A51" s="68">
        <v>46205</v>
      </c>
      <c r="B51" s="25">
        <f t="shared" si="10"/>
        <v>1.2083333333333333</v>
      </c>
      <c r="C51" s="33" t="s">
        <v>45</v>
      </c>
      <c r="D51" s="62" t="s">
        <v>30</v>
      </c>
      <c r="E51" s="62" t="s">
        <v>261</v>
      </c>
      <c r="F51" s="27">
        <v>10</v>
      </c>
      <c r="G51" s="28">
        <f t="shared" si="9"/>
        <v>42</v>
      </c>
      <c r="H51" s="33"/>
      <c r="I51" s="33"/>
      <c r="J51" s="33"/>
      <c r="K51" s="29"/>
      <c r="L51" s="29"/>
      <c r="M51" s="30" t="str">
        <f t="shared" ca="1" si="11"/>
        <v/>
      </c>
      <c r="N51" s="46"/>
      <c r="O51" s="31"/>
    </row>
    <row r="52" spans="1:15" ht="15" customHeight="1">
      <c r="A52" s="69">
        <v>46205</v>
      </c>
      <c r="B52" s="32">
        <f t="shared" si="10"/>
        <v>1.25</v>
      </c>
      <c r="C52" s="33" t="s">
        <v>45</v>
      </c>
      <c r="D52" s="62" t="s">
        <v>30</v>
      </c>
      <c r="E52" s="62" t="s">
        <v>261</v>
      </c>
      <c r="F52" s="27">
        <v>10</v>
      </c>
      <c r="G52" s="34">
        <f t="shared" si="9"/>
        <v>42</v>
      </c>
      <c r="H52" s="26"/>
      <c r="I52" s="26"/>
      <c r="J52" s="26"/>
      <c r="K52" s="29"/>
      <c r="L52" s="29"/>
      <c r="M52" s="30" t="str">
        <f t="shared" ca="1" si="11"/>
        <v/>
      </c>
      <c r="N52" s="46"/>
      <c r="O52" s="31"/>
    </row>
    <row r="53" spans="1:15" ht="15" customHeight="1">
      <c r="A53" s="68">
        <v>46205</v>
      </c>
      <c r="B53" s="25">
        <f t="shared" si="10"/>
        <v>1.2916666666666667</v>
      </c>
      <c r="C53" s="33" t="s">
        <v>45</v>
      </c>
      <c r="D53" s="62" t="s">
        <v>30</v>
      </c>
      <c r="E53" s="62" t="s">
        <v>261</v>
      </c>
      <c r="F53" s="27">
        <v>0</v>
      </c>
      <c r="G53" s="28">
        <f t="shared" si="9"/>
        <v>0</v>
      </c>
      <c r="H53" s="33"/>
      <c r="I53" s="33"/>
      <c r="J53" s="33"/>
      <c r="K53" s="29"/>
      <c r="L53" s="29"/>
      <c r="M53" s="30" t="str">
        <f t="shared" ca="1" si="11"/>
        <v/>
      </c>
      <c r="N53" s="46"/>
      <c r="O53" s="31"/>
    </row>
    <row r="54" spans="1:15" ht="15.75" customHeight="1">
      <c r="A54" s="119" t="s">
        <v>238</v>
      </c>
      <c r="B54" s="120"/>
      <c r="C54" s="120"/>
      <c r="D54" s="120"/>
      <c r="E54" s="121">
        <f>SUM(E42:E53)</f>
        <v>0</v>
      </c>
      <c r="F54" s="36">
        <f>SUM(F42:F53)</f>
        <v>71</v>
      </c>
      <c r="G54" s="36">
        <f>SUM(G42:G53)</f>
        <v>298.19999999999993</v>
      </c>
      <c r="H54" s="37"/>
      <c r="I54" s="37"/>
      <c r="J54" s="37"/>
      <c r="K54" s="37"/>
      <c r="L54" s="37"/>
      <c r="M54" s="38">
        <f ca="1">IFERROR(SUM(M42:M53),"")</f>
        <v>0.16458333333333336</v>
      </c>
      <c r="N54" s="36" t="s">
        <v>237</v>
      </c>
      <c r="O54" s="84">
        <v>276360</v>
      </c>
    </row>
    <row r="55" spans="1:15" ht="18" customHeight="1">
      <c r="A55" s="122" t="s">
        <v>239</v>
      </c>
      <c r="B55" s="123"/>
      <c r="C55" s="123"/>
      <c r="D55" s="123"/>
      <c r="E55" s="124">
        <f>E41+E54</f>
        <v>0</v>
      </c>
      <c r="F55" s="40">
        <f>F41+F54</f>
        <v>159</v>
      </c>
      <c r="G55" s="40">
        <f>G41+G54</f>
        <v>667.8</v>
      </c>
      <c r="H55" s="41"/>
      <c r="I55" s="41"/>
      <c r="J55" s="41"/>
      <c r="K55" s="41"/>
      <c r="L55" s="41"/>
      <c r="M55" s="42">
        <f ca="1">IFERROR(M41+M54,"")</f>
        <v>0.34444444444444433</v>
      </c>
      <c r="N55" s="40" t="s">
        <v>240</v>
      </c>
      <c r="O55" s="82">
        <f>IFERROR(O41+O54,"")</f>
        <v>628100</v>
      </c>
    </row>
    <row r="56" spans="1:15" ht="15" customHeight="1">
      <c r="A56" s="68">
        <v>46206</v>
      </c>
      <c r="B56" s="25">
        <v>0.33333333333333298</v>
      </c>
      <c r="C56" s="26" t="s">
        <v>29</v>
      </c>
      <c r="D56" s="59" t="s">
        <v>30</v>
      </c>
      <c r="E56" s="59"/>
      <c r="F56" s="27">
        <v>0</v>
      </c>
      <c r="G56" s="28" t="str">
        <f t="shared" ref="G56:G67" si="12">IF(F56="","",IF(E56="PC 17",F56*4.2,IF(E56="PC 19",F56*5,"")))</f>
        <v/>
      </c>
      <c r="H56" s="26" t="s">
        <v>18</v>
      </c>
      <c r="I56" s="26" t="s">
        <v>63</v>
      </c>
      <c r="J56" s="26" t="s">
        <v>100</v>
      </c>
      <c r="K56" s="29">
        <v>0.29166666666666669</v>
      </c>
      <c r="L56" s="29">
        <v>0.79166666666666663</v>
      </c>
      <c r="M56" s="35">
        <f t="shared" ref="M56:M67" ca="1" si="13">IFERROR(IF(K56="","",IF(L56="",MOD(NOW()-K56,1),IF(L56&gt;=K56,L56-K56,L56+1-K56))),"")</f>
        <v>0.49999999999999994</v>
      </c>
      <c r="N56" s="46"/>
      <c r="O56" s="31"/>
    </row>
    <row r="57" spans="1:15" ht="15" customHeight="1">
      <c r="A57" s="69">
        <v>46206</v>
      </c>
      <c r="B57" s="32">
        <f t="shared" ref="B57:B67" si="14">B56+TIME(0,60,0)</f>
        <v>0.37499999999999967</v>
      </c>
      <c r="C57" s="26" t="s">
        <v>29</v>
      </c>
      <c r="D57" s="59" t="s">
        <v>30</v>
      </c>
      <c r="E57" s="59"/>
      <c r="F57" s="27">
        <v>0</v>
      </c>
      <c r="G57" s="34" t="str">
        <f t="shared" si="12"/>
        <v/>
      </c>
      <c r="H57" s="33"/>
      <c r="I57" s="33"/>
      <c r="J57" s="81"/>
      <c r="K57" s="29"/>
      <c r="L57" s="29"/>
      <c r="M57" s="30"/>
      <c r="N57" s="46" t="s">
        <v>281</v>
      </c>
      <c r="O57" s="31"/>
    </row>
    <row r="58" spans="1:15" ht="15" customHeight="1">
      <c r="A58" s="68">
        <v>46206</v>
      </c>
      <c r="B58" s="25">
        <f t="shared" si="14"/>
        <v>0.41666666666666635</v>
      </c>
      <c r="C58" s="26" t="s">
        <v>29</v>
      </c>
      <c r="D58" s="59" t="s">
        <v>30</v>
      </c>
      <c r="E58" s="59"/>
      <c r="F58" s="27">
        <v>0</v>
      </c>
      <c r="G58" s="28" t="str">
        <f t="shared" si="12"/>
        <v/>
      </c>
      <c r="H58" s="26"/>
      <c r="I58" s="80"/>
      <c r="J58" s="26"/>
      <c r="K58" s="29"/>
      <c r="L58" s="29"/>
      <c r="M58" s="35"/>
      <c r="N58" s="46" t="s">
        <v>282</v>
      </c>
      <c r="O58" s="31"/>
    </row>
    <row r="59" spans="1:15" ht="15" customHeight="1">
      <c r="A59" s="69">
        <v>46206</v>
      </c>
      <c r="B59" s="32">
        <f t="shared" si="14"/>
        <v>0.45833333333333304</v>
      </c>
      <c r="C59" s="26" t="s">
        <v>29</v>
      </c>
      <c r="D59" s="59" t="s">
        <v>30</v>
      </c>
      <c r="E59" s="59"/>
      <c r="F59" s="27">
        <v>0</v>
      </c>
      <c r="G59" s="34" t="str">
        <f t="shared" si="12"/>
        <v/>
      </c>
      <c r="H59" s="33"/>
      <c r="I59" s="33"/>
      <c r="J59" s="33"/>
      <c r="K59" s="29"/>
      <c r="L59" s="29"/>
      <c r="M59" s="30" t="str">
        <f t="shared" ca="1" si="13"/>
        <v/>
      </c>
      <c r="N59" s="46"/>
      <c r="O59" s="31"/>
    </row>
    <row r="60" spans="1:15" ht="15" customHeight="1">
      <c r="A60" s="68">
        <v>46206</v>
      </c>
      <c r="B60" s="25">
        <f t="shared" si="14"/>
        <v>0.49999999999999972</v>
      </c>
      <c r="C60" s="26" t="s">
        <v>29</v>
      </c>
      <c r="D60" s="59" t="s">
        <v>30</v>
      </c>
      <c r="E60" s="59"/>
      <c r="F60" s="27">
        <v>0</v>
      </c>
      <c r="G60" s="28" t="str">
        <f t="shared" si="12"/>
        <v/>
      </c>
      <c r="H60" s="26"/>
      <c r="I60" s="26"/>
      <c r="J60" s="26"/>
      <c r="K60" s="29"/>
      <c r="L60" s="29"/>
      <c r="M60" s="35" t="str">
        <f t="shared" ca="1" si="13"/>
        <v/>
      </c>
      <c r="N60" s="46"/>
      <c r="O60" s="31"/>
    </row>
    <row r="61" spans="1:15" ht="15" customHeight="1">
      <c r="A61" s="69">
        <v>46206</v>
      </c>
      <c r="B61" s="32">
        <f t="shared" si="14"/>
        <v>0.54166666666666641</v>
      </c>
      <c r="C61" s="26" t="s">
        <v>29</v>
      </c>
      <c r="D61" s="59" t="s">
        <v>30</v>
      </c>
      <c r="E61" s="59"/>
      <c r="F61" s="27">
        <v>0</v>
      </c>
      <c r="G61" s="34" t="str">
        <f t="shared" si="12"/>
        <v/>
      </c>
      <c r="H61" s="33"/>
      <c r="I61" s="33"/>
      <c r="J61" s="33"/>
      <c r="K61" s="29"/>
      <c r="L61" s="29"/>
      <c r="M61" s="30" t="str">
        <f t="shared" ca="1" si="13"/>
        <v/>
      </c>
      <c r="N61" s="46"/>
      <c r="O61" s="31"/>
    </row>
    <row r="62" spans="1:15" ht="15" customHeight="1">
      <c r="A62" s="68">
        <v>46206</v>
      </c>
      <c r="B62" s="25">
        <f t="shared" si="14"/>
        <v>0.58333333333333304</v>
      </c>
      <c r="C62" s="26" t="s">
        <v>29</v>
      </c>
      <c r="D62" s="59" t="s">
        <v>30</v>
      </c>
      <c r="E62" s="59"/>
      <c r="F62" s="27">
        <v>0</v>
      </c>
      <c r="G62" s="28" t="str">
        <f t="shared" si="12"/>
        <v/>
      </c>
      <c r="H62" s="26"/>
      <c r="I62" s="26"/>
      <c r="J62" s="26"/>
      <c r="K62" s="29"/>
      <c r="L62" s="29"/>
      <c r="M62" s="35" t="str">
        <f t="shared" ca="1" si="13"/>
        <v/>
      </c>
      <c r="N62" s="46"/>
      <c r="O62" s="31"/>
    </row>
    <row r="63" spans="1:15" ht="15" customHeight="1">
      <c r="A63" s="69">
        <v>46206</v>
      </c>
      <c r="B63" s="32">
        <f t="shared" si="14"/>
        <v>0.62499999999999967</v>
      </c>
      <c r="C63" s="26" t="s">
        <v>29</v>
      </c>
      <c r="D63" s="59" t="s">
        <v>30</v>
      </c>
      <c r="E63" s="59"/>
      <c r="F63" s="27">
        <v>0</v>
      </c>
      <c r="G63" s="34" t="str">
        <f t="shared" si="12"/>
        <v/>
      </c>
      <c r="H63" s="33"/>
      <c r="I63" s="33"/>
      <c r="J63" s="33"/>
      <c r="K63" s="29"/>
      <c r="L63" s="29"/>
      <c r="M63" s="30" t="str">
        <f t="shared" ca="1" si="13"/>
        <v/>
      </c>
      <c r="N63" s="46"/>
      <c r="O63" s="31"/>
    </row>
    <row r="64" spans="1:15" ht="15" customHeight="1">
      <c r="A64" s="68">
        <v>46206</v>
      </c>
      <c r="B64" s="25">
        <f t="shared" si="14"/>
        <v>0.6666666666666663</v>
      </c>
      <c r="C64" s="26" t="s">
        <v>29</v>
      </c>
      <c r="D64" s="59" t="s">
        <v>30</v>
      </c>
      <c r="E64" s="59"/>
      <c r="F64" s="27">
        <v>0</v>
      </c>
      <c r="G64" s="28" t="str">
        <f t="shared" si="12"/>
        <v/>
      </c>
      <c r="H64" s="26"/>
      <c r="I64" s="26"/>
      <c r="J64" s="26"/>
      <c r="K64" s="29"/>
      <c r="L64" s="29"/>
      <c r="M64" s="35" t="str">
        <f t="shared" ca="1" si="13"/>
        <v/>
      </c>
      <c r="N64" s="46"/>
      <c r="O64" s="31"/>
    </row>
    <row r="65" spans="1:15" ht="15" customHeight="1">
      <c r="A65" s="69">
        <v>46206</v>
      </c>
      <c r="B65" s="32">
        <f t="shared" si="14"/>
        <v>0.70833333333333293</v>
      </c>
      <c r="C65" s="26" t="s">
        <v>29</v>
      </c>
      <c r="D65" s="59" t="s">
        <v>30</v>
      </c>
      <c r="E65" s="59"/>
      <c r="F65" s="27">
        <v>0</v>
      </c>
      <c r="G65" s="34" t="str">
        <f t="shared" si="12"/>
        <v/>
      </c>
      <c r="H65" s="33"/>
      <c r="I65" s="33"/>
      <c r="J65" s="33"/>
      <c r="K65" s="29"/>
      <c r="L65" s="29"/>
      <c r="M65" s="30" t="str">
        <f t="shared" ca="1" si="13"/>
        <v/>
      </c>
      <c r="N65" s="46"/>
      <c r="O65" s="31"/>
    </row>
    <row r="66" spans="1:15" ht="15" customHeight="1">
      <c r="A66" s="68">
        <v>46206</v>
      </c>
      <c r="B66" s="25">
        <f t="shared" si="14"/>
        <v>0.74999999999999956</v>
      </c>
      <c r="C66" s="26" t="s">
        <v>29</v>
      </c>
      <c r="D66" s="59" t="s">
        <v>30</v>
      </c>
      <c r="E66" s="59"/>
      <c r="F66" s="27">
        <v>0</v>
      </c>
      <c r="G66" s="28" t="str">
        <f t="shared" si="12"/>
        <v/>
      </c>
      <c r="H66" s="26"/>
      <c r="I66" s="26"/>
      <c r="J66" s="26"/>
      <c r="K66" s="29"/>
      <c r="L66" s="29"/>
      <c r="M66" s="35" t="str">
        <f t="shared" ca="1" si="13"/>
        <v/>
      </c>
      <c r="N66" s="46"/>
      <c r="O66" s="31"/>
    </row>
    <row r="67" spans="1:15" ht="15" customHeight="1">
      <c r="A67" s="69">
        <v>46206</v>
      </c>
      <c r="B67" s="32">
        <f t="shared" si="14"/>
        <v>0.79166666666666619</v>
      </c>
      <c r="C67" s="26" t="s">
        <v>29</v>
      </c>
      <c r="D67" s="59" t="s">
        <v>30</v>
      </c>
      <c r="E67" s="59"/>
      <c r="F67" s="27">
        <v>0</v>
      </c>
      <c r="G67" s="34" t="str">
        <f t="shared" si="12"/>
        <v/>
      </c>
      <c r="H67" s="33"/>
      <c r="I67" s="33"/>
      <c r="J67" s="33"/>
      <c r="K67" s="29"/>
      <c r="L67" s="29"/>
      <c r="M67" s="30" t="str">
        <f t="shared" ca="1" si="13"/>
        <v/>
      </c>
      <c r="N67" s="46"/>
      <c r="O67" s="31"/>
    </row>
    <row r="68" spans="1:15" ht="15.75" customHeight="1">
      <c r="A68" s="119" t="s">
        <v>236</v>
      </c>
      <c r="B68" s="120"/>
      <c r="C68" s="120"/>
      <c r="D68" s="120"/>
      <c r="E68" s="121">
        <f>SUM(E56:E67)</f>
        <v>0</v>
      </c>
      <c r="F68" s="36">
        <f>SUM(F56:F67)</f>
        <v>0</v>
      </c>
      <c r="G68" s="36">
        <f>SUM(G56:G67)</f>
        <v>0</v>
      </c>
      <c r="H68" s="37"/>
      <c r="I68" s="37"/>
      <c r="J68" s="37"/>
      <c r="K68" s="37"/>
      <c r="L68" s="37"/>
      <c r="M68" s="38">
        <f ca="1">IFERROR(SUM(M56:M67),"")</f>
        <v>0.49999999999999994</v>
      </c>
      <c r="N68" s="36" t="s">
        <v>237</v>
      </c>
      <c r="O68" s="54">
        <v>0</v>
      </c>
    </row>
    <row r="69" spans="1:15" ht="15" customHeight="1">
      <c r="A69" s="69">
        <v>46206</v>
      </c>
      <c r="B69" s="32">
        <v>0.83333333333333304</v>
      </c>
      <c r="C69" s="33" t="s">
        <v>21</v>
      </c>
      <c r="D69" s="62" t="s">
        <v>30</v>
      </c>
      <c r="E69" s="62" t="s">
        <v>261</v>
      </c>
      <c r="F69" s="27">
        <v>17</v>
      </c>
      <c r="G69" s="34">
        <f t="shared" ref="G69:G80" si="15">IF(F69="","",IF(E69="PC 17",F69*4.2,IF(E69="PC 19",F69*5,"")))</f>
        <v>71.400000000000006</v>
      </c>
      <c r="H69" s="33" t="s">
        <v>20</v>
      </c>
      <c r="I69" s="33" t="s">
        <v>39</v>
      </c>
      <c r="J69" s="33" t="s">
        <v>51</v>
      </c>
      <c r="K69" s="29">
        <v>0.87847222222222221</v>
      </c>
      <c r="L69" s="29">
        <v>0.88749999999999996</v>
      </c>
      <c r="M69" s="30">
        <f t="shared" ref="M69:M80" ca="1" si="16">IFERROR(IF(K69="","",IF(L69="",MOD(NOW()-K69,1),IF(L69&gt;=K69,L69-K69,L69+1-K69))),"")</f>
        <v>9.0277777777777457E-3</v>
      </c>
      <c r="N69" s="46"/>
      <c r="O69" s="31"/>
    </row>
    <row r="70" spans="1:15" ht="15" customHeight="1">
      <c r="A70" s="68">
        <v>46206</v>
      </c>
      <c r="B70" s="25">
        <f t="shared" ref="B70:B80" si="17">B69+TIME(0,60,0)</f>
        <v>0.87499999999999967</v>
      </c>
      <c r="C70" s="33" t="s">
        <v>21</v>
      </c>
      <c r="D70" s="62" t="s">
        <v>30</v>
      </c>
      <c r="E70" s="62" t="s">
        <v>261</v>
      </c>
      <c r="F70" s="27">
        <v>18</v>
      </c>
      <c r="G70" s="28">
        <f t="shared" si="15"/>
        <v>75.600000000000009</v>
      </c>
      <c r="H70" s="26" t="s">
        <v>19</v>
      </c>
      <c r="I70" s="26" t="s">
        <v>157</v>
      </c>
      <c r="J70" s="26" t="s">
        <v>27</v>
      </c>
      <c r="K70" s="29">
        <v>0.25</v>
      </c>
      <c r="L70" s="29">
        <v>0.27083333333333331</v>
      </c>
      <c r="M70" s="35">
        <f t="shared" ca="1" si="16"/>
        <v>2.0833333333333315E-2</v>
      </c>
      <c r="N70" s="46"/>
      <c r="O70" s="31"/>
    </row>
    <row r="71" spans="1:15" ht="15" customHeight="1">
      <c r="A71" s="69">
        <v>46206</v>
      </c>
      <c r="B71" s="32">
        <f t="shared" si="17"/>
        <v>0.9166666666666663</v>
      </c>
      <c r="C71" s="33" t="s">
        <v>21</v>
      </c>
      <c r="D71" s="62" t="s">
        <v>30</v>
      </c>
      <c r="E71" s="62" t="s">
        <v>261</v>
      </c>
      <c r="F71" s="27">
        <v>6</v>
      </c>
      <c r="G71" s="34">
        <f t="shared" si="15"/>
        <v>25.200000000000003</v>
      </c>
      <c r="H71" s="33"/>
      <c r="I71" s="33"/>
      <c r="J71" s="33"/>
      <c r="K71" s="29"/>
      <c r="L71" s="29"/>
      <c r="M71" s="30" t="str">
        <f t="shared" ca="1" si="16"/>
        <v/>
      </c>
      <c r="N71" s="46"/>
      <c r="O71" s="31"/>
    </row>
    <row r="72" spans="1:15" ht="15" customHeight="1">
      <c r="A72" s="68">
        <v>46206</v>
      </c>
      <c r="B72" s="25">
        <f t="shared" si="17"/>
        <v>0.95833333333333293</v>
      </c>
      <c r="C72" s="33" t="s">
        <v>21</v>
      </c>
      <c r="D72" s="62" t="s">
        <v>30</v>
      </c>
      <c r="E72" s="62" t="s">
        <v>261</v>
      </c>
      <c r="F72" s="27">
        <v>11</v>
      </c>
      <c r="G72" s="28">
        <f t="shared" si="15"/>
        <v>46.2</v>
      </c>
      <c r="H72" s="26"/>
      <c r="I72" s="26"/>
      <c r="J72" s="26"/>
      <c r="K72" s="29"/>
      <c r="L72" s="29"/>
      <c r="M72" s="35" t="str">
        <f t="shared" ca="1" si="16"/>
        <v/>
      </c>
      <c r="N72" s="46"/>
      <c r="O72" s="31"/>
    </row>
    <row r="73" spans="1:15" ht="15" customHeight="1">
      <c r="A73" s="69">
        <v>46206</v>
      </c>
      <c r="B73" s="32">
        <f t="shared" si="17"/>
        <v>0.99999999999999956</v>
      </c>
      <c r="C73" s="33" t="s">
        <v>21</v>
      </c>
      <c r="D73" s="62" t="s">
        <v>30</v>
      </c>
      <c r="E73" s="62" t="s">
        <v>261</v>
      </c>
      <c r="F73" s="27">
        <v>17</v>
      </c>
      <c r="G73" s="34">
        <f t="shared" si="15"/>
        <v>71.400000000000006</v>
      </c>
      <c r="H73" s="33"/>
      <c r="I73" s="33"/>
      <c r="J73" s="33"/>
      <c r="K73" s="29"/>
      <c r="L73" s="29"/>
      <c r="M73" s="30" t="str">
        <f t="shared" ca="1" si="16"/>
        <v/>
      </c>
      <c r="N73" s="46"/>
      <c r="O73" s="31"/>
    </row>
    <row r="74" spans="1:15" ht="15" customHeight="1">
      <c r="A74" s="68">
        <v>46206</v>
      </c>
      <c r="B74" s="25">
        <f t="shared" si="17"/>
        <v>1.0416666666666663</v>
      </c>
      <c r="C74" s="33" t="s">
        <v>21</v>
      </c>
      <c r="D74" s="62" t="s">
        <v>30</v>
      </c>
      <c r="E74" s="62" t="s">
        <v>261</v>
      </c>
      <c r="F74" s="27">
        <v>16</v>
      </c>
      <c r="G74" s="28">
        <f t="shared" si="15"/>
        <v>67.2</v>
      </c>
      <c r="H74" s="26"/>
      <c r="I74" s="26"/>
      <c r="J74" s="26"/>
      <c r="K74" s="29"/>
      <c r="L74" s="29"/>
      <c r="M74" s="35" t="str">
        <f t="shared" ca="1" si="16"/>
        <v/>
      </c>
      <c r="N74" s="46"/>
      <c r="O74" s="31"/>
    </row>
    <row r="75" spans="1:15" ht="15" customHeight="1">
      <c r="A75" s="69">
        <v>46206</v>
      </c>
      <c r="B75" s="32">
        <f t="shared" si="17"/>
        <v>1.083333333333333</v>
      </c>
      <c r="C75" s="33" t="s">
        <v>21</v>
      </c>
      <c r="D75" s="62" t="s">
        <v>30</v>
      </c>
      <c r="E75" s="62" t="s">
        <v>261</v>
      </c>
      <c r="F75" s="27">
        <v>9</v>
      </c>
      <c r="G75" s="34">
        <f t="shared" si="15"/>
        <v>37.800000000000004</v>
      </c>
      <c r="H75" s="33"/>
      <c r="I75" s="33"/>
      <c r="J75" s="33"/>
      <c r="K75" s="29"/>
      <c r="L75" s="29"/>
      <c r="M75" s="30" t="str">
        <f t="shared" ca="1" si="16"/>
        <v/>
      </c>
      <c r="N75" s="46"/>
      <c r="O75" s="31"/>
    </row>
    <row r="76" spans="1:15" ht="15" customHeight="1">
      <c r="A76" s="68">
        <v>46206</v>
      </c>
      <c r="B76" s="25">
        <f t="shared" si="17"/>
        <v>1.1249999999999998</v>
      </c>
      <c r="C76" s="33" t="s">
        <v>21</v>
      </c>
      <c r="D76" s="62" t="s">
        <v>30</v>
      </c>
      <c r="E76" s="62" t="s">
        <v>261</v>
      </c>
      <c r="F76" s="27">
        <v>28</v>
      </c>
      <c r="G76" s="28">
        <f t="shared" si="15"/>
        <v>117.60000000000001</v>
      </c>
      <c r="H76" s="26"/>
      <c r="I76" s="26"/>
      <c r="J76" s="26"/>
      <c r="K76" s="29"/>
      <c r="L76" s="29"/>
      <c r="M76" s="35" t="str">
        <f t="shared" ca="1" si="16"/>
        <v/>
      </c>
      <c r="N76" s="46"/>
      <c r="O76" s="31"/>
    </row>
    <row r="77" spans="1:15" ht="15" customHeight="1">
      <c r="A77" s="69">
        <v>46206</v>
      </c>
      <c r="B77" s="32">
        <f t="shared" si="17"/>
        <v>1.1666666666666665</v>
      </c>
      <c r="C77" s="33" t="s">
        <v>21</v>
      </c>
      <c r="D77" s="62" t="s">
        <v>30</v>
      </c>
      <c r="E77" s="62" t="s">
        <v>261</v>
      </c>
      <c r="F77" s="27">
        <v>25</v>
      </c>
      <c r="G77" s="34">
        <f t="shared" si="15"/>
        <v>105</v>
      </c>
      <c r="H77" s="33"/>
      <c r="I77" s="33"/>
      <c r="J77" s="33"/>
      <c r="K77" s="29"/>
      <c r="L77" s="29"/>
      <c r="M77" s="30" t="str">
        <f t="shared" ca="1" si="16"/>
        <v/>
      </c>
      <c r="N77" s="46"/>
      <c r="O77" s="31"/>
    </row>
    <row r="78" spans="1:15" ht="15" customHeight="1">
      <c r="A78" s="68">
        <v>46206</v>
      </c>
      <c r="B78" s="25">
        <f t="shared" si="17"/>
        <v>1.2083333333333333</v>
      </c>
      <c r="C78" s="33" t="s">
        <v>21</v>
      </c>
      <c r="D78" s="62" t="s">
        <v>30</v>
      </c>
      <c r="E78" s="62" t="s">
        <v>261</v>
      </c>
      <c r="F78" s="27">
        <v>11</v>
      </c>
      <c r="G78" s="28">
        <f t="shared" si="15"/>
        <v>46.2</v>
      </c>
      <c r="H78" s="26"/>
      <c r="I78" s="26"/>
      <c r="J78" s="26"/>
      <c r="K78" s="29"/>
      <c r="L78" s="29"/>
      <c r="M78" s="35" t="str">
        <f t="shared" ca="1" si="16"/>
        <v/>
      </c>
      <c r="N78" s="46"/>
      <c r="O78" s="31"/>
    </row>
    <row r="79" spans="1:15" ht="15" customHeight="1">
      <c r="A79" s="69">
        <v>46206</v>
      </c>
      <c r="B79" s="32">
        <f t="shared" si="17"/>
        <v>1.25</v>
      </c>
      <c r="C79" s="33" t="s">
        <v>21</v>
      </c>
      <c r="D79" s="62" t="s">
        <v>30</v>
      </c>
      <c r="E79" s="62" t="s">
        <v>261</v>
      </c>
      <c r="F79" s="27">
        <v>19</v>
      </c>
      <c r="G79" s="34">
        <f t="shared" si="15"/>
        <v>79.8</v>
      </c>
      <c r="H79" s="33"/>
      <c r="I79" s="33"/>
      <c r="J79" s="33"/>
      <c r="K79" s="29"/>
      <c r="L79" s="29"/>
      <c r="M79" s="30" t="str">
        <f t="shared" ca="1" si="16"/>
        <v/>
      </c>
      <c r="N79" s="46"/>
      <c r="O79" s="31"/>
    </row>
    <row r="80" spans="1:15" ht="15" customHeight="1">
      <c r="A80" s="68">
        <v>46206</v>
      </c>
      <c r="B80" s="25">
        <f t="shared" si="17"/>
        <v>1.2916666666666667</v>
      </c>
      <c r="C80" s="33" t="s">
        <v>21</v>
      </c>
      <c r="D80" s="62" t="s">
        <v>22</v>
      </c>
      <c r="E80" s="62" t="s">
        <v>261</v>
      </c>
      <c r="F80" s="27">
        <v>9</v>
      </c>
      <c r="G80" s="28">
        <f t="shared" si="15"/>
        <v>37.800000000000004</v>
      </c>
      <c r="H80" s="26"/>
      <c r="I80" s="26"/>
      <c r="J80" s="26"/>
      <c r="K80" s="29"/>
      <c r="L80" s="29"/>
      <c r="M80" s="35" t="str">
        <f t="shared" ca="1" si="16"/>
        <v/>
      </c>
      <c r="N80" s="46"/>
      <c r="O80" s="31"/>
    </row>
    <row r="81" spans="1:15" ht="15.75" customHeight="1">
      <c r="A81" s="119" t="s">
        <v>238</v>
      </c>
      <c r="B81" s="120"/>
      <c r="C81" s="120"/>
      <c r="D81" s="120"/>
      <c r="E81" s="121">
        <f>SUM(E69:E80)</f>
        <v>0</v>
      </c>
      <c r="F81" s="36">
        <f>SUM(F69:F80)</f>
        <v>186</v>
      </c>
      <c r="G81" s="36">
        <f>SUM(G69:G80)</f>
        <v>781.19999999999993</v>
      </c>
      <c r="H81" s="37"/>
      <c r="I81" s="37"/>
      <c r="J81" s="37"/>
      <c r="K81" s="37"/>
      <c r="L81" s="37"/>
      <c r="M81" s="38">
        <f ca="1">IFERROR(SUM(M69:M80),"")</f>
        <v>2.9861111111111061E-2</v>
      </c>
      <c r="N81" s="36" t="s">
        <v>237</v>
      </c>
      <c r="O81" s="54">
        <v>787860</v>
      </c>
    </row>
    <row r="82" spans="1:15" ht="18" customHeight="1">
      <c r="A82" s="122" t="s">
        <v>239</v>
      </c>
      <c r="B82" s="123"/>
      <c r="C82" s="123"/>
      <c r="D82" s="123"/>
      <c r="E82" s="124">
        <f>E68+E81</f>
        <v>0</v>
      </c>
      <c r="F82" s="40">
        <f>F68+F81</f>
        <v>186</v>
      </c>
      <c r="G82" s="40">
        <f>G68+G81</f>
        <v>781.19999999999993</v>
      </c>
      <c r="H82" s="41"/>
      <c r="I82" s="41"/>
      <c r="J82" s="41"/>
      <c r="K82" s="41"/>
      <c r="L82" s="41"/>
      <c r="M82" s="42">
        <f ca="1">IFERROR(M68+M81,"")</f>
        <v>0.52986111111111101</v>
      </c>
      <c r="N82" s="40" t="s">
        <v>240</v>
      </c>
      <c r="O82" s="82">
        <f>IFERROR(O68+O81,"")</f>
        <v>787860</v>
      </c>
    </row>
    <row r="83" spans="1:15" ht="15" customHeight="1">
      <c r="A83" s="68">
        <v>46207</v>
      </c>
      <c r="B83" s="25">
        <v>0.33333333333333298</v>
      </c>
      <c r="C83" s="26" t="s">
        <v>29</v>
      </c>
      <c r="D83" s="20" t="s">
        <v>22</v>
      </c>
      <c r="E83" s="59" t="s">
        <v>261</v>
      </c>
      <c r="F83" s="27">
        <v>18</v>
      </c>
      <c r="G83" s="28">
        <f t="shared" ref="G83:G94" si="18">IF(F83="","",IF(E83="PC 17",F83*4.2,IF(E83="PC 19",F83*5,"")))</f>
        <v>75.600000000000009</v>
      </c>
      <c r="H83" s="33" t="s">
        <v>19</v>
      </c>
      <c r="I83" s="33" t="s">
        <v>39</v>
      </c>
      <c r="J83" s="33" t="s">
        <v>27</v>
      </c>
      <c r="K83" s="29">
        <v>0.38819444444444445</v>
      </c>
      <c r="L83" s="29">
        <v>0.60416666666666663</v>
      </c>
      <c r="M83" s="35">
        <f t="shared" ref="M83:M94" ca="1" si="19">IFERROR(IF(K83="","",IF(L83="",MOD(NOW()-K83,1),IF(L83&gt;=K83,L83-K83,L83+1-K83))),"")</f>
        <v>0.21597222222222218</v>
      </c>
      <c r="N83" s="46" t="s">
        <v>283</v>
      </c>
      <c r="O83" s="31"/>
    </row>
    <row r="84" spans="1:15" ht="15" customHeight="1">
      <c r="A84" s="69">
        <v>46207</v>
      </c>
      <c r="B84" s="32">
        <f t="shared" ref="B84:B94" si="20">B83+TIME(0,60,0)</f>
        <v>0.37499999999999967</v>
      </c>
      <c r="C84" s="26" t="s">
        <v>29</v>
      </c>
      <c r="D84" s="59" t="s">
        <v>22</v>
      </c>
      <c r="E84" s="59" t="s">
        <v>261</v>
      </c>
      <c r="F84" s="27">
        <v>22</v>
      </c>
      <c r="G84" s="34">
        <f t="shared" si="18"/>
        <v>92.4</v>
      </c>
      <c r="H84" s="26" t="s">
        <v>20</v>
      </c>
      <c r="I84" s="26" t="s">
        <v>39</v>
      </c>
      <c r="J84" s="26" t="s">
        <v>185</v>
      </c>
      <c r="K84" s="29">
        <v>0.63611111111111107</v>
      </c>
      <c r="L84" s="29">
        <v>0.65972222222222221</v>
      </c>
      <c r="M84" s="30">
        <f t="shared" ca="1" si="19"/>
        <v>2.3611111111111138E-2</v>
      </c>
      <c r="N84" s="46"/>
      <c r="O84" s="31"/>
    </row>
    <row r="85" spans="1:15" ht="15" customHeight="1">
      <c r="A85" s="68">
        <v>46207</v>
      </c>
      <c r="B85" s="25">
        <f t="shared" si="20"/>
        <v>0.41666666666666635</v>
      </c>
      <c r="C85" s="26" t="s">
        <v>29</v>
      </c>
      <c r="D85" s="59" t="s">
        <v>22</v>
      </c>
      <c r="E85" s="59" t="s">
        <v>261</v>
      </c>
      <c r="F85" s="27">
        <v>7</v>
      </c>
      <c r="G85" s="28">
        <f t="shared" si="18"/>
        <v>29.400000000000002</v>
      </c>
      <c r="H85" s="33" t="s">
        <v>20</v>
      </c>
      <c r="I85" s="33" t="s">
        <v>31</v>
      </c>
      <c r="J85" s="33" t="s">
        <v>36</v>
      </c>
      <c r="K85" s="29">
        <v>0.66874999999999996</v>
      </c>
      <c r="L85" s="29">
        <v>0.69097222222222221</v>
      </c>
      <c r="M85" s="35">
        <f t="shared" ca="1" si="19"/>
        <v>2.2222222222222254E-2</v>
      </c>
      <c r="N85" s="46"/>
      <c r="O85" s="31"/>
    </row>
    <row r="86" spans="1:15" ht="15" customHeight="1">
      <c r="A86" s="69">
        <v>46207</v>
      </c>
      <c r="B86" s="32">
        <f t="shared" si="20"/>
        <v>0.45833333333333304</v>
      </c>
      <c r="C86" s="26" t="s">
        <v>29</v>
      </c>
      <c r="D86" s="59" t="s">
        <v>22</v>
      </c>
      <c r="E86" s="59" t="s">
        <v>261</v>
      </c>
      <c r="F86" s="27">
        <v>3</v>
      </c>
      <c r="G86" s="34">
        <f t="shared" si="18"/>
        <v>12.600000000000001</v>
      </c>
      <c r="H86" s="26"/>
      <c r="I86" s="26"/>
      <c r="J86" s="26"/>
      <c r="K86" s="29"/>
      <c r="L86" s="29"/>
      <c r="M86" s="30" t="str">
        <f t="shared" ca="1" si="19"/>
        <v/>
      </c>
      <c r="N86" s="46"/>
      <c r="O86" s="31"/>
    </row>
    <row r="87" spans="1:15" ht="15" customHeight="1">
      <c r="A87" s="68">
        <v>46207</v>
      </c>
      <c r="B87" s="25">
        <f t="shared" si="20"/>
        <v>0.49999999999999972</v>
      </c>
      <c r="C87" s="26" t="s">
        <v>29</v>
      </c>
      <c r="D87" s="59" t="s">
        <v>22</v>
      </c>
      <c r="E87" s="59" t="s">
        <v>261</v>
      </c>
      <c r="F87" s="27">
        <v>1</v>
      </c>
      <c r="G87" s="28">
        <f t="shared" si="18"/>
        <v>4.2</v>
      </c>
      <c r="H87" s="33"/>
      <c r="I87" s="33"/>
      <c r="J87" s="33"/>
      <c r="K87" s="29"/>
      <c r="L87" s="29"/>
      <c r="M87" s="35" t="str">
        <f t="shared" ca="1" si="19"/>
        <v/>
      </c>
      <c r="N87" s="46"/>
      <c r="O87" s="31"/>
    </row>
    <row r="88" spans="1:15" ht="15" customHeight="1">
      <c r="A88" s="69">
        <v>46207</v>
      </c>
      <c r="B88" s="32">
        <f t="shared" si="20"/>
        <v>0.54166666666666641</v>
      </c>
      <c r="C88" s="26" t="s">
        <v>29</v>
      </c>
      <c r="D88" s="59" t="s">
        <v>22</v>
      </c>
      <c r="E88" s="59" t="s">
        <v>234</v>
      </c>
      <c r="F88" s="27">
        <v>9</v>
      </c>
      <c r="G88" s="34">
        <f t="shared" si="18"/>
        <v>45</v>
      </c>
      <c r="H88" s="26"/>
      <c r="I88" s="26"/>
      <c r="J88" s="26"/>
      <c r="K88" s="29"/>
      <c r="L88" s="29"/>
      <c r="M88" s="30" t="str">
        <f t="shared" ca="1" si="19"/>
        <v/>
      </c>
      <c r="N88" s="46"/>
      <c r="O88" s="31"/>
    </row>
    <row r="89" spans="1:15" ht="15" customHeight="1">
      <c r="A89" s="68">
        <v>46207</v>
      </c>
      <c r="B89" s="25">
        <f t="shared" si="20"/>
        <v>0.58333333333333304</v>
      </c>
      <c r="C89" s="26" t="s">
        <v>29</v>
      </c>
      <c r="D89" s="59" t="s">
        <v>22</v>
      </c>
      <c r="E89" s="59" t="s">
        <v>234</v>
      </c>
      <c r="F89" s="27">
        <v>20</v>
      </c>
      <c r="G89" s="28">
        <f t="shared" si="18"/>
        <v>100</v>
      </c>
      <c r="H89" s="33"/>
      <c r="I89" s="33"/>
      <c r="J89" s="33"/>
      <c r="K89" s="29"/>
      <c r="L89" s="29"/>
      <c r="M89" s="35" t="str">
        <f t="shared" ca="1" si="19"/>
        <v/>
      </c>
      <c r="N89" s="46"/>
      <c r="O89" s="31"/>
    </row>
    <row r="90" spans="1:15" ht="15" customHeight="1">
      <c r="A90" s="69">
        <v>46207</v>
      </c>
      <c r="B90" s="32">
        <f t="shared" si="20"/>
        <v>0.62499999999999967</v>
      </c>
      <c r="C90" s="26" t="s">
        <v>29</v>
      </c>
      <c r="D90" s="59" t="s">
        <v>22</v>
      </c>
      <c r="E90" s="59" t="s">
        <v>234</v>
      </c>
      <c r="F90" s="27">
        <v>0</v>
      </c>
      <c r="G90" s="34">
        <f t="shared" si="18"/>
        <v>0</v>
      </c>
      <c r="H90" s="26"/>
      <c r="I90" s="26"/>
      <c r="J90" s="26"/>
      <c r="K90" s="29"/>
      <c r="L90" s="29"/>
      <c r="M90" s="30" t="str">
        <f t="shared" ca="1" si="19"/>
        <v/>
      </c>
      <c r="N90" s="46"/>
      <c r="O90" s="31"/>
    </row>
    <row r="91" spans="1:15" ht="15" customHeight="1">
      <c r="A91" s="68">
        <v>46207</v>
      </c>
      <c r="B91" s="25">
        <f t="shared" si="20"/>
        <v>0.6666666666666663</v>
      </c>
      <c r="C91" s="26" t="s">
        <v>29</v>
      </c>
      <c r="D91" s="59" t="s">
        <v>22</v>
      </c>
      <c r="E91" s="59" t="s">
        <v>234</v>
      </c>
      <c r="F91" s="27">
        <v>7</v>
      </c>
      <c r="G91" s="28">
        <f t="shared" si="18"/>
        <v>35</v>
      </c>
      <c r="H91" s="33"/>
      <c r="I91" s="33"/>
      <c r="J91" s="33"/>
      <c r="K91" s="29"/>
      <c r="L91" s="29"/>
      <c r="M91" s="35" t="str">
        <f t="shared" ca="1" si="19"/>
        <v/>
      </c>
      <c r="N91" s="46"/>
      <c r="O91" s="31"/>
    </row>
    <row r="92" spans="1:15" ht="15" customHeight="1">
      <c r="A92" s="69">
        <v>46207</v>
      </c>
      <c r="B92" s="32">
        <f t="shared" si="20"/>
        <v>0.70833333333333293</v>
      </c>
      <c r="C92" s="26" t="s">
        <v>29</v>
      </c>
      <c r="D92" s="59" t="s">
        <v>30</v>
      </c>
      <c r="E92" s="59" t="s">
        <v>234</v>
      </c>
      <c r="F92" s="27">
        <v>0</v>
      </c>
      <c r="G92" s="34">
        <f t="shared" si="18"/>
        <v>0</v>
      </c>
      <c r="H92" s="26"/>
      <c r="I92" s="26"/>
      <c r="J92" s="26"/>
      <c r="K92" s="29"/>
      <c r="L92" s="29"/>
      <c r="M92" s="30" t="str">
        <f t="shared" ca="1" si="19"/>
        <v/>
      </c>
      <c r="N92" s="46"/>
      <c r="O92" s="31"/>
    </row>
    <row r="93" spans="1:15" ht="15" customHeight="1">
      <c r="A93" s="68">
        <v>46207</v>
      </c>
      <c r="B93" s="25">
        <f t="shared" si="20"/>
        <v>0.74999999999999956</v>
      </c>
      <c r="C93" s="26" t="s">
        <v>29</v>
      </c>
      <c r="D93" s="59" t="s">
        <v>30</v>
      </c>
      <c r="E93" s="59" t="s">
        <v>234</v>
      </c>
      <c r="F93" s="27">
        <v>15</v>
      </c>
      <c r="G93" s="28">
        <f t="shared" si="18"/>
        <v>75</v>
      </c>
      <c r="H93" s="33"/>
      <c r="I93" s="33"/>
      <c r="J93" s="33"/>
      <c r="K93" s="29"/>
      <c r="L93" s="29"/>
      <c r="M93" s="35" t="str">
        <f t="shared" ca="1" si="19"/>
        <v/>
      </c>
      <c r="N93" s="46"/>
      <c r="O93" s="31"/>
    </row>
    <row r="94" spans="1:15" ht="15" customHeight="1">
      <c r="A94" s="69">
        <v>46207</v>
      </c>
      <c r="B94" s="32">
        <f t="shared" si="20"/>
        <v>0.79166666666666619</v>
      </c>
      <c r="C94" s="26" t="s">
        <v>29</v>
      </c>
      <c r="D94" s="59" t="s">
        <v>30</v>
      </c>
      <c r="E94" s="59" t="s">
        <v>234</v>
      </c>
      <c r="F94" s="27">
        <v>10</v>
      </c>
      <c r="G94" s="34">
        <f t="shared" si="18"/>
        <v>50</v>
      </c>
      <c r="H94" s="26"/>
      <c r="I94" s="26"/>
      <c r="J94" s="26"/>
      <c r="K94" s="29"/>
      <c r="L94" s="29"/>
      <c r="M94" s="30" t="str">
        <f t="shared" ca="1" si="19"/>
        <v/>
      </c>
      <c r="N94" s="46"/>
      <c r="O94" s="31"/>
    </row>
    <row r="95" spans="1:15" ht="15.75" customHeight="1">
      <c r="A95" s="119" t="s">
        <v>236</v>
      </c>
      <c r="B95" s="120"/>
      <c r="C95" s="120"/>
      <c r="D95" s="120"/>
      <c r="E95" s="121">
        <f>SUM(E83:E94)</f>
        <v>0</v>
      </c>
      <c r="F95" s="36">
        <f>SUM(F83:F94)</f>
        <v>112</v>
      </c>
      <c r="G95" s="36">
        <f>SUM(G83:G94)</f>
        <v>519.20000000000005</v>
      </c>
      <c r="H95" s="37"/>
      <c r="I95" s="37"/>
      <c r="J95" s="37"/>
      <c r="K95" s="37"/>
      <c r="L95" s="37"/>
      <c r="M95" s="38">
        <f ca="1">IFERROR(SUM(M83:M94),"")</f>
        <v>0.26180555555555557</v>
      </c>
      <c r="N95" s="36" t="s">
        <v>237</v>
      </c>
      <c r="O95" s="54">
        <v>577610</v>
      </c>
    </row>
    <row r="96" spans="1:15" ht="15" customHeight="1">
      <c r="A96" s="69">
        <v>46207</v>
      </c>
      <c r="B96" s="32">
        <v>0.83333333333333304</v>
      </c>
      <c r="C96" s="33" t="s">
        <v>21</v>
      </c>
      <c r="D96" s="62" t="s">
        <v>30</v>
      </c>
      <c r="E96" s="62" t="s">
        <v>261</v>
      </c>
      <c r="F96" s="27">
        <v>8</v>
      </c>
      <c r="G96" s="34">
        <f t="shared" ref="G96:G107" si="21">IF(F96="","",IF(E96="PC 17",F96*4.2,IF(E96="PC 19",F96*5,"")))</f>
        <v>33.6</v>
      </c>
      <c r="H96" s="26" t="s">
        <v>18</v>
      </c>
      <c r="I96" s="26" t="s">
        <v>31</v>
      </c>
      <c r="J96" s="26" t="s">
        <v>145</v>
      </c>
      <c r="K96" s="29">
        <v>0.98263888888888884</v>
      </c>
      <c r="L96" s="29">
        <v>6.9444444444444441E-3</v>
      </c>
      <c r="M96" s="30">
        <f t="shared" ref="M96:M107" ca="1" si="22">IFERROR(IF(K96="","",IF(L96="",MOD(NOW()-K96,1),IF(L96&gt;=K96,L96-K96,L96+1-K96))),"")</f>
        <v>2.430555555555558E-2</v>
      </c>
      <c r="N96" s="46" t="s">
        <v>284</v>
      </c>
      <c r="O96" s="31"/>
    </row>
    <row r="97" spans="1:15" ht="15" customHeight="1">
      <c r="A97" s="68">
        <v>46207</v>
      </c>
      <c r="B97" s="25">
        <f t="shared" ref="B97:B107" si="23">B96+TIME(0,60,0)</f>
        <v>0.87499999999999967</v>
      </c>
      <c r="C97" s="33" t="s">
        <v>21</v>
      </c>
      <c r="D97" s="62" t="s">
        <v>30</v>
      </c>
      <c r="E97" s="62" t="s">
        <v>261</v>
      </c>
      <c r="F97" s="27">
        <v>10</v>
      </c>
      <c r="G97" s="28">
        <f t="shared" si="21"/>
        <v>42</v>
      </c>
      <c r="H97" s="33" t="s">
        <v>19</v>
      </c>
      <c r="I97" s="33" t="s">
        <v>39</v>
      </c>
      <c r="J97" s="33" t="s">
        <v>27</v>
      </c>
      <c r="K97" s="29">
        <v>0.125</v>
      </c>
      <c r="L97" s="29">
        <v>0.15138888888888888</v>
      </c>
      <c r="M97" s="35">
        <f t="shared" ca="1" si="22"/>
        <v>2.6388888888888878E-2</v>
      </c>
      <c r="N97" s="46" t="s">
        <v>285</v>
      </c>
      <c r="O97" s="31"/>
    </row>
    <row r="98" spans="1:15" ht="15" customHeight="1">
      <c r="A98" s="69">
        <v>46207</v>
      </c>
      <c r="B98" s="32">
        <f t="shared" si="23"/>
        <v>0.9166666666666663</v>
      </c>
      <c r="C98" s="33" t="s">
        <v>21</v>
      </c>
      <c r="D98" s="62" t="s">
        <v>30</v>
      </c>
      <c r="E98" s="62" t="s">
        <v>261</v>
      </c>
      <c r="F98" s="27">
        <v>16</v>
      </c>
      <c r="G98" s="34">
        <f t="shared" si="21"/>
        <v>67.2</v>
      </c>
      <c r="H98" s="26" t="s">
        <v>18</v>
      </c>
      <c r="I98" s="26" t="s">
        <v>31</v>
      </c>
      <c r="J98" s="26" t="s">
        <v>154</v>
      </c>
      <c r="K98" s="29">
        <v>0.1875</v>
      </c>
      <c r="L98" s="29">
        <v>0.21527777777777779</v>
      </c>
      <c r="M98" s="30">
        <f t="shared" ca="1" si="22"/>
        <v>2.777777777777779E-2</v>
      </c>
      <c r="N98" s="46" t="s">
        <v>286</v>
      </c>
      <c r="O98" s="31"/>
    </row>
    <row r="99" spans="1:15" ht="15" customHeight="1">
      <c r="A99" s="68">
        <v>46207</v>
      </c>
      <c r="B99" s="25">
        <f t="shared" si="23"/>
        <v>0.95833333333333293</v>
      </c>
      <c r="C99" s="33" t="s">
        <v>21</v>
      </c>
      <c r="D99" s="62" t="s">
        <v>30</v>
      </c>
      <c r="E99" s="62" t="s">
        <v>261</v>
      </c>
      <c r="F99" s="27">
        <v>21</v>
      </c>
      <c r="G99" s="28">
        <f t="shared" si="21"/>
        <v>88.2</v>
      </c>
      <c r="H99" s="33"/>
      <c r="I99" s="33"/>
      <c r="J99" s="33"/>
      <c r="K99" s="29"/>
      <c r="L99" s="29"/>
      <c r="M99" s="35" t="str">
        <f t="shared" ca="1" si="22"/>
        <v/>
      </c>
      <c r="N99" s="46"/>
      <c r="O99" s="31"/>
    </row>
    <row r="100" spans="1:15" ht="15" customHeight="1">
      <c r="A100" s="69">
        <v>46207</v>
      </c>
      <c r="B100" s="32">
        <f t="shared" si="23"/>
        <v>0.99999999999999956</v>
      </c>
      <c r="C100" s="33" t="s">
        <v>21</v>
      </c>
      <c r="D100" s="62" t="s">
        <v>30</v>
      </c>
      <c r="E100" s="62" t="s">
        <v>261</v>
      </c>
      <c r="F100" s="27">
        <v>21</v>
      </c>
      <c r="G100" s="34">
        <f t="shared" si="21"/>
        <v>88.2</v>
      </c>
      <c r="H100" s="26"/>
      <c r="I100" s="26"/>
      <c r="J100" s="26"/>
      <c r="K100" s="29"/>
      <c r="L100" s="29"/>
      <c r="M100" s="30" t="str">
        <f t="shared" ca="1" si="22"/>
        <v/>
      </c>
      <c r="N100" s="46"/>
      <c r="O100" s="31"/>
    </row>
    <row r="101" spans="1:15" ht="15" customHeight="1">
      <c r="A101" s="68">
        <v>46207</v>
      </c>
      <c r="B101" s="25">
        <f t="shared" si="23"/>
        <v>1.0416666666666663</v>
      </c>
      <c r="C101" s="33" t="s">
        <v>21</v>
      </c>
      <c r="D101" s="62" t="s">
        <v>30</v>
      </c>
      <c r="E101" s="62" t="s">
        <v>261</v>
      </c>
      <c r="F101" s="27">
        <v>8</v>
      </c>
      <c r="G101" s="28">
        <f t="shared" si="21"/>
        <v>33.6</v>
      </c>
      <c r="H101" s="33"/>
      <c r="I101" s="33"/>
      <c r="J101" s="33"/>
      <c r="K101" s="29"/>
      <c r="L101" s="29"/>
      <c r="M101" s="35" t="str">
        <f t="shared" ca="1" si="22"/>
        <v/>
      </c>
      <c r="N101" s="46"/>
      <c r="O101" s="31"/>
    </row>
    <row r="102" spans="1:15" ht="15" customHeight="1">
      <c r="A102" s="69">
        <v>46207</v>
      </c>
      <c r="B102" s="32">
        <f t="shared" si="23"/>
        <v>1.083333333333333</v>
      </c>
      <c r="C102" s="33" t="s">
        <v>21</v>
      </c>
      <c r="D102" s="62" t="s">
        <v>30</v>
      </c>
      <c r="E102" s="62" t="s">
        <v>261</v>
      </c>
      <c r="F102" s="27">
        <v>16</v>
      </c>
      <c r="G102" s="34">
        <f t="shared" si="21"/>
        <v>67.2</v>
      </c>
      <c r="H102" s="26"/>
      <c r="I102" s="26"/>
      <c r="J102" s="26"/>
      <c r="K102" s="29"/>
      <c r="L102" s="29"/>
      <c r="M102" s="30" t="str">
        <f t="shared" ca="1" si="22"/>
        <v/>
      </c>
      <c r="N102" s="46"/>
      <c r="O102" s="31"/>
    </row>
    <row r="103" spans="1:15" ht="15" customHeight="1">
      <c r="A103" s="68">
        <v>46207</v>
      </c>
      <c r="B103" s="25">
        <f t="shared" si="23"/>
        <v>1.1249999999999998</v>
      </c>
      <c r="C103" s="33" t="s">
        <v>21</v>
      </c>
      <c r="D103" s="62" t="s">
        <v>30</v>
      </c>
      <c r="E103" s="62" t="s">
        <v>261</v>
      </c>
      <c r="F103" s="27">
        <v>22</v>
      </c>
      <c r="G103" s="28">
        <f t="shared" si="21"/>
        <v>92.4</v>
      </c>
      <c r="H103" s="33"/>
      <c r="I103" s="33"/>
      <c r="J103" s="33"/>
      <c r="K103" s="29"/>
      <c r="L103" s="29"/>
      <c r="M103" s="35" t="str">
        <f t="shared" ca="1" si="22"/>
        <v/>
      </c>
      <c r="N103" s="46"/>
      <c r="O103" s="31"/>
    </row>
    <row r="104" spans="1:15" ht="15" customHeight="1">
      <c r="A104" s="69">
        <v>46207</v>
      </c>
      <c r="B104" s="32">
        <f t="shared" si="23"/>
        <v>1.1666666666666665</v>
      </c>
      <c r="C104" s="33" t="s">
        <v>21</v>
      </c>
      <c r="D104" s="62" t="s">
        <v>30</v>
      </c>
      <c r="E104" s="62" t="s">
        <v>261</v>
      </c>
      <c r="F104" s="27">
        <v>14</v>
      </c>
      <c r="G104" s="34">
        <f t="shared" si="21"/>
        <v>58.800000000000004</v>
      </c>
      <c r="H104" s="26"/>
      <c r="I104" s="26"/>
      <c r="J104" s="26"/>
      <c r="K104" s="29"/>
      <c r="L104" s="29"/>
      <c r="M104" s="30" t="str">
        <f t="shared" ca="1" si="22"/>
        <v/>
      </c>
      <c r="N104" s="46"/>
      <c r="O104" s="31"/>
    </row>
    <row r="105" spans="1:15" ht="15" customHeight="1">
      <c r="A105" s="68">
        <v>46207</v>
      </c>
      <c r="B105" s="25">
        <f t="shared" si="23"/>
        <v>1.2083333333333333</v>
      </c>
      <c r="C105" s="33" t="s">
        <v>21</v>
      </c>
      <c r="D105" s="62" t="s">
        <v>30</v>
      </c>
      <c r="E105" s="62" t="s">
        <v>261</v>
      </c>
      <c r="F105" s="27">
        <v>15</v>
      </c>
      <c r="G105" s="28">
        <f t="shared" si="21"/>
        <v>63</v>
      </c>
      <c r="H105" s="33"/>
      <c r="I105" s="33"/>
      <c r="J105" s="33"/>
      <c r="K105" s="29"/>
      <c r="L105" s="29"/>
      <c r="M105" s="35" t="str">
        <f t="shared" ca="1" si="22"/>
        <v/>
      </c>
      <c r="N105" s="46"/>
      <c r="O105" s="31"/>
    </row>
    <row r="106" spans="1:15" ht="15" customHeight="1">
      <c r="A106" s="69">
        <v>46207</v>
      </c>
      <c r="B106" s="32">
        <f t="shared" si="23"/>
        <v>1.25</v>
      </c>
      <c r="C106" s="33" t="s">
        <v>21</v>
      </c>
      <c r="D106" s="62" t="s">
        <v>30</v>
      </c>
      <c r="E106" s="62" t="s">
        <v>261</v>
      </c>
      <c r="F106" s="27">
        <v>24</v>
      </c>
      <c r="G106" s="34">
        <f t="shared" si="21"/>
        <v>100.80000000000001</v>
      </c>
      <c r="H106" s="26"/>
      <c r="I106" s="26"/>
      <c r="J106" s="26"/>
      <c r="K106" s="29"/>
      <c r="L106" s="29"/>
      <c r="M106" s="30" t="str">
        <f t="shared" ca="1" si="22"/>
        <v/>
      </c>
      <c r="N106" s="46"/>
      <c r="O106" s="31"/>
    </row>
    <row r="107" spans="1:15" ht="15" customHeight="1">
      <c r="A107" s="68">
        <v>46207</v>
      </c>
      <c r="B107" s="25">
        <f t="shared" si="23"/>
        <v>1.2916666666666667</v>
      </c>
      <c r="C107" s="33" t="s">
        <v>21</v>
      </c>
      <c r="D107" s="62" t="s">
        <v>30</v>
      </c>
      <c r="E107" s="62" t="s">
        <v>261</v>
      </c>
      <c r="F107" s="27">
        <v>14</v>
      </c>
      <c r="G107" s="28">
        <f t="shared" si="21"/>
        <v>58.800000000000004</v>
      </c>
      <c r="H107" s="33"/>
      <c r="I107" s="33"/>
      <c r="J107" s="33"/>
      <c r="K107" s="29"/>
      <c r="L107" s="29"/>
      <c r="M107" s="35" t="str">
        <f t="shared" ca="1" si="22"/>
        <v/>
      </c>
      <c r="N107" s="46"/>
      <c r="O107" s="31"/>
    </row>
    <row r="108" spans="1:15" ht="15.75" customHeight="1">
      <c r="A108" s="119" t="s">
        <v>238</v>
      </c>
      <c r="B108" s="120"/>
      <c r="C108" s="120"/>
      <c r="D108" s="120"/>
      <c r="E108" s="121">
        <f>SUM(E96:E107)</f>
        <v>0</v>
      </c>
      <c r="F108" s="36">
        <f>SUM(F96:F107)</f>
        <v>189</v>
      </c>
      <c r="G108" s="36">
        <f>SUM(G96:G107)</f>
        <v>793.8</v>
      </c>
      <c r="H108" s="37"/>
      <c r="I108" s="37"/>
      <c r="J108" s="37"/>
      <c r="K108" s="37"/>
      <c r="L108" s="37"/>
      <c r="M108" s="38">
        <f ca="1">IFERROR(SUM(M96:M107),"")</f>
        <v>7.8472222222222249E-2</v>
      </c>
      <c r="N108" s="36" t="s">
        <v>237</v>
      </c>
      <c r="O108" s="54">
        <v>1087080</v>
      </c>
    </row>
    <row r="109" spans="1:15" ht="18" customHeight="1">
      <c r="A109" s="122" t="s">
        <v>239</v>
      </c>
      <c r="B109" s="123"/>
      <c r="C109" s="123"/>
      <c r="D109" s="123"/>
      <c r="E109" s="124">
        <f>E95+E108</f>
        <v>0</v>
      </c>
      <c r="F109" s="40">
        <f>F95+F108</f>
        <v>301</v>
      </c>
      <c r="G109" s="40">
        <f>G95+G108</f>
        <v>1313</v>
      </c>
      <c r="H109" s="41"/>
      <c r="I109" s="41"/>
      <c r="J109" s="41"/>
      <c r="K109" s="41"/>
      <c r="L109" s="41"/>
      <c r="M109" s="42">
        <f ca="1">IFERROR(M95+M108,"")</f>
        <v>0.34027777777777779</v>
      </c>
      <c r="N109" s="40" t="s">
        <v>240</v>
      </c>
      <c r="O109" s="82">
        <f>IFERROR(O95+O108,"")</f>
        <v>1664690</v>
      </c>
    </row>
    <row r="110" spans="1:15" ht="15" customHeight="1">
      <c r="A110" s="68">
        <v>46208</v>
      </c>
      <c r="B110" s="25">
        <v>0.33333333333333298</v>
      </c>
      <c r="C110" s="26" t="s">
        <v>29</v>
      </c>
      <c r="D110" s="59" t="s">
        <v>30</v>
      </c>
      <c r="E110" s="59" t="s">
        <v>261</v>
      </c>
      <c r="F110" s="27">
        <v>22</v>
      </c>
      <c r="G110" s="28">
        <f t="shared" ref="G110:G121" si="24">IF(F110="","",IF(E110="PC 17",F110*4.2,IF(E110="PC 19",F110*5,"")))</f>
        <v>92.4</v>
      </c>
      <c r="H110" s="26" t="s">
        <v>18</v>
      </c>
      <c r="I110" s="26" t="s">
        <v>63</v>
      </c>
      <c r="J110" s="26" t="s">
        <v>100</v>
      </c>
      <c r="K110" s="29">
        <v>0.37916666666666665</v>
      </c>
      <c r="L110" s="29">
        <v>0.45694444444444443</v>
      </c>
      <c r="M110" s="35">
        <f t="shared" ref="M110:M121" ca="1" si="25">IFERROR(IF(K110="","",IF(L110="",MOD(NOW()-K110,1),IF(L110&gt;=K110,L110-K110,L110+1-K110))),"")</f>
        <v>7.7777777777777779E-2</v>
      </c>
      <c r="N110" s="46"/>
      <c r="O110" s="31"/>
    </row>
    <row r="111" spans="1:15" ht="15" customHeight="1">
      <c r="A111" s="69">
        <v>46208</v>
      </c>
      <c r="B111" s="32">
        <f t="shared" ref="B111:B121" si="26">B110+TIME(0,60,0)</f>
        <v>0.37499999999999967</v>
      </c>
      <c r="C111" s="26" t="s">
        <v>29</v>
      </c>
      <c r="D111" s="59" t="s">
        <v>30</v>
      </c>
      <c r="E111" s="59" t="s">
        <v>261</v>
      </c>
      <c r="F111" s="27">
        <v>20</v>
      </c>
      <c r="G111" s="34">
        <f t="shared" si="24"/>
        <v>84</v>
      </c>
      <c r="H111" s="33" t="s">
        <v>20</v>
      </c>
      <c r="I111" s="33" t="s">
        <v>31</v>
      </c>
      <c r="J111" s="33" t="s">
        <v>165</v>
      </c>
      <c r="K111" s="29">
        <v>0.65138888888888891</v>
      </c>
      <c r="L111" s="29">
        <v>0.71527777777777779</v>
      </c>
      <c r="M111" s="30">
        <f t="shared" ca="1" si="25"/>
        <v>6.3888888888888884E-2</v>
      </c>
      <c r="N111" s="46" t="s">
        <v>287</v>
      </c>
      <c r="O111" s="31"/>
    </row>
    <row r="112" spans="1:15" ht="15" customHeight="1">
      <c r="A112" s="68">
        <v>46208</v>
      </c>
      <c r="B112" s="25">
        <f t="shared" si="26"/>
        <v>0.41666666666666635</v>
      </c>
      <c r="C112" s="26" t="s">
        <v>29</v>
      </c>
      <c r="D112" s="59" t="s">
        <v>30</v>
      </c>
      <c r="E112" s="59" t="s">
        <v>261</v>
      </c>
      <c r="F112" s="27">
        <v>0</v>
      </c>
      <c r="G112" s="28">
        <f t="shared" si="24"/>
        <v>0</v>
      </c>
      <c r="H112" s="26"/>
      <c r="I112" s="26"/>
      <c r="J112" s="26"/>
      <c r="K112" s="29"/>
      <c r="L112" s="29"/>
      <c r="M112" s="35" t="str">
        <f t="shared" ca="1" si="25"/>
        <v/>
      </c>
      <c r="N112" s="46"/>
      <c r="O112" s="31"/>
    </row>
    <row r="113" spans="1:15" ht="15" customHeight="1">
      <c r="A113" s="69">
        <v>46208</v>
      </c>
      <c r="B113" s="32">
        <f t="shared" si="26"/>
        <v>0.45833333333333304</v>
      </c>
      <c r="C113" s="26" t="s">
        <v>29</v>
      </c>
      <c r="D113" s="59" t="s">
        <v>30</v>
      </c>
      <c r="E113" s="59" t="s">
        <v>261</v>
      </c>
      <c r="F113" s="27">
        <v>0</v>
      </c>
      <c r="G113" s="34">
        <f t="shared" si="24"/>
        <v>0</v>
      </c>
      <c r="H113" s="33"/>
      <c r="I113" s="33"/>
      <c r="J113" s="33"/>
      <c r="K113" s="29"/>
      <c r="L113" s="29"/>
      <c r="M113" s="30" t="str">
        <f t="shared" ca="1" si="25"/>
        <v/>
      </c>
      <c r="N113" s="46"/>
      <c r="O113" s="31"/>
    </row>
    <row r="114" spans="1:15" ht="15" customHeight="1">
      <c r="A114" s="68">
        <v>46208</v>
      </c>
      <c r="B114" s="25">
        <f t="shared" si="26"/>
        <v>0.49999999999999972</v>
      </c>
      <c r="C114" s="26" t="s">
        <v>29</v>
      </c>
      <c r="D114" s="59" t="s">
        <v>30</v>
      </c>
      <c r="E114" s="59" t="s">
        <v>261</v>
      </c>
      <c r="F114" s="27">
        <v>10</v>
      </c>
      <c r="G114" s="28">
        <f t="shared" si="24"/>
        <v>42</v>
      </c>
      <c r="H114" s="26"/>
      <c r="I114" s="26"/>
      <c r="J114" s="26"/>
      <c r="K114" s="29"/>
      <c r="L114" s="29"/>
      <c r="M114" s="35" t="str">
        <f t="shared" ca="1" si="25"/>
        <v/>
      </c>
      <c r="N114" s="46"/>
      <c r="O114" s="31"/>
    </row>
    <row r="115" spans="1:15" ht="15" customHeight="1">
      <c r="A115" s="69">
        <v>46208</v>
      </c>
      <c r="B115" s="32">
        <f t="shared" si="26"/>
        <v>0.54166666666666641</v>
      </c>
      <c r="C115" s="26" t="s">
        <v>29</v>
      </c>
      <c r="D115" s="59" t="s">
        <v>30</v>
      </c>
      <c r="E115" s="59" t="s">
        <v>261</v>
      </c>
      <c r="F115" s="27">
        <v>10</v>
      </c>
      <c r="G115" s="34">
        <f t="shared" si="24"/>
        <v>42</v>
      </c>
      <c r="H115" s="33"/>
      <c r="I115" s="33"/>
      <c r="J115" s="33"/>
      <c r="K115" s="29"/>
      <c r="L115" s="29"/>
      <c r="M115" s="30" t="str">
        <f t="shared" ca="1" si="25"/>
        <v/>
      </c>
      <c r="N115" s="46"/>
      <c r="O115" s="31"/>
    </row>
    <row r="116" spans="1:15" ht="15" customHeight="1">
      <c r="A116" s="68">
        <v>46208</v>
      </c>
      <c r="B116" s="25">
        <f t="shared" si="26"/>
        <v>0.58333333333333304</v>
      </c>
      <c r="C116" s="26" t="s">
        <v>29</v>
      </c>
      <c r="D116" s="59" t="s">
        <v>30</v>
      </c>
      <c r="E116" s="59" t="s">
        <v>261</v>
      </c>
      <c r="F116" s="27">
        <v>21</v>
      </c>
      <c r="G116" s="28">
        <f t="shared" si="24"/>
        <v>88.2</v>
      </c>
      <c r="H116" s="26"/>
      <c r="I116" s="26"/>
      <c r="J116" s="26"/>
      <c r="K116" s="29"/>
      <c r="L116" s="29"/>
      <c r="M116" s="35" t="str">
        <f t="shared" ca="1" si="25"/>
        <v/>
      </c>
      <c r="N116" s="46"/>
      <c r="O116" s="31"/>
    </row>
    <row r="117" spans="1:15" ht="15" customHeight="1">
      <c r="A117" s="69">
        <v>46208</v>
      </c>
      <c r="B117" s="32">
        <f t="shared" si="26"/>
        <v>0.62499999999999967</v>
      </c>
      <c r="C117" s="26" t="s">
        <v>29</v>
      </c>
      <c r="D117" s="59" t="s">
        <v>30</v>
      </c>
      <c r="E117" s="59" t="s">
        <v>261</v>
      </c>
      <c r="F117" s="27">
        <v>27</v>
      </c>
      <c r="G117" s="34">
        <f t="shared" si="24"/>
        <v>113.4</v>
      </c>
      <c r="H117" s="33"/>
      <c r="I117" s="33"/>
      <c r="J117" s="33"/>
      <c r="K117" s="29"/>
      <c r="L117" s="29"/>
      <c r="M117" s="30" t="str">
        <f t="shared" ca="1" si="25"/>
        <v/>
      </c>
      <c r="N117" s="46"/>
      <c r="O117" s="31"/>
    </row>
    <row r="118" spans="1:15" ht="15" customHeight="1">
      <c r="A118" s="68">
        <v>46208</v>
      </c>
      <c r="B118" s="25">
        <f t="shared" si="26"/>
        <v>0.6666666666666663</v>
      </c>
      <c r="C118" s="26" t="s">
        <v>29</v>
      </c>
      <c r="D118" s="59" t="s">
        <v>30</v>
      </c>
      <c r="E118" s="59" t="s">
        <v>261</v>
      </c>
      <c r="F118" s="27">
        <v>0</v>
      </c>
      <c r="G118" s="28">
        <f t="shared" si="24"/>
        <v>0</v>
      </c>
      <c r="H118" s="26"/>
      <c r="I118" s="26"/>
      <c r="J118" s="26"/>
      <c r="K118" s="29"/>
      <c r="L118" s="29"/>
      <c r="M118" s="35" t="str">
        <f t="shared" ca="1" si="25"/>
        <v/>
      </c>
      <c r="N118" s="46"/>
      <c r="O118" s="31"/>
    </row>
    <row r="119" spans="1:15" ht="15" customHeight="1">
      <c r="A119" s="69">
        <v>46208</v>
      </c>
      <c r="B119" s="32">
        <f t="shared" si="26"/>
        <v>0.70833333333333293</v>
      </c>
      <c r="C119" s="26" t="s">
        <v>29</v>
      </c>
      <c r="D119" s="59" t="s">
        <v>30</v>
      </c>
      <c r="E119" s="59" t="s">
        <v>261</v>
      </c>
      <c r="F119" s="27">
        <v>0</v>
      </c>
      <c r="G119" s="34">
        <f t="shared" si="24"/>
        <v>0</v>
      </c>
      <c r="H119" s="33"/>
      <c r="I119" s="33"/>
      <c r="J119" s="33"/>
      <c r="K119" s="29"/>
      <c r="L119" s="29"/>
      <c r="M119" s="30" t="str">
        <f t="shared" ca="1" si="25"/>
        <v/>
      </c>
      <c r="N119" s="46"/>
      <c r="O119" s="31"/>
    </row>
    <row r="120" spans="1:15" ht="15" customHeight="1">
      <c r="A120" s="68">
        <v>46208</v>
      </c>
      <c r="B120" s="25">
        <f t="shared" si="26"/>
        <v>0.74999999999999956</v>
      </c>
      <c r="C120" s="26" t="s">
        <v>29</v>
      </c>
      <c r="D120" s="59" t="s">
        <v>30</v>
      </c>
      <c r="E120" s="59" t="s">
        <v>261</v>
      </c>
      <c r="F120" s="27">
        <v>20</v>
      </c>
      <c r="G120" s="28">
        <f t="shared" si="24"/>
        <v>84</v>
      </c>
      <c r="H120" s="26"/>
      <c r="I120" s="26"/>
      <c r="J120" s="26"/>
      <c r="K120" s="29"/>
      <c r="L120" s="29"/>
      <c r="M120" s="35" t="str">
        <f t="shared" ca="1" si="25"/>
        <v/>
      </c>
      <c r="N120" s="46"/>
      <c r="O120" s="31"/>
    </row>
    <row r="121" spans="1:15" ht="15" customHeight="1">
      <c r="A121" s="69">
        <v>46208</v>
      </c>
      <c r="B121" s="32">
        <f t="shared" si="26"/>
        <v>0.79166666666666619</v>
      </c>
      <c r="C121" s="26" t="s">
        <v>29</v>
      </c>
      <c r="D121" s="59" t="s">
        <v>30</v>
      </c>
      <c r="E121" s="59" t="s">
        <v>261</v>
      </c>
      <c r="F121" s="27">
        <v>5</v>
      </c>
      <c r="G121" s="34">
        <f t="shared" si="24"/>
        <v>21</v>
      </c>
      <c r="H121" s="33"/>
      <c r="I121" s="33"/>
      <c r="J121" s="33"/>
      <c r="K121" s="29"/>
      <c r="L121" s="29"/>
      <c r="M121" s="30" t="str">
        <f t="shared" ca="1" si="25"/>
        <v/>
      </c>
      <c r="N121" s="46"/>
      <c r="O121" s="31"/>
    </row>
    <row r="122" spans="1:15" ht="15.75" customHeight="1">
      <c r="A122" s="119" t="s">
        <v>236</v>
      </c>
      <c r="B122" s="120"/>
      <c r="C122" s="120"/>
      <c r="D122" s="120"/>
      <c r="E122" s="121">
        <f>SUM(E110:E121)</f>
        <v>0</v>
      </c>
      <c r="F122" s="36">
        <f>SUM(F110:F121)</f>
        <v>135</v>
      </c>
      <c r="G122" s="36">
        <f>SUM(G110:G121)</f>
        <v>567</v>
      </c>
      <c r="H122" s="37"/>
      <c r="I122" s="37"/>
      <c r="J122" s="37"/>
      <c r="K122" s="37"/>
      <c r="L122" s="37"/>
      <c r="M122" s="38">
        <f ca="1">IFERROR(SUM(M110:M121),"")</f>
        <v>0.14166666666666666</v>
      </c>
      <c r="N122" s="36" t="s">
        <v>237</v>
      </c>
      <c r="O122" s="54">
        <v>869260</v>
      </c>
    </row>
    <row r="123" spans="1:15" ht="15" customHeight="1">
      <c r="A123" s="69">
        <v>46208</v>
      </c>
      <c r="B123" s="32">
        <v>0.83333333333333304</v>
      </c>
      <c r="C123" s="33" t="s">
        <v>21</v>
      </c>
      <c r="D123" s="62" t="s">
        <v>30</v>
      </c>
      <c r="E123" s="62" t="s">
        <v>234</v>
      </c>
      <c r="F123" s="27">
        <v>14</v>
      </c>
      <c r="G123" s="34">
        <f t="shared" ref="G123:G134" si="27">IF(F123="","",IF(E123="PC 17",F123*4.2,IF(E123="PC 19",F123*5,"")))</f>
        <v>70</v>
      </c>
      <c r="H123" s="33" t="s">
        <v>18</v>
      </c>
      <c r="I123" s="33" t="s">
        <v>31</v>
      </c>
      <c r="J123" s="33" t="s">
        <v>164</v>
      </c>
      <c r="K123" s="29">
        <v>0.79513888888888884</v>
      </c>
      <c r="L123" s="29">
        <v>0.80902777777777779</v>
      </c>
      <c r="M123" s="30">
        <f t="shared" ref="M123:M134" ca="1" si="28">IFERROR(IF(K123="","",IF(L123="",MOD(NOW()-K123,1),IF(L123&gt;=K123,L123-K123,L123+1-K123))),"")</f>
        <v>1.3888888888888951E-2</v>
      </c>
      <c r="N123" s="46" t="s">
        <v>288</v>
      </c>
      <c r="O123" s="31"/>
    </row>
    <row r="124" spans="1:15" ht="15" customHeight="1">
      <c r="A124" s="68">
        <v>46208</v>
      </c>
      <c r="B124" s="25">
        <f t="shared" ref="B124:B134" si="29">B123+TIME(0,60,0)</f>
        <v>0.87499999999999967</v>
      </c>
      <c r="C124" s="33" t="s">
        <v>21</v>
      </c>
      <c r="D124" s="62" t="s">
        <v>30</v>
      </c>
      <c r="E124" s="62" t="s">
        <v>234</v>
      </c>
      <c r="F124" s="27">
        <v>28</v>
      </c>
      <c r="G124" s="28">
        <f t="shared" si="27"/>
        <v>140</v>
      </c>
      <c r="H124" s="26" t="s">
        <v>19</v>
      </c>
      <c r="I124" s="26" t="s">
        <v>39</v>
      </c>
      <c r="J124" s="26" t="s">
        <v>27</v>
      </c>
      <c r="K124" s="29">
        <v>0.95138888888888884</v>
      </c>
      <c r="L124" s="29">
        <v>0.96388888888888891</v>
      </c>
      <c r="M124" s="35">
        <f t="shared" ca="1" si="28"/>
        <v>1.2500000000000067E-2</v>
      </c>
      <c r="N124" s="46"/>
      <c r="O124" s="31"/>
    </row>
    <row r="125" spans="1:15" ht="15" customHeight="1">
      <c r="A125" s="69">
        <v>46208</v>
      </c>
      <c r="B125" s="32">
        <f t="shared" si="29"/>
        <v>0.9166666666666663</v>
      </c>
      <c r="C125" s="33" t="s">
        <v>21</v>
      </c>
      <c r="D125" s="62" t="s">
        <v>30</v>
      </c>
      <c r="E125" s="62" t="s">
        <v>234</v>
      </c>
      <c r="F125" s="27">
        <v>20</v>
      </c>
      <c r="G125" s="34">
        <f t="shared" si="27"/>
        <v>100</v>
      </c>
      <c r="H125" s="33" t="s">
        <v>18</v>
      </c>
      <c r="I125" s="33" t="s">
        <v>31</v>
      </c>
      <c r="J125" s="33" t="s">
        <v>154</v>
      </c>
      <c r="K125" s="29">
        <v>0.96666666666666667</v>
      </c>
      <c r="L125" s="29">
        <v>0.98611111111111116</v>
      </c>
      <c r="M125" s="30">
        <f t="shared" ca="1" si="28"/>
        <v>1.9444444444444486E-2</v>
      </c>
      <c r="N125" s="46" t="s">
        <v>252</v>
      </c>
      <c r="O125" s="31"/>
    </row>
    <row r="126" spans="1:15" ht="15" customHeight="1">
      <c r="A126" s="68">
        <v>46208</v>
      </c>
      <c r="B126" s="25">
        <f t="shared" si="29"/>
        <v>0.95833333333333293</v>
      </c>
      <c r="C126" s="33" t="s">
        <v>21</v>
      </c>
      <c r="D126" s="62" t="s">
        <v>30</v>
      </c>
      <c r="E126" s="62" t="s">
        <v>234</v>
      </c>
      <c r="F126" s="27">
        <v>17</v>
      </c>
      <c r="G126" s="28">
        <f t="shared" si="27"/>
        <v>85</v>
      </c>
      <c r="H126" s="26" t="s">
        <v>18</v>
      </c>
      <c r="I126" s="26" t="s">
        <v>31</v>
      </c>
      <c r="J126" s="26" t="s">
        <v>154</v>
      </c>
      <c r="K126" s="29">
        <v>0</v>
      </c>
      <c r="L126" s="29">
        <v>2.7777777777777776E-2</v>
      </c>
      <c r="M126" s="35">
        <f t="shared" ca="1" si="28"/>
        <v>2.7777777777777776E-2</v>
      </c>
      <c r="N126" s="46" t="s">
        <v>289</v>
      </c>
      <c r="O126" s="31"/>
    </row>
    <row r="127" spans="1:15" ht="15" customHeight="1">
      <c r="A127" s="69">
        <v>46208</v>
      </c>
      <c r="B127" s="32">
        <f t="shared" si="29"/>
        <v>0.99999999999999956</v>
      </c>
      <c r="C127" s="33" t="s">
        <v>21</v>
      </c>
      <c r="D127" s="62" t="s">
        <v>30</v>
      </c>
      <c r="E127" s="62" t="s">
        <v>234</v>
      </c>
      <c r="F127" s="27">
        <v>4</v>
      </c>
      <c r="G127" s="34">
        <f t="shared" si="27"/>
        <v>20</v>
      </c>
      <c r="H127" s="33" t="s">
        <v>18</v>
      </c>
      <c r="I127" s="33" t="s">
        <v>157</v>
      </c>
      <c r="J127" s="33" t="s">
        <v>164</v>
      </c>
      <c r="K127" s="29">
        <v>4.8611111111111112E-2</v>
      </c>
      <c r="L127" s="29">
        <v>6.5972222222222224E-2</v>
      </c>
      <c r="M127" s="30">
        <f t="shared" ca="1" si="28"/>
        <v>1.7361111111111112E-2</v>
      </c>
      <c r="N127" s="46"/>
      <c r="O127" s="31"/>
    </row>
    <row r="128" spans="1:15" ht="15" customHeight="1">
      <c r="A128" s="68">
        <v>46208</v>
      </c>
      <c r="B128" s="25">
        <f t="shared" si="29"/>
        <v>1.0416666666666663</v>
      </c>
      <c r="C128" s="33" t="s">
        <v>21</v>
      </c>
      <c r="D128" s="62" t="s">
        <v>30</v>
      </c>
      <c r="E128" s="62" t="s">
        <v>234</v>
      </c>
      <c r="F128" s="27">
        <v>1</v>
      </c>
      <c r="G128" s="28">
        <f t="shared" si="27"/>
        <v>5</v>
      </c>
      <c r="H128" s="26" t="s">
        <v>20</v>
      </c>
      <c r="I128" s="26"/>
      <c r="J128" s="26" t="s">
        <v>192</v>
      </c>
      <c r="K128" s="29">
        <v>8.3333333333333329E-2</v>
      </c>
      <c r="L128" s="29">
        <v>0.1388888888888889</v>
      </c>
      <c r="M128" s="35">
        <f t="shared" ca="1" si="28"/>
        <v>5.5555555555555566E-2</v>
      </c>
      <c r="N128" s="85"/>
      <c r="O128" s="31"/>
    </row>
    <row r="129" spans="1:15" ht="15" customHeight="1">
      <c r="A129" s="69">
        <v>46208</v>
      </c>
      <c r="B129" s="32">
        <f t="shared" si="29"/>
        <v>1.083333333333333</v>
      </c>
      <c r="C129" s="33" t="s">
        <v>21</v>
      </c>
      <c r="D129" s="62" t="s">
        <v>30</v>
      </c>
      <c r="E129" s="62" t="s">
        <v>234</v>
      </c>
      <c r="F129" s="27">
        <v>13</v>
      </c>
      <c r="G129" s="34">
        <f t="shared" si="27"/>
        <v>65</v>
      </c>
      <c r="H129" s="33" t="s">
        <v>18</v>
      </c>
      <c r="I129" s="33" t="s">
        <v>63</v>
      </c>
      <c r="J129" s="33" t="s">
        <v>199</v>
      </c>
      <c r="K129" s="29">
        <v>0.17499999999999999</v>
      </c>
      <c r="L129" s="29">
        <v>0.20277777777777778</v>
      </c>
      <c r="M129" s="30">
        <f t="shared" ca="1" si="28"/>
        <v>2.777777777777779E-2</v>
      </c>
      <c r="N129" s="46" t="s">
        <v>290</v>
      </c>
      <c r="O129" s="31"/>
    </row>
    <row r="130" spans="1:15" ht="15" customHeight="1">
      <c r="A130" s="68">
        <v>46208</v>
      </c>
      <c r="B130" s="25">
        <f t="shared" si="29"/>
        <v>1.1249999999999998</v>
      </c>
      <c r="C130" s="33" t="s">
        <v>21</v>
      </c>
      <c r="D130" s="62" t="s">
        <v>30</v>
      </c>
      <c r="E130" s="62" t="s">
        <v>234</v>
      </c>
      <c r="F130" s="27"/>
      <c r="G130" s="28" t="str">
        <f t="shared" si="27"/>
        <v/>
      </c>
      <c r="H130" s="26" t="s">
        <v>18</v>
      </c>
      <c r="I130" s="26" t="s">
        <v>63</v>
      </c>
      <c r="J130" s="26" t="s">
        <v>199</v>
      </c>
      <c r="K130" s="29">
        <v>0.20972222222222223</v>
      </c>
      <c r="L130" s="29">
        <v>0.29166666666666669</v>
      </c>
      <c r="M130" s="35">
        <f t="shared" ca="1" si="28"/>
        <v>8.1944444444444459E-2</v>
      </c>
      <c r="N130" s="46"/>
      <c r="O130" s="31"/>
    </row>
    <row r="131" spans="1:15" ht="15" customHeight="1">
      <c r="A131" s="69">
        <v>46208</v>
      </c>
      <c r="B131" s="32">
        <f t="shared" si="29"/>
        <v>1.1666666666666665</v>
      </c>
      <c r="C131" s="33" t="s">
        <v>21</v>
      </c>
      <c r="D131" s="62" t="s">
        <v>30</v>
      </c>
      <c r="E131" s="62" t="s">
        <v>234</v>
      </c>
      <c r="F131" s="27"/>
      <c r="G131" s="34" t="str">
        <f t="shared" si="27"/>
        <v/>
      </c>
      <c r="H131" s="33"/>
      <c r="I131" s="33"/>
      <c r="J131" s="33"/>
      <c r="K131" s="29"/>
      <c r="L131" s="29"/>
      <c r="M131" s="30" t="str">
        <f t="shared" ca="1" si="28"/>
        <v/>
      </c>
      <c r="N131" s="46"/>
      <c r="O131" s="31"/>
    </row>
    <row r="132" spans="1:15" ht="15" customHeight="1">
      <c r="A132" s="68">
        <v>46208</v>
      </c>
      <c r="B132" s="25">
        <f t="shared" si="29"/>
        <v>1.2083333333333333</v>
      </c>
      <c r="C132" s="33" t="s">
        <v>21</v>
      </c>
      <c r="D132" s="62" t="s">
        <v>30</v>
      </c>
      <c r="E132" s="62" t="s">
        <v>234</v>
      </c>
      <c r="F132" s="27"/>
      <c r="G132" s="28" t="str">
        <f t="shared" si="27"/>
        <v/>
      </c>
      <c r="H132" s="26"/>
      <c r="I132" s="26"/>
      <c r="J132" s="26"/>
      <c r="K132" s="29"/>
      <c r="L132" s="29"/>
      <c r="M132" s="35" t="str">
        <f t="shared" ca="1" si="28"/>
        <v/>
      </c>
      <c r="N132" s="46"/>
      <c r="O132" s="31"/>
    </row>
    <row r="133" spans="1:15" ht="15" customHeight="1">
      <c r="A133" s="69">
        <v>46208</v>
      </c>
      <c r="B133" s="32">
        <f t="shared" si="29"/>
        <v>1.25</v>
      </c>
      <c r="C133" s="33" t="s">
        <v>21</v>
      </c>
      <c r="D133" s="62" t="s">
        <v>30</v>
      </c>
      <c r="E133" s="62" t="s">
        <v>234</v>
      </c>
      <c r="F133" s="27"/>
      <c r="G133" s="34" t="str">
        <f t="shared" si="27"/>
        <v/>
      </c>
      <c r="H133" s="33"/>
      <c r="I133" s="33"/>
      <c r="J133" s="33"/>
      <c r="K133" s="29"/>
      <c r="L133" s="29"/>
      <c r="M133" s="30" t="str">
        <f t="shared" ca="1" si="28"/>
        <v/>
      </c>
      <c r="N133" s="46"/>
      <c r="O133" s="31"/>
    </row>
    <row r="134" spans="1:15" ht="15" customHeight="1">
      <c r="A134" s="68">
        <v>46208</v>
      </c>
      <c r="B134" s="25">
        <f t="shared" si="29"/>
        <v>1.2916666666666667</v>
      </c>
      <c r="C134" s="33" t="s">
        <v>21</v>
      </c>
      <c r="D134" s="62" t="s">
        <v>30</v>
      </c>
      <c r="E134" s="62" t="s">
        <v>234</v>
      </c>
      <c r="F134" s="27"/>
      <c r="G134" s="28" t="str">
        <f t="shared" si="27"/>
        <v/>
      </c>
      <c r="H134" s="26"/>
      <c r="I134" s="26"/>
      <c r="J134" s="26"/>
      <c r="K134" s="29"/>
      <c r="L134" s="29"/>
      <c r="M134" s="35" t="str">
        <f t="shared" ca="1" si="28"/>
        <v/>
      </c>
      <c r="N134" s="46"/>
      <c r="O134" s="31"/>
    </row>
    <row r="135" spans="1:15" ht="15.75" customHeight="1">
      <c r="A135" s="119" t="s">
        <v>238</v>
      </c>
      <c r="B135" s="120"/>
      <c r="C135" s="120"/>
      <c r="D135" s="120"/>
      <c r="E135" s="121">
        <f>SUM(E123:E134)</f>
        <v>0</v>
      </c>
      <c r="F135" s="36">
        <f>SUM(F123:F134)</f>
        <v>97</v>
      </c>
      <c r="G135" s="36">
        <f>SUM(G123:G134)</f>
        <v>485</v>
      </c>
      <c r="H135" s="37"/>
      <c r="I135" s="37"/>
      <c r="J135" s="37"/>
      <c r="K135" s="37"/>
      <c r="L135" s="37"/>
      <c r="M135" s="38">
        <f ca="1">IFERROR(SUM(M123:M134),"")</f>
        <v>0.2562500000000002</v>
      </c>
      <c r="N135" s="36" t="s">
        <v>237</v>
      </c>
      <c r="O135" s="54">
        <v>794480</v>
      </c>
    </row>
    <row r="136" spans="1:15" ht="18" customHeight="1">
      <c r="A136" s="122" t="s">
        <v>239</v>
      </c>
      <c r="B136" s="123"/>
      <c r="C136" s="123"/>
      <c r="D136" s="123"/>
      <c r="E136" s="124">
        <f>E122+E135</f>
        <v>0</v>
      </c>
      <c r="F136" s="40">
        <f>F122+F135</f>
        <v>232</v>
      </c>
      <c r="G136" s="40">
        <f>G122+G135</f>
        <v>1052</v>
      </c>
      <c r="H136" s="41"/>
      <c r="I136" s="41"/>
      <c r="J136" s="41"/>
      <c r="K136" s="41"/>
      <c r="L136" s="41"/>
      <c r="M136" s="42">
        <f ca="1">IFERROR(M122+M135,"")</f>
        <v>0.39791666666666686</v>
      </c>
      <c r="N136" s="40" t="s">
        <v>240</v>
      </c>
      <c r="O136" s="82">
        <f>IFERROR(O122+O135,"")</f>
        <v>1663740</v>
      </c>
    </row>
    <row r="137" spans="1:15" ht="15" customHeight="1">
      <c r="A137" s="69">
        <v>46209</v>
      </c>
      <c r="B137" s="32">
        <v>0.33333333333333298</v>
      </c>
      <c r="C137" s="33" t="s">
        <v>29</v>
      </c>
      <c r="D137" s="62" t="s">
        <v>30</v>
      </c>
      <c r="E137" s="62" t="s">
        <v>234</v>
      </c>
      <c r="F137" s="27">
        <v>0</v>
      </c>
      <c r="G137" s="34">
        <f t="shared" ref="G137:G148" si="30">IF(F137="","",IF(E137="PC 17",F137*4.2,IF(E137="PC 19",F137*5,"")))</f>
        <v>0</v>
      </c>
      <c r="H137" s="33" t="s">
        <v>18</v>
      </c>
      <c r="I137" s="33" t="s">
        <v>63</v>
      </c>
      <c r="J137" s="33" t="s">
        <v>199</v>
      </c>
      <c r="K137" s="29">
        <v>0.29166666666666669</v>
      </c>
      <c r="L137" s="29">
        <v>0.40972222222222221</v>
      </c>
      <c r="M137" s="35">
        <f t="shared" ref="M137:M148" ca="1" si="31">IFERROR(IF(K137="","",IF(L137="",MOD(NOW()-K137,1),IF(L137&gt;=K137,L137-K137,L137+1-K137))),"")</f>
        <v>0.11805555555555552</v>
      </c>
      <c r="N137" s="46"/>
      <c r="O137" s="31"/>
    </row>
    <row r="138" spans="1:15" ht="15" customHeight="1">
      <c r="A138" s="68">
        <v>46209</v>
      </c>
      <c r="B138" s="25">
        <f t="shared" ref="B138:B148" si="32">B137+TIME(0,60,0)</f>
        <v>0.37499999999999967</v>
      </c>
      <c r="C138" s="33" t="s">
        <v>29</v>
      </c>
      <c r="D138" s="62" t="s">
        <v>30</v>
      </c>
      <c r="E138" s="62" t="s">
        <v>234</v>
      </c>
      <c r="F138" s="27">
        <v>0</v>
      </c>
      <c r="G138" s="28">
        <f t="shared" si="30"/>
        <v>0</v>
      </c>
      <c r="H138" s="26" t="s">
        <v>20</v>
      </c>
      <c r="I138" s="26" t="s">
        <v>31</v>
      </c>
      <c r="J138" s="26" t="s">
        <v>28</v>
      </c>
      <c r="K138" s="29">
        <v>0.44027777777777777</v>
      </c>
      <c r="L138" s="29">
        <v>0.44305555555555554</v>
      </c>
      <c r="M138" s="30">
        <f t="shared" ca="1" si="31"/>
        <v>2.7777777777777679E-3</v>
      </c>
      <c r="N138" s="46"/>
      <c r="O138" s="31"/>
    </row>
    <row r="139" spans="1:15" ht="15" customHeight="1">
      <c r="A139" s="69">
        <v>46209</v>
      </c>
      <c r="B139" s="32">
        <f t="shared" si="32"/>
        <v>0.41666666666666635</v>
      </c>
      <c r="C139" s="33" t="s">
        <v>29</v>
      </c>
      <c r="D139" s="62" t="s">
        <v>30</v>
      </c>
      <c r="E139" s="62" t="s">
        <v>234</v>
      </c>
      <c r="F139" s="27">
        <v>14</v>
      </c>
      <c r="G139" s="34">
        <f t="shared" si="30"/>
        <v>70</v>
      </c>
      <c r="H139" s="33" t="s">
        <v>20</v>
      </c>
      <c r="I139" s="33" t="s">
        <v>31</v>
      </c>
      <c r="J139" s="33" t="s">
        <v>28</v>
      </c>
      <c r="K139" s="29">
        <v>0.51736111111111116</v>
      </c>
      <c r="L139" s="29">
        <v>0.57986111111111116</v>
      </c>
      <c r="M139" s="35">
        <f t="shared" ca="1" si="31"/>
        <v>6.25E-2</v>
      </c>
      <c r="N139" s="46" t="s">
        <v>291</v>
      </c>
      <c r="O139" s="31"/>
    </row>
    <row r="140" spans="1:15" ht="15" customHeight="1">
      <c r="A140" s="68">
        <v>46209</v>
      </c>
      <c r="B140" s="25">
        <f t="shared" si="32"/>
        <v>0.45833333333333304</v>
      </c>
      <c r="C140" s="33" t="s">
        <v>29</v>
      </c>
      <c r="D140" s="62" t="s">
        <v>30</v>
      </c>
      <c r="E140" s="62" t="s">
        <v>234</v>
      </c>
      <c r="F140" s="27">
        <v>24</v>
      </c>
      <c r="G140" s="28">
        <f t="shared" si="30"/>
        <v>120</v>
      </c>
      <c r="H140" s="26" t="s">
        <v>16</v>
      </c>
      <c r="I140" s="26"/>
      <c r="J140" s="26" t="s">
        <v>292</v>
      </c>
      <c r="K140" s="29">
        <v>0.71597222222222223</v>
      </c>
      <c r="L140" s="29">
        <v>0.74375000000000002</v>
      </c>
      <c r="M140" s="30">
        <f t="shared" ca="1" si="31"/>
        <v>2.777777777777779E-2</v>
      </c>
      <c r="N140" s="46"/>
      <c r="O140" s="31"/>
    </row>
    <row r="141" spans="1:15" ht="15" customHeight="1">
      <c r="A141" s="69">
        <v>46209</v>
      </c>
      <c r="B141" s="32">
        <f t="shared" si="32"/>
        <v>0.49999999999999972</v>
      </c>
      <c r="C141" s="33" t="s">
        <v>29</v>
      </c>
      <c r="D141" s="62" t="s">
        <v>30</v>
      </c>
      <c r="E141" s="62" t="s">
        <v>234</v>
      </c>
      <c r="F141" s="27">
        <v>23</v>
      </c>
      <c r="G141" s="34">
        <f t="shared" si="30"/>
        <v>115</v>
      </c>
      <c r="H141" s="33"/>
      <c r="I141" s="33"/>
      <c r="J141" s="33"/>
      <c r="K141" s="29"/>
      <c r="L141" s="29"/>
      <c r="M141" s="35" t="str">
        <f t="shared" ca="1" si="31"/>
        <v/>
      </c>
      <c r="N141" s="46"/>
      <c r="O141" s="31"/>
    </row>
    <row r="142" spans="1:15" ht="15" customHeight="1">
      <c r="A142" s="68">
        <v>46209</v>
      </c>
      <c r="B142" s="25">
        <f t="shared" si="32"/>
        <v>0.54166666666666641</v>
      </c>
      <c r="C142" s="33" t="s">
        <v>29</v>
      </c>
      <c r="D142" s="62" t="s">
        <v>30</v>
      </c>
      <c r="E142" s="62" t="s">
        <v>234</v>
      </c>
      <c r="F142" s="27">
        <v>11</v>
      </c>
      <c r="G142" s="28">
        <f t="shared" si="30"/>
        <v>55</v>
      </c>
      <c r="H142" s="26"/>
      <c r="I142" s="26"/>
      <c r="J142" s="26"/>
      <c r="K142" s="29"/>
      <c r="L142" s="29"/>
      <c r="M142" s="30" t="str">
        <f t="shared" ca="1" si="31"/>
        <v/>
      </c>
      <c r="N142" s="46"/>
      <c r="O142" s="31"/>
    </row>
    <row r="143" spans="1:15" ht="15" customHeight="1">
      <c r="A143" s="69">
        <v>46209</v>
      </c>
      <c r="B143" s="32">
        <f t="shared" si="32"/>
        <v>0.58333333333333304</v>
      </c>
      <c r="C143" s="33" t="s">
        <v>29</v>
      </c>
      <c r="D143" s="62" t="s">
        <v>30</v>
      </c>
      <c r="E143" s="62" t="s">
        <v>234</v>
      </c>
      <c r="F143" s="27">
        <v>0</v>
      </c>
      <c r="G143" s="34">
        <f t="shared" si="30"/>
        <v>0</v>
      </c>
      <c r="H143" s="33"/>
      <c r="I143" s="33"/>
      <c r="J143" s="33"/>
      <c r="K143" s="29"/>
      <c r="L143" s="29"/>
      <c r="M143" s="35" t="str">
        <f t="shared" ca="1" si="31"/>
        <v/>
      </c>
      <c r="N143" s="46"/>
      <c r="O143" s="31"/>
    </row>
    <row r="144" spans="1:15" ht="15" customHeight="1">
      <c r="A144" s="68">
        <v>46209</v>
      </c>
      <c r="B144" s="25">
        <f t="shared" si="32"/>
        <v>0.62499999999999967</v>
      </c>
      <c r="C144" s="33" t="s">
        <v>29</v>
      </c>
      <c r="D144" s="62" t="s">
        <v>30</v>
      </c>
      <c r="E144" s="62" t="s">
        <v>234</v>
      </c>
      <c r="F144" s="27">
        <v>5</v>
      </c>
      <c r="G144" s="28">
        <f t="shared" si="30"/>
        <v>25</v>
      </c>
      <c r="H144" s="26"/>
      <c r="I144" s="26"/>
      <c r="J144" s="26"/>
      <c r="K144" s="29"/>
      <c r="L144" s="29"/>
      <c r="M144" s="30" t="str">
        <f t="shared" ca="1" si="31"/>
        <v/>
      </c>
      <c r="N144" s="46"/>
      <c r="O144" s="31"/>
    </row>
    <row r="145" spans="1:15" ht="15" customHeight="1">
      <c r="A145" s="69">
        <v>46209</v>
      </c>
      <c r="B145" s="32">
        <f t="shared" si="32"/>
        <v>0.6666666666666663</v>
      </c>
      <c r="C145" s="33" t="s">
        <v>29</v>
      </c>
      <c r="D145" s="62" t="s">
        <v>30</v>
      </c>
      <c r="E145" s="62" t="s">
        <v>234</v>
      </c>
      <c r="F145" s="27">
        <v>0</v>
      </c>
      <c r="G145" s="34">
        <f t="shared" si="30"/>
        <v>0</v>
      </c>
      <c r="H145" s="33"/>
      <c r="I145" s="33"/>
      <c r="J145" s="33"/>
      <c r="K145" s="29"/>
      <c r="L145" s="29"/>
      <c r="M145" s="35" t="str">
        <f t="shared" ca="1" si="31"/>
        <v/>
      </c>
      <c r="N145" s="46"/>
      <c r="O145" s="31"/>
    </row>
    <row r="146" spans="1:15" ht="15" customHeight="1">
      <c r="A146" s="68">
        <v>46209</v>
      </c>
      <c r="B146" s="25">
        <f t="shared" si="32"/>
        <v>0.70833333333333293</v>
      </c>
      <c r="C146" s="33" t="s">
        <v>29</v>
      </c>
      <c r="D146" s="62" t="s">
        <v>30</v>
      </c>
      <c r="E146" s="62" t="s">
        <v>234</v>
      </c>
      <c r="F146" s="27">
        <v>10</v>
      </c>
      <c r="G146" s="28">
        <f t="shared" si="30"/>
        <v>50</v>
      </c>
      <c r="H146" s="26"/>
      <c r="I146" s="26"/>
      <c r="J146" s="26"/>
      <c r="K146" s="29"/>
      <c r="L146" s="29"/>
      <c r="M146" s="30" t="str">
        <f t="shared" ca="1" si="31"/>
        <v/>
      </c>
      <c r="N146" s="46"/>
      <c r="O146" s="31"/>
    </row>
    <row r="147" spans="1:15" ht="15" customHeight="1">
      <c r="A147" s="69">
        <v>46209</v>
      </c>
      <c r="B147" s="32">
        <f t="shared" si="32"/>
        <v>0.74999999999999956</v>
      </c>
      <c r="C147" s="33" t="s">
        <v>29</v>
      </c>
      <c r="D147" s="62" t="s">
        <v>30</v>
      </c>
      <c r="E147" s="62" t="s">
        <v>234</v>
      </c>
      <c r="F147" s="27">
        <v>0</v>
      </c>
      <c r="G147" s="34">
        <f t="shared" si="30"/>
        <v>0</v>
      </c>
      <c r="H147" s="33"/>
      <c r="I147" s="33"/>
      <c r="J147" s="33"/>
      <c r="K147" s="29"/>
      <c r="L147" s="29"/>
      <c r="M147" s="35" t="str">
        <f t="shared" ca="1" si="31"/>
        <v/>
      </c>
      <c r="N147" s="46"/>
      <c r="O147" s="31"/>
    </row>
    <row r="148" spans="1:15" ht="15" customHeight="1">
      <c r="A148" s="68">
        <v>46209</v>
      </c>
      <c r="B148" s="25">
        <f t="shared" si="32"/>
        <v>0.79166666666666619</v>
      </c>
      <c r="C148" s="33" t="s">
        <v>29</v>
      </c>
      <c r="D148" s="62" t="s">
        <v>30</v>
      </c>
      <c r="E148" s="62" t="s">
        <v>234</v>
      </c>
      <c r="F148" s="27">
        <v>8</v>
      </c>
      <c r="G148" s="28">
        <f t="shared" si="30"/>
        <v>40</v>
      </c>
      <c r="H148" s="26"/>
      <c r="I148" s="26"/>
      <c r="J148" s="26"/>
      <c r="K148" s="29"/>
      <c r="L148" s="29"/>
      <c r="M148" s="30" t="str">
        <f t="shared" ca="1" si="31"/>
        <v/>
      </c>
      <c r="N148" s="46"/>
      <c r="O148" s="31"/>
    </row>
    <row r="149" spans="1:15" ht="15.75" customHeight="1">
      <c r="A149" s="119" t="s">
        <v>236</v>
      </c>
      <c r="B149" s="120"/>
      <c r="C149" s="120"/>
      <c r="D149" s="120"/>
      <c r="E149" s="121">
        <f>SUM(E137:E148)</f>
        <v>0</v>
      </c>
      <c r="F149" s="36">
        <f>SUM(F137:F148)</f>
        <v>95</v>
      </c>
      <c r="G149" s="36">
        <f>SUM(G137:G148)</f>
        <v>475</v>
      </c>
      <c r="H149" s="37"/>
      <c r="I149" s="37"/>
      <c r="J149" s="37"/>
      <c r="K149" s="37"/>
      <c r="L149" s="37"/>
      <c r="M149" s="38">
        <f ca="1">IFERROR(SUM(M137:M148),"")</f>
        <v>0.21111111111111108</v>
      </c>
      <c r="N149" s="36" t="s">
        <v>237</v>
      </c>
      <c r="O149" s="54">
        <v>591800</v>
      </c>
    </row>
    <row r="150" spans="1:15" ht="15" customHeight="1">
      <c r="A150" s="68">
        <v>46209</v>
      </c>
      <c r="B150" s="25">
        <v>0.83333333333333304</v>
      </c>
      <c r="C150" s="26" t="s">
        <v>21</v>
      </c>
      <c r="D150" s="59" t="s">
        <v>30</v>
      </c>
      <c r="E150" s="59" t="s">
        <v>234</v>
      </c>
      <c r="F150" s="27">
        <v>14</v>
      </c>
      <c r="G150" s="28">
        <f t="shared" ref="G150:G161" si="33">IF(F150="","",IF(E150="PC 17",F150*4.2,IF(E150="PC 19",F150*5,"")))</f>
        <v>70</v>
      </c>
      <c r="H150" s="26" t="s">
        <v>18</v>
      </c>
      <c r="I150" s="26" t="s">
        <v>31</v>
      </c>
      <c r="J150" s="26" t="s">
        <v>50</v>
      </c>
      <c r="K150" s="29">
        <v>0.93055555555555558</v>
      </c>
      <c r="L150" s="29">
        <v>0.95277777777777772</v>
      </c>
      <c r="M150" s="30">
        <f t="shared" ref="M150:M161" ca="1" si="34">IFERROR(IF(K150="","",IF(L150="",MOD(NOW()-K150,1),IF(L150&gt;=K150,L150-K150,L150+1-K150))),"")</f>
        <v>2.2222222222222143E-2</v>
      </c>
      <c r="N150" s="46" t="s">
        <v>293</v>
      </c>
      <c r="O150" s="31"/>
    </row>
    <row r="151" spans="1:15" ht="15" customHeight="1">
      <c r="A151" s="69">
        <v>46209</v>
      </c>
      <c r="B151" s="32">
        <f t="shared" ref="B151:B161" si="35">B150+TIME(0,60,0)</f>
        <v>0.87499999999999967</v>
      </c>
      <c r="C151" s="26" t="s">
        <v>21</v>
      </c>
      <c r="D151" s="59" t="s">
        <v>30</v>
      </c>
      <c r="E151" s="59" t="s">
        <v>234</v>
      </c>
      <c r="F151" s="27">
        <v>19</v>
      </c>
      <c r="G151" s="34">
        <f t="shared" si="33"/>
        <v>95</v>
      </c>
      <c r="H151" s="33" t="s">
        <v>18</v>
      </c>
      <c r="I151" s="33" t="s">
        <v>63</v>
      </c>
      <c r="J151" s="33" t="s">
        <v>208</v>
      </c>
      <c r="K151" s="29">
        <v>0.20833333333333334</v>
      </c>
      <c r="L151" s="29">
        <v>0.29166666666666669</v>
      </c>
      <c r="M151" s="35">
        <f t="shared" ca="1" si="34"/>
        <v>8.3333333333333343E-2</v>
      </c>
      <c r="N151" s="46"/>
      <c r="O151" s="31"/>
    </row>
    <row r="152" spans="1:15" ht="15" customHeight="1">
      <c r="A152" s="68">
        <v>46209</v>
      </c>
      <c r="B152" s="25">
        <f t="shared" si="35"/>
        <v>0.9166666666666663</v>
      </c>
      <c r="C152" s="26" t="s">
        <v>21</v>
      </c>
      <c r="D152" s="59" t="s">
        <v>30</v>
      </c>
      <c r="E152" s="59" t="s">
        <v>261</v>
      </c>
      <c r="F152" s="27">
        <v>28</v>
      </c>
      <c r="G152" s="28">
        <f t="shared" si="33"/>
        <v>117.60000000000001</v>
      </c>
      <c r="H152" s="26"/>
      <c r="I152" s="26"/>
      <c r="J152" s="26"/>
      <c r="K152" s="29"/>
      <c r="L152" s="29"/>
      <c r="M152" s="30" t="str">
        <f t="shared" ca="1" si="34"/>
        <v/>
      </c>
      <c r="N152" s="46" t="s">
        <v>294</v>
      </c>
      <c r="O152" s="31"/>
    </row>
    <row r="153" spans="1:15" ht="15" customHeight="1">
      <c r="A153" s="69">
        <v>46209</v>
      </c>
      <c r="B153" s="32">
        <f t="shared" si="35"/>
        <v>0.95833333333333293</v>
      </c>
      <c r="C153" s="26" t="s">
        <v>21</v>
      </c>
      <c r="D153" s="59" t="s">
        <v>30</v>
      </c>
      <c r="E153" s="59" t="s">
        <v>261</v>
      </c>
      <c r="F153" s="27">
        <v>12</v>
      </c>
      <c r="G153" s="34">
        <f t="shared" si="33"/>
        <v>50.400000000000006</v>
      </c>
      <c r="H153" s="33"/>
      <c r="I153" s="33"/>
      <c r="J153" s="33"/>
      <c r="K153" s="29"/>
      <c r="L153" s="29"/>
      <c r="M153" s="35" t="str">
        <f t="shared" ca="1" si="34"/>
        <v/>
      </c>
      <c r="N153" s="46"/>
      <c r="O153" s="31"/>
    </row>
    <row r="154" spans="1:15" ht="15" customHeight="1">
      <c r="A154" s="68">
        <v>46209</v>
      </c>
      <c r="B154" s="25">
        <f t="shared" si="35"/>
        <v>0.99999999999999956</v>
      </c>
      <c r="C154" s="26" t="s">
        <v>21</v>
      </c>
      <c r="D154" s="59" t="s">
        <v>30</v>
      </c>
      <c r="E154" s="59" t="s">
        <v>261</v>
      </c>
      <c r="F154" s="27">
        <v>13</v>
      </c>
      <c r="G154" s="28">
        <f t="shared" si="33"/>
        <v>54.6</v>
      </c>
      <c r="H154" s="26"/>
      <c r="I154" s="26"/>
      <c r="J154" s="26"/>
      <c r="K154" s="29"/>
      <c r="L154" s="29"/>
      <c r="M154" s="30" t="str">
        <f t="shared" ca="1" si="34"/>
        <v/>
      </c>
      <c r="N154" s="46"/>
      <c r="O154" s="31"/>
    </row>
    <row r="155" spans="1:15" ht="15" customHeight="1">
      <c r="A155" s="69">
        <v>46209</v>
      </c>
      <c r="B155" s="32">
        <f t="shared" si="35"/>
        <v>1.0416666666666663</v>
      </c>
      <c r="C155" s="26" t="s">
        <v>21</v>
      </c>
      <c r="D155" s="59" t="s">
        <v>30</v>
      </c>
      <c r="E155" s="59" t="s">
        <v>261</v>
      </c>
      <c r="F155" s="27">
        <v>15</v>
      </c>
      <c r="G155" s="34">
        <f t="shared" si="33"/>
        <v>63</v>
      </c>
      <c r="H155" s="33"/>
      <c r="I155" s="33"/>
      <c r="J155" s="33"/>
      <c r="K155" s="29"/>
      <c r="L155" s="29"/>
      <c r="M155" s="35" t="str">
        <f t="shared" ca="1" si="34"/>
        <v/>
      </c>
      <c r="N155" s="46"/>
      <c r="O155" s="31"/>
    </row>
    <row r="156" spans="1:15" ht="15" customHeight="1">
      <c r="A156" s="68">
        <v>46209</v>
      </c>
      <c r="B156" s="25">
        <f t="shared" si="35"/>
        <v>1.083333333333333</v>
      </c>
      <c r="C156" s="26" t="s">
        <v>21</v>
      </c>
      <c r="D156" s="59" t="s">
        <v>30</v>
      </c>
      <c r="E156" s="59" t="s">
        <v>261</v>
      </c>
      <c r="F156" s="27">
        <v>20</v>
      </c>
      <c r="G156" s="28">
        <f t="shared" si="33"/>
        <v>84</v>
      </c>
      <c r="H156" s="26"/>
      <c r="I156" s="26"/>
      <c r="J156" s="26"/>
      <c r="K156" s="29"/>
      <c r="L156" s="29"/>
      <c r="M156" s="30" t="str">
        <f t="shared" ca="1" si="34"/>
        <v/>
      </c>
      <c r="N156" s="46"/>
      <c r="O156" s="31"/>
    </row>
    <row r="157" spans="1:15" ht="15" customHeight="1">
      <c r="A157" s="69">
        <v>46209</v>
      </c>
      <c r="B157" s="32">
        <f t="shared" si="35"/>
        <v>1.1249999999999998</v>
      </c>
      <c r="C157" s="26" t="s">
        <v>21</v>
      </c>
      <c r="D157" s="59" t="s">
        <v>30</v>
      </c>
      <c r="E157" s="59" t="s">
        <v>261</v>
      </c>
      <c r="F157" s="27">
        <v>21</v>
      </c>
      <c r="G157" s="34">
        <f t="shared" si="33"/>
        <v>88.2</v>
      </c>
      <c r="H157" s="33"/>
      <c r="I157" s="33"/>
      <c r="J157" s="33"/>
      <c r="K157" s="29"/>
      <c r="L157" s="29"/>
      <c r="M157" s="35" t="str">
        <f t="shared" ca="1" si="34"/>
        <v/>
      </c>
      <c r="N157" s="46"/>
      <c r="O157" s="31"/>
    </row>
    <row r="158" spans="1:15" ht="15" customHeight="1">
      <c r="A158" s="68">
        <v>46209</v>
      </c>
      <c r="B158" s="25">
        <f t="shared" si="35"/>
        <v>1.1666666666666665</v>
      </c>
      <c r="C158" s="26" t="s">
        <v>21</v>
      </c>
      <c r="D158" s="59" t="s">
        <v>30</v>
      </c>
      <c r="E158" s="59" t="s">
        <v>261</v>
      </c>
      <c r="F158" s="27">
        <v>18</v>
      </c>
      <c r="G158" s="28">
        <f t="shared" si="33"/>
        <v>75.600000000000009</v>
      </c>
      <c r="H158" s="26"/>
      <c r="I158" s="26"/>
      <c r="J158" s="26"/>
      <c r="K158" s="29"/>
      <c r="L158" s="29"/>
      <c r="M158" s="30" t="str">
        <f t="shared" ca="1" si="34"/>
        <v/>
      </c>
      <c r="N158" s="46"/>
      <c r="O158" s="31"/>
    </row>
    <row r="159" spans="1:15" ht="15" customHeight="1">
      <c r="A159" s="69">
        <v>46209</v>
      </c>
      <c r="B159" s="32">
        <f t="shared" si="35"/>
        <v>1.2083333333333333</v>
      </c>
      <c r="C159" s="26" t="s">
        <v>21</v>
      </c>
      <c r="D159" s="59" t="s">
        <v>30</v>
      </c>
      <c r="E159" s="59" t="s">
        <v>261</v>
      </c>
      <c r="F159" s="27">
        <v>10</v>
      </c>
      <c r="G159" s="34">
        <f t="shared" si="33"/>
        <v>42</v>
      </c>
      <c r="H159" s="33"/>
      <c r="I159" s="33"/>
      <c r="J159" s="33"/>
      <c r="K159" s="29"/>
      <c r="L159" s="29"/>
      <c r="M159" s="35" t="str">
        <f t="shared" ca="1" si="34"/>
        <v/>
      </c>
      <c r="N159" s="46"/>
      <c r="O159" s="31"/>
    </row>
    <row r="160" spans="1:15" ht="15" customHeight="1">
      <c r="A160" s="68">
        <v>46209</v>
      </c>
      <c r="B160" s="25">
        <f t="shared" si="35"/>
        <v>1.25</v>
      </c>
      <c r="C160" s="26" t="s">
        <v>21</v>
      </c>
      <c r="D160" s="59" t="s">
        <v>30</v>
      </c>
      <c r="E160" s="59" t="s">
        <v>261</v>
      </c>
      <c r="F160" s="27">
        <v>0</v>
      </c>
      <c r="G160" s="28">
        <f t="shared" si="33"/>
        <v>0</v>
      </c>
      <c r="H160" s="26"/>
      <c r="I160" s="26"/>
      <c r="J160" s="26"/>
      <c r="K160" s="29"/>
      <c r="L160" s="29"/>
      <c r="M160" s="30" t="str">
        <f t="shared" ca="1" si="34"/>
        <v/>
      </c>
      <c r="N160" s="46"/>
      <c r="O160" s="31"/>
    </row>
    <row r="161" spans="1:15" ht="15" customHeight="1">
      <c r="A161" s="69">
        <v>46209</v>
      </c>
      <c r="B161" s="32">
        <f t="shared" si="35"/>
        <v>1.2916666666666667</v>
      </c>
      <c r="C161" s="26" t="s">
        <v>21</v>
      </c>
      <c r="D161" s="59" t="s">
        <v>30</v>
      </c>
      <c r="E161" s="59" t="s">
        <v>261</v>
      </c>
      <c r="F161" s="27">
        <v>0</v>
      </c>
      <c r="G161" s="34">
        <f t="shared" si="33"/>
        <v>0</v>
      </c>
      <c r="H161" s="33"/>
      <c r="I161" s="33"/>
      <c r="J161" s="33"/>
      <c r="K161" s="29"/>
      <c r="L161" s="29"/>
      <c r="M161" s="35" t="str">
        <f t="shared" ca="1" si="34"/>
        <v/>
      </c>
      <c r="N161" s="46"/>
      <c r="O161" s="31"/>
    </row>
    <row r="162" spans="1:15" ht="15.75" customHeight="1">
      <c r="A162" s="119" t="s">
        <v>238</v>
      </c>
      <c r="B162" s="120"/>
      <c r="C162" s="120"/>
      <c r="D162" s="120"/>
      <c r="E162" s="121">
        <f>SUM(E150:E161)</f>
        <v>0</v>
      </c>
      <c r="F162" s="36">
        <f>SUM(F150:F161)</f>
        <v>170</v>
      </c>
      <c r="G162" s="36">
        <f>SUM(G150:G161)</f>
        <v>740.40000000000009</v>
      </c>
      <c r="H162" s="37"/>
      <c r="I162" s="37"/>
      <c r="J162" s="37"/>
      <c r="K162" s="37"/>
      <c r="L162" s="37"/>
      <c r="M162" s="38">
        <f ca="1">IFERROR(SUM(M150:M161),"")</f>
        <v>0.10555555555555549</v>
      </c>
      <c r="N162" s="36" t="s">
        <v>237</v>
      </c>
      <c r="O162" s="54">
        <v>882280</v>
      </c>
    </row>
    <row r="163" spans="1:15" ht="18" customHeight="1">
      <c r="A163" s="122" t="s">
        <v>239</v>
      </c>
      <c r="B163" s="123"/>
      <c r="C163" s="123"/>
      <c r="D163" s="123"/>
      <c r="E163" s="124">
        <f>E149+E162</f>
        <v>0</v>
      </c>
      <c r="F163" s="40">
        <f>F149+F162</f>
        <v>265</v>
      </c>
      <c r="G163" s="40">
        <f>G149+G162</f>
        <v>1215.4000000000001</v>
      </c>
      <c r="H163" s="41"/>
      <c r="I163" s="41"/>
      <c r="J163" s="41"/>
      <c r="K163" s="41"/>
      <c r="L163" s="41"/>
      <c r="M163" s="42">
        <f ca="1">IFERROR(M149+M162,"")</f>
        <v>0.31666666666666654</v>
      </c>
      <c r="N163" s="40" t="s">
        <v>240</v>
      </c>
      <c r="O163" s="82">
        <f>IFERROR(O149+O162,"")</f>
        <v>1474080</v>
      </c>
    </row>
    <row r="164" spans="1:15" ht="15" customHeight="1">
      <c r="A164" s="68">
        <v>46210</v>
      </c>
      <c r="B164" s="25">
        <v>0.33333333333333298</v>
      </c>
      <c r="C164" s="26" t="s">
        <v>29</v>
      </c>
      <c r="D164" s="59" t="s">
        <v>22</v>
      </c>
      <c r="E164" s="59" t="s">
        <v>261</v>
      </c>
      <c r="F164" s="27">
        <v>0</v>
      </c>
      <c r="G164" s="28">
        <f t="shared" ref="G164:G175" si="36">IF(F164="","",IF(E164="PC 17",F164*4.2,IF(E164="PC 19",F164*5,"")))</f>
        <v>0</v>
      </c>
      <c r="H164" s="26" t="s">
        <v>16</v>
      </c>
      <c r="I164" s="26"/>
      <c r="J164" s="26" t="s">
        <v>86</v>
      </c>
      <c r="K164" s="29">
        <v>0.29166666666666669</v>
      </c>
      <c r="L164" s="29">
        <v>0.79166666666666663</v>
      </c>
      <c r="M164" s="30">
        <f t="shared" ref="M164:M175" ca="1" si="37">IFERROR(IF(K164="","",IF(L164="",MOD(NOW()-K164,1),IF(L164&gt;=K164,L164-K164,L164+1-K164))),"")</f>
        <v>0.49999999999999994</v>
      </c>
      <c r="N164" s="46"/>
      <c r="O164" s="31"/>
    </row>
    <row r="165" spans="1:15" ht="15" customHeight="1">
      <c r="A165" s="69">
        <v>46210</v>
      </c>
      <c r="B165" s="32">
        <f t="shared" ref="B165:B175" si="38">B164+TIME(0,60,0)</f>
        <v>0.37499999999999967</v>
      </c>
      <c r="C165" s="26" t="s">
        <v>29</v>
      </c>
      <c r="D165" s="59" t="s">
        <v>22</v>
      </c>
      <c r="E165" s="62" t="s">
        <v>261</v>
      </c>
      <c r="F165" s="27">
        <v>0</v>
      </c>
      <c r="G165" s="34">
        <f t="shared" si="36"/>
        <v>0</v>
      </c>
      <c r="H165" s="33"/>
      <c r="I165" s="33"/>
      <c r="J165" s="33"/>
      <c r="K165" s="29"/>
      <c r="L165" s="29"/>
      <c r="M165" s="35" t="str">
        <f t="shared" ca="1" si="37"/>
        <v/>
      </c>
      <c r="N165" s="46"/>
      <c r="O165" s="31"/>
    </row>
    <row r="166" spans="1:15" ht="15" customHeight="1">
      <c r="A166" s="68">
        <v>46210</v>
      </c>
      <c r="B166" s="25">
        <f t="shared" si="38"/>
        <v>0.41666666666666635</v>
      </c>
      <c r="C166" s="26" t="s">
        <v>29</v>
      </c>
      <c r="D166" s="59" t="s">
        <v>22</v>
      </c>
      <c r="E166" s="59" t="s">
        <v>261</v>
      </c>
      <c r="F166" s="27">
        <v>0</v>
      </c>
      <c r="G166" s="28">
        <f t="shared" si="36"/>
        <v>0</v>
      </c>
      <c r="H166" s="26"/>
      <c r="I166" s="26"/>
      <c r="J166" s="26"/>
      <c r="K166" s="29"/>
      <c r="L166" s="29"/>
      <c r="M166" s="30" t="str">
        <f t="shared" ca="1" si="37"/>
        <v/>
      </c>
      <c r="N166" s="46"/>
      <c r="O166" s="31"/>
    </row>
    <row r="167" spans="1:15" ht="15" customHeight="1">
      <c r="A167" s="69">
        <v>46210</v>
      </c>
      <c r="B167" s="32">
        <f t="shared" si="38"/>
        <v>0.45833333333333304</v>
      </c>
      <c r="C167" s="26" t="s">
        <v>29</v>
      </c>
      <c r="D167" s="59" t="s">
        <v>22</v>
      </c>
      <c r="E167" s="62" t="s">
        <v>261</v>
      </c>
      <c r="F167" s="27">
        <v>0</v>
      </c>
      <c r="G167" s="34">
        <f t="shared" si="36"/>
        <v>0</v>
      </c>
      <c r="H167" s="33"/>
      <c r="I167" s="33"/>
      <c r="J167" s="33"/>
      <c r="K167" s="29"/>
      <c r="L167" s="29"/>
      <c r="M167" s="35" t="str">
        <f t="shared" ca="1" si="37"/>
        <v/>
      </c>
      <c r="N167" s="46"/>
      <c r="O167" s="31"/>
    </row>
    <row r="168" spans="1:15" ht="15" customHeight="1">
      <c r="A168" s="68">
        <v>46210</v>
      </c>
      <c r="B168" s="25">
        <f t="shared" si="38"/>
        <v>0.49999999999999972</v>
      </c>
      <c r="C168" s="26" t="s">
        <v>29</v>
      </c>
      <c r="D168" s="59" t="s">
        <v>22</v>
      </c>
      <c r="E168" s="59" t="s">
        <v>261</v>
      </c>
      <c r="F168" s="27">
        <v>0</v>
      </c>
      <c r="G168" s="28">
        <f t="shared" si="36"/>
        <v>0</v>
      </c>
      <c r="H168" s="26"/>
      <c r="I168" s="26"/>
      <c r="J168" s="26"/>
      <c r="K168" s="29"/>
      <c r="L168" s="29"/>
      <c r="M168" s="30" t="str">
        <f t="shared" ca="1" si="37"/>
        <v/>
      </c>
      <c r="N168" s="46"/>
      <c r="O168" s="31"/>
    </row>
    <row r="169" spans="1:15" ht="15" customHeight="1">
      <c r="A169" s="69">
        <v>46210</v>
      </c>
      <c r="B169" s="32">
        <f t="shared" si="38"/>
        <v>0.54166666666666641</v>
      </c>
      <c r="C169" s="26" t="s">
        <v>29</v>
      </c>
      <c r="D169" s="59" t="s">
        <v>22</v>
      </c>
      <c r="E169" s="62" t="s">
        <v>261</v>
      </c>
      <c r="F169" s="27">
        <v>0</v>
      </c>
      <c r="G169" s="34">
        <f t="shared" si="36"/>
        <v>0</v>
      </c>
      <c r="H169" s="33"/>
      <c r="I169" s="33"/>
      <c r="J169" s="33"/>
      <c r="K169" s="29"/>
      <c r="L169" s="29"/>
      <c r="M169" s="35" t="str">
        <f t="shared" ca="1" si="37"/>
        <v/>
      </c>
      <c r="N169" s="46"/>
      <c r="O169" s="31"/>
    </row>
    <row r="170" spans="1:15" ht="15" customHeight="1">
      <c r="A170" s="68">
        <v>46210</v>
      </c>
      <c r="B170" s="25">
        <f t="shared" si="38"/>
        <v>0.58333333333333304</v>
      </c>
      <c r="C170" s="26" t="s">
        <v>29</v>
      </c>
      <c r="D170" s="59" t="s">
        <v>22</v>
      </c>
      <c r="E170" s="59" t="s">
        <v>261</v>
      </c>
      <c r="F170" s="27">
        <v>0</v>
      </c>
      <c r="G170" s="28">
        <f t="shared" si="36"/>
        <v>0</v>
      </c>
      <c r="H170" s="26"/>
      <c r="I170" s="26"/>
      <c r="J170" s="26"/>
      <c r="K170" s="29"/>
      <c r="L170" s="29"/>
      <c r="M170" s="30" t="str">
        <f t="shared" ca="1" si="37"/>
        <v/>
      </c>
      <c r="N170" s="46"/>
      <c r="O170" s="31"/>
    </row>
    <row r="171" spans="1:15" ht="15" customHeight="1">
      <c r="A171" s="69">
        <v>46210</v>
      </c>
      <c r="B171" s="32">
        <f t="shared" si="38"/>
        <v>0.62499999999999967</v>
      </c>
      <c r="C171" s="26" t="s">
        <v>29</v>
      </c>
      <c r="D171" s="59" t="s">
        <v>22</v>
      </c>
      <c r="E171" s="62" t="s">
        <v>261</v>
      </c>
      <c r="F171" s="27">
        <v>0</v>
      </c>
      <c r="G171" s="34">
        <f t="shared" si="36"/>
        <v>0</v>
      </c>
      <c r="H171" s="33"/>
      <c r="I171" s="33"/>
      <c r="J171" s="33"/>
      <c r="K171" s="29"/>
      <c r="L171" s="29"/>
      <c r="M171" s="35" t="str">
        <f t="shared" ca="1" si="37"/>
        <v/>
      </c>
      <c r="N171" s="46"/>
      <c r="O171" s="31"/>
    </row>
    <row r="172" spans="1:15" ht="15" customHeight="1">
      <c r="A172" s="68">
        <v>46210</v>
      </c>
      <c r="B172" s="25">
        <f t="shared" si="38"/>
        <v>0.6666666666666663</v>
      </c>
      <c r="C172" s="26" t="s">
        <v>29</v>
      </c>
      <c r="D172" s="59" t="s">
        <v>22</v>
      </c>
      <c r="E172" s="59" t="s">
        <v>261</v>
      </c>
      <c r="F172" s="27">
        <v>0</v>
      </c>
      <c r="G172" s="28">
        <f t="shared" si="36"/>
        <v>0</v>
      </c>
      <c r="H172" s="26"/>
      <c r="I172" s="26"/>
      <c r="J172" s="26"/>
      <c r="K172" s="29"/>
      <c r="L172" s="29"/>
      <c r="M172" s="30" t="str">
        <f t="shared" ca="1" si="37"/>
        <v/>
      </c>
      <c r="N172" s="46"/>
      <c r="O172" s="31"/>
    </row>
    <row r="173" spans="1:15" ht="15" customHeight="1">
      <c r="A173" s="69">
        <v>46210</v>
      </c>
      <c r="B173" s="32">
        <f t="shared" si="38"/>
        <v>0.70833333333333293</v>
      </c>
      <c r="C173" s="26" t="s">
        <v>29</v>
      </c>
      <c r="D173" s="59" t="s">
        <v>22</v>
      </c>
      <c r="E173" s="62" t="s">
        <v>261</v>
      </c>
      <c r="F173" s="27">
        <v>0</v>
      </c>
      <c r="G173" s="34">
        <f t="shared" si="36"/>
        <v>0</v>
      </c>
      <c r="H173" s="33"/>
      <c r="I173" s="33"/>
      <c r="J173" s="33"/>
      <c r="K173" s="29"/>
      <c r="L173" s="29"/>
      <c r="M173" s="35" t="str">
        <f t="shared" ca="1" si="37"/>
        <v/>
      </c>
      <c r="N173" s="46"/>
      <c r="O173" s="31"/>
    </row>
    <row r="174" spans="1:15" ht="15" customHeight="1">
      <c r="A174" s="68">
        <v>46210</v>
      </c>
      <c r="B174" s="25">
        <f t="shared" si="38"/>
        <v>0.74999999999999956</v>
      </c>
      <c r="C174" s="26" t="s">
        <v>29</v>
      </c>
      <c r="D174" s="59" t="s">
        <v>22</v>
      </c>
      <c r="E174" s="59" t="s">
        <v>261</v>
      </c>
      <c r="F174" s="27">
        <v>0</v>
      </c>
      <c r="G174" s="28">
        <f t="shared" si="36"/>
        <v>0</v>
      </c>
      <c r="H174" s="26"/>
      <c r="I174" s="26"/>
      <c r="J174" s="26"/>
      <c r="K174" s="29"/>
      <c r="L174" s="29"/>
      <c r="M174" s="30" t="str">
        <f t="shared" ca="1" si="37"/>
        <v/>
      </c>
      <c r="N174" s="46"/>
      <c r="O174" s="31"/>
    </row>
    <row r="175" spans="1:15" ht="15" customHeight="1">
      <c r="A175" s="69">
        <v>46210</v>
      </c>
      <c r="B175" s="32">
        <f t="shared" si="38"/>
        <v>0.79166666666666619</v>
      </c>
      <c r="C175" s="26" t="s">
        <v>29</v>
      </c>
      <c r="D175" s="59" t="s">
        <v>22</v>
      </c>
      <c r="E175" s="62" t="s">
        <v>261</v>
      </c>
      <c r="F175" s="27">
        <v>0</v>
      </c>
      <c r="G175" s="34">
        <f t="shared" si="36"/>
        <v>0</v>
      </c>
      <c r="H175" s="33"/>
      <c r="I175" s="33"/>
      <c r="J175" s="33"/>
      <c r="K175" s="29"/>
      <c r="L175" s="29"/>
      <c r="M175" s="35" t="str">
        <f t="shared" ca="1" si="37"/>
        <v/>
      </c>
      <c r="N175" s="46"/>
      <c r="O175" s="31"/>
    </row>
    <row r="176" spans="1:15" ht="15.75" customHeight="1">
      <c r="A176" s="119" t="s">
        <v>236</v>
      </c>
      <c r="B176" s="120"/>
      <c r="C176" s="120"/>
      <c r="D176" s="120"/>
      <c r="E176" s="121">
        <f>SUM(E164:E175)</f>
        <v>0</v>
      </c>
      <c r="F176" s="36">
        <f>SUM(F164:F175)</f>
        <v>0</v>
      </c>
      <c r="G176" s="36">
        <f>SUM(G164:G175)</f>
        <v>0</v>
      </c>
      <c r="H176" s="37"/>
      <c r="I176" s="37"/>
      <c r="J176" s="37"/>
      <c r="K176" s="37"/>
      <c r="L176" s="37"/>
      <c r="M176" s="38">
        <f ca="1">IFERROR(SUM(M164:M175),"")</f>
        <v>0.49999999999999994</v>
      </c>
      <c r="N176" s="36" t="s">
        <v>237</v>
      </c>
      <c r="O176" s="77"/>
    </row>
    <row r="177" spans="1:15" ht="15" customHeight="1">
      <c r="A177" s="69">
        <v>46210</v>
      </c>
      <c r="B177" s="32">
        <v>0.83333333333333304</v>
      </c>
      <c r="C177" s="33" t="s">
        <v>21</v>
      </c>
      <c r="D177" s="62"/>
      <c r="E177" s="62"/>
      <c r="F177" s="27">
        <v>0</v>
      </c>
      <c r="G177" s="34" t="str">
        <f t="shared" ref="G177:G188" si="39">IF(F177="","",IF(E177="PC 17",F177*4.2,IF(E177="PC 19",F177*5,"")))</f>
        <v/>
      </c>
      <c r="H177" s="33" t="s">
        <v>16</v>
      </c>
      <c r="I177" s="33"/>
      <c r="J177" s="33" t="s">
        <v>86</v>
      </c>
      <c r="K177" s="29">
        <v>0.79166666666666663</v>
      </c>
      <c r="L177" s="29">
        <v>0.29166666666666669</v>
      </c>
      <c r="M177" s="35">
        <f t="shared" ref="M177:M188" ca="1" si="40">IFERROR(IF(K177="","",IF(L177="",MOD(NOW()-K177,1),IF(L177&gt;=K177,L177-K177,L177+1-K177))),"")</f>
        <v>0.50000000000000011</v>
      </c>
      <c r="N177" s="46"/>
      <c r="O177" s="31"/>
    </row>
    <row r="178" spans="1:15" ht="15" customHeight="1">
      <c r="A178" s="68">
        <v>46210</v>
      </c>
      <c r="B178" s="25">
        <f t="shared" ref="B178:B188" si="41">B177+TIME(0,60,0)</f>
        <v>0.87499999999999967</v>
      </c>
      <c r="C178" s="33" t="s">
        <v>21</v>
      </c>
      <c r="D178" s="59"/>
      <c r="E178" s="59"/>
      <c r="F178" s="27">
        <v>0</v>
      </c>
      <c r="G178" s="28" t="str">
        <f t="shared" si="39"/>
        <v/>
      </c>
      <c r="H178" s="26"/>
      <c r="I178" s="26"/>
      <c r="J178" s="26"/>
      <c r="K178" s="29"/>
      <c r="L178" s="29"/>
      <c r="M178" s="30" t="str">
        <f t="shared" ca="1" si="40"/>
        <v/>
      </c>
      <c r="N178" s="46"/>
      <c r="O178" s="31"/>
    </row>
    <row r="179" spans="1:15" ht="15" customHeight="1">
      <c r="A179" s="69">
        <v>46210</v>
      </c>
      <c r="B179" s="32">
        <f t="shared" si="41"/>
        <v>0.9166666666666663</v>
      </c>
      <c r="C179" s="33" t="s">
        <v>21</v>
      </c>
      <c r="D179" s="62"/>
      <c r="E179" s="62"/>
      <c r="F179" s="27">
        <v>0</v>
      </c>
      <c r="G179" s="34" t="str">
        <f t="shared" si="39"/>
        <v/>
      </c>
      <c r="H179" s="33"/>
      <c r="I179" s="33"/>
      <c r="J179" s="33"/>
      <c r="K179" s="29"/>
      <c r="L179" s="29"/>
      <c r="M179" s="35" t="str">
        <f t="shared" ca="1" si="40"/>
        <v/>
      </c>
      <c r="N179" s="46"/>
      <c r="O179" s="31"/>
    </row>
    <row r="180" spans="1:15" ht="15" customHeight="1">
      <c r="A180" s="68">
        <v>46210</v>
      </c>
      <c r="B180" s="25">
        <f t="shared" si="41"/>
        <v>0.95833333333333293</v>
      </c>
      <c r="C180" s="33" t="s">
        <v>21</v>
      </c>
      <c r="D180" s="59"/>
      <c r="E180" s="59"/>
      <c r="F180" s="27">
        <v>0</v>
      </c>
      <c r="G180" s="28" t="str">
        <f t="shared" si="39"/>
        <v/>
      </c>
      <c r="H180" s="26"/>
      <c r="I180" s="26"/>
      <c r="J180" s="26"/>
      <c r="K180" s="29"/>
      <c r="L180" s="29"/>
      <c r="M180" s="30" t="str">
        <f t="shared" ca="1" si="40"/>
        <v/>
      </c>
      <c r="N180" s="46"/>
      <c r="O180" s="31"/>
    </row>
    <row r="181" spans="1:15" ht="15" customHeight="1">
      <c r="A181" s="69">
        <v>46210</v>
      </c>
      <c r="B181" s="32">
        <f t="shared" si="41"/>
        <v>0.99999999999999956</v>
      </c>
      <c r="C181" s="33" t="s">
        <v>21</v>
      </c>
      <c r="D181" s="62"/>
      <c r="E181" s="62"/>
      <c r="F181" s="27">
        <v>0</v>
      </c>
      <c r="G181" s="34" t="str">
        <f t="shared" si="39"/>
        <v/>
      </c>
      <c r="H181" s="33"/>
      <c r="I181" s="33"/>
      <c r="J181" s="33"/>
      <c r="K181" s="29"/>
      <c r="L181" s="29"/>
      <c r="M181" s="35" t="str">
        <f t="shared" ca="1" si="40"/>
        <v/>
      </c>
      <c r="N181" s="46"/>
      <c r="O181" s="31"/>
    </row>
    <row r="182" spans="1:15" ht="15" customHeight="1">
      <c r="A182" s="68">
        <v>46210</v>
      </c>
      <c r="B182" s="25">
        <f t="shared" si="41"/>
        <v>1.0416666666666663</v>
      </c>
      <c r="C182" s="33" t="s">
        <v>21</v>
      </c>
      <c r="D182" s="59"/>
      <c r="E182" s="59"/>
      <c r="F182" s="27">
        <v>0</v>
      </c>
      <c r="G182" s="28" t="str">
        <f t="shared" si="39"/>
        <v/>
      </c>
      <c r="H182" s="26"/>
      <c r="I182" s="26"/>
      <c r="J182" s="26"/>
      <c r="K182" s="29"/>
      <c r="L182" s="29"/>
      <c r="M182" s="30" t="str">
        <f t="shared" ca="1" si="40"/>
        <v/>
      </c>
      <c r="N182" s="46"/>
      <c r="O182" s="31"/>
    </row>
    <row r="183" spans="1:15" ht="15" customHeight="1">
      <c r="A183" s="69">
        <v>46210</v>
      </c>
      <c r="B183" s="32">
        <f t="shared" si="41"/>
        <v>1.083333333333333</v>
      </c>
      <c r="C183" s="33" t="s">
        <v>21</v>
      </c>
      <c r="D183" s="62"/>
      <c r="E183" s="62"/>
      <c r="F183" s="27">
        <v>0</v>
      </c>
      <c r="G183" s="34" t="str">
        <f t="shared" si="39"/>
        <v/>
      </c>
      <c r="H183" s="33"/>
      <c r="I183" s="33"/>
      <c r="J183" s="33"/>
      <c r="K183" s="29"/>
      <c r="L183" s="29"/>
      <c r="M183" s="35" t="str">
        <f t="shared" ca="1" si="40"/>
        <v/>
      </c>
      <c r="N183" s="46"/>
      <c r="O183" s="31"/>
    </row>
    <row r="184" spans="1:15" ht="15" customHeight="1">
      <c r="A184" s="68">
        <v>46210</v>
      </c>
      <c r="B184" s="25">
        <f t="shared" si="41"/>
        <v>1.1249999999999998</v>
      </c>
      <c r="C184" s="33" t="s">
        <v>21</v>
      </c>
      <c r="D184" s="59"/>
      <c r="E184" s="59"/>
      <c r="F184" s="27">
        <v>0</v>
      </c>
      <c r="G184" s="28" t="str">
        <f t="shared" si="39"/>
        <v/>
      </c>
      <c r="H184" s="26"/>
      <c r="I184" s="26"/>
      <c r="J184" s="26"/>
      <c r="K184" s="29"/>
      <c r="L184" s="29"/>
      <c r="M184" s="30" t="str">
        <f t="shared" ca="1" si="40"/>
        <v/>
      </c>
      <c r="N184" s="46"/>
      <c r="O184" s="31"/>
    </row>
    <row r="185" spans="1:15" ht="15" customHeight="1">
      <c r="A185" s="69">
        <v>46210</v>
      </c>
      <c r="B185" s="32">
        <f t="shared" si="41"/>
        <v>1.1666666666666665</v>
      </c>
      <c r="C185" s="33" t="s">
        <v>21</v>
      </c>
      <c r="D185" s="62"/>
      <c r="E185" s="62"/>
      <c r="F185" s="27">
        <v>0</v>
      </c>
      <c r="G185" s="34" t="str">
        <f t="shared" si="39"/>
        <v/>
      </c>
      <c r="H185" s="33"/>
      <c r="I185" s="33"/>
      <c r="J185" s="33"/>
      <c r="K185" s="29"/>
      <c r="L185" s="29"/>
      <c r="M185" s="35" t="str">
        <f t="shared" ca="1" si="40"/>
        <v/>
      </c>
      <c r="N185" s="46"/>
      <c r="O185" s="31"/>
    </row>
    <row r="186" spans="1:15" ht="15" customHeight="1">
      <c r="A186" s="68">
        <v>46210</v>
      </c>
      <c r="B186" s="25">
        <f t="shared" si="41"/>
        <v>1.2083333333333333</v>
      </c>
      <c r="C186" s="33" t="s">
        <v>21</v>
      </c>
      <c r="D186" s="59"/>
      <c r="E186" s="59"/>
      <c r="F186" s="27">
        <v>0</v>
      </c>
      <c r="G186" s="28" t="str">
        <f t="shared" si="39"/>
        <v/>
      </c>
      <c r="H186" s="26"/>
      <c r="I186" s="26"/>
      <c r="J186" s="26"/>
      <c r="K186" s="29"/>
      <c r="L186" s="29"/>
      <c r="M186" s="30" t="str">
        <f t="shared" ca="1" si="40"/>
        <v/>
      </c>
      <c r="N186" s="46"/>
      <c r="O186" s="31"/>
    </row>
    <row r="187" spans="1:15" ht="15" customHeight="1">
      <c r="A187" s="69">
        <v>46210</v>
      </c>
      <c r="B187" s="32">
        <f t="shared" si="41"/>
        <v>1.25</v>
      </c>
      <c r="C187" s="33" t="s">
        <v>21</v>
      </c>
      <c r="D187" s="62"/>
      <c r="E187" s="62"/>
      <c r="F187" s="27">
        <v>0</v>
      </c>
      <c r="G187" s="34" t="str">
        <f t="shared" si="39"/>
        <v/>
      </c>
      <c r="H187" s="33"/>
      <c r="I187" s="33"/>
      <c r="J187" s="33"/>
      <c r="K187" s="29"/>
      <c r="L187" s="29"/>
      <c r="M187" s="35" t="str">
        <f t="shared" ca="1" si="40"/>
        <v/>
      </c>
      <c r="N187" s="46"/>
      <c r="O187" s="31"/>
    </row>
    <row r="188" spans="1:15" ht="15" customHeight="1">
      <c r="A188" s="68">
        <v>46210</v>
      </c>
      <c r="B188" s="25">
        <f t="shared" si="41"/>
        <v>1.2916666666666667</v>
      </c>
      <c r="C188" s="33" t="s">
        <v>21</v>
      </c>
      <c r="D188" s="59"/>
      <c r="E188" s="59"/>
      <c r="F188" s="27">
        <v>0</v>
      </c>
      <c r="G188" s="28" t="str">
        <f t="shared" si="39"/>
        <v/>
      </c>
      <c r="H188" s="26"/>
      <c r="I188" s="26"/>
      <c r="J188" s="26"/>
      <c r="K188" s="29"/>
      <c r="L188" s="29"/>
      <c r="M188" s="30" t="str">
        <f t="shared" ca="1" si="40"/>
        <v/>
      </c>
      <c r="N188" s="46"/>
      <c r="O188" s="31"/>
    </row>
    <row r="189" spans="1:15" ht="15.75" customHeight="1">
      <c r="A189" s="119" t="s">
        <v>238</v>
      </c>
      <c r="B189" s="120"/>
      <c r="C189" s="120"/>
      <c r="D189" s="120"/>
      <c r="E189" s="121">
        <f>SUM(E177:E188)</f>
        <v>0</v>
      </c>
      <c r="F189" s="36">
        <f>SUM(F177:F188)</f>
        <v>0</v>
      </c>
      <c r="G189" s="36">
        <f>SUM(G177:G188)</f>
        <v>0</v>
      </c>
      <c r="H189" s="37"/>
      <c r="I189" s="37"/>
      <c r="J189" s="37"/>
      <c r="K189" s="37"/>
      <c r="L189" s="37"/>
      <c r="M189" s="38">
        <f ca="1">IFERROR(SUM(M177:M188),"")</f>
        <v>0.50000000000000011</v>
      </c>
      <c r="N189" s="36" t="s">
        <v>237</v>
      </c>
      <c r="O189" s="77"/>
    </row>
    <row r="190" spans="1:15" ht="18" customHeight="1">
      <c r="A190" s="122" t="s">
        <v>239</v>
      </c>
      <c r="B190" s="123"/>
      <c r="C190" s="123"/>
      <c r="D190" s="123"/>
      <c r="E190" s="124">
        <f>E176+E189</f>
        <v>0</v>
      </c>
      <c r="F190" s="40">
        <f>F176+F189</f>
        <v>0</v>
      </c>
      <c r="G190" s="40">
        <f>G176+G189</f>
        <v>0</v>
      </c>
      <c r="H190" s="41"/>
      <c r="I190" s="41"/>
      <c r="J190" s="41"/>
      <c r="K190" s="41"/>
      <c r="L190" s="41"/>
      <c r="M190" s="42">
        <f ca="1">IFERROR(M176+M189,"")</f>
        <v>1</v>
      </c>
      <c r="N190" s="40" t="s">
        <v>240</v>
      </c>
      <c r="O190" s="82">
        <f>IFERROR(O176+O189,"")</f>
        <v>0</v>
      </c>
    </row>
    <row r="191" spans="1:15" ht="15" customHeight="1">
      <c r="A191" s="69">
        <v>46211</v>
      </c>
      <c r="B191" s="32">
        <v>0.33333333333333298</v>
      </c>
      <c r="C191" s="33" t="s">
        <v>29</v>
      </c>
      <c r="D191" s="62"/>
      <c r="E191" s="62"/>
      <c r="F191" s="27"/>
      <c r="G191" s="34" t="str">
        <f t="shared" ref="G191:G202" si="42">IF(F191="","",IF(E191="PC 17",F191*4.2,IF(E191="PC 19",F191*5,"")))</f>
        <v/>
      </c>
      <c r="H191" s="33" t="s">
        <v>16</v>
      </c>
      <c r="I191" s="33"/>
      <c r="J191" s="33" t="s">
        <v>86</v>
      </c>
      <c r="K191" s="29">
        <v>0.29166666666666669</v>
      </c>
      <c r="L191" s="29">
        <v>0.79166666666666663</v>
      </c>
      <c r="M191" s="35">
        <f t="shared" ref="M191:M202" ca="1" si="43">IFERROR(IF(K191="","",IF(L191="",MOD(NOW()-K191,1),IF(L191&gt;=K191,L191-K191,L191+1-K191))),"")</f>
        <v>0.49999999999999994</v>
      </c>
      <c r="N191" s="46"/>
      <c r="O191" s="31"/>
    </row>
    <row r="192" spans="1:15" ht="15" customHeight="1">
      <c r="A192" s="68">
        <v>46211</v>
      </c>
      <c r="B192" s="25">
        <f t="shared" ref="B192:B202" si="44">B191+TIME(0,60,0)</f>
        <v>0.37499999999999967</v>
      </c>
      <c r="C192" s="33" t="s">
        <v>29</v>
      </c>
      <c r="D192" s="62"/>
      <c r="E192" s="62"/>
      <c r="F192" s="27"/>
      <c r="G192" s="28" t="str">
        <f t="shared" si="42"/>
        <v/>
      </c>
      <c r="H192" s="26"/>
      <c r="I192" s="26"/>
      <c r="J192" s="26"/>
      <c r="K192" s="29"/>
      <c r="L192" s="29"/>
      <c r="M192" s="30" t="str">
        <f t="shared" ca="1" si="43"/>
        <v/>
      </c>
      <c r="N192" s="46"/>
      <c r="O192" s="31"/>
    </row>
    <row r="193" spans="1:15" ht="15" customHeight="1">
      <c r="A193" s="69">
        <v>46211</v>
      </c>
      <c r="B193" s="32">
        <f t="shared" si="44"/>
        <v>0.41666666666666635</v>
      </c>
      <c r="C193" s="33" t="s">
        <v>29</v>
      </c>
      <c r="D193" s="62"/>
      <c r="E193" s="62"/>
      <c r="F193" s="27"/>
      <c r="G193" s="34" t="str">
        <f t="shared" si="42"/>
        <v/>
      </c>
      <c r="H193" s="33"/>
      <c r="I193" s="33"/>
      <c r="J193" s="33"/>
      <c r="K193" s="29"/>
      <c r="L193" s="29"/>
      <c r="M193" s="35" t="str">
        <f t="shared" ca="1" si="43"/>
        <v/>
      </c>
      <c r="N193" s="46"/>
      <c r="O193" s="31"/>
    </row>
    <row r="194" spans="1:15" ht="15" customHeight="1">
      <c r="A194" s="68">
        <v>46211</v>
      </c>
      <c r="B194" s="25">
        <f t="shared" si="44"/>
        <v>0.45833333333333304</v>
      </c>
      <c r="C194" s="33" t="s">
        <v>29</v>
      </c>
      <c r="D194" s="62"/>
      <c r="E194" s="62"/>
      <c r="F194" s="27"/>
      <c r="G194" s="28" t="str">
        <f t="shared" si="42"/>
        <v/>
      </c>
      <c r="H194" s="26"/>
      <c r="I194" s="26"/>
      <c r="J194" s="26"/>
      <c r="K194" s="29"/>
      <c r="L194" s="29"/>
      <c r="M194" s="30" t="str">
        <f t="shared" ca="1" si="43"/>
        <v/>
      </c>
      <c r="N194" s="46"/>
      <c r="O194" s="31"/>
    </row>
    <row r="195" spans="1:15" ht="15" customHeight="1">
      <c r="A195" s="69">
        <v>46211</v>
      </c>
      <c r="B195" s="32">
        <f t="shared" si="44"/>
        <v>0.49999999999999972</v>
      </c>
      <c r="C195" s="33" t="s">
        <v>29</v>
      </c>
      <c r="D195" s="62"/>
      <c r="E195" s="62"/>
      <c r="F195" s="27"/>
      <c r="G195" s="34" t="str">
        <f t="shared" si="42"/>
        <v/>
      </c>
      <c r="H195" s="33"/>
      <c r="I195" s="33"/>
      <c r="J195" s="33"/>
      <c r="K195" s="29"/>
      <c r="L195" s="29"/>
      <c r="M195" s="35" t="str">
        <f t="shared" ca="1" si="43"/>
        <v/>
      </c>
      <c r="N195" s="46"/>
      <c r="O195" s="31"/>
    </row>
    <row r="196" spans="1:15" ht="15" customHeight="1">
      <c r="A196" s="68">
        <v>46211</v>
      </c>
      <c r="B196" s="25">
        <f t="shared" si="44"/>
        <v>0.54166666666666641</v>
      </c>
      <c r="C196" s="33" t="s">
        <v>29</v>
      </c>
      <c r="D196" s="62"/>
      <c r="E196" s="62"/>
      <c r="F196" s="27"/>
      <c r="G196" s="28" t="str">
        <f t="shared" si="42"/>
        <v/>
      </c>
      <c r="H196" s="26"/>
      <c r="I196" s="26"/>
      <c r="J196" s="26"/>
      <c r="K196" s="29"/>
      <c r="L196" s="29"/>
      <c r="M196" s="30" t="str">
        <f t="shared" ca="1" si="43"/>
        <v/>
      </c>
      <c r="N196" s="46"/>
      <c r="O196" s="31"/>
    </row>
    <row r="197" spans="1:15" ht="15" customHeight="1">
      <c r="A197" s="69">
        <v>46211</v>
      </c>
      <c r="B197" s="32">
        <f t="shared" si="44"/>
        <v>0.58333333333333304</v>
      </c>
      <c r="C197" s="33" t="s">
        <v>29</v>
      </c>
      <c r="D197" s="62"/>
      <c r="E197" s="62"/>
      <c r="F197" s="27"/>
      <c r="G197" s="34" t="str">
        <f t="shared" si="42"/>
        <v/>
      </c>
      <c r="H197" s="33"/>
      <c r="I197" s="33"/>
      <c r="J197" s="33"/>
      <c r="K197" s="29"/>
      <c r="L197" s="29"/>
      <c r="M197" s="35" t="str">
        <f t="shared" ca="1" si="43"/>
        <v/>
      </c>
      <c r="N197" s="46"/>
      <c r="O197" s="31"/>
    </row>
    <row r="198" spans="1:15" ht="15" customHeight="1">
      <c r="A198" s="68">
        <v>46211</v>
      </c>
      <c r="B198" s="25">
        <f t="shared" si="44"/>
        <v>0.62499999999999967</v>
      </c>
      <c r="C198" s="33" t="s">
        <v>29</v>
      </c>
      <c r="D198" s="62"/>
      <c r="E198" s="62"/>
      <c r="F198" s="27"/>
      <c r="G198" s="28" t="str">
        <f t="shared" si="42"/>
        <v/>
      </c>
      <c r="H198" s="26"/>
      <c r="I198" s="26"/>
      <c r="J198" s="26"/>
      <c r="K198" s="29"/>
      <c r="L198" s="29"/>
      <c r="M198" s="30" t="str">
        <f t="shared" ca="1" si="43"/>
        <v/>
      </c>
      <c r="N198" s="46"/>
      <c r="O198" s="31"/>
    </row>
    <row r="199" spans="1:15" ht="15" customHeight="1">
      <c r="A199" s="69">
        <v>46211</v>
      </c>
      <c r="B199" s="32">
        <f t="shared" si="44"/>
        <v>0.6666666666666663</v>
      </c>
      <c r="C199" s="33" t="s">
        <v>29</v>
      </c>
      <c r="D199" s="62"/>
      <c r="E199" s="62"/>
      <c r="F199" s="27"/>
      <c r="G199" s="34" t="str">
        <f t="shared" si="42"/>
        <v/>
      </c>
      <c r="H199" s="33"/>
      <c r="I199" s="33"/>
      <c r="J199" s="33"/>
      <c r="K199" s="29"/>
      <c r="L199" s="29"/>
      <c r="M199" s="35" t="str">
        <f t="shared" ca="1" si="43"/>
        <v/>
      </c>
      <c r="N199" s="46"/>
      <c r="O199" s="31"/>
    </row>
    <row r="200" spans="1:15" ht="15" customHeight="1">
      <c r="A200" s="68">
        <v>46211</v>
      </c>
      <c r="B200" s="25">
        <f t="shared" si="44"/>
        <v>0.70833333333333293</v>
      </c>
      <c r="C200" s="33" t="s">
        <v>29</v>
      </c>
      <c r="D200" s="62"/>
      <c r="E200" s="62"/>
      <c r="F200" s="27"/>
      <c r="G200" s="28" t="str">
        <f t="shared" si="42"/>
        <v/>
      </c>
      <c r="H200" s="26"/>
      <c r="I200" s="26"/>
      <c r="J200" s="26"/>
      <c r="K200" s="29"/>
      <c r="L200" s="29"/>
      <c r="M200" s="30" t="str">
        <f t="shared" ca="1" si="43"/>
        <v/>
      </c>
      <c r="N200" s="46"/>
      <c r="O200" s="31"/>
    </row>
    <row r="201" spans="1:15" ht="15" customHeight="1">
      <c r="A201" s="69">
        <v>46211</v>
      </c>
      <c r="B201" s="32">
        <f t="shared" si="44"/>
        <v>0.74999999999999956</v>
      </c>
      <c r="C201" s="33" t="s">
        <v>29</v>
      </c>
      <c r="D201" s="62"/>
      <c r="E201" s="62"/>
      <c r="F201" s="27"/>
      <c r="G201" s="34" t="str">
        <f t="shared" si="42"/>
        <v/>
      </c>
      <c r="H201" s="33"/>
      <c r="I201" s="33"/>
      <c r="J201" s="33"/>
      <c r="K201" s="29"/>
      <c r="L201" s="29"/>
      <c r="M201" s="35" t="str">
        <f t="shared" ca="1" si="43"/>
        <v/>
      </c>
      <c r="N201" s="46"/>
      <c r="O201" s="31"/>
    </row>
    <row r="202" spans="1:15" ht="15" customHeight="1">
      <c r="A202" s="68">
        <v>46211</v>
      </c>
      <c r="B202" s="25">
        <f t="shared" si="44"/>
        <v>0.79166666666666619</v>
      </c>
      <c r="C202" s="33" t="s">
        <v>29</v>
      </c>
      <c r="D202" s="62"/>
      <c r="E202" s="62"/>
      <c r="F202" s="27"/>
      <c r="G202" s="28" t="str">
        <f t="shared" si="42"/>
        <v/>
      </c>
      <c r="H202" s="26"/>
      <c r="I202" s="26"/>
      <c r="J202" s="26"/>
      <c r="K202" s="29"/>
      <c r="L202" s="29"/>
      <c r="M202" s="30" t="str">
        <f t="shared" ca="1" si="43"/>
        <v/>
      </c>
      <c r="N202" s="46"/>
      <c r="O202" s="31"/>
    </row>
    <row r="203" spans="1:15" ht="15.75" customHeight="1">
      <c r="A203" s="119" t="s">
        <v>236</v>
      </c>
      <c r="B203" s="120"/>
      <c r="C203" s="120"/>
      <c r="D203" s="120"/>
      <c r="E203" s="121">
        <f>SUM(E191:E202)</f>
        <v>0</v>
      </c>
      <c r="F203" s="36">
        <f>SUM(F191:F202)</f>
        <v>0</v>
      </c>
      <c r="G203" s="36">
        <f>SUM(G191:G202)</f>
        <v>0</v>
      </c>
      <c r="H203" s="37"/>
      <c r="I203" s="37"/>
      <c r="J203" s="37"/>
      <c r="K203" s="37"/>
      <c r="L203" s="37"/>
      <c r="M203" s="38">
        <f ca="1">IFERROR(SUM(M191:M202),"")</f>
        <v>0.49999999999999994</v>
      </c>
      <c r="N203" s="36" t="s">
        <v>237</v>
      </c>
      <c r="O203" s="77"/>
    </row>
    <row r="204" spans="1:15" ht="15" customHeight="1">
      <c r="A204" s="68">
        <v>46211</v>
      </c>
      <c r="B204" s="25">
        <v>0.83333333333333304</v>
      </c>
      <c r="C204" s="26" t="s">
        <v>21</v>
      </c>
      <c r="D204" s="59" t="s">
        <v>30</v>
      </c>
      <c r="E204" s="59" t="s">
        <v>261</v>
      </c>
      <c r="F204" s="27">
        <v>13</v>
      </c>
      <c r="G204" s="28">
        <f t="shared" ref="G204:G215" si="45">IF(F204="","",IF(E204="PC 17",F204*4.2,IF(E204="PC 19",F204*5,"")))</f>
        <v>54.6</v>
      </c>
      <c r="H204" s="26" t="s">
        <v>18</v>
      </c>
      <c r="I204" s="26"/>
      <c r="J204" s="26" t="s">
        <v>105</v>
      </c>
      <c r="K204" s="29">
        <v>0.79166666666666663</v>
      </c>
      <c r="L204" s="29">
        <v>0.82638888888888884</v>
      </c>
      <c r="M204" s="30">
        <f t="shared" ref="M204:M215" ca="1" si="46">IFERROR(IF(K204="","",IF(L204="",MOD(NOW()-K204,1),IF(L204&gt;=K204,L204-K204,L204+1-K204))),"")</f>
        <v>3.472222222222221E-2</v>
      </c>
      <c r="N204" s="46"/>
      <c r="O204" s="47"/>
    </row>
    <row r="205" spans="1:15" ht="15" customHeight="1">
      <c r="A205" s="69">
        <v>46211</v>
      </c>
      <c r="B205" s="32">
        <f t="shared" ref="B205:B215" si="47">B204+TIME(0,60,0)</f>
        <v>0.87499999999999967</v>
      </c>
      <c r="C205" s="26" t="s">
        <v>21</v>
      </c>
      <c r="D205" s="59" t="s">
        <v>30</v>
      </c>
      <c r="E205" s="59" t="s">
        <v>234</v>
      </c>
      <c r="F205" s="27">
        <v>7</v>
      </c>
      <c r="G205" s="34">
        <f t="shared" si="45"/>
        <v>35</v>
      </c>
      <c r="H205" s="33" t="s">
        <v>18</v>
      </c>
      <c r="I205" s="33" t="s">
        <v>31</v>
      </c>
      <c r="J205" s="33" t="s">
        <v>154</v>
      </c>
      <c r="K205" s="29">
        <v>3.8194444444444448E-2</v>
      </c>
      <c r="L205" s="29">
        <v>5.5555555555555552E-2</v>
      </c>
      <c r="M205" s="35">
        <f t="shared" ca="1" si="46"/>
        <v>1.7361111111111105E-2</v>
      </c>
      <c r="N205" s="46"/>
      <c r="O205" s="47"/>
    </row>
    <row r="206" spans="1:15" ht="15" customHeight="1">
      <c r="A206" s="68">
        <v>46211</v>
      </c>
      <c r="B206" s="25">
        <f t="shared" si="47"/>
        <v>0.9166666666666663</v>
      </c>
      <c r="C206" s="26" t="s">
        <v>21</v>
      </c>
      <c r="D206" s="59" t="s">
        <v>30</v>
      </c>
      <c r="E206" s="59" t="s">
        <v>261</v>
      </c>
      <c r="F206" s="27">
        <v>24</v>
      </c>
      <c r="G206" s="28">
        <f t="shared" si="45"/>
        <v>100.80000000000001</v>
      </c>
      <c r="H206" s="26" t="s">
        <v>18</v>
      </c>
      <c r="I206" s="26" t="s">
        <v>39</v>
      </c>
      <c r="J206" s="26" t="s">
        <v>145</v>
      </c>
      <c r="K206" s="29">
        <v>6.25E-2</v>
      </c>
      <c r="L206" s="29">
        <v>7.6388888888888895E-2</v>
      </c>
      <c r="M206" s="30">
        <f t="shared" ca="1" si="46"/>
        <v>1.3888888888888895E-2</v>
      </c>
      <c r="N206" s="46" t="s">
        <v>295</v>
      </c>
      <c r="O206" s="47"/>
    </row>
    <row r="207" spans="1:15" ht="15" customHeight="1">
      <c r="A207" s="69">
        <v>46211</v>
      </c>
      <c r="B207" s="32">
        <f t="shared" si="47"/>
        <v>0.95833333333333293</v>
      </c>
      <c r="C207" s="26" t="s">
        <v>21</v>
      </c>
      <c r="D207" s="59" t="s">
        <v>30</v>
      </c>
      <c r="E207" s="59" t="s">
        <v>261</v>
      </c>
      <c r="F207" s="27">
        <v>27</v>
      </c>
      <c r="G207" s="34">
        <f t="shared" si="45"/>
        <v>113.4</v>
      </c>
      <c r="H207" s="33" t="s">
        <v>18</v>
      </c>
      <c r="I207" s="33" t="s">
        <v>39</v>
      </c>
      <c r="J207" s="33"/>
      <c r="K207" s="29">
        <v>0.10069444444444445</v>
      </c>
      <c r="L207" s="29">
        <v>0.1875</v>
      </c>
      <c r="M207" s="35">
        <f t="shared" ca="1" si="46"/>
        <v>8.6805555555555552E-2</v>
      </c>
      <c r="N207" s="46" t="s">
        <v>296</v>
      </c>
      <c r="O207" s="47"/>
    </row>
    <row r="208" spans="1:15" ht="15" customHeight="1">
      <c r="A208" s="68">
        <v>46211</v>
      </c>
      <c r="B208" s="25">
        <f t="shared" si="47"/>
        <v>0.99999999999999956</v>
      </c>
      <c r="C208" s="26" t="s">
        <v>21</v>
      </c>
      <c r="D208" s="59" t="s">
        <v>30</v>
      </c>
      <c r="E208" s="59" t="s">
        <v>261</v>
      </c>
      <c r="F208" s="27">
        <v>24</v>
      </c>
      <c r="G208" s="28">
        <f t="shared" si="45"/>
        <v>100.80000000000001</v>
      </c>
      <c r="H208" s="26"/>
      <c r="I208" s="26"/>
      <c r="J208" s="26"/>
      <c r="K208" s="29"/>
      <c r="L208" s="29"/>
      <c r="M208" s="30" t="str">
        <f t="shared" ca="1" si="46"/>
        <v/>
      </c>
      <c r="N208" s="46"/>
      <c r="O208" s="47"/>
    </row>
    <row r="209" spans="1:15" ht="15" customHeight="1">
      <c r="A209" s="69">
        <v>46211</v>
      </c>
      <c r="B209" s="32">
        <f t="shared" si="47"/>
        <v>1.0416666666666663</v>
      </c>
      <c r="C209" s="26" t="s">
        <v>21</v>
      </c>
      <c r="D209" s="59" t="s">
        <v>30</v>
      </c>
      <c r="E209" s="59" t="s">
        <v>261</v>
      </c>
      <c r="F209" s="27">
        <v>17</v>
      </c>
      <c r="G209" s="34">
        <f t="shared" si="45"/>
        <v>71.400000000000006</v>
      </c>
      <c r="H209" s="33"/>
      <c r="I209" s="33"/>
      <c r="J209" s="33"/>
      <c r="K209" s="29"/>
      <c r="L209" s="29"/>
      <c r="M209" s="35" t="str">
        <f t="shared" ca="1" si="46"/>
        <v/>
      </c>
      <c r="N209" s="46"/>
      <c r="O209" s="47"/>
    </row>
    <row r="210" spans="1:15" ht="15" customHeight="1">
      <c r="A210" s="68">
        <v>46211</v>
      </c>
      <c r="B210" s="25">
        <f t="shared" si="47"/>
        <v>1.083333333333333</v>
      </c>
      <c r="C210" s="26" t="s">
        <v>21</v>
      </c>
      <c r="D210" s="59" t="s">
        <v>30</v>
      </c>
      <c r="E210" s="59" t="s">
        <v>261</v>
      </c>
      <c r="F210" s="27">
        <v>8</v>
      </c>
      <c r="G210" s="28">
        <f t="shared" si="45"/>
        <v>33.6</v>
      </c>
      <c r="H210" s="26"/>
      <c r="I210" s="26"/>
      <c r="J210" s="26"/>
      <c r="K210" s="29"/>
      <c r="L210" s="29"/>
      <c r="M210" s="30" t="str">
        <f t="shared" ca="1" si="46"/>
        <v/>
      </c>
      <c r="N210" s="46"/>
      <c r="O210" s="47"/>
    </row>
    <row r="211" spans="1:15" ht="15" customHeight="1">
      <c r="A211" s="69">
        <v>46211</v>
      </c>
      <c r="B211" s="32">
        <f t="shared" si="47"/>
        <v>1.1249999999999998</v>
      </c>
      <c r="C211" s="26" t="s">
        <v>21</v>
      </c>
      <c r="D211" s="59" t="s">
        <v>30</v>
      </c>
      <c r="E211" s="59" t="s">
        <v>261</v>
      </c>
      <c r="F211" s="27">
        <v>2</v>
      </c>
      <c r="G211" s="34">
        <f t="shared" si="45"/>
        <v>8.4</v>
      </c>
      <c r="H211" s="33"/>
      <c r="I211" s="33"/>
      <c r="J211" s="33"/>
      <c r="K211" s="29"/>
      <c r="L211" s="29"/>
      <c r="M211" s="35" t="str">
        <f t="shared" ca="1" si="46"/>
        <v/>
      </c>
      <c r="N211" s="46"/>
      <c r="O211" s="47"/>
    </row>
    <row r="212" spans="1:15" ht="15" customHeight="1">
      <c r="A212" s="68">
        <v>46211</v>
      </c>
      <c r="B212" s="25">
        <f t="shared" si="47"/>
        <v>1.1666666666666665</v>
      </c>
      <c r="C212" s="26" t="s">
        <v>21</v>
      </c>
      <c r="D212" s="59" t="s">
        <v>30</v>
      </c>
      <c r="E212" s="59" t="s">
        <v>261</v>
      </c>
      <c r="F212" s="27">
        <v>0</v>
      </c>
      <c r="G212" s="28">
        <f t="shared" si="45"/>
        <v>0</v>
      </c>
      <c r="H212" s="26"/>
      <c r="I212" s="26"/>
      <c r="J212" s="26"/>
      <c r="K212" s="29"/>
      <c r="L212" s="29"/>
      <c r="M212" s="30" t="str">
        <f t="shared" ca="1" si="46"/>
        <v/>
      </c>
      <c r="N212" s="46"/>
      <c r="O212" s="47"/>
    </row>
    <row r="213" spans="1:15" ht="15" customHeight="1">
      <c r="A213" s="69">
        <v>46211</v>
      </c>
      <c r="B213" s="32">
        <f t="shared" si="47"/>
        <v>1.2083333333333333</v>
      </c>
      <c r="C213" s="26" t="s">
        <v>21</v>
      </c>
      <c r="D213" s="59" t="s">
        <v>30</v>
      </c>
      <c r="E213" s="59" t="s">
        <v>261</v>
      </c>
      <c r="F213" s="27">
        <v>5</v>
      </c>
      <c r="G213" s="34">
        <f t="shared" si="45"/>
        <v>21</v>
      </c>
      <c r="H213" s="33"/>
      <c r="I213" s="33"/>
      <c r="J213" s="33"/>
      <c r="K213" s="29"/>
      <c r="L213" s="29"/>
      <c r="M213" s="35" t="str">
        <f t="shared" ca="1" si="46"/>
        <v/>
      </c>
      <c r="N213" s="46"/>
      <c r="O213" s="47"/>
    </row>
    <row r="214" spans="1:15" ht="15" customHeight="1">
      <c r="A214" s="68">
        <v>46211</v>
      </c>
      <c r="B214" s="25">
        <f t="shared" si="47"/>
        <v>1.25</v>
      </c>
      <c r="C214" s="26" t="s">
        <v>21</v>
      </c>
      <c r="D214" s="59" t="s">
        <v>30</v>
      </c>
      <c r="E214" s="59" t="s">
        <v>261</v>
      </c>
      <c r="F214" s="27">
        <v>10</v>
      </c>
      <c r="G214" s="28">
        <f t="shared" si="45"/>
        <v>42</v>
      </c>
      <c r="H214" s="26"/>
      <c r="I214" s="26"/>
      <c r="J214" s="26"/>
      <c r="K214" s="29"/>
      <c r="L214" s="29"/>
      <c r="M214" s="30" t="str">
        <f t="shared" ca="1" si="46"/>
        <v/>
      </c>
      <c r="N214" s="46"/>
      <c r="O214" s="47"/>
    </row>
    <row r="215" spans="1:15" ht="15" customHeight="1">
      <c r="A215" s="69">
        <v>46211</v>
      </c>
      <c r="B215" s="32">
        <f t="shared" si="47"/>
        <v>1.2916666666666667</v>
      </c>
      <c r="C215" s="26" t="s">
        <v>21</v>
      </c>
      <c r="D215" s="59" t="s">
        <v>30</v>
      </c>
      <c r="E215" s="59" t="s">
        <v>261</v>
      </c>
      <c r="F215" s="27">
        <v>1</v>
      </c>
      <c r="G215" s="34">
        <f t="shared" si="45"/>
        <v>4.2</v>
      </c>
      <c r="H215" s="33"/>
      <c r="I215" s="33"/>
      <c r="J215" s="33"/>
      <c r="K215" s="29"/>
      <c r="L215" s="29"/>
      <c r="M215" s="35" t="str">
        <f t="shared" ca="1" si="46"/>
        <v/>
      </c>
      <c r="N215" s="46"/>
      <c r="O215" s="47"/>
    </row>
    <row r="216" spans="1:15" ht="15.75" customHeight="1">
      <c r="A216" s="119" t="s">
        <v>238</v>
      </c>
      <c r="B216" s="120"/>
      <c r="C216" s="120"/>
      <c r="D216" s="120"/>
      <c r="E216" s="121">
        <f>SUM(E204:E215)</f>
        <v>0</v>
      </c>
      <c r="F216" s="36">
        <f>SUM(F204:F215)</f>
        <v>138</v>
      </c>
      <c r="G216" s="36">
        <f>SUM(G204:G215)</f>
        <v>585.20000000000005</v>
      </c>
      <c r="H216" s="37"/>
      <c r="I216" s="37"/>
      <c r="J216" s="37"/>
      <c r="K216" s="37"/>
      <c r="L216" s="37"/>
      <c r="M216" s="38">
        <f ca="1">IFERROR(SUM(M204:M215),"")</f>
        <v>0.15277777777777776</v>
      </c>
      <c r="N216" s="36" t="s">
        <v>237</v>
      </c>
      <c r="O216" s="77">
        <v>648410</v>
      </c>
    </row>
    <row r="217" spans="1:15" ht="18" customHeight="1">
      <c r="A217" s="122" t="s">
        <v>239</v>
      </c>
      <c r="B217" s="123"/>
      <c r="C217" s="123"/>
      <c r="D217" s="123"/>
      <c r="E217" s="124">
        <f>E203+E216</f>
        <v>0</v>
      </c>
      <c r="F217" s="40">
        <f>F203+F216</f>
        <v>138</v>
      </c>
      <c r="G217" s="40">
        <f>G203+G216</f>
        <v>585.20000000000005</v>
      </c>
      <c r="H217" s="41"/>
      <c r="I217" s="41"/>
      <c r="J217" s="41"/>
      <c r="K217" s="41"/>
      <c r="L217" s="41"/>
      <c r="M217" s="42">
        <f ca="1">IFERROR(M203+M216,"")</f>
        <v>0.65277777777777768</v>
      </c>
      <c r="N217" s="40" t="s">
        <v>240</v>
      </c>
      <c r="O217" s="83">
        <f>IFERROR(O203+O216,"")</f>
        <v>648410</v>
      </c>
    </row>
    <row r="218" spans="1:15" ht="15" customHeight="1">
      <c r="A218" s="68">
        <v>46212</v>
      </c>
      <c r="B218" s="25">
        <v>0.33333333333333298</v>
      </c>
      <c r="C218" s="26" t="s">
        <v>29</v>
      </c>
      <c r="D218" s="59" t="s">
        <v>30</v>
      </c>
      <c r="E218" s="59" t="s">
        <v>261</v>
      </c>
      <c r="F218" s="27">
        <v>17</v>
      </c>
      <c r="G218" s="28">
        <f t="shared" ref="G218:G229" si="48">IF(F218="","",IF(E218="PC 17",F218*4.2,IF(E218="PC 19",F218*5,"")))</f>
        <v>71.400000000000006</v>
      </c>
      <c r="H218" s="26" t="s">
        <v>18</v>
      </c>
      <c r="I218" s="26" t="s">
        <v>39</v>
      </c>
      <c r="J218" s="33"/>
      <c r="K218" s="29">
        <v>0.29166666666666669</v>
      </c>
      <c r="L218" s="29">
        <v>0.45555555555555555</v>
      </c>
      <c r="M218" s="30">
        <f t="shared" ref="M218:M229" ca="1" si="49">IFERROR(IF(K218="","",IF(L218="",MOD(NOW()-K218,1),IF(L218&gt;=K218,L218-K218,L218+1-K218))),"")</f>
        <v>0.16388888888888886</v>
      </c>
      <c r="N218" s="46" t="s">
        <v>297</v>
      </c>
      <c r="O218" s="47"/>
    </row>
    <row r="219" spans="1:15" ht="15" customHeight="1">
      <c r="A219" s="69">
        <v>46212</v>
      </c>
      <c r="B219" s="32">
        <f t="shared" ref="B219:B229" si="50">B218+TIME(0,60,0)</f>
        <v>0.37499999999999967</v>
      </c>
      <c r="C219" s="26" t="s">
        <v>29</v>
      </c>
      <c r="D219" s="59" t="s">
        <v>30</v>
      </c>
      <c r="E219" s="59" t="s">
        <v>261</v>
      </c>
      <c r="F219" s="27">
        <v>11</v>
      </c>
      <c r="G219" s="34">
        <f t="shared" si="48"/>
        <v>46.2</v>
      </c>
      <c r="H219" s="33" t="s">
        <v>18</v>
      </c>
      <c r="I219" s="33"/>
      <c r="J219" s="33" t="s">
        <v>128</v>
      </c>
      <c r="K219" s="29">
        <v>0.52013888888888893</v>
      </c>
      <c r="L219" s="29">
        <v>0.56180555555555556</v>
      </c>
      <c r="M219" s="35">
        <f t="shared" ca="1" si="49"/>
        <v>4.166666666666663E-2</v>
      </c>
      <c r="N219" s="46" t="s">
        <v>298</v>
      </c>
      <c r="O219" s="47"/>
    </row>
    <row r="220" spans="1:15" ht="15" customHeight="1">
      <c r="A220" s="68">
        <v>46212</v>
      </c>
      <c r="B220" s="25">
        <f t="shared" si="50"/>
        <v>0.41666666666666635</v>
      </c>
      <c r="C220" s="26" t="s">
        <v>29</v>
      </c>
      <c r="D220" s="59" t="s">
        <v>30</v>
      </c>
      <c r="E220" s="59" t="s">
        <v>261</v>
      </c>
      <c r="F220" s="27">
        <v>5</v>
      </c>
      <c r="G220" s="28">
        <f t="shared" si="48"/>
        <v>21</v>
      </c>
      <c r="H220" s="26" t="s">
        <v>20</v>
      </c>
      <c r="I220" s="26" t="s">
        <v>31</v>
      </c>
      <c r="J220" s="26" t="s">
        <v>56</v>
      </c>
      <c r="K220" s="29">
        <v>0.66666666666666663</v>
      </c>
      <c r="L220" s="29">
        <v>0.79166666666666663</v>
      </c>
      <c r="M220" s="30">
        <f t="shared" ca="1" si="49"/>
        <v>0.125</v>
      </c>
      <c r="N220" s="46"/>
      <c r="O220" s="47"/>
    </row>
    <row r="221" spans="1:15" ht="15" customHeight="1">
      <c r="A221" s="69">
        <v>46212</v>
      </c>
      <c r="B221" s="32">
        <f t="shared" si="50"/>
        <v>0.45833333333333304</v>
      </c>
      <c r="C221" s="26" t="s">
        <v>29</v>
      </c>
      <c r="D221" s="59" t="s">
        <v>30</v>
      </c>
      <c r="E221" s="59" t="s">
        <v>261</v>
      </c>
      <c r="F221" s="27">
        <v>15</v>
      </c>
      <c r="G221" s="34">
        <f t="shared" si="48"/>
        <v>63</v>
      </c>
      <c r="H221" s="33"/>
      <c r="I221" s="33"/>
      <c r="J221" s="33"/>
      <c r="K221" s="29"/>
      <c r="L221" s="29"/>
      <c r="M221" s="35" t="str">
        <f t="shared" ca="1" si="49"/>
        <v/>
      </c>
      <c r="N221" s="46"/>
      <c r="O221" s="47"/>
    </row>
    <row r="222" spans="1:15" ht="15" customHeight="1">
      <c r="A222" s="68">
        <v>46212</v>
      </c>
      <c r="B222" s="25">
        <f t="shared" si="50"/>
        <v>0.49999999999999972</v>
      </c>
      <c r="C222" s="26" t="s">
        <v>29</v>
      </c>
      <c r="D222" s="59" t="s">
        <v>30</v>
      </c>
      <c r="E222" s="59" t="s">
        <v>261</v>
      </c>
      <c r="F222" s="27">
        <v>10</v>
      </c>
      <c r="G222" s="28">
        <f t="shared" si="48"/>
        <v>42</v>
      </c>
      <c r="H222" s="26"/>
      <c r="I222" s="26"/>
      <c r="J222" s="26"/>
      <c r="K222" s="29"/>
      <c r="L222" s="29"/>
      <c r="M222" s="30" t="str">
        <f t="shared" ca="1" si="49"/>
        <v/>
      </c>
      <c r="N222" s="46"/>
      <c r="O222" s="47"/>
    </row>
    <row r="223" spans="1:15" ht="15" customHeight="1">
      <c r="A223" s="69">
        <v>46212</v>
      </c>
      <c r="B223" s="32">
        <f t="shared" si="50"/>
        <v>0.54166666666666641</v>
      </c>
      <c r="C223" s="26" t="s">
        <v>29</v>
      </c>
      <c r="D223" s="59" t="s">
        <v>30</v>
      </c>
      <c r="E223" s="59" t="s">
        <v>261</v>
      </c>
      <c r="F223" s="27">
        <v>12</v>
      </c>
      <c r="G223" s="34">
        <f t="shared" si="48"/>
        <v>50.400000000000006</v>
      </c>
      <c r="H223" s="33"/>
      <c r="I223" s="33"/>
      <c r="J223" s="33"/>
      <c r="K223" s="29"/>
      <c r="L223" s="29"/>
      <c r="M223" s="35" t="str">
        <f t="shared" ca="1" si="49"/>
        <v/>
      </c>
      <c r="N223" s="46"/>
      <c r="O223" s="47"/>
    </row>
    <row r="224" spans="1:15" ht="15" customHeight="1">
      <c r="A224" s="68">
        <v>46212</v>
      </c>
      <c r="B224" s="25">
        <f t="shared" si="50"/>
        <v>0.58333333333333304</v>
      </c>
      <c r="C224" s="26" t="s">
        <v>29</v>
      </c>
      <c r="D224" s="59" t="s">
        <v>30</v>
      </c>
      <c r="E224" s="59" t="s">
        <v>261</v>
      </c>
      <c r="F224" s="27">
        <v>30</v>
      </c>
      <c r="G224" s="28">
        <f t="shared" si="48"/>
        <v>126</v>
      </c>
      <c r="H224" s="26"/>
      <c r="I224" s="26"/>
      <c r="J224" s="26"/>
      <c r="K224" s="29"/>
      <c r="L224" s="29"/>
      <c r="M224" s="30" t="str">
        <f t="shared" ca="1" si="49"/>
        <v/>
      </c>
      <c r="N224" s="46"/>
      <c r="O224" s="47"/>
    </row>
    <row r="225" spans="1:15" ht="15" customHeight="1">
      <c r="A225" s="69">
        <v>46212</v>
      </c>
      <c r="B225" s="32">
        <f t="shared" si="50"/>
        <v>0.62499999999999967</v>
      </c>
      <c r="C225" s="26" t="s">
        <v>29</v>
      </c>
      <c r="D225" s="59" t="s">
        <v>30</v>
      </c>
      <c r="E225" s="59" t="s">
        <v>261</v>
      </c>
      <c r="F225" s="27">
        <v>5</v>
      </c>
      <c r="G225" s="34">
        <f t="shared" si="48"/>
        <v>21</v>
      </c>
      <c r="H225" s="33"/>
      <c r="I225" s="33"/>
      <c r="J225" s="33"/>
      <c r="K225" s="29"/>
      <c r="L225" s="29"/>
      <c r="M225" s="35" t="str">
        <f t="shared" ca="1" si="49"/>
        <v/>
      </c>
      <c r="N225" s="46"/>
      <c r="O225" s="47"/>
    </row>
    <row r="226" spans="1:15" ht="15" customHeight="1">
      <c r="A226" s="68">
        <v>46212</v>
      </c>
      <c r="B226" s="25">
        <f t="shared" si="50"/>
        <v>0.6666666666666663</v>
      </c>
      <c r="C226" s="26" t="s">
        <v>29</v>
      </c>
      <c r="D226" s="59" t="s">
        <v>30</v>
      </c>
      <c r="E226" s="59" t="s">
        <v>261</v>
      </c>
      <c r="F226" s="27">
        <v>5</v>
      </c>
      <c r="G226" s="28">
        <f t="shared" si="48"/>
        <v>21</v>
      </c>
      <c r="H226" s="26"/>
      <c r="I226" s="26"/>
      <c r="J226" s="26"/>
      <c r="K226" s="29"/>
      <c r="L226" s="29"/>
      <c r="M226" s="30" t="str">
        <f t="shared" ca="1" si="49"/>
        <v/>
      </c>
      <c r="N226" s="46"/>
      <c r="O226" s="47"/>
    </row>
    <row r="227" spans="1:15" ht="15" customHeight="1">
      <c r="A227" s="69">
        <v>46212</v>
      </c>
      <c r="B227" s="32">
        <f t="shared" si="50"/>
        <v>0.70833333333333293</v>
      </c>
      <c r="C227" s="26" t="s">
        <v>29</v>
      </c>
      <c r="D227" s="59" t="s">
        <v>30</v>
      </c>
      <c r="E227" s="59" t="s">
        <v>261</v>
      </c>
      <c r="F227" s="27">
        <v>5</v>
      </c>
      <c r="G227" s="34">
        <f t="shared" si="48"/>
        <v>21</v>
      </c>
      <c r="H227" s="33"/>
      <c r="I227" s="33"/>
      <c r="J227" s="33"/>
      <c r="K227" s="29"/>
      <c r="L227" s="29"/>
      <c r="M227" s="35" t="str">
        <f t="shared" ca="1" si="49"/>
        <v/>
      </c>
      <c r="N227" s="46"/>
      <c r="O227" s="47"/>
    </row>
    <row r="228" spans="1:15" ht="15" customHeight="1">
      <c r="A228" s="68">
        <v>46212</v>
      </c>
      <c r="B228" s="25">
        <f t="shared" si="50"/>
        <v>0.74999999999999956</v>
      </c>
      <c r="C228" s="26" t="s">
        <v>29</v>
      </c>
      <c r="D228" s="59" t="s">
        <v>30</v>
      </c>
      <c r="E228" s="59" t="s">
        <v>261</v>
      </c>
      <c r="F228" s="27">
        <v>0</v>
      </c>
      <c r="G228" s="28">
        <f t="shared" si="48"/>
        <v>0</v>
      </c>
      <c r="H228" s="26"/>
      <c r="I228" s="26"/>
      <c r="J228" s="26"/>
      <c r="K228" s="29"/>
      <c r="L228" s="29"/>
      <c r="M228" s="30" t="str">
        <f t="shared" ca="1" si="49"/>
        <v/>
      </c>
      <c r="N228" s="46"/>
      <c r="O228" s="47"/>
    </row>
    <row r="229" spans="1:15" ht="15" customHeight="1">
      <c r="A229" s="69">
        <v>46212</v>
      </c>
      <c r="B229" s="32">
        <f t="shared" si="50"/>
        <v>0.79166666666666619</v>
      </c>
      <c r="C229" s="26" t="s">
        <v>29</v>
      </c>
      <c r="D229" s="59" t="s">
        <v>30</v>
      </c>
      <c r="E229" s="59" t="s">
        <v>261</v>
      </c>
      <c r="F229" s="27">
        <v>0</v>
      </c>
      <c r="G229" s="34">
        <f t="shared" si="48"/>
        <v>0</v>
      </c>
      <c r="H229" s="33"/>
      <c r="I229" s="33"/>
      <c r="J229" s="33"/>
      <c r="K229" s="29"/>
      <c r="L229" s="29"/>
      <c r="M229" s="35" t="str">
        <f t="shared" ca="1" si="49"/>
        <v/>
      </c>
      <c r="N229" s="46"/>
      <c r="O229" s="47"/>
    </row>
    <row r="230" spans="1:15" ht="15.75" customHeight="1">
      <c r="A230" s="87" t="s">
        <v>236</v>
      </c>
      <c r="B230" s="88"/>
      <c r="C230" s="88"/>
      <c r="D230" s="59"/>
      <c r="E230" s="89">
        <f>SUM(E218:E229)</f>
        <v>0</v>
      </c>
      <c r="F230" s="36">
        <f>SUM(F218:F229)</f>
        <v>115</v>
      </c>
      <c r="G230" s="36">
        <f>SUM(G218:G229)</f>
        <v>483</v>
      </c>
      <c r="H230" s="37"/>
      <c r="I230" s="37"/>
      <c r="J230" s="37"/>
      <c r="K230" s="37"/>
      <c r="L230" s="37"/>
      <c r="M230" s="38">
        <f ca="1">IFERROR(SUM(M218:M229),"")</f>
        <v>0.33055555555555549</v>
      </c>
      <c r="N230" s="36" t="s">
        <v>237</v>
      </c>
      <c r="O230" s="77">
        <v>482110</v>
      </c>
    </row>
    <row r="231" spans="1:15" ht="15" customHeight="1">
      <c r="A231" s="69">
        <v>46212</v>
      </c>
      <c r="B231" s="32">
        <v>0.83333333333333304</v>
      </c>
      <c r="C231" s="33" t="s">
        <v>21</v>
      </c>
      <c r="D231" s="62" t="s">
        <v>30</v>
      </c>
      <c r="E231" s="62" t="s">
        <v>261</v>
      </c>
      <c r="F231" s="27">
        <v>1</v>
      </c>
      <c r="G231" s="34">
        <f t="shared" ref="G231:G242" si="51">IF(F231="","",IF(E231="PC 17",F231*4.2,IF(E231="PC 19",F231*5,"")))</f>
        <v>4.2</v>
      </c>
      <c r="H231" s="33" t="s">
        <v>18</v>
      </c>
      <c r="I231" s="33"/>
      <c r="J231" s="33" t="s">
        <v>208</v>
      </c>
      <c r="K231" s="29">
        <v>0.79166666666666663</v>
      </c>
      <c r="L231" s="29">
        <v>0.85416666666666663</v>
      </c>
      <c r="M231" s="35">
        <f t="shared" ref="M231:M242" ca="1" si="52">IFERROR(IF(K231="","",IF(L231="",MOD(NOW()-K231,1),IF(L231&gt;=K231,L231-K231,L231+1-K231))),"")</f>
        <v>6.25E-2</v>
      </c>
      <c r="N231" s="46"/>
      <c r="O231" s="47"/>
    </row>
    <row r="232" spans="1:15" ht="15" customHeight="1">
      <c r="A232" s="68">
        <v>46212</v>
      </c>
      <c r="B232" s="25">
        <f t="shared" ref="B232:B242" si="53">B231+TIME(0,60,0)</f>
        <v>0.87499999999999967</v>
      </c>
      <c r="C232" s="33" t="s">
        <v>21</v>
      </c>
      <c r="D232" s="62" t="s">
        <v>30</v>
      </c>
      <c r="E232" s="62" t="s">
        <v>234</v>
      </c>
      <c r="F232" s="27">
        <v>5</v>
      </c>
      <c r="G232" s="28">
        <f t="shared" si="51"/>
        <v>25</v>
      </c>
      <c r="H232" s="26" t="s">
        <v>16</v>
      </c>
      <c r="I232" s="26" t="s">
        <v>31</v>
      </c>
      <c r="J232" s="26" t="s">
        <v>299</v>
      </c>
      <c r="K232" s="29">
        <v>0.875</v>
      </c>
      <c r="L232" s="29">
        <v>0.89930555555555558</v>
      </c>
      <c r="M232" s="30">
        <f t="shared" ca="1" si="52"/>
        <v>2.430555555555558E-2</v>
      </c>
      <c r="N232" s="46"/>
      <c r="O232" s="47"/>
    </row>
    <row r="233" spans="1:15" ht="15" customHeight="1">
      <c r="A233" s="69">
        <v>46212</v>
      </c>
      <c r="B233" s="32">
        <f t="shared" si="53"/>
        <v>0.9166666666666663</v>
      </c>
      <c r="C233" s="33" t="s">
        <v>21</v>
      </c>
      <c r="D233" s="62" t="s">
        <v>30</v>
      </c>
      <c r="E233" s="62" t="s">
        <v>261</v>
      </c>
      <c r="F233" s="27">
        <v>15</v>
      </c>
      <c r="G233" s="34">
        <f t="shared" si="51"/>
        <v>63</v>
      </c>
      <c r="H233" s="33" t="s">
        <v>20</v>
      </c>
      <c r="I233" s="33" t="s">
        <v>147</v>
      </c>
      <c r="J233" s="33" t="s">
        <v>180</v>
      </c>
      <c r="K233" s="29">
        <v>0.9375</v>
      </c>
      <c r="L233" s="29">
        <v>0.95833333333333337</v>
      </c>
      <c r="M233" s="35">
        <f t="shared" ca="1" si="52"/>
        <v>2.083333333333337E-2</v>
      </c>
      <c r="N233" s="46"/>
      <c r="O233" s="47"/>
    </row>
    <row r="234" spans="1:15" ht="15" customHeight="1">
      <c r="A234" s="68">
        <v>46212</v>
      </c>
      <c r="B234" s="25">
        <f t="shared" si="53"/>
        <v>0.95833333333333293</v>
      </c>
      <c r="C234" s="33" t="s">
        <v>21</v>
      </c>
      <c r="D234" s="62" t="s">
        <v>30</v>
      </c>
      <c r="E234" s="62" t="s">
        <v>261</v>
      </c>
      <c r="F234" s="27">
        <v>8</v>
      </c>
      <c r="G234" s="28">
        <f t="shared" si="51"/>
        <v>33.6</v>
      </c>
      <c r="H234" s="26" t="s">
        <v>20</v>
      </c>
      <c r="I234" s="26" t="s">
        <v>147</v>
      </c>
      <c r="J234" s="26" t="s">
        <v>180</v>
      </c>
      <c r="K234" s="29">
        <v>1.3888888888888888E-2</v>
      </c>
      <c r="L234" s="29">
        <v>3.8194444444444448E-2</v>
      </c>
      <c r="M234" s="30">
        <f t="shared" ca="1" si="52"/>
        <v>2.4305555555555559E-2</v>
      </c>
      <c r="N234" s="46" t="s">
        <v>293</v>
      </c>
      <c r="O234" s="47"/>
    </row>
    <row r="235" spans="1:15" ht="15" customHeight="1">
      <c r="A235" s="69">
        <v>46212</v>
      </c>
      <c r="B235" s="32">
        <f t="shared" si="53"/>
        <v>0.99999999999999956</v>
      </c>
      <c r="C235" s="33" t="s">
        <v>21</v>
      </c>
      <c r="D235" s="62" t="s">
        <v>30</v>
      </c>
      <c r="E235" s="62" t="s">
        <v>261</v>
      </c>
      <c r="F235" s="27">
        <v>18</v>
      </c>
      <c r="G235" s="34">
        <f t="shared" si="51"/>
        <v>75.600000000000009</v>
      </c>
      <c r="H235" s="33" t="s">
        <v>18</v>
      </c>
      <c r="I235" s="33" t="s">
        <v>139</v>
      </c>
      <c r="J235" s="33" t="s">
        <v>100</v>
      </c>
      <c r="K235" s="29">
        <v>6.9444444444444448E-2</v>
      </c>
      <c r="L235" s="29">
        <v>8.3333333333333329E-2</v>
      </c>
      <c r="M235" s="35">
        <f t="shared" ca="1" si="52"/>
        <v>1.3888888888888881E-2</v>
      </c>
      <c r="N235" s="46"/>
      <c r="O235" s="47"/>
    </row>
    <row r="236" spans="1:15" ht="15" customHeight="1">
      <c r="A236" s="68">
        <v>46212</v>
      </c>
      <c r="B236" s="25">
        <f t="shared" si="53"/>
        <v>1.0416666666666663</v>
      </c>
      <c r="C236" s="33" t="s">
        <v>21</v>
      </c>
      <c r="D236" s="62" t="s">
        <v>30</v>
      </c>
      <c r="E236" s="62" t="s">
        <v>261</v>
      </c>
      <c r="F236" s="27">
        <v>18</v>
      </c>
      <c r="G236" s="28">
        <f t="shared" si="51"/>
        <v>75.600000000000009</v>
      </c>
      <c r="H236" s="50"/>
      <c r="I236" s="50"/>
      <c r="J236" s="50"/>
      <c r="K236" s="29"/>
      <c r="L236" s="29"/>
      <c r="M236" s="30" t="str">
        <f t="shared" ca="1" si="52"/>
        <v/>
      </c>
      <c r="N236" s="46"/>
      <c r="O236" s="47"/>
    </row>
    <row r="237" spans="1:15" ht="15" customHeight="1">
      <c r="A237" s="69">
        <v>46212</v>
      </c>
      <c r="B237" s="32">
        <f t="shared" si="53"/>
        <v>1.083333333333333</v>
      </c>
      <c r="C237" s="33" t="s">
        <v>21</v>
      </c>
      <c r="D237" s="62" t="s">
        <v>30</v>
      </c>
      <c r="E237" s="62" t="s">
        <v>261</v>
      </c>
      <c r="F237" s="27">
        <v>10</v>
      </c>
      <c r="G237" s="34">
        <f t="shared" si="51"/>
        <v>42</v>
      </c>
      <c r="H237" s="33"/>
      <c r="I237" s="33"/>
      <c r="J237" s="33"/>
      <c r="K237" s="29"/>
      <c r="L237" s="29"/>
      <c r="M237" s="35" t="str">
        <f t="shared" ca="1" si="52"/>
        <v/>
      </c>
      <c r="N237" s="46"/>
      <c r="O237" s="47"/>
    </row>
    <row r="238" spans="1:15" ht="15" customHeight="1">
      <c r="A238" s="68">
        <v>46212</v>
      </c>
      <c r="B238" s="25">
        <f t="shared" si="53"/>
        <v>1.1249999999999998</v>
      </c>
      <c r="C238" s="33" t="s">
        <v>21</v>
      </c>
      <c r="D238" s="62" t="s">
        <v>30</v>
      </c>
      <c r="E238" s="62" t="s">
        <v>261</v>
      </c>
      <c r="F238" s="27">
        <v>24</v>
      </c>
      <c r="G238" s="28">
        <f t="shared" si="51"/>
        <v>100.80000000000001</v>
      </c>
      <c r="H238" s="26"/>
      <c r="I238" s="26"/>
      <c r="J238" s="26"/>
      <c r="K238" s="29"/>
      <c r="L238" s="29"/>
      <c r="M238" s="30" t="str">
        <f t="shared" ca="1" si="52"/>
        <v/>
      </c>
      <c r="N238" s="46"/>
      <c r="O238" s="47"/>
    </row>
    <row r="239" spans="1:15" ht="15" customHeight="1">
      <c r="A239" s="69">
        <v>46212</v>
      </c>
      <c r="B239" s="32">
        <f t="shared" si="53"/>
        <v>1.1666666666666665</v>
      </c>
      <c r="C239" s="33" t="s">
        <v>21</v>
      </c>
      <c r="D239" s="62" t="s">
        <v>30</v>
      </c>
      <c r="E239" s="62" t="s">
        <v>261</v>
      </c>
      <c r="F239" s="27">
        <v>33</v>
      </c>
      <c r="G239" s="34">
        <f t="shared" si="51"/>
        <v>138.6</v>
      </c>
      <c r="H239" s="33"/>
      <c r="I239" s="33"/>
      <c r="J239" s="33"/>
      <c r="K239" s="29"/>
      <c r="L239" s="29"/>
      <c r="M239" s="35" t="str">
        <f t="shared" ca="1" si="52"/>
        <v/>
      </c>
      <c r="N239" s="46"/>
      <c r="O239" s="47"/>
    </row>
    <row r="240" spans="1:15" ht="15" customHeight="1">
      <c r="A240" s="68">
        <v>46212</v>
      </c>
      <c r="B240" s="25">
        <f t="shared" si="53"/>
        <v>1.2083333333333333</v>
      </c>
      <c r="C240" s="33" t="s">
        <v>21</v>
      </c>
      <c r="D240" s="62" t="s">
        <v>30</v>
      </c>
      <c r="E240" s="62" t="s">
        <v>261</v>
      </c>
      <c r="F240" s="27">
        <v>17</v>
      </c>
      <c r="G240" s="28">
        <f t="shared" si="51"/>
        <v>71.400000000000006</v>
      </c>
      <c r="H240" s="26"/>
      <c r="I240" s="26"/>
      <c r="J240" s="26"/>
      <c r="K240" s="29"/>
      <c r="L240" s="29"/>
      <c r="M240" s="30" t="str">
        <f t="shared" ca="1" si="52"/>
        <v/>
      </c>
      <c r="N240" s="46"/>
      <c r="O240" s="47"/>
    </row>
    <row r="241" spans="1:15" ht="15" customHeight="1">
      <c r="A241" s="69">
        <v>46212</v>
      </c>
      <c r="B241" s="32">
        <f t="shared" si="53"/>
        <v>1.25</v>
      </c>
      <c r="C241" s="33" t="s">
        <v>21</v>
      </c>
      <c r="D241" s="62" t="s">
        <v>30</v>
      </c>
      <c r="E241" s="62" t="s">
        <v>261</v>
      </c>
      <c r="F241" s="27">
        <v>30</v>
      </c>
      <c r="G241" s="34">
        <f t="shared" si="51"/>
        <v>126</v>
      </c>
      <c r="H241" s="33"/>
      <c r="I241" s="33"/>
      <c r="J241" s="33"/>
      <c r="K241" s="29"/>
      <c r="L241" s="29"/>
      <c r="M241" s="35" t="str">
        <f t="shared" ca="1" si="52"/>
        <v/>
      </c>
      <c r="N241" s="46"/>
      <c r="O241" s="47"/>
    </row>
    <row r="242" spans="1:15" ht="15" customHeight="1">
      <c r="A242" s="68">
        <v>46212</v>
      </c>
      <c r="B242" s="25">
        <f t="shared" si="53"/>
        <v>1.2916666666666667</v>
      </c>
      <c r="C242" s="33" t="s">
        <v>21</v>
      </c>
      <c r="D242" s="62" t="s">
        <v>30</v>
      </c>
      <c r="E242" s="62" t="s">
        <v>261</v>
      </c>
      <c r="F242" s="27">
        <v>7</v>
      </c>
      <c r="G242" s="28">
        <f t="shared" si="51"/>
        <v>29.400000000000002</v>
      </c>
      <c r="H242" s="26"/>
      <c r="I242" s="26"/>
      <c r="J242" s="26"/>
      <c r="K242" s="29"/>
      <c r="L242" s="29"/>
      <c r="M242" s="30" t="str">
        <f t="shared" ca="1" si="52"/>
        <v/>
      </c>
      <c r="N242" s="46"/>
      <c r="O242" s="47"/>
    </row>
    <row r="243" spans="1:15" ht="15.75" customHeight="1">
      <c r="A243" s="119" t="s">
        <v>238</v>
      </c>
      <c r="B243" s="120"/>
      <c r="C243" s="120"/>
      <c r="D243" s="120"/>
      <c r="E243" s="121">
        <f>SUM(E231:E242)</f>
        <v>0</v>
      </c>
      <c r="F243" s="36">
        <f>SUM(F231:F242)</f>
        <v>186</v>
      </c>
      <c r="G243" s="36">
        <f>SUM(G231:G242)</f>
        <v>785.2</v>
      </c>
      <c r="H243" s="37"/>
      <c r="I243" s="37"/>
      <c r="J243" s="37"/>
      <c r="K243" s="37"/>
      <c r="L243" s="37"/>
      <c r="M243" s="38">
        <f ca="1">IFERROR(SUM(M231:M242),"")</f>
        <v>0.14583333333333337</v>
      </c>
      <c r="N243" s="36" t="s">
        <v>237</v>
      </c>
      <c r="O243" s="77">
        <v>849060</v>
      </c>
    </row>
    <row r="244" spans="1:15" ht="18" customHeight="1">
      <c r="A244" s="122" t="s">
        <v>239</v>
      </c>
      <c r="B244" s="123"/>
      <c r="C244" s="123"/>
      <c r="D244" s="123"/>
      <c r="E244" s="124">
        <f>E230+E243</f>
        <v>0</v>
      </c>
      <c r="F244" s="40">
        <f>F230+F243</f>
        <v>301</v>
      </c>
      <c r="G244" s="40">
        <f>G230+G243</f>
        <v>1268.2</v>
      </c>
      <c r="H244" s="41"/>
      <c r="I244" s="41"/>
      <c r="J244" s="41"/>
      <c r="K244" s="41"/>
      <c r="L244" s="41"/>
      <c r="M244" s="42">
        <f ca="1">IFERROR(M230+M243,"")</f>
        <v>0.47638888888888886</v>
      </c>
      <c r="N244" s="40" t="s">
        <v>240</v>
      </c>
      <c r="O244" s="83">
        <f>IFERROR(O230+O243,"")</f>
        <v>1331170</v>
      </c>
    </row>
    <row r="245" spans="1:15" ht="15" customHeight="1">
      <c r="A245" s="68">
        <v>46213</v>
      </c>
      <c r="B245" s="25">
        <v>0.33333333333333298</v>
      </c>
      <c r="C245" s="26" t="s">
        <v>45</v>
      </c>
      <c r="D245" s="59" t="s">
        <v>30</v>
      </c>
      <c r="E245" s="59" t="s">
        <v>261</v>
      </c>
      <c r="F245" s="27">
        <v>20</v>
      </c>
      <c r="G245" s="28">
        <f t="shared" ref="G245:G256" si="54">IF(F245="","",IF(E245="PC 17",F245*4.2,IF(E245="PC 19",F245*5,"")))</f>
        <v>84</v>
      </c>
      <c r="H245" s="33" t="s">
        <v>19</v>
      </c>
      <c r="I245" s="33" t="s">
        <v>39</v>
      </c>
      <c r="J245" s="33" t="s">
        <v>50</v>
      </c>
      <c r="K245" s="29">
        <v>0.33333333333333331</v>
      </c>
      <c r="L245" s="29">
        <v>0.40555555555555556</v>
      </c>
      <c r="M245" s="35">
        <f t="shared" ref="M245:M256" ca="1" si="55">IFERROR(IF(K245="","",IF(L245="",MOD(NOW()-K245,1),IF(L245&gt;=K245,L245-K245,L245+1-K245))),"")</f>
        <v>7.2222222222222243E-2</v>
      </c>
      <c r="N245" s="46" t="s">
        <v>300</v>
      </c>
      <c r="O245" s="47"/>
    </row>
    <row r="246" spans="1:15" ht="15" customHeight="1">
      <c r="A246" s="69">
        <v>46213</v>
      </c>
      <c r="B246" s="32">
        <f t="shared" ref="B246:B256" si="56">B245+TIME(0,60,0)</f>
        <v>0.37499999999999967</v>
      </c>
      <c r="C246" s="26" t="s">
        <v>45</v>
      </c>
      <c r="D246" s="59" t="s">
        <v>30</v>
      </c>
      <c r="E246" s="59" t="s">
        <v>261</v>
      </c>
      <c r="F246" s="27">
        <v>4</v>
      </c>
      <c r="G246" s="34">
        <f t="shared" si="54"/>
        <v>16.8</v>
      </c>
      <c r="H246" s="33"/>
      <c r="I246" s="26"/>
      <c r="J246" s="33"/>
      <c r="K246" s="29"/>
      <c r="L246" s="29"/>
      <c r="M246" s="30" t="str">
        <f t="shared" ca="1" si="55"/>
        <v/>
      </c>
      <c r="N246" s="46"/>
      <c r="O246" s="47"/>
    </row>
    <row r="247" spans="1:15" ht="15" customHeight="1">
      <c r="A247" s="68">
        <v>46213</v>
      </c>
      <c r="B247" s="25">
        <f t="shared" si="56"/>
        <v>0.41666666666666635</v>
      </c>
      <c r="C247" s="26" t="s">
        <v>45</v>
      </c>
      <c r="D247" s="59" t="s">
        <v>30</v>
      </c>
      <c r="E247" s="59" t="s">
        <v>261</v>
      </c>
      <c r="F247" s="27">
        <v>0</v>
      </c>
      <c r="G247" s="28">
        <f t="shared" si="54"/>
        <v>0</v>
      </c>
      <c r="H247" s="33"/>
      <c r="I247" s="33"/>
      <c r="J247" s="33"/>
      <c r="K247" s="29"/>
      <c r="L247" s="29"/>
      <c r="M247" s="35" t="str">
        <f t="shared" ca="1" si="55"/>
        <v/>
      </c>
      <c r="N247" s="46"/>
      <c r="O247" s="47"/>
    </row>
    <row r="248" spans="1:15" ht="15" customHeight="1">
      <c r="A248" s="69">
        <v>46213</v>
      </c>
      <c r="B248" s="32">
        <f t="shared" si="56"/>
        <v>0.45833333333333304</v>
      </c>
      <c r="C248" s="26" t="s">
        <v>45</v>
      </c>
      <c r="D248" s="59" t="s">
        <v>30</v>
      </c>
      <c r="E248" s="59" t="s">
        <v>261</v>
      </c>
      <c r="F248" s="27">
        <v>22</v>
      </c>
      <c r="G248" s="34">
        <f t="shared" si="54"/>
        <v>92.4</v>
      </c>
      <c r="H248" s="26"/>
      <c r="I248" s="26"/>
      <c r="J248" s="26"/>
      <c r="K248" s="29"/>
      <c r="L248" s="29"/>
      <c r="M248" s="30" t="str">
        <f t="shared" ca="1" si="55"/>
        <v/>
      </c>
      <c r="N248" s="46"/>
      <c r="O248" s="47"/>
    </row>
    <row r="249" spans="1:15" ht="15" customHeight="1">
      <c r="A249" s="68">
        <v>46213</v>
      </c>
      <c r="B249" s="25">
        <f t="shared" si="56"/>
        <v>0.49999999999999972</v>
      </c>
      <c r="C249" s="26" t="s">
        <v>45</v>
      </c>
      <c r="D249" s="59" t="s">
        <v>30</v>
      </c>
      <c r="E249" s="59" t="s">
        <v>261</v>
      </c>
      <c r="F249" s="27">
        <v>13</v>
      </c>
      <c r="G249" s="28">
        <f t="shared" si="54"/>
        <v>54.6</v>
      </c>
      <c r="H249" s="33"/>
      <c r="I249" s="33"/>
      <c r="J249" s="33"/>
      <c r="K249" s="29"/>
      <c r="L249" s="29"/>
      <c r="M249" s="35" t="str">
        <f t="shared" ca="1" si="55"/>
        <v/>
      </c>
      <c r="N249" s="46"/>
      <c r="O249" s="47"/>
    </row>
    <row r="250" spans="1:15" ht="15" customHeight="1">
      <c r="A250" s="69">
        <v>46213</v>
      </c>
      <c r="B250" s="32">
        <f t="shared" si="56"/>
        <v>0.54166666666666641</v>
      </c>
      <c r="C250" s="26" t="s">
        <v>45</v>
      </c>
      <c r="D250" s="59" t="s">
        <v>30</v>
      </c>
      <c r="E250" s="59" t="s">
        <v>261</v>
      </c>
      <c r="F250" s="27">
        <v>8</v>
      </c>
      <c r="G250" s="34">
        <f t="shared" si="54"/>
        <v>33.6</v>
      </c>
      <c r="H250" s="26"/>
      <c r="I250" s="26"/>
      <c r="J250" s="26"/>
      <c r="K250" s="29"/>
      <c r="L250" s="29"/>
      <c r="M250" s="30" t="str">
        <f t="shared" ca="1" si="55"/>
        <v/>
      </c>
      <c r="N250" s="46"/>
      <c r="O250" s="47"/>
    </row>
    <row r="251" spans="1:15" ht="15" customHeight="1">
      <c r="A251" s="68">
        <v>46213</v>
      </c>
      <c r="B251" s="25">
        <f t="shared" si="56"/>
        <v>0.58333333333333304</v>
      </c>
      <c r="C251" s="26" t="s">
        <v>45</v>
      </c>
      <c r="D251" s="59" t="s">
        <v>30</v>
      </c>
      <c r="E251" s="59" t="s">
        <v>261</v>
      </c>
      <c r="F251" s="27">
        <v>12</v>
      </c>
      <c r="G251" s="28">
        <f t="shared" si="54"/>
        <v>50.400000000000006</v>
      </c>
      <c r="H251" s="33"/>
      <c r="I251" s="33"/>
      <c r="J251" s="33"/>
      <c r="K251" s="29"/>
      <c r="L251" s="29"/>
      <c r="M251" s="35" t="str">
        <f t="shared" ca="1" si="55"/>
        <v/>
      </c>
      <c r="N251" s="46"/>
      <c r="O251" s="47"/>
    </row>
    <row r="252" spans="1:15" ht="15" customHeight="1">
      <c r="A252" s="69">
        <v>46213</v>
      </c>
      <c r="B252" s="32">
        <f t="shared" si="56"/>
        <v>0.62499999999999967</v>
      </c>
      <c r="C252" s="26" t="s">
        <v>45</v>
      </c>
      <c r="D252" s="59" t="s">
        <v>30</v>
      </c>
      <c r="E252" s="59" t="s">
        <v>261</v>
      </c>
      <c r="F252" s="27">
        <v>32</v>
      </c>
      <c r="G252" s="34">
        <f t="shared" si="54"/>
        <v>134.4</v>
      </c>
      <c r="H252" s="26"/>
      <c r="I252" s="26"/>
      <c r="J252" s="26"/>
      <c r="K252" s="29"/>
      <c r="L252" s="29"/>
      <c r="M252" s="30" t="str">
        <f t="shared" ca="1" si="55"/>
        <v/>
      </c>
      <c r="N252" s="46"/>
      <c r="O252" s="47"/>
    </row>
    <row r="253" spans="1:15" ht="15" customHeight="1">
      <c r="A253" s="68">
        <v>46213</v>
      </c>
      <c r="B253" s="25">
        <f t="shared" si="56"/>
        <v>0.6666666666666663</v>
      </c>
      <c r="C253" s="26" t="s">
        <v>45</v>
      </c>
      <c r="D253" s="59" t="s">
        <v>30</v>
      </c>
      <c r="E253" s="59" t="s">
        <v>261</v>
      </c>
      <c r="F253" s="27">
        <v>5</v>
      </c>
      <c r="G253" s="28">
        <f t="shared" si="54"/>
        <v>21</v>
      </c>
      <c r="H253" s="33"/>
      <c r="I253" s="33"/>
      <c r="J253" s="33"/>
      <c r="K253" s="29"/>
      <c r="L253" s="29"/>
      <c r="M253" s="35" t="str">
        <f t="shared" ca="1" si="55"/>
        <v/>
      </c>
      <c r="N253" s="46"/>
      <c r="O253" s="47"/>
    </row>
    <row r="254" spans="1:15" ht="15" customHeight="1">
      <c r="A254" s="69">
        <v>46213</v>
      </c>
      <c r="B254" s="32">
        <f t="shared" si="56"/>
        <v>0.70833333333333293</v>
      </c>
      <c r="C254" s="26" t="s">
        <v>45</v>
      </c>
      <c r="D254" s="59" t="s">
        <v>30</v>
      </c>
      <c r="E254" s="59" t="s">
        <v>261</v>
      </c>
      <c r="F254" s="27">
        <v>15</v>
      </c>
      <c r="G254" s="34">
        <f t="shared" si="54"/>
        <v>63</v>
      </c>
      <c r="H254" s="26"/>
      <c r="I254" s="26"/>
      <c r="J254" s="26"/>
      <c r="K254" s="29"/>
      <c r="L254" s="29"/>
      <c r="M254" s="30" t="str">
        <f t="shared" ca="1" si="55"/>
        <v/>
      </c>
      <c r="N254" s="46"/>
      <c r="O254" s="47"/>
    </row>
    <row r="255" spans="1:15" ht="15" customHeight="1">
      <c r="A255" s="68">
        <v>46213</v>
      </c>
      <c r="B255" s="25">
        <f t="shared" si="56"/>
        <v>0.74999999999999956</v>
      </c>
      <c r="C255" s="26" t="s">
        <v>45</v>
      </c>
      <c r="D255" s="59" t="s">
        <v>30</v>
      </c>
      <c r="E255" s="59" t="s">
        <v>261</v>
      </c>
      <c r="F255" s="27">
        <v>22</v>
      </c>
      <c r="G255" s="28">
        <f t="shared" si="54"/>
        <v>92.4</v>
      </c>
      <c r="H255" s="33"/>
      <c r="I255" s="33"/>
      <c r="J255" s="33"/>
      <c r="K255" s="29"/>
      <c r="L255" s="29"/>
      <c r="M255" s="35" t="str">
        <f t="shared" ca="1" si="55"/>
        <v/>
      </c>
      <c r="N255" s="46"/>
      <c r="O255" s="47"/>
    </row>
    <row r="256" spans="1:15" ht="15" customHeight="1">
      <c r="A256" s="69">
        <v>46213</v>
      </c>
      <c r="B256" s="32">
        <f t="shared" si="56"/>
        <v>0.79166666666666619</v>
      </c>
      <c r="C256" s="26" t="s">
        <v>45</v>
      </c>
      <c r="D256" s="59" t="s">
        <v>30</v>
      </c>
      <c r="E256" s="59" t="s">
        <v>261</v>
      </c>
      <c r="F256" s="27">
        <v>12</v>
      </c>
      <c r="G256" s="34">
        <f t="shared" si="54"/>
        <v>50.400000000000006</v>
      </c>
      <c r="H256" s="26"/>
      <c r="I256" s="26"/>
      <c r="J256" s="26"/>
      <c r="K256" s="29"/>
      <c r="L256" s="29"/>
      <c r="M256" s="30" t="str">
        <f t="shared" ca="1" si="55"/>
        <v/>
      </c>
      <c r="N256" s="46"/>
      <c r="O256" s="47"/>
    </row>
    <row r="257" spans="1:15" ht="15.75" customHeight="1">
      <c r="A257" s="119" t="s">
        <v>236</v>
      </c>
      <c r="B257" s="120"/>
      <c r="C257" s="120"/>
      <c r="D257" s="120"/>
      <c r="E257" s="121">
        <f>SUM(E245:E256)</f>
        <v>0</v>
      </c>
      <c r="F257" s="36">
        <f>SUM(F245:F256)</f>
        <v>165</v>
      </c>
      <c r="G257" s="36">
        <f>SUM(G245:G256)</f>
        <v>692.99999999999989</v>
      </c>
      <c r="H257" s="37"/>
      <c r="I257" s="37"/>
      <c r="J257" s="37"/>
      <c r="K257" s="37"/>
      <c r="L257" s="37"/>
      <c r="M257" s="38">
        <f ca="1">IFERROR(SUM(M245:M256),"")</f>
        <v>7.2222222222222243E-2</v>
      </c>
      <c r="N257" s="36" t="s">
        <v>237</v>
      </c>
      <c r="O257" s="77">
        <v>631580</v>
      </c>
    </row>
    <row r="258" spans="1:15" ht="15" customHeight="1">
      <c r="A258" s="69">
        <v>46213</v>
      </c>
      <c r="B258" s="32">
        <v>0.83333333333333304</v>
      </c>
      <c r="C258" s="33" t="s">
        <v>29</v>
      </c>
      <c r="D258" s="62" t="s">
        <v>30</v>
      </c>
      <c r="E258" s="62" t="s">
        <v>234</v>
      </c>
      <c r="F258" s="27">
        <v>8</v>
      </c>
      <c r="G258" s="34">
        <f t="shared" ref="G258:G269" si="57">IF(F258="","",IF(E258="PC 17",F258*4.2,IF(E258="PC 19",F258*5,"")))</f>
        <v>40</v>
      </c>
      <c r="H258" s="26" t="s">
        <v>18</v>
      </c>
      <c r="I258" s="26" t="s">
        <v>39</v>
      </c>
      <c r="J258" s="26" t="s">
        <v>125</v>
      </c>
      <c r="K258" s="29">
        <v>0.79861111111111116</v>
      </c>
      <c r="L258" s="29">
        <v>0.81944444444444442</v>
      </c>
      <c r="M258" s="30">
        <f t="shared" ref="M258:M269" ca="1" si="58">IFERROR(IF(K258="","",IF(L258="",MOD(NOW()-K258,1),IF(L258&gt;=K258,L258-K258,L258+1-K258))),"")</f>
        <v>2.0833333333333259E-2</v>
      </c>
      <c r="N258" s="27"/>
      <c r="O258" s="47"/>
    </row>
    <row r="259" spans="1:15" ht="15" customHeight="1">
      <c r="A259" s="68">
        <v>46213</v>
      </c>
      <c r="B259" s="25">
        <f t="shared" ref="B259:B269" si="59">B258+TIME(0,60,0)</f>
        <v>0.87499999999999967</v>
      </c>
      <c r="C259" s="33" t="s">
        <v>29</v>
      </c>
      <c r="D259" s="62" t="s">
        <v>30</v>
      </c>
      <c r="E259" s="62" t="s">
        <v>261</v>
      </c>
      <c r="F259" s="27">
        <v>13</v>
      </c>
      <c r="G259" s="28">
        <f t="shared" si="57"/>
        <v>54.6</v>
      </c>
      <c r="H259" s="50" t="s">
        <v>20</v>
      </c>
      <c r="I259" s="50" t="s">
        <v>31</v>
      </c>
      <c r="J259" s="50" t="s">
        <v>36</v>
      </c>
      <c r="K259" s="29">
        <v>0.91666666666666663</v>
      </c>
      <c r="L259" s="29">
        <v>0.94097222222222221</v>
      </c>
      <c r="M259" s="35">
        <f t="shared" ca="1" si="58"/>
        <v>2.430555555555558E-2</v>
      </c>
      <c r="N259" s="46"/>
      <c r="O259" s="47"/>
    </row>
    <row r="260" spans="1:15" ht="15" customHeight="1">
      <c r="A260" s="69">
        <v>46213</v>
      </c>
      <c r="B260" s="32">
        <f t="shared" si="59"/>
        <v>0.9166666666666663</v>
      </c>
      <c r="C260" s="33" t="s">
        <v>29</v>
      </c>
      <c r="D260" s="62" t="s">
        <v>30</v>
      </c>
      <c r="E260" s="62" t="s">
        <v>261</v>
      </c>
      <c r="F260" s="27">
        <v>18</v>
      </c>
      <c r="G260" s="34">
        <f t="shared" si="57"/>
        <v>75.600000000000009</v>
      </c>
      <c r="H260" s="33" t="s">
        <v>18</v>
      </c>
      <c r="I260" s="26" t="s">
        <v>31</v>
      </c>
      <c r="J260" s="33" t="s">
        <v>50</v>
      </c>
      <c r="K260" s="29">
        <v>0.94097222222222221</v>
      </c>
      <c r="L260" s="29">
        <v>0.95486111111111116</v>
      </c>
      <c r="M260" s="30">
        <f t="shared" ca="1" si="58"/>
        <v>1.3888888888888951E-2</v>
      </c>
      <c r="N260" s="27"/>
      <c r="O260" s="47"/>
    </row>
    <row r="261" spans="1:15" ht="15" customHeight="1">
      <c r="A261" s="68">
        <v>46213</v>
      </c>
      <c r="B261" s="25">
        <f t="shared" si="59"/>
        <v>0.95833333333333293</v>
      </c>
      <c r="C261" s="33" t="s">
        <v>29</v>
      </c>
      <c r="D261" s="62" t="s">
        <v>30</v>
      </c>
      <c r="E261" s="62" t="s">
        <v>261</v>
      </c>
      <c r="F261" s="27">
        <v>3</v>
      </c>
      <c r="G261" s="28">
        <f t="shared" si="57"/>
        <v>12.600000000000001</v>
      </c>
      <c r="H261" s="33" t="s">
        <v>19</v>
      </c>
      <c r="I261" s="33" t="s">
        <v>157</v>
      </c>
      <c r="J261" s="33" t="s">
        <v>27</v>
      </c>
      <c r="K261" s="29">
        <v>0.95486111111111116</v>
      </c>
      <c r="L261" s="29">
        <v>0.96875</v>
      </c>
      <c r="M261" s="35">
        <f t="shared" ca="1" si="58"/>
        <v>1.388888888888884E-2</v>
      </c>
      <c r="N261" s="46"/>
      <c r="O261" s="47"/>
    </row>
    <row r="262" spans="1:15" ht="15" customHeight="1">
      <c r="A262" s="69">
        <v>46213</v>
      </c>
      <c r="B262" s="32">
        <f t="shared" si="59"/>
        <v>0.99999999999999956</v>
      </c>
      <c r="C262" s="33" t="s">
        <v>29</v>
      </c>
      <c r="D262" s="62" t="s">
        <v>30</v>
      </c>
      <c r="E262" s="62" t="s">
        <v>261</v>
      </c>
      <c r="F262" s="27">
        <v>4</v>
      </c>
      <c r="G262" s="34">
        <f t="shared" si="57"/>
        <v>16.8</v>
      </c>
      <c r="H262" s="33" t="s">
        <v>18</v>
      </c>
      <c r="I262" s="26" t="s">
        <v>31</v>
      </c>
      <c r="J262" s="33" t="s">
        <v>154</v>
      </c>
      <c r="K262" s="29">
        <v>0.9868055555555556</v>
      </c>
      <c r="L262" s="29">
        <v>5.7638888888888892E-2</v>
      </c>
      <c r="M262" s="30">
        <f t="shared" ca="1" si="58"/>
        <v>7.0833333333333193E-2</v>
      </c>
      <c r="N262" s="27"/>
      <c r="O262" s="47"/>
    </row>
    <row r="263" spans="1:15" ht="15" customHeight="1">
      <c r="A263" s="68">
        <v>46213</v>
      </c>
      <c r="B263" s="25">
        <f t="shared" si="59"/>
        <v>1.0416666666666663</v>
      </c>
      <c r="C263" s="33" t="s">
        <v>29</v>
      </c>
      <c r="D263" s="62" t="s">
        <v>30</v>
      </c>
      <c r="E263" s="62" t="s">
        <v>261</v>
      </c>
      <c r="F263" s="27">
        <v>9</v>
      </c>
      <c r="G263" s="28">
        <f t="shared" si="57"/>
        <v>37.800000000000004</v>
      </c>
      <c r="H263" s="33"/>
      <c r="I263" s="33"/>
      <c r="J263" s="33"/>
      <c r="K263" s="29"/>
      <c r="L263" s="29"/>
      <c r="M263" s="35" t="str">
        <f t="shared" ca="1" si="58"/>
        <v/>
      </c>
      <c r="N263" s="46"/>
      <c r="O263" s="47"/>
    </row>
    <row r="264" spans="1:15" ht="15" customHeight="1">
      <c r="A264" s="69">
        <v>46213</v>
      </c>
      <c r="B264" s="32">
        <f t="shared" si="59"/>
        <v>1.083333333333333</v>
      </c>
      <c r="C264" s="33" t="s">
        <v>29</v>
      </c>
      <c r="D264" s="62" t="s">
        <v>30</v>
      </c>
      <c r="E264" s="62" t="s">
        <v>261</v>
      </c>
      <c r="F264" s="27">
        <v>8</v>
      </c>
      <c r="G264" s="34">
        <f t="shared" si="57"/>
        <v>33.6</v>
      </c>
      <c r="H264" s="33"/>
      <c r="I264" s="26"/>
      <c r="J264" s="33"/>
      <c r="K264" s="29"/>
      <c r="L264" s="29"/>
      <c r="M264" s="30" t="str">
        <f t="shared" ca="1" si="58"/>
        <v/>
      </c>
      <c r="N264" s="46"/>
      <c r="O264" s="47"/>
    </row>
    <row r="265" spans="1:15" ht="15" customHeight="1">
      <c r="A265" s="68">
        <v>46213</v>
      </c>
      <c r="B265" s="25">
        <f t="shared" si="59"/>
        <v>1.1249999999999998</v>
      </c>
      <c r="C265" s="33" t="s">
        <v>29</v>
      </c>
      <c r="D265" s="62" t="s">
        <v>30</v>
      </c>
      <c r="E265" s="62" t="s">
        <v>261</v>
      </c>
      <c r="F265" s="27">
        <v>12</v>
      </c>
      <c r="G265" s="28">
        <f t="shared" si="57"/>
        <v>50.400000000000006</v>
      </c>
      <c r="H265" s="33"/>
      <c r="I265" s="33"/>
      <c r="J265" s="33"/>
      <c r="K265" s="29"/>
      <c r="L265" s="29"/>
      <c r="M265" s="35" t="str">
        <f t="shared" ca="1" si="58"/>
        <v/>
      </c>
      <c r="N265" s="27"/>
      <c r="O265" s="47"/>
    </row>
    <row r="266" spans="1:15" ht="15" customHeight="1">
      <c r="A266" s="69">
        <v>46213</v>
      </c>
      <c r="B266" s="32">
        <f t="shared" si="59"/>
        <v>1.1666666666666665</v>
      </c>
      <c r="C266" s="33" t="s">
        <v>29</v>
      </c>
      <c r="D266" s="62" t="s">
        <v>30</v>
      </c>
      <c r="E266" s="62" t="s">
        <v>261</v>
      </c>
      <c r="F266" s="27">
        <v>18</v>
      </c>
      <c r="G266" s="34">
        <f t="shared" si="57"/>
        <v>75.600000000000009</v>
      </c>
      <c r="H266" s="26"/>
      <c r="I266" s="26"/>
      <c r="J266" s="26"/>
      <c r="K266" s="29"/>
      <c r="L266" s="29"/>
      <c r="M266" s="30" t="str">
        <f t="shared" ca="1" si="58"/>
        <v/>
      </c>
      <c r="N266" s="46"/>
      <c r="O266" s="47"/>
    </row>
    <row r="267" spans="1:15" ht="15" customHeight="1">
      <c r="A267" s="68">
        <v>46213</v>
      </c>
      <c r="B267" s="25">
        <f t="shared" si="59"/>
        <v>1.2083333333333333</v>
      </c>
      <c r="C267" s="33" t="s">
        <v>29</v>
      </c>
      <c r="D267" s="62" t="s">
        <v>30</v>
      </c>
      <c r="E267" s="62" t="s">
        <v>261</v>
      </c>
      <c r="F267" s="27">
        <v>8</v>
      </c>
      <c r="G267" s="28">
        <f t="shared" si="57"/>
        <v>33.6</v>
      </c>
      <c r="H267" s="33"/>
      <c r="I267" s="33"/>
      <c r="J267" s="33"/>
      <c r="K267" s="29"/>
      <c r="L267" s="29"/>
      <c r="M267" s="35" t="str">
        <f t="shared" ca="1" si="58"/>
        <v/>
      </c>
      <c r="N267" s="46"/>
      <c r="O267" s="47"/>
    </row>
    <row r="268" spans="1:15" ht="15" customHeight="1">
      <c r="A268" s="69">
        <v>46213</v>
      </c>
      <c r="B268" s="32">
        <f t="shared" si="59"/>
        <v>1.25</v>
      </c>
      <c r="C268" s="33" t="s">
        <v>29</v>
      </c>
      <c r="D268" s="62" t="s">
        <v>30</v>
      </c>
      <c r="E268" s="62" t="s">
        <v>261</v>
      </c>
      <c r="F268" s="27">
        <v>13</v>
      </c>
      <c r="G268" s="34">
        <f t="shared" si="57"/>
        <v>54.6</v>
      </c>
      <c r="H268" s="26"/>
      <c r="I268" s="26"/>
      <c r="J268" s="26"/>
      <c r="K268" s="29"/>
      <c r="L268" s="29"/>
      <c r="M268" s="30" t="str">
        <f t="shared" ca="1" si="58"/>
        <v/>
      </c>
      <c r="N268" s="46"/>
      <c r="O268" s="47"/>
    </row>
    <row r="269" spans="1:15" ht="15" customHeight="1">
      <c r="A269" s="68">
        <v>46213</v>
      </c>
      <c r="B269" s="25">
        <f t="shared" si="59"/>
        <v>1.2916666666666667</v>
      </c>
      <c r="C269" s="33" t="s">
        <v>29</v>
      </c>
      <c r="D269" s="62" t="s">
        <v>30</v>
      </c>
      <c r="E269" s="62" t="s">
        <v>261</v>
      </c>
      <c r="F269" s="27">
        <v>9</v>
      </c>
      <c r="G269" s="28">
        <f t="shared" si="57"/>
        <v>37.800000000000004</v>
      </c>
      <c r="H269" s="33"/>
      <c r="I269" s="33"/>
      <c r="J269" s="33"/>
      <c r="K269" s="29"/>
      <c r="L269" s="29"/>
      <c r="M269" s="35" t="str">
        <f t="shared" ca="1" si="58"/>
        <v/>
      </c>
      <c r="N269" s="46"/>
      <c r="O269" s="47"/>
    </row>
    <row r="270" spans="1:15" ht="15.75" customHeight="1">
      <c r="A270" s="119" t="s">
        <v>238</v>
      </c>
      <c r="B270" s="120"/>
      <c r="C270" s="120"/>
      <c r="D270" s="120"/>
      <c r="E270" s="121">
        <f>SUM(E258:E269)</f>
        <v>0</v>
      </c>
      <c r="F270" s="36">
        <f>SUM(F258:F269)</f>
        <v>123</v>
      </c>
      <c r="G270" s="36">
        <f>SUM(G258:G269)</f>
        <v>523</v>
      </c>
      <c r="H270" s="37"/>
      <c r="I270" s="37"/>
      <c r="J270" s="37"/>
      <c r="K270" s="37"/>
      <c r="L270" s="37"/>
      <c r="M270" s="38">
        <f ca="1">IFERROR(SUM(M258:M269),"")</f>
        <v>0.14374999999999982</v>
      </c>
      <c r="N270" s="36" t="s">
        <v>237</v>
      </c>
      <c r="O270" s="77">
        <v>625070</v>
      </c>
    </row>
    <row r="271" spans="1:15" ht="18" customHeight="1">
      <c r="A271" s="122" t="s">
        <v>239</v>
      </c>
      <c r="B271" s="123"/>
      <c r="C271" s="123"/>
      <c r="D271" s="123"/>
      <c r="E271" s="124">
        <f>E257+E270</f>
        <v>0</v>
      </c>
      <c r="F271" s="40">
        <f>F257+F270</f>
        <v>288</v>
      </c>
      <c r="G271" s="40">
        <f>G257+G270</f>
        <v>1216</v>
      </c>
      <c r="H271" s="41"/>
      <c r="I271" s="41"/>
      <c r="J271" s="41"/>
      <c r="K271" s="41"/>
      <c r="L271" s="41"/>
      <c r="M271" s="42">
        <f ca="1">IFERROR(M257+M270,"")</f>
        <v>0.21597222222222207</v>
      </c>
      <c r="N271" s="40" t="s">
        <v>240</v>
      </c>
      <c r="O271" s="83">
        <f>IFERROR(O257+O270,"")</f>
        <v>1256650</v>
      </c>
    </row>
    <row r="272" spans="1:15" ht="15" customHeight="1">
      <c r="A272" s="68">
        <v>46214</v>
      </c>
      <c r="B272" s="25">
        <v>0.33333333333333298</v>
      </c>
      <c r="C272" s="26" t="s">
        <v>45</v>
      </c>
      <c r="D272" s="59" t="s">
        <v>30</v>
      </c>
      <c r="E272" s="59" t="s">
        <v>261</v>
      </c>
      <c r="F272" s="27">
        <v>20</v>
      </c>
      <c r="G272" s="28">
        <f t="shared" ref="G272:G283" si="60">IF(F272="","",IF(E272="PC 17",F272*4.2,IF(E272="PC 19",F272*5,"")))</f>
        <v>84</v>
      </c>
      <c r="H272" s="26" t="s">
        <v>18</v>
      </c>
      <c r="I272" s="26" t="s">
        <v>31</v>
      </c>
      <c r="J272" s="26" t="s">
        <v>50</v>
      </c>
      <c r="K272" s="29">
        <v>0.32222222222222224</v>
      </c>
      <c r="L272" s="29">
        <v>0.36805555555555558</v>
      </c>
      <c r="M272" s="30">
        <f t="shared" ref="M272:M283" ca="1" si="61">IFERROR(IF(K272="","",IF(L272="",MOD(NOW()-K272,1),IF(L272&gt;=K272,L272-K272,L272+1-K272))),"")</f>
        <v>4.5833333333333337E-2</v>
      </c>
      <c r="N272" s="46" t="s">
        <v>301</v>
      </c>
      <c r="O272" s="47"/>
    </row>
    <row r="273" spans="1:15" ht="15" customHeight="1">
      <c r="A273" s="69">
        <v>46214</v>
      </c>
      <c r="B273" s="32">
        <f t="shared" ref="B273:B283" si="62">B272+TIME(0,60,0)</f>
        <v>0.37499999999999967</v>
      </c>
      <c r="C273" s="26" t="s">
        <v>45</v>
      </c>
      <c r="D273" s="59" t="s">
        <v>30</v>
      </c>
      <c r="E273" s="59" t="s">
        <v>261</v>
      </c>
      <c r="F273" s="27">
        <v>25</v>
      </c>
      <c r="G273" s="34">
        <f t="shared" si="60"/>
        <v>105</v>
      </c>
      <c r="H273" s="33" t="s">
        <v>19</v>
      </c>
      <c r="I273" s="33" t="s">
        <v>39</v>
      </c>
      <c r="J273" s="33" t="s">
        <v>95</v>
      </c>
      <c r="K273" s="29">
        <v>0.40416666666666667</v>
      </c>
      <c r="L273" s="29">
        <v>0.51388888888888884</v>
      </c>
      <c r="M273" s="35">
        <f t="shared" ca="1" si="61"/>
        <v>0.10972222222222217</v>
      </c>
      <c r="N273" s="46" t="s">
        <v>302</v>
      </c>
      <c r="O273" s="47"/>
    </row>
    <row r="274" spans="1:15" ht="15" customHeight="1">
      <c r="A274" s="68">
        <v>46214</v>
      </c>
      <c r="B274" s="25">
        <f t="shared" si="62"/>
        <v>0.41666666666666635</v>
      </c>
      <c r="C274" s="26" t="s">
        <v>45</v>
      </c>
      <c r="D274" s="59" t="s">
        <v>30</v>
      </c>
      <c r="E274" s="59" t="s">
        <v>261</v>
      </c>
      <c r="F274" s="27">
        <v>17</v>
      </c>
      <c r="G274" s="28">
        <f t="shared" si="60"/>
        <v>71.400000000000006</v>
      </c>
      <c r="H274" s="26" t="s">
        <v>19</v>
      </c>
      <c r="I274" s="26" t="s">
        <v>31</v>
      </c>
      <c r="J274" s="26" t="s">
        <v>27</v>
      </c>
      <c r="K274" s="29">
        <v>0.77777777777777779</v>
      </c>
      <c r="L274" s="29">
        <v>0.77986111111111112</v>
      </c>
      <c r="M274" s="30">
        <f t="shared" ca="1" si="61"/>
        <v>2.0833333333333259E-3</v>
      </c>
      <c r="N274" s="46"/>
      <c r="O274" s="47"/>
    </row>
    <row r="275" spans="1:15" ht="15" customHeight="1">
      <c r="A275" s="69">
        <v>46214</v>
      </c>
      <c r="B275" s="32">
        <f t="shared" si="62"/>
        <v>0.45833333333333304</v>
      </c>
      <c r="C275" s="26" t="s">
        <v>45</v>
      </c>
      <c r="D275" s="59" t="s">
        <v>30</v>
      </c>
      <c r="E275" s="59" t="s">
        <v>261</v>
      </c>
      <c r="F275" s="27">
        <v>0</v>
      </c>
      <c r="G275" s="34">
        <f t="shared" si="60"/>
        <v>0</v>
      </c>
      <c r="H275" s="33"/>
      <c r="I275" s="33"/>
      <c r="J275" s="33"/>
      <c r="K275" s="29"/>
      <c r="L275" s="29"/>
      <c r="M275" s="35" t="str">
        <f t="shared" ca="1" si="61"/>
        <v/>
      </c>
      <c r="N275" s="46"/>
      <c r="O275" s="47"/>
    </row>
    <row r="276" spans="1:15" ht="15" customHeight="1">
      <c r="A276" s="68">
        <v>46214</v>
      </c>
      <c r="B276" s="25">
        <f t="shared" si="62"/>
        <v>0.49999999999999972</v>
      </c>
      <c r="C276" s="26" t="s">
        <v>45</v>
      </c>
      <c r="D276" s="59" t="s">
        <v>30</v>
      </c>
      <c r="E276" s="59" t="s">
        <v>261</v>
      </c>
      <c r="F276" s="27">
        <v>0</v>
      </c>
      <c r="G276" s="28">
        <f t="shared" si="60"/>
        <v>0</v>
      </c>
      <c r="H276" s="26"/>
      <c r="I276" s="26"/>
      <c r="J276" s="26"/>
      <c r="K276" s="29"/>
      <c r="L276" s="29"/>
      <c r="M276" s="30" t="str">
        <f t="shared" ca="1" si="61"/>
        <v/>
      </c>
      <c r="N276" s="46"/>
      <c r="O276" s="47"/>
    </row>
    <row r="277" spans="1:15" ht="15" customHeight="1">
      <c r="A277" s="69">
        <v>46214</v>
      </c>
      <c r="B277" s="32">
        <f t="shared" si="62"/>
        <v>0.54166666666666641</v>
      </c>
      <c r="C277" s="26" t="s">
        <v>45</v>
      </c>
      <c r="D277" s="59" t="s">
        <v>30</v>
      </c>
      <c r="E277" s="59" t="s">
        <v>261</v>
      </c>
      <c r="F277" s="27">
        <v>12</v>
      </c>
      <c r="G277" s="34">
        <f t="shared" si="60"/>
        <v>50.400000000000006</v>
      </c>
      <c r="H277" s="33"/>
      <c r="I277" s="33"/>
      <c r="J277" s="33"/>
      <c r="K277" s="29"/>
      <c r="L277" s="29"/>
      <c r="M277" s="35" t="str">
        <f t="shared" ca="1" si="61"/>
        <v/>
      </c>
      <c r="N277" s="46"/>
      <c r="O277" s="47"/>
    </row>
    <row r="278" spans="1:15" ht="15" customHeight="1">
      <c r="A278" s="68">
        <v>46214</v>
      </c>
      <c r="B278" s="25">
        <f t="shared" si="62"/>
        <v>0.58333333333333304</v>
      </c>
      <c r="C278" s="26" t="s">
        <v>45</v>
      </c>
      <c r="D278" s="59" t="s">
        <v>30</v>
      </c>
      <c r="E278" s="59" t="s">
        <v>261</v>
      </c>
      <c r="F278" s="27">
        <v>25</v>
      </c>
      <c r="G278" s="28">
        <f t="shared" si="60"/>
        <v>105</v>
      </c>
      <c r="H278" s="26"/>
      <c r="I278" s="26"/>
      <c r="J278" s="26"/>
      <c r="K278" s="29"/>
      <c r="L278" s="29"/>
      <c r="M278" s="30" t="str">
        <f t="shared" ca="1" si="61"/>
        <v/>
      </c>
      <c r="N278" s="46"/>
      <c r="O278" s="47"/>
    </row>
    <row r="279" spans="1:15" ht="15" customHeight="1">
      <c r="A279" s="69">
        <v>46214</v>
      </c>
      <c r="B279" s="32">
        <f t="shared" si="62"/>
        <v>0.62499999999999967</v>
      </c>
      <c r="C279" s="26" t="s">
        <v>45</v>
      </c>
      <c r="D279" s="59" t="s">
        <v>30</v>
      </c>
      <c r="E279" s="59" t="s">
        <v>261</v>
      </c>
      <c r="F279" s="27">
        <v>22</v>
      </c>
      <c r="G279" s="34">
        <f t="shared" si="60"/>
        <v>92.4</v>
      </c>
      <c r="H279" s="33"/>
      <c r="I279" s="33"/>
      <c r="J279" s="33"/>
      <c r="K279" s="29"/>
      <c r="L279" s="29"/>
      <c r="M279" s="35" t="str">
        <f t="shared" ca="1" si="61"/>
        <v/>
      </c>
      <c r="N279" s="46"/>
      <c r="O279" s="47"/>
    </row>
    <row r="280" spans="1:15" ht="15" customHeight="1">
      <c r="A280" s="68">
        <v>46214</v>
      </c>
      <c r="B280" s="25">
        <f t="shared" si="62"/>
        <v>0.6666666666666663</v>
      </c>
      <c r="C280" s="26" t="s">
        <v>45</v>
      </c>
      <c r="D280" s="59" t="s">
        <v>30</v>
      </c>
      <c r="E280" s="59" t="s">
        <v>261</v>
      </c>
      <c r="F280" s="27">
        <v>20</v>
      </c>
      <c r="G280" s="28">
        <f t="shared" si="60"/>
        <v>84</v>
      </c>
      <c r="H280" s="26"/>
      <c r="I280" s="26"/>
      <c r="J280" s="26"/>
      <c r="K280" s="29"/>
      <c r="L280" s="29"/>
      <c r="M280" s="30" t="str">
        <f t="shared" ca="1" si="61"/>
        <v/>
      </c>
      <c r="N280" s="46"/>
      <c r="O280" s="47"/>
    </row>
    <row r="281" spans="1:15" ht="15" customHeight="1">
      <c r="A281" s="69">
        <v>46214</v>
      </c>
      <c r="B281" s="32">
        <f t="shared" si="62"/>
        <v>0.70833333333333293</v>
      </c>
      <c r="C281" s="26" t="s">
        <v>45</v>
      </c>
      <c r="D281" s="59" t="s">
        <v>30</v>
      </c>
      <c r="E281" s="59" t="s">
        <v>261</v>
      </c>
      <c r="F281" s="27">
        <v>10</v>
      </c>
      <c r="G281" s="34">
        <f t="shared" si="60"/>
        <v>42</v>
      </c>
      <c r="H281" s="33"/>
      <c r="I281" s="33"/>
      <c r="J281" s="33"/>
      <c r="K281" s="29"/>
      <c r="L281" s="29"/>
      <c r="M281" s="35" t="str">
        <f t="shared" ca="1" si="61"/>
        <v/>
      </c>
      <c r="N281" s="46"/>
      <c r="O281" s="47"/>
    </row>
    <row r="282" spans="1:15" ht="15" customHeight="1">
      <c r="A282" s="68">
        <v>46214</v>
      </c>
      <c r="B282" s="25">
        <f t="shared" si="62"/>
        <v>0.74999999999999956</v>
      </c>
      <c r="C282" s="26" t="s">
        <v>45</v>
      </c>
      <c r="D282" s="59" t="s">
        <v>30</v>
      </c>
      <c r="E282" s="59" t="s">
        <v>261</v>
      </c>
      <c r="F282" s="27">
        <v>25</v>
      </c>
      <c r="G282" s="28">
        <f t="shared" si="60"/>
        <v>105</v>
      </c>
      <c r="H282" s="26"/>
      <c r="I282" s="26"/>
      <c r="J282" s="26"/>
      <c r="K282" s="29"/>
      <c r="L282" s="29"/>
      <c r="M282" s="30" t="str">
        <f t="shared" ca="1" si="61"/>
        <v/>
      </c>
      <c r="N282" s="46"/>
      <c r="O282" s="47"/>
    </row>
    <row r="283" spans="1:15" ht="15" customHeight="1">
      <c r="A283" s="69">
        <v>46214</v>
      </c>
      <c r="B283" s="32">
        <f t="shared" si="62"/>
        <v>0.79166666666666619</v>
      </c>
      <c r="C283" s="26" t="s">
        <v>45</v>
      </c>
      <c r="D283" s="59" t="s">
        <v>30</v>
      </c>
      <c r="E283" s="59" t="s">
        <v>261</v>
      </c>
      <c r="F283" s="27">
        <v>7</v>
      </c>
      <c r="G283" s="34">
        <f t="shared" si="60"/>
        <v>29.400000000000002</v>
      </c>
      <c r="H283" s="33"/>
      <c r="I283" s="33"/>
      <c r="J283" s="33"/>
      <c r="K283" s="29"/>
      <c r="L283" s="29"/>
      <c r="M283" s="35" t="str">
        <f t="shared" ca="1" si="61"/>
        <v/>
      </c>
      <c r="N283" s="46"/>
      <c r="O283" s="47"/>
    </row>
    <row r="284" spans="1:15" ht="15.75" customHeight="1">
      <c r="A284" s="119" t="s">
        <v>236</v>
      </c>
      <c r="B284" s="120"/>
      <c r="C284" s="120"/>
      <c r="D284" s="120"/>
      <c r="E284" s="121">
        <f>SUM(E272:E283)</f>
        <v>0</v>
      </c>
      <c r="F284" s="36">
        <f>SUM(F272:F283)</f>
        <v>183</v>
      </c>
      <c r="G284" s="36">
        <f>SUM(G272:G283)</f>
        <v>768.59999999999991</v>
      </c>
      <c r="H284" s="37"/>
      <c r="I284" s="37"/>
      <c r="J284" s="37"/>
      <c r="K284" s="37"/>
      <c r="L284" s="37"/>
      <c r="M284" s="38">
        <f ca="1">IFERROR(SUM(M272:M283),"")</f>
        <v>0.15763888888888883</v>
      </c>
      <c r="N284" s="36" t="s">
        <v>237</v>
      </c>
      <c r="O284" s="77">
        <v>623460</v>
      </c>
    </row>
    <row r="285" spans="1:15" ht="15" customHeight="1">
      <c r="A285" s="69">
        <v>46214</v>
      </c>
      <c r="B285" s="32">
        <v>0.83333333333333304</v>
      </c>
      <c r="C285" s="33" t="s">
        <v>29</v>
      </c>
      <c r="D285" s="62" t="s">
        <v>30</v>
      </c>
      <c r="E285" s="62" t="s">
        <v>261</v>
      </c>
      <c r="F285" s="27">
        <v>21</v>
      </c>
      <c r="G285" s="34">
        <f t="shared" ref="G285:G296" si="63">IF(F285="","",IF(E285="PC 17",F285*4.2,IF(E285="PC 19",F285*5,"")))</f>
        <v>88.2</v>
      </c>
      <c r="H285" s="33" t="s">
        <v>19</v>
      </c>
      <c r="I285" s="33" t="s">
        <v>39</v>
      </c>
      <c r="J285" s="33" t="s">
        <v>27</v>
      </c>
      <c r="K285" s="29">
        <v>0.92569444444444449</v>
      </c>
      <c r="L285" s="29">
        <v>0.94097222222222221</v>
      </c>
      <c r="M285" s="35">
        <f t="shared" ref="M285:M296" ca="1" si="64">IFERROR(IF(K285="","",IF(L285="",MOD(NOW()-K285,1),IF(L285&gt;=K285,L285-K285,L285+1-K285))),"")</f>
        <v>1.5277777777777724E-2</v>
      </c>
      <c r="N285" s="46"/>
      <c r="O285" s="47"/>
    </row>
    <row r="286" spans="1:15" ht="15" customHeight="1">
      <c r="A286" s="68">
        <v>46214</v>
      </c>
      <c r="B286" s="25">
        <f t="shared" ref="B286:B296" si="65">B285+TIME(0,60,0)</f>
        <v>0.87499999999999967</v>
      </c>
      <c r="C286" s="33" t="s">
        <v>29</v>
      </c>
      <c r="D286" s="62" t="s">
        <v>30</v>
      </c>
      <c r="E286" s="62" t="s">
        <v>261</v>
      </c>
      <c r="F286" s="27">
        <v>24</v>
      </c>
      <c r="G286" s="28">
        <f t="shared" si="63"/>
        <v>100.80000000000001</v>
      </c>
      <c r="H286" s="49" t="s">
        <v>18</v>
      </c>
      <c r="I286" s="49" t="s">
        <v>39</v>
      </c>
      <c r="J286" s="49" t="s">
        <v>128</v>
      </c>
      <c r="K286" s="29">
        <v>0.94097222222222221</v>
      </c>
      <c r="L286" s="29">
        <v>0.95902777777777781</v>
      </c>
      <c r="M286" s="30">
        <f t="shared" ca="1" si="64"/>
        <v>1.8055555555555602E-2</v>
      </c>
      <c r="N286" s="46" t="s">
        <v>303</v>
      </c>
      <c r="O286" s="47"/>
    </row>
    <row r="287" spans="1:15" ht="15" customHeight="1">
      <c r="A287" s="69">
        <v>46214</v>
      </c>
      <c r="B287" s="32">
        <f t="shared" si="65"/>
        <v>0.9166666666666663</v>
      </c>
      <c r="C287" s="33" t="s">
        <v>29</v>
      </c>
      <c r="D287" s="62" t="s">
        <v>30</v>
      </c>
      <c r="E287" s="62" t="s">
        <v>261</v>
      </c>
      <c r="F287" s="27">
        <v>30</v>
      </c>
      <c r="G287" s="34">
        <f t="shared" si="63"/>
        <v>126</v>
      </c>
      <c r="H287" s="33" t="s">
        <v>20</v>
      </c>
      <c r="I287" s="33" t="s">
        <v>39</v>
      </c>
      <c r="J287" s="33" t="s">
        <v>51</v>
      </c>
      <c r="K287" s="29">
        <v>0.96527777777777779</v>
      </c>
      <c r="L287" s="29">
        <v>0.96666666666666667</v>
      </c>
      <c r="M287" s="35">
        <f t="shared" ca="1" si="64"/>
        <v>1.388888888888884E-3</v>
      </c>
      <c r="N287" s="46"/>
      <c r="O287" s="47"/>
    </row>
    <row r="288" spans="1:15" ht="15" customHeight="1">
      <c r="A288" s="68">
        <v>46214</v>
      </c>
      <c r="B288" s="25">
        <f t="shared" si="65"/>
        <v>0.95833333333333293</v>
      </c>
      <c r="C288" s="33" t="s">
        <v>29</v>
      </c>
      <c r="D288" s="62" t="s">
        <v>30</v>
      </c>
      <c r="E288" s="62" t="s">
        <v>261</v>
      </c>
      <c r="F288" s="27">
        <v>0</v>
      </c>
      <c r="G288" s="28">
        <f t="shared" si="63"/>
        <v>0</v>
      </c>
      <c r="H288" s="26" t="s">
        <v>19</v>
      </c>
      <c r="I288" s="26" t="s">
        <v>31</v>
      </c>
      <c r="J288" s="26" t="s">
        <v>27</v>
      </c>
      <c r="K288" s="29">
        <v>4.5138888888888888E-2</v>
      </c>
      <c r="L288" s="29">
        <v>5.8333333333333334E-2</v>
      </c>
      <c r="M288" s="30">
        <f t="shared" ca="1" si="64"/>
        <v>1.3194444444444446E-2</v>
      </c>
      <c r="N288" s="46"/>
      <c r="O288" s="47"/>
    </row>
    <row r="289" spans="1:15" ht="15" customHeight="1">
      <c r="A289" s="69">
        <v>46214</v>
      </c>
      <c r="B289" s="32">
        <f t="shared" si="65"/>
        <v>0.99999999999999956</v>
      </c>
      <c r="C289" s="33" t="s">
        <v>29</v>
      </c>
      <c r="D289" s="62" t="s">
        <v>30</v>
      </c>
      <c r="E289" s="62" t="s">
        <v>234</v>
      </c>
      <c r="F289" s="27">
        <v>8</v>
      </c>
      <c r="G289" s="34">
        <f t="shared" si="63"/>
        <v>40</v>
      </c>
      <c r="H289" s="33" t="s">
        <v>19</v>
      </c>
      <c r="I289" s="33" t="s">
        <v>31</v>
      </c>
      <c r="J289" s="33" t="s">
        <v>27</v>
      </c>
      <c r="K289" s="29">
        <v>6.7361111111111108E-2</v>
      </c>
      <c r="L289" s="29">
        <v>0.12638888888888888</v>
      </c>
      <c r="M289" s="35">
        <f t="shared" ca="1" si="64"/>
        <v>5.9027777777777776E-2</v>
      </c>
      <c r="N289" s="46"/>
      <c r="O289" s="47"/>
    </row>
    <row r="290" spans="1:15" ht="15" customHeight="1">
      <c r="A290" s="68">
        <v>46214</v>
      </c>
      <c r="B290" s="25">
        <f t="shared" si="65"/>
        <v>1.0416666666666663</v>
      </c>
      <c r="C290" s="33" t="s">
        <v>29</v>
      </c>
      <c r="D290" s="62" t="s">
        <v>30</v>
      </c>
      <c r="E290" s="62" t="s">
        <v>261</v>
      </c>
      <c r="F290" s="27">
        <v>27</v>
      </c>
      <c r="G290" s="28">
        <f t="shared" si="63"/>
        <v>113.4</v>
      </c>
      <c r="H290" s="26" t="s">
        <v>18</v>
      </c>
      <c r="I290" s="26" t="s">
        <v>31</v>
      </c>
      <c r="J290" s="26" t="s">
        <v>154</v>
      </c>
      <c r="K290" s="29">
        <v>0.12777777777777777</v>
      </c>
      <c r="L290" s="29">
        <v>0.15763888888888888</v>
      </c>
      <c r="M290" s="30">
        <f t="shared" ca="1" si="64"/>
        <v>2.9861111111111116E-2</v>
      </c>
      <c r="N290" s="46"/>
      <c r="O290" s="47"/>
    </row>
    <row r="291" spans="1:15" ht="15" customHeight="1">
      <c r="A291" s="69">
        <v>46214</v>
      </c>
      <c r="B291" s="32">
        <f t="shared" si="65"/>
        <v>1.083333333333333</v>
      </c>
      <c r="C291" s="33" t="s">
        <v>29</v>
      </c>
      <c r="D291" s="62" t="s">
        <v>30</v>
      </c>
      <c r="E291" s="62" t="s">
        <v>261</v>
      </c>
      <c r="F291" s="27">
        <v>5</v>
      </c>
      <c r="G291" s="34">
        <f t="shared" si="63"/>
        <v>21</v>
      </c>
      <c r="H291" s="33"/>
      <c r="I291" s="33"/>
      <c r="J291" s="33"/>
      <c r="K291" s="29"/>
      <c r="L291" s="29"/>
      <c r="M291" s="35" t="str">
        <f t="shared" ca="1" si="64"/>
        <v/>
      </c>
      <c r="N291" s="46"/>
      <c r="O291" s="47"/>
    </row>
    <row r="292" spans="1:15" ht="15" customHeight="1">
      <c r="A292" s="68">
        <v>46214</v>
      </c>
      <c r="B292" s="25">
        <f t="shared" si="65"/>
        <v>1.1249999999999998</v>
      </c>
      <c r="C292" s="33" t="s">
        <v>29</v>
      </c>
      <c r="D292" s="62" t="s">
        <v>30</v>
      </c>
      <c r="E292" s="62" t="s">
        <v>261</v>
      </c>
      <c r="F292" s="27">
        <v>7</v>
      </c>
      <c r="G292" s="28">
        <f t="shared" si="63"/>
        <v>29.400000000000002</v>
      </c>
      <c r="H292" s="26"/>
      <c r="I292" s="26"/>
      <c r="J292" s="26"/>
      <c r="K292" s="29"/>
      <c r="L292" s="29"/>
      <c r="M292" s="30" t="str">
        <f t="shared" ca="1" si="64"/>
        <v/>
      </c>
      <c r="N292" s="46"/>
      <c r="O292" s="47"/>
    </row>
    <row r="293" spans="1:15" ht="15" customHeight="1">
      <c r="A293" s="69">
        <v>46214</v>
      </c>
      <c r="B293" s="32">
        <f t="shared" si="65"/>
        <v>1.1666666666666665</v>
      </c>
      <c r="C293" s="33" t="s">
        <v>29</v>
      </c>
      <c r="D293" s="62" t="s">
        <v>30</v>
      </c>
      <c r="E293" s="62" t="s">
        <v>261</v>
      </c>
      <c r="F293" s="27">
        <v>2</v>
      </c>
      <c r="G293" s="34">
        <f t="shared" si="63"/>
        <v>8.4</v>
      </c>
      <c r="H293" s="33"/>
      <c r="I293" s="33"/>
      <c r="J293" s="33"/>
      <c r="K293" s="29"/>
      <c r="L293" s="29"/>
      <c r="M293" s="35" t="str">
        <f t="shared" ca="1" si="64"/>
        <v/>
      </c>
      <c r="N293" s="46"/>
      <c r="O293" s="47"/>
    </row>
    <row r="294" spans="1:15" ht="15" customHeight="1">
      <c r="A294" s="68">
        <v>46214</v>
      </c>
      <c r="B294" s="25">
        <f t="shared" si="65"/>
        <v>1.2083333333333333</v>
      </c>
      <c r="C294" s="33" t="s">
        <v>29</v>
      </c>
      <c r="D294" s="62" t="s">
        <v>30</v>
      </c>
      <c r="E294" s="62" t="s">
        <v>261</v>
      </c>
      <c r="F294" s="27">
        <v>23</v>
      </c>
      <c r="G294" s="28">
        <f t="shared" si="63"/>
        <v>96.600000000000009</v>
      </c>
      <c r="H294" s="26"/>
      <c r="I294" s="26"/>
      <c r="J294" s="26"/>
      <c r="K294" s="29"/>
      <c r="L294" s="29"/>
      <c r="M294" s="30" t="str">
        <f t="shared" ca="1" si="64"/>
        <v/>
      </c>
      <c r="N294" s="46"/>
      <c r="O294" s="47"/>
    </row>
    <row r="295" spans="1:15" ht="15" customHeight="1">
      <c r="A295" s="69">
        <v>46214</v>
      </c>
      <c r="B295" s="32">
        <f t="shared" si="65"/>
        <v>1.25</v>
      </c>
      <c r="C295" s="33" t="s">
        <v>29</v>
      </c>
      <c r="D295" s="62" t="s">
        <v>30</v>
      </c>
      <c r="E295" s="62" t="s">
        <v>261</v>
      </c>
      <c r="F295" s="27">
        <v>11</v>
      </c>
      <c r="G295" s="34">
        <f t="shared" si="63"/>
        <v>46.2</v>
      </c>
      <c r="H295" s="33"/>
      <c r="I295" s="33"/>
      <c r="J295" s="33"/>
      <c r="K295" s="29"/>
      <c r="L295" s="29"/>
      <c r="M295" s="35" t="str">
        <f t="shared" ca="1" si="64"/>
        <v/>
      </c>
      <c r="N295" s="46"/>
      <c r="O295" s="47"/>
    </row>
    <row r="296" spans="1:15" ht="15" customHeight="1">
      <c r="A296" s="68">
        <v>46214</v>
      </c>
      <c r="B296" s="25">
        <f t="shared" si="65"/>
        <v>1.2916666666666667</v>
      </c>
      <c r="C296" s="33" t="s">
        <v>29</v>
      </c>
      <c r="D296" s="62" t="s">
        <v>30</v>
      </c>
      <c r="E296" s="62" t="s">
        <v>261</v>
      </c>
      <c r="F296" s="27">
        <v>5</v>
      </c>
      <c r="G296" s="28">
        <f t="shared" si="63"/>
        <v>21</v>
      </c>
      <c r="H296" s="26"/>
      <c r="I296" s="26"/>
      <c r="J296" s="26"/>
      <c r="K296" s="29"/>
      <c r="L296" s="29"/>
      <c r="M296" s="30" t="str">
        <f t="shared" ca="1" si="64"/>
        <v/>
      </c>
      <c r="N296" s="46"/>
      <c r="O296" s="47"/>
    </row>
    <row r="297" spans="1:15" ht="15.75" customHeight="1">
      <c r="A297" s="119" t="s">
        <v>238</v>
      </c>
      <c r="B297" s="120"/>
      <c r="C297" s="120"/>
      <c r="D297" s="120"/>
      <c r="E297" s="121">
        <f>SUM(E285:E296)</f>
        <v>0</v>
      </c>
      <c r="F297" s="36">
        <f>SUM(F285:F296)</f>
        <v>163</v>
      </c>
      <c r="G297" s="36">
        <f>SUM(G285:G296)</f>
        <v>691</v>
      </c>
      <c r="H297" s="37"/>
      <c r="I297" s="37"/>
      <c r="J297" s="37"/>
      <c r="K297" s="37"/>
      <c r="L297" s="37"/>
      <c r="M297" s="38">
        <f ca="1">IFERROR(SUM(M285:M296),"")</f>
        <v>0.13680555555555554</v>
      </c>
      <c r="N297" s="36" t="s">
        <v>237</v>
      </c>
      <c r="O297" s="77">
        <v>761660</v>
      </c>
    </row>
    <row r="298" spans="1:15" ht="18" customHeight="1">
      <c r="A298" s="122" t="s">
        <v>239</v>
      </c>
      <c r="B298" s="123"/>
      <c r="C298" s="123"/>
      <c r="D298" s="123"/>
      <c r="E298" s="124">
        <f>E284+E297</f>
        <v>0</v>
      </c>
      <c r="F298" s="40">
        <f>F284+F297</f>
        <v>346</v>
      </c>
      <c r="G298" s="40">
        <f>G284+G297</f>
        <v>1459.6</v>
      </c>
      <c r="H298" s="41"/>
      <c r="I298" s="41"/>
      <c r="J298" s="41"/>
      <c r="K298" s="41"/>
      <c r="L298" s="41"/>
      <c r="M298" s="42">
        <f ca="1">IFERROR(M284+M297,"")</f>
        <v>0.2944444444444444</v>
      </c>
      <c r="N298" s="40" t="s">
        <v>240</v>
      </c>
      <c r="O298" s="83">
        <f>IFERROR(O284+O297,"")</f>
        <v>1385120</v>
      </c>
    </row>
    <row r="299" spans="1:15" ht="15" customHeight="1">
      <c r="A299" s="69">
        <v>46215</v>
      </c>
      <c r="B299" s="32">
        <v>0.33333333333333298</v>
      </c>
      <c r="C299" s="33" t="s">
        <v>45</v>
      </c>
      <c r="D299" s="62" t="s">
        <v>30</v>
      </c>
      <c r="E299" s="62" t="s">
        <v>261</v>
      </c>
      <c r="F299" s="27">
        <v>0</v>
      </c>
      <c r="G299" s="34">
        <f t="shared" ref="G299:G310" si="66">IF(F299="","",IF(E299="PC 17",F299*4.2,IF(E299="PC 19",F299*5,"")))</f>
        <v>0</v>
      </c>
      <c r="H299" s="33" t="s">
        <v>20</v>
      </c>
      <c r="I299" s="33" t="s">
        <v>133</v>
      </c>
      <c r="J299" s="33" t="s">
        <v>74</v>
      </c>
      <c r="K299" s="29">
        <v>0.32916666666666666</v>
      </c>
      <c r="L299" s="29">
        <v>0.33333333333333331</v>
      </c>
      <c r="M299" s="35">
        <f t="shared" ref="M299:M310" ca="1" si="67">IFERROR(IF(K299="","",IF(L299="",MOD(NOW()-K299,1),IF(L299&gt;=K299,L299-K299,L299+1-K299))),"")</f>
        <v>4.1666666666666519E-3</v>
      </c>
      <c r="N299" s="46"/>
      <c r="O299" s="47"/>
    </row>
    <row r="300" spans="1:15" ht="15" customHeight="1">
      <c r="A300" s="68">
        <v>46215</v>
      </c>
      <c r="B300" s="25">
        <f t="shared" ref="B300:B310" si="68">B299+TIME(0,60,0)</f>
        <v>0.37499999999999967</v>
      </c>
      <c r="C300" s="33" t="s">
        <v>45</v>
      </c>
      <c r="D300" s="62" t="s">
        <v>30</v>
      </c>
      <c r="E300" s="62" t="s">
        <v>261</v>
      </c>
      <c r="F300" s="27">
        <v>6</v>
      </c>
      <c r="G300" s="28">
        <f t="shared" si="66"/>
        <v>25.200000000000003</v>
      </c>
      <c r="H300" s="26" t="s">
        <v>17</v>
      </c>
      <c r="I300" s="26" t="s">
        <v>136</v>
      </c>
      <c r="J300" s="26" t="s">
        <v>87</v>
      </c>
      <c r="K300" s="29">
        <v>0.35416666666666669</v>
      </c>
      <c r="L300" s="29">
        <v>0.40555555555555556</v>
      </c>
      <c r="M300" s="30">
        <f t="shared" ca="1" si="67"/>
        <v>5.1388888888888873E-2</v>
      </c>
      <c r="N300" s="46"/>
      <c r="O300" s="47"/>
    </row>
    <row r="301" spans="1:15" ht="15" customHeight="1">
      <c r="A301" s="69">
        <v>46215</v>
      </c>
      <c r="B301" s="32">
        <f t="shared" si="68"/>
        <v>0.41666666666666635</v>
      </c>
      <c r="C301" s="33" t="s">
        <v>45</v>
      </c>
      <c r="D301" s="62" t="s">
        <v>30</v>
      </c>
      <c r="E301" s="62" t="s">
        <v>261</v>
      </c>
      <c r="F301" s="27">
        <v>5</v>
      </c>
      <c r="G301" s="34">
        <f t="shared" si="66"/>
        <v>21</v>
      </c>
      <c r="H301" s="33" t="s">
        <v>20</v>
      </c>
      <c r="I301" s="33"/>
      <c r="J301" s="33" t="s">
        <v>113</v>
      </c>
      <c r="K301" s="29">
        <v>0.56041666666666667</v>
      </c>
      <c r="L301" s="29">
        <v>0.56597222222222221</v>
      </c>
      <c r="M301" s="35">
        <f t="shared" ca="1" si="67"/>
        <v>5.5555555555555358E-3</v>
      </c>
      <c r="N301" s="46"/>
      <c r="O301" s="47"/>
    </row>
    <row r="302" spans="1:15" ht="15" customHeight="1">
      <c r="A302" s="68">
        <v>46215</v>
      </c>
      <c r="B302" s="25">
        <f t="shared" si="68"/>
        <v>0.45833333333333304</v>
      </c>
      <c r="C302" s="33" t="s">
        <v>45</v>
      </c>
      <c r="D302" s="62" t="s">
        <v>30</v>
      </c>
      <c r="E302" s="62" t="s">
        <v>261</v>
      </c>
      <c r="F302" s="27">
        <v>18</v>
      </c>
      <c r="G302" s="28">
        <f t="shared" si="66"/>
        <v>75.600000000000009</v>
      </c>
      <c r="H302" s="26" t="s">
        <v>20</v>
      </c>
      <c r="I302" s="26" t="s">
        <v>31</v>
      </c>
      <c r="J302" s="26" t="s">
        <v>56</v>
      </c>
      <c r="K302" s="29">
        <v>0.61250000000000004</v>
      </c>
      <c r="L302" s="29">
        <v>0.64583333333333337</v>
      </c>
      <c r="M302" s="30">
        <f t="shared" ca="1" si="67"/>
        <v>3.3333333333333326E-2</v>
      </c>
      <c r="N302" s="46" t="s">
        <v>304</v>
      </c>
      <c r="O302" s="47"/>
    </row>
    <row r="303" spans="1:15" ht="15" customHeight="1">
      <c r="A303" s="69">
        <v>46215</v>
      </c>
      <c r="B303" s="32">
        <f t="shared" si="68"/>
        <v>0.49999999999999972</v>
      </c>
      <c r="C303" s="33" t="s">
        <v>45</v>
      </c>
      <c r="D303" s="62" t="s">
        <v>30</v>
      </c>
      <c r="E303" s="62" t="s">
        <v>261</v>
      </c>
      <c r="F303" s="27">
        <v>10</v>
      </c>
      <c r="G303" s="34">
        <f t="shared" si="66"/>
        <v>42</v>
      </c>
      <c r="H303" s="33" t="s">
        <v>20</v>
      </c>
      <c r="I303" s="33" t="s">
        <v>39</v>
      </c>
      <c r="J303" s="33" t="s">
        <v>56</v>
      </c>
      <c r="K303" s="29">
        <v>0.61250000000000004</v>
      </c>
      <c r="L303" s="29">
        <v>0.64583333333333337</v>
      </c>
      <c r="M303" s="35">
        <f t="shared" ca="1" si="67"/>
        <v>3.3333333333333326E-2</v>
      </c>
      <c r="N303" s="46" t="s">
        <v>304</v>
      </c>
      <c r="O303" s="47"/>
    </row>
    <row r="304" spans="1:15" ht="15" customHeight="1">
      <c r="A304" s="68">
        <v>46215</v>
      </c>
      <c r="B304" s="25">
        <f t="shared" si="68"/>
        <v>0.54166666666666641</v>
      </c>
      <c r="C304" s="33" t="s">
        <v>45</v>
      </c>
      <c r="D304" s="62" t="s">
        <v>30</v>
      </c>
      <c r="E304" s="62" t="s">
        <v>261</v>
      </c>
      <c r="F304" s="27">
        <v>8</v>
      </c>
      <c r="G304" s="28">
        <f t="shared" si="66"/>
        <v>33.6</v>
      </c>
      <c r="H304" s="26" t="s">
        <v>19</v>
      </c>
      <c r="I304" s="26" t="s">
        <v>157</v>
      </c>
      <c r="J304" s="26" t="s">
        <v>27</v>
      </c>
      <c r="K304" s="29">
        <v>0.68055555555555558</v>
      </c>
      <c r="L304" s="29">
        <v>0.70347222222222228</v>
      </c>
      <c r="M304" s="30">
        <f t="shared" ca="1" si="67"/>
        <v>2.2916666666666696E-2</v>
      </c>
      <c r="N304" s="46"/>
      <c r="O304" s="47"/>
    </row>
    <row r="305" spans="1:15" ht="15" customHeight="1">
      <c r="A305" s="69">
        <v>46215</v>
      </c>
      <c r="B305" s="32">
        <f t="shared" si="68"/>
        <v>0.58333333333333304</v>
      </c>
      <c r="C305" s="33" t="s">
        <v>45</v>
      </c>
      <c r="D305" s="62" t="s">
        <v>30</v>
      </c>
      <c r="E305" s="62" t="s">
        <v>261</v>
      </c>
      <c r="F305" s="27">
        <v>5</v>
      </c>
      <c r="G305" s="34">
        <f t="shared" si="66"/>
        <v>21</v>
      </c>
      <c r="H305" s="33"/>
      <c r="I305" s="33"/>
      <c r="J305" s="33"/>
      <c r="K305" s="29"/>
      <c r="L305" s="29"/>
      <c r="M305" s="35" t="str">
        <f t="shared" ca="1" si="67"/>
        <v/>
      </c>
      <c r="N305" s="46"/>
      <c r="O305" s="47"/>
    </row>
    <row r="306" spans="1:15" ht="15" customHeight="1">
      <c r="A306" s="68">
        <v>46215</v>
      </c>
      <c r="B306" s="25">
        <f t="shared" si="68"/>
        <v>0.62499999999999967</v>
      </c>
      <c r="C306" s="33" t="s">
        <v>45</v>
      </c>
      <c r="D306" s="62" t="s">
        <v>30</v>
      </c>
      <c r="E306" s="62" t="s">
        <v>261</v>
      </c>
      <c r="F306" s="27">
        <v>6</v>
      </c>
      <c r="G306" s="28">
        <f t="shared" si="66"/>
        <v>25.200000000000003</v>
      </c>
      <c r="H306" s="26"/>
      <c r="I306" s="26"/>
      <c r="J306" s="26"/>
      <c r="K306" s="29"/>
      <c r="L306" s="29"/>
      <c r="M306" s="30" t="str">
        <f t="shared" ca="1" si="67"/>
        <v/>
      </c>
      <c r="N306" s="46"/>
      <c r="O306" s="47"/>
    </row>
    <row r="307" spans="1:15" ht="15" customHeight="1">
      <c r="A307" s="69">
        <v>46215</v>
      </c>
      <c r="B307" s="32">
        <f t="shared" si="68"/>
        <v>0.6666666666666663</v>
      </c>
      <c r="C307" s="33" t="s">
        <v>45</v>
      </c>
      <c r="D307" s="62" t="s">
        <v>30</v>
      </c>
      <c r="E307" s="62" t="s">
        <v>261</v>
      </c>
      <c r="F307" s="27">
        <v>10</v>
      </c>
      <c r="G307" s="34">
        <f t="shared" si="66"/>
        <v>42</v>
      </c>
      <c r="H307" s="33"/>
      <c r="I307" s="33"/>
      <c r="J307" s="33"/>
      <c r="K307" s="29"/>
      <c r="L307" s="29"/>
      <c r="M307" s="35" t="str">
        <f t="shared" ca="1" si="67"/>
        <v/>
      </c>
      <c r="N307" s="46"/>
      <c r="O307" s="47"/>
    </row>
    <row r="308" spans="1:15" ht="15" customHeight="1">
      <c r="A308" s="68">
        <v>46215</v>
      </c>
      <c r="B308" s="25">
        <f t="shared" si="68"/>
        <v>0.70833333333333293</v>
      </c>
      <c r="C308" s="33" t="s">
        <v>45</v>
      </c>
      <c r="D308" s="62" t="s">
        <v>30</v>
      </c>
      <c r="E308" s="62" t="s">
        <v>261</v>
      </c>
      <c r="F308" s="27">
        <v>7</v>
      </c>
      <c r="G308" s="28">
        <f t="shared" si="66"/>
        <v>29.400000000000002</v>
      </c>
      <c r="H308" s="26"/>
      <c r="I308" s="26"/>
      <c r="J308" s="26"/>
      <c r="K308" s="29"/>
      <c r="L308" s="29"/>
      <c r="M308" s="30" t="str">
        <f t="shared" ca="1" si="67"/>
        <v/>
      </c>
      <c r="N308" s="46"/>
      <c r="O308" s="47"/>
    </row>
    <row r="309" spans="1:15" ht="15" customHeight="1">
      <c r="A309" s="69">
        <v>46215</v>
      </c>
      <c r="B309" s="32">
        <f t="shared" si="68"/>
        <v>0.74999999999999956</v>
      </c>
      <c r="C309" s="33" t="s">
        <v>45</v>
      </c>
      <c r="D309" s="62" t="s">
        <v>30</v>
      </c>
      <c r="E309" s="62" t="s">
        <v>261</v>
      </c>
      <c r="F309" s="27">
        <v>10</v>
      </c>
      <c r="G309" s="34">
        <f t="shared" si="66"/>
        <v>42</v>
      </c>
      <c r="H309" s="33"/>
      <c r="I309" s="33"/>
      <c r="J309" s="33"/>
      <c r="K309" s="29"/>
      <c r="L309" s="29"/>
      <c r="M309" s="35" t="str">
        <f t="shared" ca="1" si="67"/>
        <v/>
      </c>
      <c r="N309" s="46"/>
      <c r="O309" s="47"/>
    </row>
    <row r="310" spans="1:15" ht="15" customHeight="1">
      <c r="A310" s="68">
        <v>46215</v>
      </c>
      <c r="B310" s="25">
        <f t="shared" si="68"/>
        <v>0.79166666666666619</v>
      </c>
      <c r="C310" s="33" t="s">
        <v>45</v>
      </c>
      <c r="D310" s="62" t="s">
        <v>30</v>
      </c>
      <c r="E310" s="62" t="s">
        <v>261</v>
      </c>
      <c r="F310" s="27">
        <v>6</v>
      </c>
      <c r="G310" s="28">
        <f t="shared" si="66"/>
        <v>25.200000000000003</v>
      </c>
      <c r="H310" s="26"/>
      <c r="I310" s="26"/>
      <c r="J310" s="26"/>
      <c r="K310" s="29"/>
      <c r="L310" s="29"/>
      <c r="M310" s="30" t="str">
        <f t="shared" ca="1" si="67"/>
        <v/>
      </c>
      <c r="N310" s="46"/>
      <c r="O310" s="47"/>
    </row>
    <row r="311" spans="1:15" ht="15.75" customHeight="1">
      <c r="A311" s="119" t="s">
        <v>236</v>
      </c>
      <c r="B311" s="120"/>
      <c r="C311" s="120"/>
      <c r="D311" s="120"/>
      <c r="E311" s="121">
        <f>SUM(E299:E310)</f>
        <v>0</v>
      </c>
      <c r="F311" s="36">
        <f>SUM(F299:F310)</f>
        <v>91</v>
      </c>
      <c r="G311" s="36">
        <f>SUM(G299:G310)</f>
        <v>382.2</v>
      </c>
      <c r="H311" s="37"/>
      <c r="I311" s="37"/>
      <c r="J311" s="37"/>
      <c r="K311" s="37"/>
      <c r="L311" s="37"/>
      <c r="M311" s="38">
        <f ca="1">IFERROR(SUM(M299:M310),"")</f>
        <v>0.15069444444444441</v>
      </c>
      <c r="N311" s="36" t="s">
        <v>237</v>
      </c>
      <c r="O311" s="77">
        <v>605560</v>
      </c>
    </row>
    <row r="312" spans="1:15" ht="15" customHeight="1">
      <c r="A312" s="68">
        <v>46215</v>
      </c>
      <c r="B312" s="25">
        <v>0.83333333333333304</v>
      </c>
      <c r="C312" s="26" t="s">
        <v>29</v>
      </c>
      <c r="D312" s="59" t="s">
        <v>30</v>
      </c>
      <c r="E312" s="59" t="s">
        <v>261</v>
      </c>
      <c r="F312" s="27">
        <v>19</v>
      </c>
      <c r="G312" s="28">
        <f t="shared" ref="G312:G323" si="69">IF(F312="","",IF(E312="PC 17",F312*4.2,IF(E312="PC 19",F312*5,"")))</f>
        <v>79.8</v>
      </c>
      <c r="H312" s="26" t="s">
        <v>20</v>
      </c>
      <c r="I312" s="26" t="s">
        <v>155</v>
      </c>
      <c r="J312" s="26" t="s">
        <v>74</v>
      </c>
      <c r="K312" s="29">
        <v>0.79652777777777772</v>
      </c>
      <c r="L312" s="29">
        <v>0.80902777777777779</v>
      </c>
      <c r="M312" s="30">
        <f t="shared" ref="M312:M323" ca="1" si="70">IFERROR(IF(K312="","",IF(L312="",MOD(NOW()-K312,1),IF(L312&gt;=K312,L312-K312,L312+1-K312))),"")</f>
        <v>1.2500000000000067E-2</v>
      </c>
      <c r="N312" s="46"/>
      <c r="O312" s="47"/>
    </row>
    <row r="313" spans="1:15" ht="15" customHeight="1">
      <c r="A313" s="69">
        <v>46215</v>
      </c>
      <c r="B313" s="32">
        <f t="shared" ref="B313:B323" si="71">B312+TIME(0,60,0)</f>
        <v>0.87499999999999967</v>
      </c>
      <c r="C313" s="26" t="s">
        <v>29</v>
      </c>
      <c r="D313" s="59" t="s">
        <v>30</v>
      </c>
      <c r="E313" s="59" t="s">
        <v>261</v>
      </c>
      <c r="F313" s="27">
        <v>3</v>
      </c>
      <c r="G313" s="34">
        <f t="shared" si="69"/>
        <v>12.600000000000001</v>
      </c>
      <c r="H313" s="33" t="s">
        <v>20</v>
      </c>
      <c r="I313" s="33" t="s">
        <v>31</v>
      </c>
      <c r="J313" s="33" t="s">
        <v>36</v>
      </c>
      <c r="K313" s="29">
        <v>0.85416666666666663</v>
      </c>
      <c r="L313" s="29">
        <v>0.87847222222222221</v>
      </c>
      <c r="M313" s="35">
        <f t="shared" ca="1" si="70"/>
        <v>2.430555555555558E-2</v>
      </c>
      <c r="N313" s="46" t="s">
        <v>305</v>
      </c>
      <c r="O313" s="47"/>
    </row>
    <row r="314" spans="1:15" ht="15" customHeight="1">
      <c r="A314" s="68">
        <v>46215</v>
      </c>
      <c r="B314" s="25">
        <f t="shared" si="71"/>
        <v>0.9166666666666663</v>
      </c>
      <c r="C314" s="26" t="s">
        <v>29</v>
      </c>
      <c r="D314" s="59" t="s">
        <v>30</v>
      </c>
      <c r="E314" s="59" t="s">
        <v>261</v>
      </c>
      <c r="F314" s="27">
        <v>21</v>
      </c>
      <c r="G314" s="28">
        <f t="shared" si="69"/>
        <v>88.2</v>
      </c>
      <c r="H314" s="26" t="s">
        <v>18</v>
      </c>
      <c r="I314" s="26" t="s">
        <v>63</v>
      </c>
      <c r="J314" s="26" t="s">
        <v>111</v>
      </c>
      <c r="K314" s="29">
        <v>0.91249999999999998</v>
      </c>
      <c r="L314" s="29">
        <v>9.583333333333334E-2</v>
      </c>
      <c r="M314" s="30">
        <f t="shared" ca="1" si="70"/>
        <v>0.18333333333333346</v>
      </c>
      <c r="N314" s="46" t="s">
        <v>306</v>
      </c>
      <c r="O314" s="47"/>
    </row>
    <row r="315" spans="1:15" ht="15" customHeight="1">
      <c r="A315" s="69">
        <v>46215</v>
      </c>
      <c r="B315" s="32">
        <f t="shared" si="71"/>
        <v>0.95833333333333293</v>
      </c>
      <c r="C315" s="26" t="s">
        <v>29</v>
      </c>
      <c r="D315" s="59" t="s">
        <v>30</v>
      </c>
      <c r="E315" s="59" t="s">
        <v>261</v>
      </c>
      <c r="F315" s="27">
        <v>0</v>
      </c>
      <c r="G315" s="34">
        <f t="shared" si="69"/>
        <v>0</v>
      </c>
      <c r="H315" s="33"/>
      <c r="I315" s="33"/>
      <c r="J315" s="33"/>
      <c r="K315" s="29"/>
      <c r="L315" s="29"/>
      <c r="M315" s="35" t="str">
        <f t="shared" ca="1" si="70"/>
        <v/>
      </c>
      <c r="N315" s="46"/>
      <c r="O315" s="47"/>
    </row>
    <row r="316" spans="1:15" ht="15" customHeight="1">
      <c r="A316" s="68">
        <v>46215</v>
      </c>
      <c r="B316" s="25">
        <f t="shared" si="71"/>
        <v>0.99999999999999956</v>
      </c>
      <c r="C316" s="26" t="s">
        <v>29</v>
      </c>
      <c r="D316" s="59" t="s">
        <v>30</v>
      </c>
      <c r="E316" s="59" t="s">
        <v>261</v>
      </c>
      <c r="F316" s="27">
        <v>0</v>
      </c>
      <c r="G316" s="28">
        <f t="shared" si="69"/>
        <v>0</v>
      </c>
      <c r="H316" s="26"/>
      <c r="I316" s="26"/>
      <c r="J316" s="26"/>
      <c r="K316" s="29"/>
      <c r="L316" s="29"/>
      <c r="M316" s="30" t="str">
        <f t="shared" ca="1" si="70"/>
        <v/>
      </c>
      <c r="N316" s="46"/>
      <c r="O316" s="47"/>
    </row>
    <row r="317" spans="1:15" ht="15" customHeight="1">
      <c r="A317" s="69">
        <v>46215</v>
      </c>
      <c r="B317" s="32">
        <f t="shared" si="71"/>
        <v>1.0416666666666663</v>
      </c>
      <c r="C317" s="26" t="s">
        <v>29</v>
      </c>
      <c r="D317" s="59" t="s">
        <v>30</v>
      </c>
      <c r="E317" s="59" t="s">
        <v>261</v>
      </c>
      <c r="F317" s="27">
        <v>0</v>
      </c>
      <c r="G317" s="34">
        <f t="shared" si="69"/>
        <v>0</v>
      </c>
      <c r="H317" s="33"/>
      <c r="I317" s="33"/>
      <c r="J317" s="33"/>
      <c r="K317" s="29"/>
      <c r="L317" s="29"/>
      <c r="M317" s="35" t="str">
        <f t="shared" ca="1" si="70"/>
        <v/>
      </c>
      <c r="N317" s="46"/>
      <c r="O317" s="47"/>
    </row>
    <row r="318" spans="1:15" ht="15" customHeight="1">
      <c r="A318" s="68">
        <v>46215</v>
      </c>
      <c r="B318" s="25">
        <f t="shared" si="71"/>
        <v>1.083333333333333</v>
      </c>
      <c r="C318" s="26" t="s">
        <v>29</v>
      </c>
      <c r="D318" s="59" t="s">
        <v>30</v>
      </c>
      <c r="E318" s="59" t="s">
        <v>261</v>
      </c>
      <c r="F318" s="27">
        <v>0</v>
      </c>
      <c r="G318" s="28">
        <f t="shared" si="69"/>
        <v>0</v>
      </c>
      <c r="H318" s="26"/>
      <c r="I318" s="26"/>
      <c r="J318" s="26"/>
      <c r="K318" s="29"/>
      <c r="L318" s="29"/>
      <c r="M318" s="30" t="str">
        <f t="shared" ca="1" si="70"/>
        <v/>
      </c>
      <c r="N318" s="46"/>
      <c r="O318" s="47"/>
    </row>
    <row r="319" spans="1:15" ht="15" customHeight="1">
      <c r="A319" s="69">
        <v>46215</v>
      </c>
      <c r="B319" s="32">
        <f t="shared" si="71"/>
        <v>1.1249999999999998</v>
      </c>
      <c r="C319" s="26" t="s">
        <v>29</v>
      </c>
      <c r="D319" s="59" t="s">
        <v>30</v>
      </c>
      <c r="E319" s="59" t="s">
        <v>261</v>
      </c>
      <c r="F319" s="27">
        <v>11</v>
      </c>
      <c r="G319" s="34">
        <f t="shared" si="69"/>
        <v>46.2</v>
      </c>
      <c r="H319" s="33"/>
      <c r="I319" s="33"/>
      <c r="J319" s="33"/>
      <c r="K319" s="29"/>
      <c r="L319" s="29"/>
      <c r="M319" s="35" t="str">
        <f t="shared" ca="1" si="70"/>
        <v/>
      </c>
      <c r="N319" s="46"/>
      <c r="O319" s="47"/>
    </row>
    <row r="320" spans="1:15" ht="15" customHeight="1">
      <c r="A320" s="68">
        <v>46215</v>
      </c>
      <c r="B320" s="25">
        <f t="shared" si="71"/>
        <v>1.1666666666666665</v>
      </c>
      <c r="C320" s="26" t="s">
        <v>29</v>
      </c>
      <c r="D320" s="59" t="s">
        <v>30</v>
      </c>
      <c r="E320" s="59" t="s">
        <v>261</v>
      </c>
      <c r="F320" s="27">
        <v>15</v>
      </c>
      <c r="G320" s="28">
        <f t="shared" si="69"/>
        <v>63</v>
      </c>
      <c r="H320" s="26"/>
      <c r="I320" s="26"/>
      <c r="J320" s="26"/>
      <c r="K320" s="29"/>
      <c r="L320" s="29"/>
      <c r="M320" s="30" t="str">
        <f t="shared" ca="1" si="70"/>
        <v/>
      </c>
      <c r="N320" s="46"/>
      <c r="O320" s="47"/>
    </row>
    <row r="321" spans="1:15" ht="15" customHeight="1">
      <c r="A321" s="69">
        <v>46215</v>
      </c>
      <c r="B321" s="32">
        <f t="shared" si="71"/>
        <v>1.2083333333333333</v>
      </c>
      <c r="C321" s="26" t="s">
        <v>29</v>
      </c>
      <c r="D321" s="59" t="s">
        <v>30</v>
      </c>
      <c r="E321" s="59" t="s">
        <v>261</v>
      </c>
      <c r="F321" s="27">
        <v>19</v>
      </c>
      <c r="G321" s="34">
        <f t="shared" si="69"/>
        <v>79.8</v>
      </c>
      <c r="H321" s="33"/>
      <c r="I321" s="33"/>
      <c r="J321" s="33"/>
      <c r="K321" s="29"/>
      <c r="L321" s="29"/>
      <c r="M321" s="35" t="str">
        <f t="shared" ca="1" si="70"/>
        <v/>
      </c>
      <c r="N321" s="46"/>
      <c r="O321" s="47"/>
    </row>
    <row r="322" spans="1:15" ht="15" customHeight="1">
      <c r="A322" s="68">
        <v>46215</v>
      </c>
      <c r="B322" s="25">
        <f t="shared" si="71"/>
        <v>1.25</v>
      </c>
      <c r="C322" s="26" t="s">
        <v>29</v>
      </c>
      <c r="D322" s="59" t="s">
        <v>30</v>
      </c>
      <c r="E322" s="59" t="s">
        <v>261</v>
      </c>
      <c r="F322" s="27">
        <v>16</v>
      </c>
      <c r="G322" s="28">
        <f t="shared" si="69"/>
        <v>67.2</v>
      </c>
      <c r="H322" s="26"/>
      <c r="I322" s="26"/>
      <c r="J322" s="26"/>
      <c r="K322" s="29"/>
      <c r="L322" s="29"/>
      <c r="M322" s="30" t="str">
        <f t="shared" ca="1" si="70"/>
        <v/>
      </c>
      <c r="N322" s="46"/>
      <c r="O322" s="47"/>
    </row>
    <row r="323" spans="1:15" ht="15" customHeight="1">
      <c r="A323" s="69">
        <v>46215</v>
      </c>
      <c r="B323" s="32">
        <f t="shared" si="71"/>
        <v>1.2916666666666667</v>
      </c>
      <c r="C323" s="26" t="s">
        <v>29</v>
      </c>
      <c r="D323" s="59" t="s">
        <v>30</v>
      </c>
      <c r="E323" s="59" t="s">
        <v>234</v>
      </c>
      <c r="F323" s="27">
        <v>8</v>
      </c>
      <c r="G323" s="34">
        <f t="shared" si="69"/>
        <v>40</v>
      </c>
      <c r="H323" s="33"/>
      <c r="I323" s="33"/>
      <c r="J323" s="33"/>
      <c r="K323" s="29"/>
      <c r="L323" s="29"/>
      <c r="M323" s="35" t="str">
        <f t="shared" ca="1" si="70"/>
        <v/>
      </c>
      <c r="N323" s="46"/>
      <c r="O323" s="47"/>
    </row>
    <row r="324" spans="1:15" ht="15.75" customHeight="1">
      <c r="A324" s="119" t="s">
        <v>238</v>
      </c>
      <c r="B324" s="120"/>
      <c r="C324" s="120"/>
      <c r="D324" s="120"/>
      <c r="E324" s="121">
        <f>SUM(E312:E323)</f>
        <v>0</v>
      </c>
      <c r="F324" s="36">
        <f>SUM(F312:F323)</f>
        <v>112</v>
      </c>
      <c r="G324" s="36">
        <f>SUM(G312:G323)</f>
        <v>476.8</v>
      </c>
      <c r="H324" s="37"/>
      <c r="I324" s="37"/>
      <c r="J324" s="37"/>
      <c r="K324" s="37"/>
      <c r="L324" s="37"/>
      <c r="M324" s="38">
        <f ca="1">IFERROR(SUM(M312:M323),"")</f>
        <v>0.22013888888888911</v>
      </c>
      <c r="N324" s="36" t="s">
        <v>237</v>
      </c>
      <c r="O324" s="77">
        <v>524410</v>
      </c>
    </row>
    <row r="325" spans="1:15" ht="18" customHeight="1">
      <c r="A325" s="122" t="s">
        <v>239</v>
      </c>
      <c r="B325" s="123"/>
      <c r="C325" s="123"/>
      <c r="D325" s="123"/>
      <c r="E325" s="124">
        <f>E311+E324</f>
        <v>0</v>
      </c>
      <c r="F325" s="40">
        <f>F311+F324</f>
        <v>203</v>
      </c>
      <c r="G325" s="40">
        <f>G311+G324</f>
        <v>859</v>
      </c>
      <c r="H325" s="41"/>
      <c r="I325" s="41"/>
      <c r="J325" s="41"/>
      <c r="K325" s="41"/>
      <c r="L325" s="41"/>
      <c r="M325" s="42">
        <f ca="1">IFERROR(M311+M324,"")</f>
        <v>0.37083333333333351</v>
      </c>
      <c r="N325" s="40" t="s">
        <v>240</v>
      </c>
      <c r="O325" s="83">
        <f>IFERROR(O311+O324,"")</f>
        <v>1129970</v>
      </c>
    </row>
    <row r="326" spans="1:15" ht="15" customHeight="1">
      <c r="A326" s="68">
        <v>46216</v>
      </c>
      <c r="B326" s="25">
        <v>0.33333333333333298</v>
      </c>
      <c r="C326" s="26" t="s">
        <v>45</v>
      </c>
      <c r="D326" s="59" t="s">
        <v>30</v>
      </c>
      <c r="E326" s="59" t="s">
        <v>261</v>
      </c>
      <c r="F326" s="27">
        <v>20</v>
      </c>
      <c r="G326" s="28">
        <f t="shared" ref="G326:G337" si="72">IF(F326="","",IF(E326="PC 17",F326*4.2,IF(E326="PC 19",F326*5,"")))</f>
        <v>84</v>
      </c>
      <c r="H326" s="26" t="s">
        <v>19</v>
      </c>
      <c r="I326" s="26" t="s">
        <v>157</v>
      </c>
      <c r="J326" s="26" t="s">
        <v>27</v>
      </c>
      <c r="K326" s="29">
        <v>0.36458333333333331</v>
      </c>
      <c r="L326" s="29">
        <v>0.38263888888888886</v>
      </c>
      <c r="M326" s="30">
        <f t="shared" ref="M326:M337" ca="1" si="73">IFERROR(IF(K326="","",IF(L326="",MOD(NOW()-K326,1),IF(L326&gt;=K326,L326-K326,L326+1-K326))),"")</f>
        <v>1.8055555555555547E-2</v>
      </c>
      <c r="N326" s="46"/>
      <c r="O326" s="47"/>
    </row>
    <row r="327" spans="1:15" ht="15" customHeight="1">
      <c r="A327" s="69">
        <v>46216</v>
      </c>
      <c r="B327" s="32">
        <f t="shared" ref="B327:B337" si="74">B326+TIME(0,60,0)</f>
        <v>0.37499999999999967</v>
      </c>
      <c r="C327" s="26" t="s">
        <v>45</v>
      </c>
      <c r="D327" s="59" t="s">
        <v>30</v>
      </c>
      <c r="E327" s="59" t="s">
        <v>261</v>
      </c>
      <c r="F327" s="27">
        <v>15</v>
      </c>
      <c r="G327" s="34">
        <f t="shared" si="72"/>
        <v>63</v>
      </c>
      <c r="H327" s="33" t="s">
        <v>20</v>
      </c>
      <c r="I327" s="33" t="s">
        <v>39</v>
      </c>
      <c r="J327" s="33" t="s">
        <v>51</v>
      </c>
      <c r="K327" s="29">
        <v>0.52152777777777781</v>
      </c>
      <c r="L327" s="29">
        <v>0.52708333333333335</v>
      </c>
      <c r="M327" s="35">
        <f t="shared" ca="1" si="73"/>
        <v>5.5555555555555358E-3</v>
      </c>
      <c r="N327" s="46"/>
      <c r="O327" s="47"/>
    </row>
    <row r="328" spans="1:15" ht="15" customHeight="1">
      <c r="A328" s="68">
        <v>46216</v>
      </c>
      <c r="B328" s="25">
        <f t="shared" si="74"/>
        <v>0.41666666666666635</v>
      </c>
      <c r="C328" s="26" t="s">
        <v>45</v>
      </c>
      <c r="D328" s="59" t="s">
        <v>30</v>
      </c>
      <c r="E328" s="59" t="s">
        <v>261</v>
      </c>
      <c r="F328" s="27">
        <v>10</v>
      </c>
      <c r="G328" s="28">
        <f t="shared" si="72"/>
        <v>42</v>
      </c>
      <c r="H328" s="26" t="s">
        <v>20</v>
      </c>
      <c r="I328" s="26" t="s">
        <v>121</v>
      </c>
      <c r="J328" s="26" t="s">
        <v>113</v>
      </c>
      <c r="K328" s="29">
        <v>0.63749999999999996</v>
      </c>
      <c r="L328" s="29">
        <v>0.65902777777777777</v>
      </c>
      <c r="M328" s="30">
        <f t="shared" ca="1" si="73"/>
        <v>2.1527777777777812E-2</v>
      </c>
      <c r="N328" s="46"/>
      <c r="O328" s="47"/>
    </row>
    <row r="329" spans="1:15" ht="15" customHeight="1">
      <c r="A329" s="69">
        <v>46216</v>
      </c>
      <c r="B329" s="32">
        <f t="shared" si="74"/>
        <v>0.45833333333333304</v>
      </c>
      <c r="C329" s="26" t="s">
        <v>45</v>
      </c>
      <c r="D329" s="59" t="s">
        <v>30</v>
      </c>
      <c r="E329" s="59" t="s">
        <v>261</v>
      </c>
      <c r="F329" s="27">
        <v>20</v>
      </c>
      <c r="G329" s="34">
        <f t="shared" si="72"/>
        <v>84</v>
      </c>
      <c r="H329" s="33" t="s">
        <v>17</v>
      </c>
      <c r="I329" s="33" t="s">
        <v>114</v>
      </c>
      <c r="J329" s="33" t="s">
        <v>33</v>
      </c>
      <c r="K329" s="29">
        <v>0.68402777777777779</v>
      </c>
      <c r="L329" s="29">
        <v>0.70833333333333337</v>
      </c>
      <c r="M329" s="35">
        <f t="shared" ca="1" si="73"/>
        <v>2.430555555555558E-2</v>
      </c>
      <c r="N329" s="46" t="s">
        <v>307</v>
      </c>
      <c r="O329" s="47"/>
    </row>
    <row r="330" spans="1:15" ht="15" customHeight="1">
      <c r="A330" s="68">
        <v>46216</v>
      </c>
      <c r="B330" s="25">
        <f t="shared" si="74"/>
        <v>0.49999999999999972</v>
      </c>
      <c r="C330" s="26" t="s">
        <v>45</v>
      </c>
      <c r="D330" s="59" t="s">
        <v>30</v>
      </c>
      <c r="E330" s="59" t="s">
        <v>234</v>
      </c>
      <c r="F330" s="27">
        <v>12</v>
      </c>
      <c r="G330" s="28">
        <f t="shared" si="72"/>
        <v>60</v>
      </c>
      <c r="H330" s="26"/>
      <c r="I330" s="26"/>
      <c r="J330" s="26"/>
      <c r="K330" s="29"/>
      <c r="L330" s="29"/>
      <c r="M330" s="30" t="str">
        <f t="shared" ca="1" si="73"/>
        <v/>
      </c>
      <c r="N330" s="46"/>
      <c r="O330" s="47"/>
    </row>
    <row r="331" spans="1:15" ht="15" customHeight="1">
      <c r="A331" s="69">
        <v>46216</v>
      </c>
      <c r="B331" s="32">
        <f t="shared" si="74"/>
        <v>0.54166666666666641</v>
      </c>
      <c r="C331" s="26" t="s">
        <v>45</v>
      </c>
      <c r="D331" s="59" t="s">
        <v>30</v>
      </c>
      <c r="E331" s="59" t="s">
        <v>261</v>
      </c>
      <c r="F331" s="27">
        <v>24</v>
      </c>
      <c r="G331" s="34">
        <f t="shared" si="72"/>
        <v>100.80000000000001</v>
      </c>
      <c r="H331" s="33"/>
      <c r="I331" s="33"/>
      <c r="J331" s="33"/>
      <c r="K331" s="29"/>
      <c r="L331" s="29"/>
      <c r="M331" s="35" t="str">
        <f t="shared" ca="1" si="73"/>
        <v/>
      </c>
      <c r="N331" s="46"/>
      <c r="O331" s="47"/>
    </row>
    <row r="332" spans="1:15" ht="15" customHeight="1">
      <c r="A332" s="68">
        <v>46216</v>
      </c>
      <c r="B332" s="25">
        <f t="shared" si="74"/>
        <v>0.58333333333333304</v>
      </c>
      <c r="C332" s="26" t="s">
        <v>45</v>
      </c>
      <c r="D332" s="59" t="s">
        <v>30</v>
      </c>
      <c r="E332" s="59" t="s">
        <v>261</v>
      </c>
      <c r="F332" s="27">
        <v>14</v>
      </c>
      <c r="G332" s="28">
        <f t="shared" si="72"/>
        <v>58.800000000000004</v>
      </c>
      <c r="H332" s="26"/>
      <c r="I332" s="26"/>
      <c r="J332" s="26"/>
      <c r="K332" s="29"/>
      <c r="L332" s="29"/>
      <c r="M332" s="30" t="str">
        <f t="shared" ca="1" si="73"/>
        <v/>
      </c>
      <c r="N332" s="46"/>
      <c r="O332" s="47"/>
    </row>
    <row r="333" spans="1:15" ht="15" customHeight="1">
      <c r="A333" s="69">
        <v>46216</v>
      </c>
      <c r="B333" s="32">
        <f t="shared" si="74"/>
        <v>0.62499999999999967</v>
      </c>
      <c r="C333" s="26" t="s">
        <v>45</v>
      </c>
      <c r="D333" s="59" t="s">
        <v>30</v>
      </c>
      <c r="E333" s="59" t="s">
        <v>261</v>
      </c>
      <c r="F333" s="27">
        <v>16</v>
      </c>
      <c r="G333" s="34">
        <f t="shared" si="72"/>
        <v>67.2</v>
      </c>
      <c r="H333" s="33"/>
      <c r="I333" s="33"/>
      <c r="J333" s="33"/>
      <c r="K333" s="29"/>
      <c r="L333" s="29"/>
      <c r="M333" s="35" t="str">
        <f t="shared" ca="1" si="73"/>
        <v/>
      </c>
      <c r="N333" s="46"/>
      <c r="O333" s="47"/>
    </row>
    <row r="334" spans="1:15" ht="15" customHeight="1">
      <c r="A334" s="68">
        <v>46216</v>
      </c>
      <c r="B334" s="25">
        <f t="shared" si="74"/>
        <v>0.6666666666666663</v>
      </c>
      <c r="C334" s="26" t="s">
        <v>45</v>
      </c>
      <c r="D334" s="59" t="s">
        <v>30</v>
      </c>
      <c r="E334" s="59" t="s">
        <v>261</v>
      </c>
      <c r="F334" s="27">
        <v>24</v>
      </c>
      <c r="G334" s="28">
        <f t="shared" si="72"/>
        <v>100.80000000000001</v>
      </c>
      <c r="H334" s="26"/>
      <c r="I334" s="26"/>
      <c r="J334" s="26"/>
      <c r="K334" s="29"/>
      <c r="L334" s="29"/>
      <c r="M334" s="30" t="str">
        <f t="shared" ca="1" si="73"/>
        <v/>
      </c>
      <c r="N334" s="46"/>
      <c r="O334" s="47"/>
    </row>
    <row r="335" spans="1:15" ht="15" customHeight="1">
      <c r="A335" s="69">
        <v>46216</v>
      </c>
      <c r="B335" s="32">
        <f t="shared" si="74"/>
        <v>0.70833333333333293</v>
      </c>
      <c r="C335" s="26" t="s">
        <v>45</v>
      </c>
      <c r="D335" s="59" t="s">
        <v>30</v>
      </c>
      <c r="E335" s="59" t="s">
        <v>261</v>
      </c>
      <c r="F335" s="27">
        <v>19</v>
      </c>
      <c r="G335" s="34">
        <f t="shared" si="72"/>
        <v>79.8</v>
      </c>
      <c r="H335" s="33"/>
      <c r="I335" s="33"/>
      <c r="J335" s="33"/>
      <c r="K335" s="29"/>
      <c r="L335" s="29"/>
      <c r="M335" s="35" t="str">
        <f t="shared" ca="1" si="73"/>
        <v/>
      </c>
      <c r="N335" s="46"/>
      <c r="O335" s="47"/>
    </row>
    <row r="336" spans="1:15" ht="15" customHeight="1">
      <c r="A336" s="68">
        <v>46216</v>
      </c>
      <c r="B336" s="25">
        <f t="shared" si="74"/>
        <v>0.74999999999999956</v>
      </c>
      <c r="C336" s="26" t="s">
        <v>45</v>
      </c>
      <c r="D336" s="59" t="s">
        <v>30</v>
      </c>
      <c r="E336" s="59" t="s">
        <v>261</v>
      </c>
      <c r="F336" s="27">
        <v>21</v>
      </c>
      <c r="G336" s="28">
        <f t="shared" si="72"/>
        <v>88.2</v>
      </c>
      <c r="H336" s="26"/>
      <c r="I336" s="26"/>
      <c r="J336" s="26"/>
      <c r="K336" s="29"/>
      <c r="L336" s="29"/>
      <c r="M336" s="30" t="str">
        <f t="shared" ca="1" si="73"/>
        <v/>
      </c>
      <c r="N336" s="46"/>
      <c r="O336" s="47"/>
    </row>
    <row r="337" spans="1:15" ht="15" customHeight="1">
      <c r="A337" s="69">
        <v>46216</v>
      </c>
      <c r="B337" s="32">
        <f t="shared" si="74"/>
        <v>0.79166666666666619</v>
      </c>
      <c r="C337" s="26" t="s">
        <v>45</v>
      </c>
      <c r="D337" s="59" t="s">
        <v>30</v>
      </c>
      <c r="E337" s="59" t="s">
        <v>261</v>
      </c>
      <c r="F337" s="27">
        <v>2</v>
      </c>
      <c r="G337" s="34">
        <f t="shared" si="72"/>
        <v>8.4</v>
      </c>
      <c r="H337" s="33"/>
      <c r="I337" s="33"/>
      <c r="J337" s="33"/>
      <c r="K337" s="29"/>
      <c r="L337" s="29"/>
      <c r="M337" s="35" t="str">
        <f t="shared" ca="1" si="73"/>
        <v/>
      </c>
      <c r="N337" s="46"/>
      <c r="O337" s="47"/>
    </row>
    <row r="338" spans="1:15" ht="15.75" customHeight="1">
      <c r="A338" s="119" t="s">
        <v>236</v>
      </c>
      <c r="B338" s="120"/>
      <c r="C338" s="120"/>
      <c r="D338" s="120"/>
      <c r="E338" s="121">
        <f>SUM(E326:E337)</f>
        <v>0</v>
      </c>
      <c r="F338" s="36">
        <f>SUM(F326:F337)</f>
        <v>197</v>
      </c>
      <c r="G338" s="36">
        <f>SUM(G326:G337)</f>
        <v>837.00000000000011</v>
      </c>
      <c r="H338" s="37"/>
      <c r="I338" s="37"/>
      <c r="J338" s="37"/>
      <c r="K338" s="37"/>
      <c r="L338" s="37"/>
      <c r="M338" s="38">
        <f ca="1">IFERROR(SUM(M326:M337),"")</f>
        <v>6.9444444444444475E-2</v>
      </c>
      <c r="N338" s="36" t="s">
        <v>237</v>
      </c>
      <c r="O338" s="77">
        <v>837000</v>
      </c>
    </row>
    <row r="339" spans="1:15" ht="15" customHeight="1">
      <c r="A339" s="69">
        <v>46216</v>
      </c>
      <c r="B339" s="32">
        <v>0.83333333333333304</v>
      </c>
      <c r="C339" s="33" t="s">
        <v>29</v>
      </c>
      <c r="D339" s="62" t="s">
        <v>30</v>
      </c>
      <c r="E339" s="62" t="s">
        <v>261</v>
      </c>
      <c r="F339" s="27">
        <v>22</v>
      </c>
      <c r="G339" s="34">
        <f t="shared" ref="G339:G350" si="75">IF(F339="","",IF(E339="PC 17",F339*4.2,IF(E339="PC 19",F339*5,"")))</f>
        <v>92.4</v>
      </c>
      <c r="H339" s="33" t="s">
        <v>20</v>
      </c>
      <c r="I339" s="33" t="s">
        <v>121</v>
      </c>
      <c r="J339" s="33" t="s">
        <v>113</v>
      </c>
      <c r="K339" s="29">
        <v>0.90416666666666667</v>
      </c>
      <c r="L339" s="29">
        <v>0.90972222222222221</v>
      </c>
      <c r="M339" s="35">
        <f t="shared" ref="M339:M350" ca="1" si="76">IFERROR(IF(K339="","",IF(L339="",MOD(NOW()-K339,1),IF(L339&gt;=K339,L339-K339,L339+1-K339))),"")</f>
        <v>5.5555555555555358E-3</v>
      </c>
      <c r="N339" s="46"/>
      <c r="O339" s="47"/>
    </row>
    <row r="340" spans="1:15" ht="15" customHeight="1">
      <c r="A340" s="68">
        <v>46216</v>
      </c>
      <c r="B340" s="25">
        <f t="shared" ref="B340:B350" si="77">B339+TIME(0,60,0)</f>
        <v>0.87499999999999967</v>
      </c>
      <c r="C340" s="33" t="s">
        <v>29</v>
      </c>
      <c r="D340" s="62" t="s">
        <v>30</v>
      </c>
      <c r="E340" s="62" t="s">
        <v>261</v>
      </c>
      <c r="F340" s="27">
        <v>10</v>
      </c>
      <c r="G340" s="28">
        <f t="shared" si="75"/>
        <v>42</v>
      </c>
      <c r="H340" s="26" t="s">
        <v>20</v>
      </c>
      <c r="I340" s="26" t="s">
        <v>31</v>
      </c>
      <c r="J340" s="26" t="s">
        <v>56</v>
      </c>
      <c r="K340" s="29">
        <v>6.25E-2</v>
      </c>
      <c r="L340" s="29">
        <v>7.2916666666666671E-2</v>
      </c>
      <c r="M340" s="30">
        <f t="shared" ca="1" si="76"/>
        <v>1.0416666666666671E-2</v>
      </c>
      <c r="N340" s="46" t="s">
        <v>308</v>
      </c>
      <c r="O340" s="47"/>
    </row>
    <row r="341" spans="1:15" ht="15" customHeight="1">
      <c r="A341" s="69">
        <v>46216</v>
      </c>
      <c r="B341" s="32">
        <f t="shared" si="77"/>
        <v>0.9166666666666663</v>
      </c>
      <c r="C341" s="33" t="s">
        <v>29</v>
      </c>
      <c r="D341" s="62" t="s">
        <v>30</v>
      </c>
      <c r="E341" s="62" t="s">
        <v>261</v>
      </c>
      <c r="F341" s="27">
        <v>18</v>
      </c>
      <c r="G341" s="34">
        <f t="shared" si="75"/>
        <v>75.600000000000009</v>
      </c>
      <c r="H341" s="33" t="s">
        <v>19</v>
      </c>
      <c r="I341" s="33" t="s">
        <v>39</v>
      </c>
      <c r="J341" s="33" t="s">
        <v>27</v>
      </c>
      <c r="K341" s="29">
        <v>7.2916666666666671E-2</v>
      </c>
      <c r="L341" s="29">
        <v>7.9166666666666663E-2</v>
      </c>
      <c r="M341" s="35">
        <f t="shared" ca="1" si="76"/>
        <v>6.2499999999999917E-3</v>
      </c>
      <c r="N341" s="46"/>
      <c r="O341" s="47"/>
    </row>
    <row r="342" spans="1:15" ht="15" customHeight="1">
      <c r="A342" s="68">
        <v>46216</v>
      </c>
      <c r="B342" s="25">
        <f t="shared" si="77"/>
        <v>0.95833333333333293</v>
      </c>
      <c r="C342" s="33" t="s">
        <v>29</v>
      </c>
      <c r="D342" s="62" t="s">
        <v>30</v>
      </c>
      <c r="E342" s="62" t="s">
        <v>261</v>
      </c>
      <c r="F342" s="27">
        <v>10</v>
      </c>
      <c r="G342" s="28">
        <f t="shared" si="75"/>
        <v>42</v>
      </c>
      <c r="H342" s="26" t="s">
        <v>19</v>
      </c>
      <c r="I342" s="26" t="s">
        <v>39</v>
      </c>
      <c r="J342" s="26" t="s">
        <v>35</v>
      </c>
      <c r="K342" s="29">
        <v>0.25347222222222221</v>
      </c>
      <c r="L342" s="29">
        <v>0.27291666666666664</v>
      </c>
      <c r="M342" s="30">
        <f t="shared" ca="1" si="76"/>
        <v>1.9444444444444431E-2</v>
      </c>
      <c r="N342" s="46" t="s">
        <v>309</v>
      </c>
      <c r="O342" s="47"/>
    </row>
    <row r="343" spans="1:15" ht="15" customHeight="1">
      <c r="A343" s="69">
        <v>46216</v>
      </c>
      <c r="B343" s="32">
        <f t="shared" si="77"/>
        <v>0.99999999999999956</v>
      </c>
      <c r="C343" s="33" t="s">
        <v>29</v>
      </c>
      <c r="D343" s="62" t="s">
        <v>30</v>
      </c>
      <c r="E343" s="62" t="s">
        <v>261</v>
      </c>
      <c r="F343" s="27">
        <v>10</v>
      </c>
      <c r="G343" s="34">
        <f t="shared" si="75"/>
        <v>42</v>
      </c>
      <c r="H343" s="33"/>
      <c r="I343" s="33"/>
      <c r="J343" s="33"/>
      <c r="K343" s="29"/>
      <c r="L343" s="29"/>
      <c r="M343" s="35" t="str">
        <f t="shared" ca="1" si="76"/>
        <v/>
      </c>
      <c r="N343" s="46"/>
      <c r="O343" s="47"/>
    </row>
    <row r="344" spans="1:15" ht="15" customHeight="1">
      <c r="A344" s="68">
        <v>46216</v>
      </c>
      <c r="B344" s="25">
        <f t="shared" si="77"/>
        <v>1.0416666666666663</v>
      </c>
      <c r="C344" s="33" t="s">
        <v>29</v>
      </c>
      <c r="D344" s="62" t="s">
        <v>30</v>
      </c>
      <c r="E344" s="62" t="s">
        <v>261</v>
      </c>
      <c r="F344" s="27">
        <v>5</v>
      </c>
      <c r="G344" s="28">
        <f t="shared" si="75"/>
        <v>21</v>
      </c>
      <c r="H344" s="26"/>
      <c r="I344" s="26"/>
      <c r="J344" s="26"/>
      <c r="K344" s="29"/>
      <c r="L344" s="29"/>
      <c r="M344" s="30" t="str">
        <f t="shared" ca="1" si="76"/>
        <v/>
      </c>
      <c r="N344" s="46"/>
      <c r="O344" s="47"/>
    </row>
    <row r="345" spans="1:15" ht="15" customHeight="1">
      <c r="A345" s="69">
        <v>46216</v>
      </c>
      <c r="B345" s="32">
        <f t="shared" si="77"/>
        <v>1.083333333333333</v>
      </c>
      <c r="C345" s="33" t="s">
        <v>29</v>
      </c>
      <c r="D345" s="62" t="s">
        <v>30</v>
      </c>
      <c r="E345" s="62" t="s">
        <v>261</v>
      </c>
      <c r="F345" s="27">
        <v>5</v>
      </c>
      <c r="G345" s="34">
        <f t="shared" si="75"/>
        <v>21</v>
      </c>
      <c r="H345" s="33"/>
      <c r="I345" s="33"/>
      <c r="J345" s="33"/>
      <c r="K345" s="29"/>
      <c r="L345" s="29"/>
      <c r="M345" s="35" t="str">
        <f t="shared" ca="1" si="76"/>
        <v/>
      </c>
      <c r="N345" s="46"/>
      <c r="O345" s="47"/>
    </row>
    <row r="346" spans="1:15" ht="15" customHeight="1">
      <c r="A346" s="68">
        <v>46216</v>
      </c>
      <c r="B346" s="25">
        <f t="shared" si="77"/>
        <v>1.1249999999999998</v>
      </c>
      <c r="C346" s="33" t="s">
        <v>29</v>
      </c>
      <c r="D346" s="62" t="s">
        <v>30</v>
      </c>
      <c r="E346" s="62" t="s">
        <v>261</v>
      </c>
      <c r="F346" s="27">
        <v>10</v>
      </c>
      <c r="G346" s="28">
        <f t="shared" si="75"/>
        <v>42</v>
      </c>
      <c r="H346" s="26"/>
      <c r="I346" s="26"/>
      <c r="J346" s="26"/>
      <c r="K346" s="29"/>
      <c r="L346" s="29"/>
      <c r="M346" s="30" t="str">
        <f t="shared" ca="1" si="76"/>
        <v/>
      </c>
      <c r="N346" s="46"/>
      <c r="O346" s="47"/>
    </row>
    <row r="347" spans="1:15" ht="15" customHeight="1">
      <c r="A347" s="69">
        <v>46216</v>
      </c>
      <c r="B347" s="32">
        <f t="shared" si="77"/>
        <v>1.1666666666666665</v>
      </c>
      <c r="C347" s="33" t="s">
        <v>29</v>
      </c>
      <c r="D347" s="62" t="s">
        <v>30</v>
      </c>
      <c r="E347" s="62" t="s">
        <v>261</v>
      </c>
      <c r="F347" s="27">
        <v>10</v>
      </c>
      <c r="G347" s="34">
        <f t="shared" si="75"/>
        <v>42</v>
      </c>
      <c r="H347" s="33"/>
      <c r="I347" s="33"/>
      <c r="J347" s="33"/>
      <c r="K347" s="29"/>
      <c r="L347" s="29"/>
      <c r="M347" s="35" t="str">
        <f t="shared" ca="1" si="76"/>
        <v/>
      </c>
      <c r="N347" s="46"/>
      <c r="O347" s="47"/>
    </row>
    <row r="348" spans="1:15" ht="15" customHeight="1">
      <c r="A348" s="68">
        <v>46216</v>
      </c>
      <c r="B348" s="25">
        <f t="shared" si="77"/>
        <v>1.2083333333333333</v>
      </c>
      <c r="C348" s="33" t="s">
        <v>29</v>
      </c>
      <c r="D348" s="62" t="s">
        <v>30</v>
      </c>
      <c r="E348" s="62" t="s">
        <v>261</v>
      </c>
      <c r="F348" s="27">
        <v>15</v>
      </c>
      <c r="G348" s="28">
        <f t="shared" si="75"/>
        <v>63</v>
      </c>
      <c r="H348" s="26"/>
      <c r="I348" s="26"/>
      <c r="J348" s="26"/>
      <c r="K348" s="29"/>
      <c r="L348" s="29"/>
      <c r="M348" s="30" t="str">
        <f t="shared" ca="1" si="76"/>
        <v/>
      </c>
      <c r="N348" s="46"/>
      <c r="O348" s="47"/>
    </row>
    <row r="349" spans="1:15" ht="15" customHeight="1">
      <c r="A349" s="69">
        <v>46216</v>
      </c>
      <c r="B349" s="32">
        <f t="shared" si="77"/>
        <v>1.25</v>
      </c>
      <c r="C349" s="33" t="s">
        <v>29</v>
      </c>
      <c r="D349" s="62" t="s">
        <v>30</v>
      </c>
      <c r="E349" s="62" t="s">
        <v>261</v>
      </c>
      <c r="F349" s="27">
        <v>5</v>
      </c>
      <c r="G349" s="34">
        <f t="shared" si="75"/>
        <v>21</v>
      </c>
      <c r="H349" s="33"/>
      <c r="I349" s="33"/>
      <c r="J349" s="33"/>
      <c r="K349" s="29"/>
      <c r="L349" s="29"/>
      <c r="M349" s="35" t="str">
        <f t="shared" ca="1" si="76"/>
        <v/>
      </c>
      <c r="N349" s="46"/>
      <c r="O349" s="47"/>
    </row>
    <row r="350" spans="1:15" ht="15" customHeight="1">
      <c r="A350" s="68">
        <v>46216</v>
      </c>
      <c r="B350" s="25">
        <f t="shared" si="77"/>
        <v>1.2916666666666667</v>
      </c>
      <c r="C350" s="33" t="s">
        <v>29</v>
      </c>
      <c r="D350" s="62" t="s">
        <v>30</v>
      </c>
      <c r="E350" s="62" t="s">
        <v>261</v>
      </c>
      <c r="F350" s="27">
        <v>10</v>
      </c>
      <c r="G350" s="28">
        <f t="shared" si="75"/>
        <v>42</v>
      </c>
      <c r="H350" s="26"/>
      <c r="I350" s="26"/>
      <c r="J350" s="26"/>
      <c r="K350" s="29"/>
      <c r="L350" s="29"/>
      <c r="M350" s="30" t="str">
        <f t="shared" ca="1" si="76"/>
        <v/>
      </c>
      <c r="N350" s="46"/>
      <c r="O350" s="47"/>
    </row>
    <row r="351" spans="1:15" ht="15.75" customHeight="1">
      <c r="A351" s="119" t="s">
        <v>238</v>
      </c>
      <c r="B351" s="120"/>
      <c r="C351" s="120"/>
      <c r="D351" s="120"/>
      <c r="E351" s="121">
        <f>SUM(E339:E350)</f>
        <v>0</v>
      </c>
      <c r="F351" s="36">
        <f>SUM(F339:F350)</f>
        <v>130</v>
      </c>
      <c r="G351" s="36">
        <f>SUM(G339:G350)</f>
        <v>546</v>
      </c>
      <c r="H351" s="37"/>
      <c r="I351" s="37"/>
      <c r="J351" s="37"/>
      <c r="K351" s="37"/>
      <c r="L351" s="37"/>
      <c r="M351" s="38">
        <f ca="1">IFERROR(SUM(M339:M350),"")</f>
        <v>4.166666666666663E-2</v>
      </c>
      <c r="N351" s="36" t="s">
        <v>237</v>
      </c>
      <c r="O351" s="77">
        <v>598420</v>
      </c>
    </row>
    <row r="352" spans="1:15" ht="18" customHeight="1">
      <c r="A352" s="122" t="s">
        <v>239</v>
      </c>
      <c r="B352" s="123"/>
      <c r="C352" s="123"/>
      <c r="D352" s="123"/>
      <c r="E352" s="124">
        <f>E338+E351</f>
        <v>0</v>
      </c>
      <c r="F352" s="40">
        <f>F338+F351</f>
        <v>327</v>
      </c>
      <c r="G352" s="40">
        <f>G338+G351</f>
        <v>1383</v>
      </c>
      <c r="H352" s="41"/>
      <c r="I352" s="41"/>
      <c r="J352" s="41"/>
      <c r="K352" s="41"/>
      <c r="L352" s="41"/>
      <c r="M352" s="42">
        <f ca="1">IFERROR(M338+M351,"")</f>
        <v>0.1111111111111111</v>
      </c>
      <c r="N352" s="40" t="s">
        <v>240</v>
      </c>
      <c r="O352" s="83">
        <f>IFERROR(O338+O351,"")</f>
        <v>1435420</v>
      </c>
    </row>
    <row r="353" spans="1:15" ht="15" customHeight="1">
      <c r="A353" s="69">
        <v>46217</v>
      </c>
      <c r="B353" s="32">
        <v>0.33333333333333298</v>
      </c>
      <c r="C353" s="33" t="s">
        <v>45</v>
      </c>
      <c r="D353" s="62" t="s">
        <v>30</v>
      </c>
      <c r="E353" s="62" t="s">
        <v>261</v>
      </c>
      <c r="F353" s="27">
        <v>16</v>
      </c>
      <c r="G353" s="34">
        <f t="shared" ref="G353:G364" si="78">IF(F353="","",IF(E353="PC 17",F353*4.2,IF(E353="PC 19",F353*5,"")))</f>
        <v>67.2</v>
      </c>
      <c r="H353" s="33" t="s">
        <v>20</v>
      </c>
      <c r="I353" s="33" t="s">
        <v>157</v>
      </c>
      <c r="J353" s="33" t="s">
        <v>28</v>
      </c>
      <c r="K353" s="29">
        <v>0.36805555555555558</v>
      </c>
      <c r="L353" s="29">
        <v>0.37430555555555556</v>
      </c>
      <c r="M353" s="35">
        <f t="shared" ref="M353:M364" ca="1" si="79">IFERROR(IF(K353="","",IF(L353="",MOD(NOW()-K353,1),IF(L353&gt;=K353,L353-K353,L353+1-K353))),"")</f>
        <v>6.2499999999999778E-3</v>
      </c>
      <c r="N353" s="46"/>
      <c r="O353" s="47"/>
    </row>
    <row r="354" spans="1:15" ht="15" customHeight="1">
      <c r="A354" s="68">
        <v>46217</v>
      </c>
      <c r="B354" s="25">
        <f t="shared" ref="B354:B364" si="80">B353+TIME(0,60,0)</f>
        <v>0.37499999999999967</v>
      </c>
      <c r="C354" s="33" t="s">
        <v>45</v>
      </c>
      <c r="D354" s="62" t="s">
        <v>30</v>
      </c>
      <c r="E354" s="62" t="s">
        <v>261</v>
      </c>
      <c r="F354" s="27">
        <v>10</v>
      </c>
      <c r="G354" s="28">
        <f t="shared" si="78"/>
        <v>42</v>
      </c>
      <c r="H354" s="26" t="s">
        <v>20</v>
      </c>
      <c r="I354" s="26"/>
      <c r="J354" s="26" t="s">
        <v>28</v>
      </c>
      <c r="K354" s="29">
        <v>0.47222222222222221</v>
      </c>
      <c r="L354" s="29">
        <v>0.49583333333333335</v>
      </c>
      <c r="M354" s="30">
        <f t="shared" ca="1" si="79"/>
        <v>2.3611111111111138E-2</v>
      </c>
      <c r="N354" s="46"/>
      <c r="O354" s="47"/>
    </row>
    <row r="355" spans="1:15" ht="15" customHeight="1">
      <c r="A355" s="69">
        <v>46217</v>
      </c>
      <c r="B355" s="32">
        <f t="shared" si="80"/>
        <v>0.41666666666666635</v>
      </c>
      <c r="C355" s="33" t="s">
        <v>45</v>
      </c>
      <c r="D355" s="62" t="s">
        <v>30</v>
      </c>
      <c r="E355" s="62" t="s">
        <v>261</v>
      </c>
      <c r="F355" s="27">
        <v>14</v>
      </c>
      <c r="G355" s="34">
        <f t="shared" si="78"/>
        <v>58.800000000000004</v>
      </c>
      <c r="H355" s="33" t="s">
        <v>19</v>
      </c>
      <c r="I355" s="33" t="s">
        <v>157</v>
      </c>
      <c r="J355" s="33" t="s">
        <v>27</v>
      </c>
      <c r="K355" s="29">
        <v>0.52430555555555558</v>
      </c>
      <c r="L355" s="29">
        <v>0.54166666666666663</v>
      </c>
      <c r="M355" s="35">
        <f t="shared" ca="1" si="79"/>
        <v>1.7361111111111049E-2</v>
      </c>
      <c r="N355" s="46"/>
      <c r="O355" s="47"/>
    </row>
    <row r="356" spans="1:15" ht="15" customHeight="1">
      <c r="A356" s="68">
        <v>46217</v>
      </c>
      <c r="B356" s="25">
        <f t="shared" si="80"/>
        <v>0.45833333333333304</v>
      </c>
      <c r="C356" s="33" t="s">
        <v>45</v>
      </c>
      <c r="D356" s="62" t="s">
        <v>30</v>
      </c>
      <c r="E356" s="62" t="s">
        <v>261</v>
      </c>
      <c r="F356" s="27">
        <v>15</v>
      </c>
      <c r="G356" s="28">
        <f t="shared" si="78"/>
        <v>63</v>
      </c>
      <c r="H356" s="26" t="s">
        <v>20</v>
      </c>
      <c r="I356" s="26" t="s">
        <v>39</v>
      </c>
      <c r="J356" s="26" t="s">
        <v>129</v>
      </c>
      <c r="K356" s="29">
        <v>0.63888888888888884</v>
      </c>
      <c r="L356" s="29">
        <v>0.65277777777777779</v>
      </c>
      <c r="M356" s="30">
        <f t="shared" ca="1" si="79"/>
        <v>1.3888888888888951E-2</v>
      </c>
      <c r="N356" s="46"/>
      <c r="O356" s="47"/>
    </row>
    <row r="357" spans="1:15" ht="15" customHeight="1">
      <c r="A357" s="69">
        <v>46217</v>
      </c>
      <c r="B357" s="32">
        <f t="shared" si="80"/>
        <v>0.49999999999999972</v>
      </c>
      <c r="C357" s="33" t="s">
        <v>45</v>
      </c>
      <c r="D357" s="62" t="s">
        <v>30</v>
      </c>
      <c r="E357" s="62" t="s">
        <v>261</v>
      </c>
      <c r="F357" s="27">
        <v>10</v>
      </c>
      <c r="G357" s="34">
        <f t="shared" si="78"/>
        <v>42</v>
      </c>
      <c r="H357" s="33" t="s">
        <v>16</v>
      </c>
      <c r="I357" s="33"/>
      <c r="J357" s="33" t="s">
        <v>86</v>
      </c>
      <c r="K357" s="29">
        <v>0.67361111111111116</v>
      </c>
      <c r="L357" s="29">
        <v>0.72222222222222221</v>
      </c>
      <c r="M357" s="35">
        <f t="shared" ca="1" si="79"/>
        <v>4.8611111111111049E-2</v>
      </c>
      <c r="N357" s="46"/>
      <c r="O357" s="47"/>
    </row>
    <row r="358" spans="1:15" ht="15" customHeight="1">
      <c r="A358" s="68">
        <v>46217</v>
      </c>
      <c r="B358" s="25">
        <f t="shared" si="80"/>
        <v>0.54166666666666641</v>
      </c>
      <c r="C358" s="33" t="s">
        <v>45</v>
      </c>
      <c r="D358" s="62" t="s">
        <v>30</v>
      </c>
      <c r="E358" s="62" t="s">
        <v>261</v>
      </c>
      <c r="F358" s="27">
        <v>11</v>
      </c>
      <c r="G358" s="28">
        <f t="shared" si="78"/>
        <v>46.2</v>
      </c>
      <c r="H358" s="26"/>
      <c r="I358" s="26"/>
      <c r="J358" s="26"/>
      <c r="K358" s="29"/>
      <c r="L358" s="29"/>
      <c r="M358" s="30" t="str">
        <f t="shared" ca="1" si="79"/>
        <v/>
      </c>
      <c r="N358" s="46"/>
      <c r="O358" s="47"/>
    </row>
    <row r="359" spans="1:15" ht="15" customHeight="1">
      <c r="A359" s="69">
        <v>46217</v>
      </c>
      <c r="B359" s="32">
        <f t="shared" si="80"/>
        <v>0.58333333333333304</v>
      </c>
      <c r="C359" s="33" t="s">
        <v>45</v>
      </c>
      <c r="D359" s="62" t="s">
        <v>30</v>
      </c>
      <c r="E359" s="62" t="s">
        <v>261</v>
      </c>
      <c r="F359" s="27">
        <v>23</v>
      </c>
      <c r="G359" s="34">
        <f t="shared" si="78"/>
        <v>96.600000000000009</v>
      </c>
      <c r="H359" s="33"/>
      <c r="I359" s="33"/>
      <c r="J359" s="33"/>
      <c r="K359" s="29"/>
      <c r="L359" s="29"/>
      <c r="M359" s="35" t="str">
        <f t="shared" ca="1" si="79"/>
        <v/>
      </c>
      <c r="N359" s="46"/>
      <c r="O359" s="47"/>
    </row>
    <row r="360" spans="1:15" ht="15" customHeight="1">
      <c r="A360" s="68">
        <v>46217</v>
      </c>
      <c r="B360" s="25">
        <f t="shared" si="80"/>
        <v>0.62499999999999967</v>
      </c>
      <c r="C360" s="33" t="s">
        <v>45</v>
      </c>
      <c r="D360" s="62" t="s">
        <v>30</v>
      </c>
      <c r="E360" s="62" t="s">
        <v>261</v>
      </c>
      <c r="F360" s="27">
        <v>21</v>
      </c>
      <c r="G360" s="28">
        <f t="shared" si="78"/>
        <v>88.2</v>
      </c>
      <c r="H360" s="26"/>
      <c r="I360" s="26"/>
      <c r="J360" s="26"/>
      <c r="K360" s="29"/>
      <c r="L360" s="29"/>
      <c r="M360" s="30" t="str">
        <f t="shared" ca="1" si="79"/>
        <v/>
      </c>
      <c r="N360" s="46"/>
      <c r="O360" s="47"/>
    </row>
    <row r="361" spans="1:15" ht="15" customHeight="1">
      <c r="A361" s="69">
        <v>46217</v>
      </c>
      <c r="B361" s="32">
        <f t="shared" si="80"/>
        <v>0.6666666666666663</v>
      </c>
      <c r="C361" s="33" t="s">
        <v>45</v>
      </c>
      <c r="D361" s="62" t="s">
        <v>30</v>
      </c>
      <c r="E361" s="62" t="s">
        <v>261</v>
      </c>
      <c r="F361" s="27">
        <v>15</v>
      </c>
      <c r="G361" s="34">
        <f t="shared" si="78"/>
        <v>63</v>
      </c>
      <c r="H361" s="33"/>
      <c r="I361" s="33"/>
      <c r="J361" s="33"/>
      <c r="K361" s="29"/>
      <c r="L361" s="29"/>
      <c r="M361" s="35" t="str">
        <f t="shared" ca="1" si="79"/>
        <v/>
      </c>
      <c r="N361" s="27"/>
      <c r="O361" s="47"/>
    </row>
    <row r="362" spans="1:15" ht="15" customHeight="1">
      <c r="A362" s="68">
        <v>46217</v>
      </c>
      <c r="B362" s="25">
        <f t="shared" si="80"/>
        <v>0.70833333333333293</v>
      </c>
      <c r="C362" s="33" t="s">
        <v>45</v>
      </c>
      <c r="D362" s="62" t="s">
        <v>30</v>
      </c>
      <c r="E362" s="62" t="s">
        <v>261</v>
      </c>
      <c r="F362" s="27">
        <v>0</v>
      </c>
      <c r="G362" s="28">
        <f t="shared" si="78"/>
        <v>0</v>
      </c>
      <c r="H362" s="26"/>
      <c r="I362" s="26"/>
      <c r="J362" s="26"/>
      <c r="K362" s="29"/>
      <c r="L362" s="29"/>
      <c r="M362" s="30" t="str">
        <f t="shared" ca="1" si="79"/>
        <v/>
      </c>
      <c r="N362" s="27"/>
      <c r="O362" s="47"/>
    </row>
    <row r="363" spans="1:15" ht="15" customHeight="1">
      <c r="A363" s="69">
        <v>46217</v>
      </c>
      <c r="B363" s="32">
        <f t="shared" si="80"/>
        <v>0.74999999999999956</v>
      </c>
      <c r="C363" s="33" t="s">
        <v>45</v>
      </c>
      <c r="D363" s="62" t="s">
        <v>30</v>
      </c>
      <c r="E363" s="62" t="s">
        <v>261</v>
      </c>
      <c r="F363" s="27">
        <v>15</v>
      </c>
      <c r="G363" s="34">
        <f t="shared" si="78"/>
        <v>63</v>
      </c>
      <c r="H363" s="33"/>
      <c r="I363" s="33"/>
      <c r="J363" s="33"/>
      <c r="K363" s="29"/>
      <c r="L363" s="29"/>
      <c r="M363" s="35" t="str">
        <f t="shared" ca="1" si="79"/>
        <v/>
      </c>
      <c r="N363" s="46"/>
      <c r="O363" s="47"/>
    </row>
    <row r="364" spans="1:15" ht="15" customHeight="1">
      <c r="A364" s="68">
        <v>46217</v>
      </c>
      <c r="B364" s="25">
        <f t="shared" si="80"/>
        <v>0.79166666666666619</v>
      </c>
      <c r="C364" s="33" t="s">
        <v>45</v>
      </c>
      <c r="D364" s="62" t="s">
        <v>30</v>
      </c>
      <c r="E364" s="62" t="s">
        <v>261</v>
      </c>
      <c r="F364" s="27">
        <v>8</v>
      </c>
      <c r="G364" s="28">
        <f t="shared" si="78"/>
        <v>33.6</v>
      </c>
      <c r="H364" s="26"/>
      <c r="I364" s="26"/>
      <c r="J364" s="26"/>
      <c r="K364" s="29"/>
      <c r="L364" s="29"/>
      <c r="M364" s="30" t="str">
        <f t="shared" ca="1" si="79"/>
        <v/>
      </c>
      <c r="N364" s="46"/>
      <c r="O364" s="47"/>
    </row>
    <row r="365" spans="1:15" ht="15.75" customHeight="1">
      <c r="A365" s="119" t="s">
        <v>236</v>
      </c>
      <c r="B365" s="120"/>
      <c r="C365" s="120"/>
      <c r="D365" s="120"/>
      <c r="E365" s="121">
        <f>SUM(E353:E364)</f>
        <v>0</v>
      </c>
      <c r="F365" s="36">
        <f>SUM(F353:F364)</f>
        <v>158</v>
      </c>
      <c r="G365" s="36">
        <f>SUM(G353:G364)</f>
        <v>663.6</v>
      </c>
      <c r="H365" s="37"/>
      <c r="I365" s="37"/>
      <c r="J365" s="37"/>
      <c r="K365" s="37"/>
      <c r="L365" s="37"/>
      <c r="M365" s="38">
        <f ca="1">IFERROR(SUM(M353:M364),"")</f>
        <v>0.10972222222222217</v>
      </c>
      <c r="N365" s="36" t="s">
        <v>237</v>
      </c>
      <c r="O365" s="77">
        <v>808550</v>
      </c>
    </row>
    <row r="366" spans="1:15" ht="15" customHeight="1">
      <c r="A366" s="68">
        <v>46217</v>
      </c>
      <c r="B366" s="25">
        <v>0.83333333333333304</v>
      </c>
      <c r="C366" s="26" t="s">
        <v>29</v>
      </c>
      <c r="D366" s="59" t="s">
        <v>30</v>
      </c>
      <c r="E366" s="59" t="s">
        <v>261</v>
      </c>
      <c r="F366" s="27">
        <v>16</v>
      </c>
      <c r="G366" s="28">
        <f t="shared" ref="G366:G377" si="81">IF(F366="","",IF(E366="PC 17",F366*4.2,IF(E366="PC 19",F366*5,"")))</f>
        <v>67.2</v>
      </c>
      <c r="H366" s="26" t="s">
        <v>20</v>
      </c>
      <c r="I366" s="26"/>
      <c r="J366" s="26" t="s">
        <v>129</v>
      </c>
      <c r="K366" s="29">
        <v>0.80486111111111114</v>
      </c>
      <c r="L366" s="29">
        <v>0.80625000000000002</v>
      </c>
      <c r="M366" s="30">
        <f t="shared" ref="M366:M377" ca="1" si="82">IFERROR(IF(K366="","",IF(L366="",MOD(NOW()-K366,1),IF(L366&gt;=K366,L366-K366,L366+1-K366))),"")</f>
        <v>1.388888888888884E-3</v>
      </c>
      <c r="N366" s="46"/>
      <c r="O366" s="47"/>
    </row>
    <row r="367" spans="1:15" ht="15" customHeight="1">
      <c r="A367" s="69">
        <v>46217</v>
      </c>
      <c r="B367" s="32">
        <f t="shared" ref="B367:B377" si="83">B366+TIME(0,60,0)</f>
        <v>0.87499999999999967</v>
      </c>
      <c r="C367" s="26" t="s">
        <v>29</v>
      </c>
      <c r="D367" s="59" t="s">
        <v>30</v>
      </c>
      <c r="E367" s="59" t="s">
        <v>261</v>
      </c>
      <c r="F367" s="27">
        <v>17</v>
      </c>
      <c r="G367" s="34">
        <f t="shared" si="81"/>
        <v>71.400000000000006</v>
      </c>
      <c r="H367" s="33" t="s">
        <v>20</v>
      </c>
      <c r="I367" s="33" t="s">
        <v>39</v>
      </c>
      <c r="J367" s="33" t="s">
        <v>129</v>
      </c>
      <c r="K367" s="29">
        <v>0.87361111111111112</v>
      </c>
      <c r="L367" s="29">
        <v>0.90694444444444444</v>
      </c>
      <c r="M367" s="35">
        <f t="shared" ca="1" si="82"/>
        <v>3.3333333333333326E-2</v>
      </c>
      <c r="N367" s="46"/>
      <c r="O367" s="47"/>
    </row>
    <row r="368" spans="1:15" ht="15" customHeight="1">
      <c r="A368" s="68">
        <v>46217</v>
      </c>
      <c r="B368" s="25">
        <f t="shared" si="83"/>
        <v>0.9166666666666663</v>
      </c>
      <c r="C368" s="26" t="s">
        <v>29</v>
      </c>
      <c r="D368" s="59" t="s">
        <v>30</v>
      </c>
      <c r="E368" s="59" t="s">
        <v>261</v>
      </c>
      <c r="F368" s="27">
        <v>9</v>
      </c>
      <c r="G368" s="28">
        <f t="shared" si="81"/>
        <v>37.800000000000004</v>
      </c>
      <c r="H368" s="26" t="s">
        <v>19</v>
      </c>
      <c r="I368" s="26" t="s">
        <v>39</v>
      </c>
      <c r="J368" s="26" t="s">
        <v>27</v>
      </c>
      <c r="K368" s="29">
        <v>0.90694444444444444</v>
      </c>
      <c r="L368" s="29">
        <v>0.91527777777777775</v>
      </c>
      <c r="M368" s="30">
        <f t="shared" ca="1" si="82"/>
        <v>8.3333333333333037E-3</v>
      </c>
      <c r="N368" s="46"/>
      <c r="O368" s="47"/>
    </row>
    <row r="369" spans="1:15" ht="15" customHeight="1">
      <c r="A369" s="69">
        <v>46217</v>
      </c>
      <c r="B369" s="32">
        <f t="shared" si="83"/>
        <v>0.95833333333333293</v>
      </c>
      <c r="C369" s="26" t="s">
        <v>29</v>
      </c>
      <c r="D369" s="59" t="s">
        <v>30</v>
      </c>
      <c r="E369" s="59" t="s">
        <v>261</v>
      </c>
      <c r="F369" s="27">
        <v>0</v>
      </c>
      <c r="G369" s="34">
        <f t="shared" si="81"/>
        <v>0</v>
      </c>
      <c r="H369" s="33" t="s">
        <v>19</v>
      </c>
      <c r="I369" s="33" t="s">
        <v>31</v>
      </c>
      <c r="J369" s="33" t="s">
        <v>27</v>
      </c>
      <c r="K369" s="29">
        <v>0.91527777777777775</v>
      </c>
      <c r="L369" s="29">
        <v>0.93194444444444446</v>
      </c>
      <c r="M369" s="35">
        <f t="shared" ca="1" si="82"/>
        <v>1.6666666666666718E-2</v>
      </c>
      <c r="N369" s="46"/>
      <c r="O369" s="47"/>
    </row>
    <row r="370" spans="1:15" ht="15" customHeight="1">
      <c r="A370" s="68">
        <v>46217</v>
      </c>
      <c r="B370" s="25">
        <f t="shared" si="83"/>
        <v>0.99999999999999956</v>
      </c>
      <c r="C370" s="26" t="s">
        <v>29</v>
      </c>
      <c r="D370" s="59" t="s">
        <v>30</v>
      </c>
      <c r="E370" s="59" t="s">
        <v>261</v>
      </c>
      <c r="F370" s="27">
        <v>20</v>
      </c>
      <c r="G370" s="28">
        <f t="shared" si="81"/>
        <v>84</v>
      </c>
      <c r="H370" s="26" t="s">
        <v>20</v>
      </c>
      <c r="I370" s="26" t="s">
        <v>155</v>
      </c>
      <c r="J370" s="26" t="s">
        <v>74</v>
      </c>
      <c r="K370" s="29">
        <v>0.99444444444444446</v>
      </c>
      <c r="L370" s="29">
        <v>0.99583333333333335</v>
      </c>
      <c r="M370" s="30">
        <f t="shared" ca="1" si="82"/>
        <v>1.388888888888884E-3</v>
      </c>
      <c r="N370" s="46"/>
      <c r="O370" s="47"/>
    </row>
    <row r="371" spans="1:15" ht="15" customHeight="1">
      <c r="A371" s="69">
        <v>46217</v>
      </c>
      <c r="B371" s="32">
        <f t="shared" si="83"/>
        <v>1.0416666666666663</v>
      </c>
      <c r="C371" s="26" t="s">
        <v>29</v>
      </c>
      <c r="D371" s="59" t="s">
        <v>30</v>
      </c>
      <c r="E371" s="59" t="s">
        <v>261</v>
      </c>
      <c r="F371" s="27">
        <v>7</v>
      </c>
      <c r="G371" s="34">
        <f t="shared" si="81"/>
        <v>29.400000000000002</v>
      </c>
      <c r="H371" s="33" t="s">
        <v>20</v>
      </c>
      <c r="I371" s="33"/>
      <c r="J371" s="33" t="s">
        <v>129</v>
      </c>
      <c r="K371" s="29">
        <v>1.4583333333333334E-2</v>
      </c>
      <c r="L371" s="29">
        <v>2.5000000000000001E-2</v>
      </c>
      <c r="M371" s="35">
        <f t="shared" ca="1" si="82"/>
        <v>1.0416666666666668E-2</v>
      </c>
      <c r="N371" s="46"/>
      <c r="O371" s="47"/>
    </row>
    <row r="372" spans="1:15" ht="15" customHeight="1">
      <c r="A372" s="68">
        <v>46217</v>
      </c>
      <c r="B372" s="25">
        <f t="shared" si="83"/>
        <v>1.083333333333333</v>
      </c>
      <c r="C372" s="26" t="s">
        <v>29</v>
      </c>
      <c r="D372" s="59" t="s">
        <v>30</v>
      </c>
      <c r="E372" s="59" t="s">
        <v>261</v>
      </c>
      <c r="F372" s="27">
        <v>10</v>
      </c>
      <c r="G372" s="28">
        <f t="shared" si="81"/>
        <v>42</v>
      </c>
      <c r="H372" s="26" t="s">
        <v>20</v>
      </c>
      <c r="I372" s="26" t="s">
        <v>39</v>
      </c>
      <c r="J372" s="26" t="s">
        <v>28</v>
      </c>
      <c r="K372" s="29">
        <v>5.4166666666666669E-2</v>
      </c>
      <c r="L372" s="29">
        <v>7.0833333333333331E-2</v>
      </c>
      <c r="M372" s="30">
        <f t="shared" ca="1" si="82"/>
        <v>1.6666666666666663E-2</v>
      </c>
      <c r="N372" s="46"/>
      <c r="O372" s="47"/>
    </row>
    <row r="373" spans="1:15" ht="15" customHeight="1">
      <c r="A373" s="69">
        <v>46217</v>
      </c>
      <c r="B373" s="32">
        <f t="shared" si="83"/>
        <v>1.1249999999999998</v>
      </c>
      <c r="C373" s="26" t="s">
        <v>29</v>
      </c>
      <c r="D373" s="59" t="s">
        <v>30</v>
      </c>
      <c r="E373" s="59" t="s">
        <v>261</v>
      </c>
      <c r="F373" s="27">
        <v>9</v>
      </c>
      <c r="G373" s="34">
        <f t="shared" si="81"/>
        <v>37.800000000000004</v>
      </c>
      <c r="H373" s="33" t="s">
        <v>20</v>
      </c>
      <c r="I373" s="33" t="s">
        <v>31</v>
      </c>
      <c r="J373" s="33" t="s">
        <v>132</v>
      </c>
      <c r="K373" s="29">
        <v>8.4027777777777785E-2</v>
      </c>
      <c r="L373" s="29">
        <v>0.10138888888888889</v>
      </c>
      <c r="M373" s="35">
        <f t="shared" ca="1" si="82"/>
        <v>1.7361111111111105E-2</v>
      </c>
      <c r="N373" s="46"/>
      <c r="O373" s="47"/>
    </row>
    <row r="374" spans="1:15" ht="15" customHeight="1">
      <c r="A374" s="68">
        <v>46217</v>
      </c>
      <c r="B374" s="25">
        <f t="shared" si="83"/>
        <v>1.1666666666666665</v>
      </c>
      <c r="C374" s="26" t="s">
        <v>29</v>
      </c>
      <c r="D374" s="59" t="s">
        <v>30</v>
      </c>
      <c r="E374" s="59"/>
      <c r="F374" s="27">
        <v>5</v>
      </c>
      <c r="G374" s="28" t="str">
        <f t="shared" si="81"/>
        <v/>
      </c>
      <c r="H374" s="26" t="s">
        <v>20</v>
      </c>
      <c r="I374" s="26" t="s">
        <v>31</v>
      </c>
      <c r="J374" s="26" t="s">
        <v>56</v>
      </c>
      <c r="K374" s="29">
        <v>0.13750000000000001</v>
      </c>
      <c r="L374" s="29">
        <v>0.15763888888888888</v>
      </c>
      <c r="M374" s="30">
        <f t="shared" ca="1" si="82"/>
        <v>2.0138888888888873E-2</v>
      </c>
      <c r="N374" s="46"/>
      <c r="O374" s="47"/>
    </row>
    <row r="375" spans="1:15" ht="15" customHeight="1">
      <c r="A375" s="69">
        <v>46217</v>
      </c>
      <c r="B375" s="32">
        <f t="shared" si="83"/>
        <v>1.2083333333333333</v>
      </c>
      <c r="C375" s="26" t="s">
        <v>29</v>
      </c>
      <c r="D375" s="59" t="s">
        <v>30</v>
      </c>
      <c r="E375" s="59"/>
      <c r="F375" s="27">
        <v>9</v>
      </c>
      <c r="G375" s="34" t="str">
        <f t="shared" si="81"/>
        <v/>
      </c>
      <c r="H375" s="33" t="s">
        <v>20</v>
      </c>
      <c r="I375" s="33"/>
      <c r="J375" s="33" t="s">
        <v>129</v>
      </c>
      <c r="K375" s="29">
        <v>0.20555555555555555</v>
      </c>
      <c r="L375" s="29">
        <v>0.21597222222222223</v>
      </c>
      <c r="M375" s="35">
        <f t="shared" ca="1" si="82"/>
        <v>1.0416666666666685E-2</v>
      </c>
      <c r="N375" s="46"/>
      <c r="O375" s="47"/>
    </row>
    <row r="376" spans="1:15" ht="15" customHeight="1">
      <c r="A376" s="68">
        <v>46217</v>
      </c>
      <c r="B376" s="25">
        <f t="shared" si="83"/>
        <v>1.25</v>
      </c>
      <c r="C376" s="26" t="s">
        <v>29</v>
      </c>
      <c r="D376" s="59" t="s">
        <v>30</v>
      </c>
      <c r="E376" s="59"/>
      <c r="F376" s="27">
        <v>0</v>
      </c>
      <c r="G376" s="28" t="str">
        <f t="shared" si="81"/>
        <v/>
      </c>
      <c r="H376" s="26" t="s">
        <v>19</v>
      </c>
      <c r="I376" s="26" t="s">
        <v>31</v>
      </c>
      <c r="J376" s="26" t="s">
        <v>27</v>
      </c>
      <c r="K376" s="29">
        <v>0.21597222222222223</v>
      </c>
      <c r="L376" s="29">
        <v>0.23749999999999999</v>
      </c>
      <c r="M376" s="30">
        <f t="shared" ca="1" si="82"/>
        <v>2.1527777777777757E-2</v>
      </c>
      <c r="N376" s="46"/>
      <c r="O376" s="47"/>
    </row>
    <row r="377" spans="1:15" ht="15" customHeight="1">
      <c r="A377" s="69">
        <v>46217</v>
      </c>
      <c r="B377" s="32">
        <f t="shared" si="83"/>
        <v>1.2916666666666667</v>
      </c>
      <c r="C377" s="26" t="s">
        <v>29</v>
      </c>
      <c r="D377" s="59" t="s">
        <v>30</v>
      </c>
      <c r="E377" s="59"/>
      <c r="F377" s="27">
        <v>0</v>
      </c>
      <c r="G377" s="34" t="str">
        <f t="shared" si="81"/>
        <v/>
      </c>
      <c r="H377" s="33" t="s">
        <v>20</v>
      </c>
      <c r="I377" s="33"/>
      <c r="J377" s="33" t="s">
        <v>129</v>
      </c>
      <c r="K377" s="29">
        <v>0.23958333333333334</v>
      </c>
      <c r="L377" s="29"/>
      <c r="M377" s="35">
        <f t="shared" ca="1" si="82"/>
        <v>0.59532754629617557</v>
      </c>
      <c r="N377" s="46"/>
      <c r="O377" s="47"/>
    </row>
    <row r="378" spans="1:15" ht="15.75" customHeight="1">
      <c r="A378" s="119" t="s">
        <v>238</v>
      </c>
      <c r="B378" s="120"/>
      <c r="C378" s="120"/>
      <c r="D378" s="120"/>
      <c r="E378" s="121">
        <f>SUM(E366:E377)</f>
        <v>0</v>
      </c>
      <c r="F378" s="36">
        <f>SUM(F366:F377)</f>
        <v>102</v>
      </c>
      <c r="G378" s="36">
        <f>SUM(G366:G377)</f>
        <v>369.6</v>
      </c>
      <c r="H378" s="37"/>
      <c r="I378" s="37"/>
      <c r="J378" s="37"/>
      <c r="K378" s="37"/>
      <c r="L378" s="37"/>
      <c r="M378" s="38">
        <f ca="1">IFERROR(SUM(M366:M377),"")</f>
        <v>0.75296643518506445</v>
      </c>
      <c r="N378" s="36" t="s">
        <v>237</v>
      </c>
      <c r="O378" s="77">
        <v>511980</v>
      </c>
    </row>
    <row r="379" spans="1:15" ht="18" customHeight="1">
      <c r="A379" s="122" t="s">
        <v>239</v>
      </c>
      <c r="B379" s="123"/>
      <c r="C379" s="123"/>
      <c r="D379" s="123"/>
      <c r="E379" s="124">
        <f>E365+E378</f>
        <v>0</v>
      </c>
      <c r="F379" s="40">
        <f>F365+F378</f>
        <v>260</v>
      </c>
      <c r="G379" s="40">
        <f>G365+G378</f>
        <v>1033.2</v>
      </c>
      <c r="H379" s="41"/>
      <c r="I379" s="41"/>
      <c r="J379" s="41"/>
      <c r="K379" s="41"/>
      <c r="L379" s="41"/>
      <c r="M379" s="42">
        <f ca="1">IFERROR(M365+M378,"")</f>
        <v>0.86268865740728662</v>
      </c>
      <c r="N379" s="40" t="s">
        <v>240</v>
      </c>
      <c r="O379" s="83">
        <f>IFERROR(O365+O378,"")</f>
        <v>1320530</v>
      </c>
    </row>
    <row r="380" spans="1:15" ht="15" customHeight="1">
      <c r="A380" s="68">
        <v>46218</v>
      </c>
      <c r="B380" s="25">
        <v>0.33333333333333298</v>
      </c>
      <c r="C380" s="26" t="s">
        <v>45</v>
      </c>
      <c r="D380" s="59" t="s">
        <v>30</v>
      </c>
      <c r="E380" s="59" t="s">
        <v>261</v>
      </c>
      <c r="F380" s="27">
        <v>17</v>
      </c>
      <c r="G380" s="28">
        <f t="shared" ref="G380:G391" si="84">IF(F380="","",IF(E380="PC 17",F380*4.2,IF(E380="PC 19",F380*5,"")))</f>
        <v>71.400000000000006</v>
      </c>
      <c r="H380" s="26" t="s">
        <v>18</v>
      </c>
      <c r="I380" s="26" t="s">
        <v>157</v>
      </c>
      <c r="J380" s="26" t="s">
        <v>119</v>
      </c>
      <c r="K380" s="29">
        <v>0.2986111111111111</v>
      </c>
      <c r="L380" s="29">
        <v>0.33333333333333331</v>
      </c>
      <c r="M380" s="30">
        <f t="shared" ref="M380:M391" ca="1" si="85">IFERROR(IF(K380="","",IF(L380="",MOD(NOW()-K380,1),IF(L380&gt;=K380,L380-K380,L380+1-K380))),"")</f>
        <v>3.472222222222221E-2</v>
      </c>
      <c r="N380" s="46"/>
      <c r="O380" s="47"/>
    </row>
    <row r="381" spans="1:15" ht="15" customHeight="1">
      <c r="A381" s="69">
        <v>46218</v>
      </c>
      <c r="B381" s="32">
        <f t="shared" ref="B381:B391" si="86">B380+TIME(0,60,0)</f>
        <v>0.37499999999999967</v>
      </c>
      <c r="C381" s="26" t="s">
        <v>45</v>
      </c>
      <c r="D381" s="59" t="s">
        <v>30</v>
      </c>
      <c r="E381" s="59" t="s">
        <v>261</v>
      </c>
      <c r="F381" s="27">
        <v>15</v>
      </c>
      <c r="G381" s="34">
        <f t="shared" si="84"/>
        <v>63</v>
      </c>
      <c r="H381" s="33" t="s">
        <v>18</v>
      </c>
      <c r="I381" s="33" t="s">
        <v>118</v>
      </c>
      <c r="J381" s="33" t="s">
        <v>214</v>
      </c>
      <c r="K381" s="29">
        <v>0.3888888888888889</v>
      </c>
      <c r="L381" s="29">
        <v>0.42569444444444443</v>
      </c>
      <c r="M381" s="35">
        <f t="shared" ca="1" si="85"/>
        <v>3.6805555555555536E-2</v>
      </c>
      <c r="N381" s="46"/>
      <c r="O381" s="47"/>
    </row>
    <row r="382" spans="1:15" ht="15" customHeight="1">
      <c r="A382" s="68">
        <v>46218</v>
      </c>
      <c r="B382" s="25">
        <f t="shared" si="86"/>
        <v>0.41666666666666635</v>
      </c>
      <c r="C382" s="26" t="s">
        <v>45</v>
      </c>
      <c r="D382" s="59" t="s">
        <v>30</v>
      </c>
      <c r="E382" s="59" t="s">
        <v>261</v>
      </c>
      <c r="F382" s="27">
        <v>8</v>
      </c>
      <c r="G382" s="28">
        <f t="shared" si="84"/>
        <v>33.6</v>
      </c>
      <c r="H382" s="26" t="s">
        <v>20</v>
      </c>
      <c r="I382" s="26" t="s">
        <v>39</v>
      </c>
      <c r="J382" s="33" t="s">
        <v>194</v>
      </c>
      <c r="K382" s="29">
        <v>0.43125000000000002</v>
      </c>
      <c r="L382" s="29">
        <v>0.43611111111111112</v>
      </c>
      <c r="M382" s="30">
        <f t="shared" ca="1" si="85"/>
        <v>4.8611111111110938E-3</v>
      </c>
      <c r="N382" s="46"/>
      <c r="O382" s="47"/>
    </row>
    <row r="383" spans="1:15" ht="15" customHeight="1">
      <c r="A383" s="69">
        <v>46218</v>
      </c>
      <c r="B383" s="32">
        <f t="shared" si="86"/>
        <v>0.45833333333333304</v>
      </c>
      <c r="C383" s="26" t="s">
        <v>45</v>
      </c>
      <c r="D383" s="59" t="s">
        <v>30</v>
      </c>
      <c r="E383" s="59" t="s">
        <v>261</v>
      </c>
      <c r="F383" s="27">
        <v>9</v>
      </c>
      <c r="G383" s="34">
        <f t="shared" si="84"/>
        <v>37.800000000000004</v>
      </c>
      <c r="H383" s="33" t="s">
        <v>20</v>
      </c>
      <c r="I383" s="33" t="s">
        <v>39</v>
      </c>
      <c r="J383" s="33" t="s">
        <v>28</v>
      </c>
      <c r="K383" s="29">
        <v>0.45833333333333331</v>
      </c>
      <c r="L383" s="29">
        <v>0.5</v>
      </c>
      <c r="M383" s="35">
        <f t="shared" ca="1" si="85"/>
        <v>4.1666666666666685E-2</v>
      </c>
      <c r="N383" s="46" t="s">
        <v>293</v>
      </c>
      <c r="O383" s="47"/>
    </row>
    <row r="384" spans="1:15" ht="15" customHeight="1">
      <c r="A384" s="68">
        <v>46218</v>
      </c>
      <c r="B384" s="25">
        <f t="shared" si="86"/>
        <v>0.49999999999999972</v>
      </c>
      <c r="C384" s="26" t="s">
        <v>45</v>
      </c>
      <c r="D384" s="59" t="s">
        <v>30</v>
      </c>
      <c r="E384" s="59" t="s">
        <v>261</v>
      </c>
      <c r="F384" s="27">
        <v>0</v>
      </c>
      <c r="G384" s="28">
        <f t="shared" si="84"/>
        <v>0</v>
      </c>
      <c r="H384" s="26" t="s">
        <v>16</v>
      </c>
      <c r="I384" s="26" t="s">
        <v>157</v>
      </c>
      <c r="J384" s="26" t="s">
        <v>86</v>
      </c>
      <c r="K384" s="29">
        <v>0.56944444444444442</v>
      </c>
      <c r="L384" s="29">
        <v>0.79166666666666663</v>
      </c>
      <c r="M384" s="30">
        <f t="shared" ca="1" si="85"/>
        <v>0.22222222222222221</v>
      </c>
      <c r="N384" s="46" t="s">
        <v>310</v>
      </c>
      <c r="O384" s="47"/>
    </row>
    <row r="385" spans="1:15" ht="15" customHeight="1">
      <c r="A385" s="69">
        <v>46218</v>
      </c>
      <c r="B385" s="32">
        <f t="shared" si="86"/>
        <v>0.54166666666666641</v>
      </c>
      <c r="C385" s="26" t="s">
        <v>45</v>
      </c>
      <c r="D385" s="59" t="s">
        <v>30</v>
      </c>
      <c r="E385" s="59" t="s">
        <v>261</v>
      </c>
      <c r="F385" s="27">
        <v>15</v>
      </c>
      <c r="G385" s="34">
        <f t="shared" si="84"/>
        <v>63</v>
      </c>
      <c r="H385" s="33"/>
      <c r="I385" s="33"/>
      <c r="J385" s="33"/>
      <c r="K385" s="29"/>
      <c r="L385" s="29"/>
      <c r="M385" s="35" t="str">
        <f t="shared" ca="1" si="85"/>
        <v/>
      </c>
      <c r="N385" s="46"/>
      <c r="O385" s="47"/>
    </row>
    <row r="386" spans="1:15" ht="15" customHeight="1">
      <c r="A386" s="68">
        <v>46218</v>
      </c>
      <c r="B386" s="25">
        <f t="shared" si="86"/>
        <v>0.58333333333333304</v>
      </c>
      <c r="C386" s="26" t="s">
        <v>45</v>
      </c>
      <c r="D386" s="59" t="s">
        <v>30</v>
      </c>
      <c r="E386" s="59" t="s">
        <v>261</v>
      </c>
      <c r="F386" s="27">
        <v>10</v>
      </c>
      <c r="G386" s="28">
        <f t="shared" si="84"/>
        <v>42</v>
      </c>
      <c r="H386" s="26"/>
      <c r="I386" s="26"/>
      <c r="J386" s="26"/>
      <c r="K386" s="29"/>
      <c r="L386" s="29"/>
      <c r="M386" s="30" t="str">
        <f t="shared" ca="1" si="85"/>
        <v/>
      </c>
      <c r="N386" s="46"/>
      <c r="O386" s="47"/>
    </row>
    <row r="387" spans="1:15" ht="15" customHeight="1">
      <c r="A387" s="69">
        <v>46218</v>
      </c>
      <c r="B387" s="32">
        <f t="shared" si="86"/>
        <v>0.62499999999999967</v>
      </c>
      <c r="C387" s="26" t="s">
        <v>45</v>
      </c>
      <c r="D387" s="59" t="s">
        <v>30</v>
      </c>
      <c r="E387" s="59" t="s">
        <v>261</v>
      </c>
      <c r="F387" s="27">
        <v>0</v>
      </c>
      <c r="G387" s="34">
        <f t="shared" si="84"/>
        <v>0</v>
      </c>
      <c r="H387" s="33"/>
      <c r="I387" s="33"/>
      <c r="J387" s="33"/>
      <c r="K387" s="29"/>
      <c r="L387" s="29"/>
      <c r="M387" s="35" t="str">
        <f t="shared" ca="1" si="85"/>
        <v/>
      </c>
      <c r="N387" s="46"/>
      <c r="O387" s="47"/>
    </row>
    <row r="388" spans="1:15" ht="15" customHeight="1">
      <c r="A388" s="68">
        <v>46218</v>
      </c>
      <c r="B388" s="25">
        <f t="shared" si="86"/>
        <v>0.6666666666666663</v>
      </c>
      <c r="C388" s="26" t="s">
        <v>45</v>
      </c>
      <c r="D388" s="59" t="s">
        <v>30</v>
      </c>
      <c r="E388" s="59" t="s">
        <v>261</v>
      </c>
      <c r="F388" s="27">
        <v>0</v>
      </c>
      <c r="G388" s="28">
        <f t="shared" si="84"/>
        <v>0</v>
      </c>
      <c r="H388" s="26"/>
      <c r="I388" s="26"/>
      <c r="J388" s="26"/>
      <c r="K388" s="29"/>
      <c r="L388" s="29"/>
      <c r="M388" s="30" t="str">
        <f t="shared" ca="1" si="85"/>
        <v/>
      </c>
      <c r="N388" s="46"/>
      <c r="O388" s="47"/>
    </row>
    <row r="389" spans="1:15" ht="15" customHeight="1">
      <c r="A389" s="69">
        <v>46218</v>
      </c>
      <c r="B389" s="32">
        <f t="shared" si="86"/>
        <v>0.70833333333333293</v>
      </c>
      <c r="C389" s="26" t="s">
        <v>45</v>
      </c>
      <c r="D389" s="59" t="s">
        <v>30</v>
      </c>
      <c r="E389" s="59" t="s">
        <v>261</v>
      </c>
      <c r="F389" s="27">
        <v>0</v>
      </c>
      <c r="G389" s="34">
        <f t="shared" si="84"/>
        <v>0</v>
      </c>
      <c r="H389" s="33"/>
      <c r="I389" s="33"/>
      <c r="J389" s="33"/>
      <c r="K389" s="29"/>
      <c r="L389" s="29"/>
      <c r="M389" s="35" t="str">
        <f t="shared" ca="1" si="85"/>
        <v/>
      </c>
      <c r="N389" s="46"/>
      <c r="O389" s="47"/>
    </row>
    <row r="390" spans="1:15" ht="15" customHeight="1">
      <c r="A390" s="68">
        <v>46218</v>
      </c>
      <c r="B390" s="25">
        <f t="shared" si="86"/>
        <v>0.74999999999999956</v>
      </c>
      <c r="C390" s="26" t="s">
        <v>45</v>
      </c>
      <c r="D390" s="59" t="s">
        <v>30</v>
      </c>
      <c r="E390" s="59" t="s">
        <v>261</v>
      </c>
      <c r="F390" s="27">
        <v>0</v>
      </c>
      <c r="G390" s="28">
        <f t="shared" si="84"/>
        <v>0</v>
      </c>
      <c r="H390" s="26"/>
      <c r="I390" s="26"/>
      <c r="J390" s="26"/>
      <c r="K390" s="29"/>
      <c r="L390" s="29"/>
      <c r="M390" s="30" t="str">
        <f t="shared" ca="1" si="85"/>
        <v/>
      </c>
      <c r="N390" s="46"/>
      <c r="O390" s="47"/>
    </row>
    <row r="391" spans="1:15" ht="15" customHeight="1">
      <c r="A391" s="69">
        <v>46218</v>
      </c>
      <c r="B391" s="32">
        <f t="shared" si="86"/>
        <v>0.79166666666666619</v>
      </c>
      <c r="C391" s="26" t="s">
        <v>45</v>
      </c>
      <c r="D391" s="59" t="s">
        <v>30</v>
      </c>
      <c r="E391" s="59" t="s">
        <v>261</v>
      </c>
      <c r="F391" s="27">
        <v>0</v>
      </c>
      <c r="G391" s="34">
        <f t="shared" si="84"/>
        <v>0</v>
      </c>
      <c r="H391" s="33"/>
      <c r="I391" s="33"/>
      <c r="J391" s="33"/>
      <c r="K391" s="29"/>
      <c r="L391" s="29"/>
      <c r="M391" s="35" t="str">
        <f t="shared" ca="1" si="85"/>
        <v/>
      </c>
      <c r="N391" s="46"/>
      <c r="O391" s="47"/>
    </row>
    <row r="392" spans="1:15" ht="15.75" customHeight="1">
      <c r="A392" s="119" t="s">
        <v>236</v>
      </c>
      <c r="B392" s="120"/>
      <c r="C392" s="120"/>
      <c r="D392" s="120"/>
      <c r="E392" s="121">
        <f>SUM(E380:E391)</f>
        <v>0</v>
      </c>
      <c r="F392" s="36">
        <f>SUM(F380:F391)</f>
        <v>74</v>
      </c>
      <c r="G392" s="36">
        <f>SUM(G380:G391)</f>
        <v>310.8</v>
      </c>
      <c r="H392" s="37"/>
      <c r="I392" s="37"/>
      <c r="J392" s="37"/>
      <c r="K392" s="37"/>
      <c r="L392" s="37"/>
      <c r="M392" s="38">
        <f ca="1">IFERROR(SUM(M380:M391),"")</f>
        <v>0.34027777777777773</v>
      </c>
      <c r="N392" s="36" t="s">
        <v>237</v>
      </c>
      <c r="O392" s="77">
        <v>281950</v>
      </c>
    </row>
    <row r="393" spans="1:15" ht="15" customHeight="1">
      <c r="A393" s="69">
        <v>46218</v>
      </c>
      <c r="B393" s="32">
        <v>0.83333333333333304</v>
      </c>
      <c r="C393" s="33" t="s">
        <v>29</v>
      </c>
      <c r="D393" s="62" t="s">
        <v>30</v>
      </c>
      <c r="E393" s="62" t="s">
        <v>261</v>
      </c>
      <c r="F393" s="27">
        <v>0</v>
      </c>
      <c r="G393" s="34">
        <f t="shared" ref="G393:G404" si="87">IF(F393="","",IF(E393="PC 17",F393*4.2,IF(E393="PC 19",F393*5,"")))</f>
        <v>0</v>
      </c>
      <c r="H393" s="33" t="s">
        <v>16</v>
      </c>
      <c r="I393" s="33" t="s">
        <v>157</v>
      </c>
      <c r="J393" s="33" t="s">
        <v>86</v>
      </c>
      <c r="K393" s="29">
        <v>0.79166666666666663</v>
      </c>
      <c r="L393" s="29">
        <v>0.85138888888888886</v>
      </c>
      <c r="M393" s="35">
        <f t="shared" ref="M393:M404" ca="1" si="88">IFERROR(IF(K393="","",IF(L393="",MOD(NOW()-K393,1),IF(L393&gt;=K393,L393-K393,L393+1-K393))),"")</f>
        <v>5.9722222222222232E-2</v>
      </c>
      <c r="N393" s="46" t="s">
        <v>311</v>
      </c>
      <c r="O393" s="47"/>
    </row>
    <row r="394" spans="1:15" ht="15" customHeight="1">
      <c r="A394" s="68">
        <v>46218</v>
      </c>
      <c r="B394" s="25">
        <f t="shared" ref="B394:B404" si="89">B393+TIME(0,60,0)</f>
        <v>0.87499999999999967</v>
      </c>
      <c r="C394" s="33" t="s">
        <v>29</v>
      </c>
      <c r="D394" s="62" t="s">
        <v>30</v>
      </c>
      <c r="E394" s="62" t="s">
        <v>261</v>
      </c>
      <c r="F394" s="27">
        <v>7</v>
      </c>
      <c r="G394" s="28">
        <f t="shared" si="87"/>
        <v>29.400000000000002</v>
      </c>
      <c r="H394" s="26" t="s">
        <v>20</v>
      </c>
      <c r="I394" s="26" t="s">
        <v>31</v>
      </c>
      <c r="J394" s="26" t="s">
        <v>36</v>
      </c>
      <c r="K394" s="29">
        <v>0.87222222222222223</v>
      </c>
      <c r="L394" s="29">
        <v>0.93263888888888891</v>
      </c>
      <c r="M394" s="30">
        <f t="shared" ca="1" si="88"/>
        <v>6.0416666666666674E-2</v>
      </c>
      <c r="N394" s="46" t="s">
        <v>252</v>
      </c>
      <c r="O394" s="47"/>
    </row>
    <row r="395" spans="1:15" ht="15" customHeight="1">
      <c r="A395" s="69">
        <v>46218</v>
      </c>
      <c r="B395" s="32">
        <f t="shared" si="89"/>
        <v>0.9166666666666663</v>
      </c>
      <c r="C395" s="33" t="s">
        <v>29</v>
      </c>
      <c r="D395" s="62" t="s">
        <v>30</v>
      </c>
      <c r="E395" s="62" t="s">
        <v>261</v>
      </c>
      <c r="F395" s="27">
        <v>10</v>
      </c>
      <c r="G395" s="34">
        <f t="shared" si="87"/>
        <v>42</v>
      </c>
      <c r="H395" s="33" t="s">
        <v>18</v>
      </c>
      <c r="I395" s="33" t="s">
        <v>63</v>
      </c>
      <c r="J395" s="33" t="s">
        <v>199</v>
      </c>
      <c r="K395" s="29">
        <v>4.1666666666666666E-3</v>
      </c>
      <c r="L395" s="29">
        <v>1.8749999999999999E-2</v>
      </c>
      <c r="M395" s="35">
        <f t="shared" ca="1" si="88"/>
        <v>1.4583333333333334E-2</v>
      </c>
      <c r="N395" s="46"/>
      <c r="O395" s="47"/>
    </row>
    <row r="396" spans="1:15" ht="15" customHeight="1">
      <c r="A396" s="68">
        <v>46218</v>
      </c>
      <c r="B396" s="25">
        <f t="shared" si="89"/>
        <v>0.95833333333333293</v>
      </c>
      <c r="C396" s="33" t="s">
        <v>29</v>
      </c>
      <c r="D396" s="62" t="s">
        <v>30</v>
      </c>
      <c r="E396" s="62" t="s">
        <v>261</v>
      </c>
      <c r="F396" s="27">
        <v>40</v>
      </c>
      <c r="G396" s="28">
        <f t="shared" si="87"/>
        <v>168</v>
      </c>
      <c r="H396" s="26" t="s">
        <v>17</v>
      </c>
      <c r="I396" s="26"/>
      <c r="J396" s="26" t="s">
        <v>25</v>
      </c>
      <c r="K396" s="29">
        <v>3.6805555555555557E-2</v>
      </c>
      <c r="L396" s="29">
        <v>4.9305555555555554E-2</v>
      </c>
      <c r="M396" s="30">
        <f t="shared" ca="1" si="88"/>
        <v>1.2499999999999997E-2</v>
      </c>
      <c r="N396" s="46"/>
      <c r="O396" s="47"/>
    </row>
    <row r="397" spans="1:15" ht="15" customHeight="1">
      <c r="A397" s="69">
        <v>46218</v>
      </c>
      <c r="B397" s="32">
        <f t="shared" si="89"/>
        <v>0.99999999999999956</v>
      </c>
      <c r="C397" s="33" t="s">
        <v>29</v>
      </c>
      <c r="D397" s="62" t="s">
        <v>30</v>
      </c>
      <c r="E397" s="62" t="s">
        <v>261</v>
      </c>
      <c r="F397" s="27">
        <v>10</v>
      </c>
      <c r="G397" s="34">
        <f t="shared" si="87"/>
        <v>42</v>
      </c>
      <c r="H397" s="33" t="s">
        <v>19</v>
      </c>
      <c r="I397" s="33" t="s">
        <v>39</v>
      </c>
      <c r="J397" s="33" t="s">
        <v>27</v>
      </c>
      <c r="K397" s="29">
        <v>0.24652777777777779</v>
      </c>
      <c r="L397" s="29">
        <v>0.25763888888888886</v>
      </c>
      <c r="M397" s="35">
        <f t="shared" ca="1" si="88"/>
        <v>1.1111111111111072E-2</v>
      </c>
      <c r="N397" s="46"/>
      <c r="O397" s="47"/>
    </row>
    <row r="398" spans="1:15" ht="15" customHeight="1">
      <c r="A398" s="68">
        <v>46218</v>
      </c>
      <c r="B398" s="25">
        <f t="shared" si="89"/>
        <v>1.0416666666666663</v>
      </c>
      <c r="C398" s="33" t="s">
        <v>29</v>
      </c>
      <c r="D398" s="62" t="s">
        <v>30</v>
      </c>
      <c r="E398" s="62" t="s">
        <v>261</v>
      </c>
      <c r="F398" s="27">
        <v>8</v>
      </c>
      <c r="G398" s="28">
        <f t="shared" si="87"/>
        <v>33.6</v>
      </c>
      <c r="H398" s="26"/>
      <c r="I398" s="26"/>
      <c r="J398" s="26"/>
      <c r="K398" s="29"/>
      <c r="L398" s="29"/>
      <c r="M398" s="30" t="str">
        <f t="shared" ca="1" si="88"/>
        <v/>
      </c>
      <c r="N398" s="46"/>
      <c r="O398" s="47"/>
    </row>
    <row r="399" spans="1:15" ht="15" customHeight="1">
      <c r="A399" s="69">
        <v>46218</v>
      </c>
      <c r="B399" s="32">
        <f t="shared" si="89"/>
        <v>1.083333333333333</v>
      </c>
      <c r="C399" s="33" t="s">
        <v>29</v>
      </c>
      <c r="D399" s="62" t="s">
        <v>30</v>
      </c>
      <c r="E399" s="62" t="s">
        <v>261</v>
      </c>
      <c r="F399" s="27">
        <v>11</v>
      </c>
      <c r="G399" s="34">
        <f t="shared" si="87"/>
        <v>46.2</v>
      </c>
      <c r="H399" s="33"/>
      <c r="I399" s="33"/>
      <c r="J399" s="33"/>
      <c r="K399" s="29"/>
      <c r="L399" s="29"/>
      <c r="M399" s="35" t="str">
        <f t="shared" ca="1" si="88"/>
        <v/>
      </c>
      <c r="N399" s="46"/>
      <c r="O399" s="47"/>
    </row>
    <row r="400" spans="1:15" ht="15" customHeight="1">
      <c r="A400" s="68">
        <v>46218</v>
      </c>
      <c r="B400" s="25">
        <f t="shared" si="89"/>
        <v>1.1249999999999998</v>
      </c>
      <c r="C400" s="33" t="s">
        <v>29</v>
      </c>
      <c r="D400" s="62" t="s">
        <v>30</v>
      </c>
      <c r="E400" s="62" t="s">
        <v>261</v>
      </c>
      <c r="F400" s="27">
        <v>7</v>
      </c>
      <c r="G400" s="28">
        <f t="shared" si="87"/>
        <v>29.400000000000002</v>
      </c>
      <c r="H400" s="26"/>
      <c r="I400" s="26"/>
      <c r="J400" s="26"/>
      <c r="K400" s="29"/>
      <c r="L400" s="29"/>
      <c r="M400" s="30" t="str">
        <f t="shared" ca="1" si="88"/>
        <v/>
      </c>
      <c r="N400" s="46"/>
      <c r="O400" s="47"/>
    </row>
    <row r="401" spans="1:15" ht="15" customHeight="1">
      <c r="A401" s="69">
        <v>46218</v>
      </c>
      <c r="B401" s="32">
        <f t="shared" si="89"/>
        <v>1.1666666666666665</v>
      </c>
      <c r="C401" s="33" t="s">
        <v>29</v>
      </c>
      <c r="D401" s="62" t="s">
        <v>30</v>
      </c>
      <c r="E401" s="62" t="s">
        <v>261</v>
      </c>
      <c r="F401" s="27">
        <v>10</v>
      </c>
      <c r="G401" s="34">
        <f t="shared" si="87"/>
        <v>42</v>
      </c>
      <c r="H401" s="33"/>
      <c r="I401" s="33"/>
      <c r="J401" s="33"/>
      <c r="K401" s="29"/>
      <c r="L401" s="29"/>
      <c r="M401" s="35" t="str">
        <f t="shared" ca="1" si="88"/>
        <v/>
      </c>
      <c r="N401" s="46"/>
      <c r="O401" s="47"/>
    </row>
    <row r="402" spans="1:15" ht="15" customHeight="1">
      <c r="A402" s="68">
        <v>46218</v>
      </c>
      <c r="B402" s="25">
        <f t="shared" si="89"/>
        <v>1.2083333333333333</v>
      </c>
      <c r="C402" s="33" t="s">
        <v>29</v>
      </c>
      <c r="D402" s="62" t="s">
        <v>30</v>
      </c>
      <c r="E402" s="62" t="s">
        <v>261</v>
      </c>
      <c r="F402" s="27">
        <v>4</v>
      </c>
      <c r="G402" s="28">
        <f t="shared" si="87"/>
        <v>16.8</v>
      </c>
      <c r="H402" s="26"/>
      <c r="I402" s="26"/>
      <c r="J402" s="26"/>
      <c r="K402" s="29"/>
      <c r="L402" s="29"/>
      <c r="M402" s="30" t="str">
        <f t="shared" ca="1" si="88"/>
        <v/>
      </c>
      <c r="N402" s="46"/>
      <c r="O402" s="47"/>
    </row>
    <row r="403" spans="1:15" ht="15" customHeight="1">
      <c r="A403" s="69">
        <v>46218</v>
      </c>
      <c r="B403" s="32">
        <f t="shared" si="89"/>
        <v>1.25</v>
      </c>
      <c r="C403" s="33" t="s">
        <v>29</v>
      </c>
      <c r="D403" s="62" t="s">
        <v>30</v>
      </c>
      <c r="E403" s="62" t="s">
        <v>261</v>
      </c>
      <c r="F403" s="27">
        <v>9</v>
      </c>
      <c r="G403" s="34">
        <f t="shared" si="87"/>
        <v>37.800000000000004</v>
      </c>
      <c r="H403" s="33"/>
      <c r="I403" s="33"/>
      <c r="J403" s="33"/>
      <c r="K403" s="29"/>
      <c r="L403" s="29"/>
      <c r="M403" s="35" t="str">
        <f t="shared" ca="1" si="88"/>
        <v/>
      </c>
      <c r="N403" s="46"/>
      <c r="O403" s="47"/>
    </row>
    <row r="404" spans="1:15" ht="15" customHeight="1">
      <c r="A404" s="68">
        <v>46218</v>
      </c>
      <c r="B404" s="25">
        <f t="shared" si="89"/>
        <v>1.2916666666666667</v>
      </c>
      <c r="C404" s="33" t="s">
        <v>29</v>
      </c>
      <c r="D404" s="62" t="s">
        <v>30</v>
      </c>
      <c r="E404" s="62" t="s">
        <v>261</v>
      </c>
      <c r="F404" s="27">
        <v>1</v>
      </c>
      <c r="G404" s="28">
        <f t="shared" si="87"/>
        <v>4.2</v>
      </c>
      <c r="H404" s="26"/>
      <c r="I404" s="26"/>
      <c r="J404" s="26"/>
      <c r="K404" s="29"/>
      <c r="L404" s="29"/>
      <c r="M404" s="30" t="str">
        <f t="shared" ca="1" si="88"/>
        <v/>
      </c>
      <c r="N404" s="46"/>
      <c r="O404" s="47"/>
    </row>
    <row r="405" spans="1:15" ht="15.75" customHeight="1">
      <c r="A405" s="119" t="s">
        <v>238</v>
      </c>
      <c r="B405" s="120"/>
      <c r="C405" s="120"/>
      <c r="D405" s="120"/>
      <c r="E405" s="121">
        <f>SUM(E393:E404)</f>
        <v>0</v>
      </c>
      <c r="F405" s="36">
        <f>SUM(F393:F404)</f>
        <v>117</v>
      </c>
      <c r="G405" s="36">
        <f>SUM(G393:G404)</f>
        <v>491.4</v>
      </c>
      <c r="H405" s="37"/>
      <c r="I405" s="37"/>
      <c r="J405" s="37"/>
      <c r="K405" s="37"/>
      <c r="L405" s="37"/>
      <c r="M405" s="38">
        <f ca="1">IFERROR(SUM(M393:M404),"")</f>
        <v>0.15833333333333333</v>
      </c>
      <c r="N405" s="36" t="s">
        <v>237</v>
      </c>
      <c r="O405" s="77">
        <v>552440</v>
      </c>
    </row>
    <row r="406" spans="1:15" ht="18" customHeight="1">
      <c r="A406" s="122" t="s">
        <v>239</v>
      </c>
      <c r="B406" s="123"/>
      <c r="C406" s="123"/>
      <c r="D406" s="123"/>
      <c r="E406" s="124">
        <f>E392+E405</f>
        <v>0</v>
      </c>
      <c r="F406" s="40">
        <f>F392+F405</f>
        <v>191</v>
      </c>
      <c r="G406" s="40">
        <f>G392+G405</f>
        <v>802.2</v>
      </c>
      <c r="H406" s="41"/>
      <c r="I406" s="41"/>
      <c r="J406" s="41"/>
      <c r="K406" s="41"/>
      <c r="L406" s="41"/>
      <c r="M406" s="42">
        <f ca="1">IFERROR(M392+M405,"")</f>
        <v>0.49861111111111106</v>
      </c>
      <c r="N406" s="40" t="s">
        <v>240</v>
      </c>
      <c r="O406" s="83">
        <f>IFERROR(O392+O405,"")</f>
        <v>834390</v>
      </c>
    </row>
    <row r="407" spans="1:15" ht="15" customHeight="1">
      <c r="A407" s="69">
        <v>46219</v>
      </c>
      <c r="B407" s="32">
        <v>0.33333333333333298</v>
      </c>
      <c r="C407" s="33" t="s">
        <v>45</v>
      </c>
      <c r="D407" s="62" t="s">
        <v>30</v>
      </c>
      <c r="E407" s="62" t="s">
        <v>261</v>
      </c>
      <c r="F407" s="27">
        <v>5</v>
      </c>
      <c r="G407" s="34">
        <f t="shared" ref="G407:G418" si="90">IF(F407="","",IF(E407="PC 17",F407*4.2,IF(E407="PC 19",F407*5,"")))</f>
        <v>21</v>
      </c>
      <c r="H407" s="26" t="s">
        <v>19</v>
      </c>
      <c r="I407" s="33" t="s">
        <v>31</v>
      </c>
      <c r="J407" s="33" t="s">
        <v>27</v>
      </c>
      <c r="K407" s="29">
        <v>0.29166666666666669</v>
      </c>
      <c r="L407" s="29">
        <v>0.3125</v>
      </c>
      <c r="M407" s="35">
        <f t="shared" ref="M407:M418" ca="1" si="91">IFERROR(IF(K407="","",IF(L407="",MOD(NOW()-K407,1),IF(L407&gt;=K407,L407-K407,L407+1-K407))),"")</f>
        <v>2.0833333333333315E-2</v>
      </c>
      <c r="N407" s="46"/>
      <c r="O407" s="47"/>
    </row>
    <row r="408" spans="1:15" ht="15" customHeight="1">
      <c r="A408" s="68">
        <v>46219</v>
      </c>
      <c r="B408" s="25">
        <f t="shared" ref="B408:B418" si="92">B407+TIME(0,60,0)</f>
        <v>0.37499999999999967</v>
      </c>
      <c r="C408" s="33" t="s">
        <v>45</v>
      </c>
      <c r="D408" s="62" t="s">
        <v>30</v>
      </c>
      <c r="E408" s="62" t="s">
        <v>261</v>
      </c>
      <c r="F408" s="27">
        <v>22</v>
      </c>
      <c r="G408" s="28">
        <f t="shared" si="90"/>
        <v>92.4</v>
      </c>
      <c r="H408" s="26" t="s">
        <v>20</v>
      </c>
      <c r="I408" s="26" t="s">
        <v>39</v>
      </c>
      <c r="J408" s="26" t="s">
        <v>51</v>
      </c>
      <c r="K408" s="29">
        <v>0.32500000000000001</v>
      </c>
      <c r="L408" s="29">
        <v>0.32708333333333334</v>
      </c>
      <c r="M408" s="30">
        <f t="shared" ca="1" si="91"/>
        <v>2.0833333333333259E-3</v>
      </c>
      <c r="N408" s="46"/>
      <c r="O408" s="47"/>
    </row>
    <row r="409" spans="1:15" ht="15" customHeight="1">
      <c r="A409" s="69">
        <v>46219</v>
      </c>
      <c r="B409" s="32">
        <f t="shared" si="92"/>
        <v>0.41666666666666635</v>
      </c>
      <c r="C409" s="33" t="s">
        <v>45</v>
      </c>
      <c r="D409" s="62" t="s">
        <v>30</v>
      </c>
      <c r="E409" s="62" t="s">
        <v>261</v>
      </c>
      <c r="F409" s="27">
        <v>15</v>
      </c>
      <c r="G409" s="34">
        <f t="shared" si="90"/>
        <v>63</v>
      </c>
      <c r="H409" s="33" t="s">
        <v>20</v>
      </c>
      <c r="I409" s="33" t="s">
        <v>39</v>
      </c>
      <c r="J409" s="33" t="s">
        <v>36</v>
      </c>
      <c r="K409" s="29">
        <v>0.44791666666666669</v>
      </c>
      <c r="L409" s="29">
        <v>0.45833333333333331</v>
      </c>
      <c r="M409" s="35">
        <f t="shared" ca="1" si="91"/>
        <v>1.041666666666663E-2</v>
      </c>
      <c r="N409" s="46"/>
      <c r="O409" s="47"/>
    </row>
    <row r="410" spans="1:15" ht="15" customHeight="1">
      <c r="A410" s="68">
        <v>46219</v>
      </c>
      <c r="B410" s="25">
        <f t="shared" si="92"/>
        <v>0.45833333333333304</v>
      </c>
      <c r="C410" s="33" t="s">
        <v>45</v>
      </c>
      <c r="D410" s="62" t="s">
        <v>30</v>
      </c>
      <c r="E410" s="62" t="s">
        <v>261</v>
      </c>
      <c r="F410" s="27">
        <v>12</v>
      </c>
      <c r="G410" s="28">
        <f t="shared" si="90"/>
        <v>50.400000000000006</v>
      </c>
      <c r="H410" s="26" t="s">
        <v>17</v>
      </c>
      <c r="I410" s="26"/>
      <c r="J410" s="26" t="s">
        <v>25</v>
      </c>
      <c r="K410" s="29">
        <v>0.47569444444444442</v>
      </c>
      <c r="L410" s="29">
        <v>0.5</v>
      </c>
      <c r="M410" s="30">
        <f t="shared" ca="1" si="91"/>
        <v>2.430555555555558E-2</v>
      </c>
      <c r="N410" s="46"/>
      <c r="O410" s="47"/>
    </row>
    <row r="411" spans="1:15" ht="15" customHeight="1">
      <c r="A411" s="69">
        <v>46219</v>
      </c>
      <c r="B411" s="32">
        <f t="shared" si="92"/>
        <v>0.49999999999999972</v>
      </c>
      <c r="C411" s="33" t="s">
        <v>45</v>
      </c>
      <c r="D411" s="62" t="s">
        <v>30</v>
      </c>
      <c r="E411" s="62" t="s">
        <v>261</v>
      </c>
      <c r="F411" s="27">
        <v>9</v>
      </c>
      <c r="G411" s="34">
        <f t="shared" si="90"/>
        <v>37.800000000000004</v>
      </c>
      <c r="H411" s="33" t="s">
        <v>17</v>
      </c>
      <c r="I411" s="33" t="s">
        <v>136</v>
      </c>
      <c r="J411" s="33" t="s">
        <v>49</v>
      </c>
      <c r="K411" s="29">
        <v>0.5</v>
      </c>
      <c r="L411" s="29">
        <v>0.54027777777777775</v>
      </c>
      <c r="M411" s="35">
        <f t="shared" ca="1" si="91"/>
        <v>4.0277777777777746E-2</v>
      </c>
      <c r="N411" s="46"/>
      <c r="O411" s="47"/>
    </row>
    <row r="412" spans="1:15" ht="15" customHeight="1">
      <c r="A412" s="68">
        <v>46219</v>
      </c>
      <c r="B412" s="25">
        <f t="shared" si="92"/>
        <v>0.54166666666666641</v>
      </c>
      <c r="C412" s="33" t="s">
        <v>45</v>
      </c>
      <c r="D412" s="62" t="s">
        <v>30</v>
      </c>
      <c r="E412" s="62" t="s">
        <v>261</v>
      </c>
      <c r="F412" s="27">
        <v>0</v>
      </c>
      <c r="G412" s="34">
        <f t="shared" si="90"/>
        <v>0</v>
      </c>
      <c r="H412" s="26" t="s">
        <v>17</v>
      </c>
      <c r="I412" s="26"/>
      <c r="J412" s="26" t="s">
        <v>25</v>
      </c>
      <c r="K412" s="29">
        <v>0.65694444444444444</v>
      </c>
      <c r="L412" s="29">
        <v>0.68055555555555558</v>
      </c>
      <c r="M412" s="30">
        <f t="shared" ca="1" si="91"/>
        <v>2.3611111111111138E-2</v>
      </c>
      <c r="N412" s="46"/>
      <c r="O412" s="47"/>
    </row>
    <row r="413" spans="1:15" ht="15" customHeight="1">
      <c r="A413" s="69">
        <v>46219</v>
      </c>
      <c r="B413" s="32">
        <f t="shared" si="92"/>
        <v>0.58333333333333304</v>
      </c>
      <c r="C413" s="33" t="s">
        <v>45</v>
      </c>
      <c r="D413" s="62" t="s">
        <v>30</v>
      </c>
      <c r="E413" s="62" t="s">
        <v>261</v>
      </c>
      <c r="F413" s="27">
        <v>15</v>
      </c>
      <c r="G413" s="34">
        <f t="shared" si="90"/>
        <v>63</v>
      </c>
      <c r="H413" s="33" t="s">
        <v>19</v>
      </c>
      <c r="I413" s="33" t="s">
        <v>39</v>
      </c>
      <c r="J413" s="33" t="s">
        <v>27</v>
      </c>
      <c r="K413" s="29">
        <v>0.65694444444444444</v>
      </c>
      <c r="L413" s="29">
        <v>0.68055555555555558</v>
      </c>
      <c r="M413" s="35">
        <f t="shared" ca="1" si="91"/>
        <v>2.3611111111111138E-2</v>
      </c>
      <c r="N413" s="46"/>
      <c r="O413" s="47"/>
    </row>
    <row r="414" spans="1:15" ht="15" customHeight="1">
      <c r="A414" s="68">
        <v>46219</v>
      </c>
      <c r="B414" s="25">
        <f t="shared" si="92"/>
        <v>0.62499999999999967</v>
      </c>
      <c r="C414" s="33" t="s">
        <v>45</v>
      </c>
      <c r="D414" s="62" t="s">
        <v>30</v>
      </c>
      <c r="E414" s="62" t="s">
        <v>261</v>
      </c>
      <c r="F414" s="27">
        <v>10</v>
      </c>
      <c r="G414" s="34">
        <f t="shared" si="90"/>
        <v>42</v>
      </c>
      <c r="H414" s="26"/>
      <c r="I414" s="26"/>
      <c r="J414" s="26"/>
      <c r="K414" s="29"/>
      <c r="L414" s="29"/>
      <c r="M414" s="30" t="str">
        <f t="shared" ca="1" si="91"/>
        <v/>
      </c>
      <c r="N414" s="46"/>
      <c r="O414" s="47"/>
    </row>
    <row r="415" spans="1:15" ht="15" customHeight="1">
      <c r="A415" s="69">
        <v>46219</v>
      </c>
      <c r="B415" s="32">
        <f t="shared" si="92"/>
        <v>0.6666666666666663</v>
      </c>
      <c r="C415" s="33" t="s">
        <v>45</v>
      </c>
      <c r="D415" s="62" t="s">
        <v>30</v>
      </c>
      <c r="E415" s="62" t="s">
        <v>234</v>
      </c>
      <c r="F415" s="27">
        <v>12</v>
      </c>
      <c r="G415" s="34">
        <f t="shared" si="90"/>
        <v>60</v>
      </c>
      <c r="H415" s="33"/>
      <c r="I415" s="33"/>
      <c r="J415" s="33"/>
      <c r="K415" s="29"/>
      <c r="L415" s="29"/>
      <c r="M415" s="35" t="str">
        <f t="shared" ca="1" si="91"/>
        <v/>
      </c>
      <c r="N415" s="46"/>
      <c r="O415" s="47"/>
    </row>
    <row r="416" spans="1:15" ht="15" customHeight="1">
      <c r="A416" s="68">
        <v>46219</v>
      </c>
      <c r="B416" s="25">
        <f t="shared" si="92"/>
        <v>0.70833333333333293</v>
      </c>
      <c r="C416" s="33" t="s">
        <v>45</v>
      </c>
      <c r="D416" s="62" t="s">
        <v>30</v>
      </c>
      <c r="E416" s="62" t="s">
        <v>234</v>
      </c>
      <c r="F416" s="27">
        <v>4</v>
      </c>
      <c r="G416" s="28">
        <f t="shared" si="90"/>
        <v>20</v>
      </c>
      <c r="H416" s="26"/>
      <c r="I416" s="26"/>
      <c r="J416" s="26"/>
      <c r="K416" s="29"/>
      <c r="L416" s="29"/>
      <c r="M416" s="30" t="str">
        <f t="shared" ca="1" si="91"/>
        <v/>
      </c>
      <c r="N416" s="46"/>
      <c r="O416" s="47"/>
    </row>
    <row r="417" spans="1:15" ht="15" customHeight="1">
      <c r="A417" s="69">
        <v>46219</v>
      </c>
      <c r="B417" s="32">
        <f t="shared" si="92"/>
        <v>0.74999999999999956</v>
      </c>
      <c r="C417" s="33" t="s">
        <v>45</v>
      </c>
      <c r="D417" s="62" t="s">
        <v>30</v>
      </c>
      <c r="E417" s="62" t="s">
        <v>261</v>
      </c>
      <c r="F417" s="27">
        <v>24</v>
      </c>
      <c r="G417" s="34">
        <f t="shared" si="90"/>
        <v>100.80000000000001</v>
      </c>
      <c r="H417" s="33"/>
      <c r="I417" s="33"/>
      <c r="J417" s="33"/>
      <c r="K417" s="29"/>
      <c r="L417" s="29"/>
      <c r="M417" s="35" t="str">
        <f t="shared" ca="1" si="91"/>
        <v/>
      </c>
      <c r="N417" s="46"/>
      <c r="O417" s="47"/>
    </row>
    <row r="418" spans="1:15" ht="15" customHeight="1">
      <c r="A418" s="68">
        <v>46219</v>
      </c>
      <c r="B418" s="25">
        <f t="shared" si="92"/>
        <v>0.79166666666666619</v>
      </c>
      <c r="C418" s="33" t="s">
        <v>45</v>
      </c>
      <c r="D418" s="62" t="s">
        <v>30</v>
      </c>
      <c r="E418" s="62" t="s">
        <v>261</v>
      </c>
      <c r="F418" s="27">
        <v>11</v>
      </c>
      <c r="G418" s="28">
        <f t="shared" si="90"/>
        <v>46.2</v>
      </c>
      <c r="H418" s="26"/>
      <c r="I418" s="26"/>
      <c r="J418" s="26"/>
      <c r="K418" s="29"/>
      <c r="L418" s="29"/>
      <c r="M418" s="30" t="str">
        <f t="shared" ca="1" si="91"/>
        <v/>
      </c>
      <c r="N418" s="46"/>
      <c r="O418" s="47"/>
    </row>
    <row r="419" spans="1:15" ht="15.75" customHeight="1">
      <c r="A419" s="119" t="s">
        <v>236</v>
      </c>
      <c r="B419" s="120"/>
      <c r="C419" s="120"/>
      <c r="D419" s="120"/>
      <c r="E419" s="121">
        <f>SUM(E407:E418)</f>
        <v>0</v>
      </c>
      <c r="F419" s="36">
        <f>SUM(F407:F418)</f>
        <v>139</v>
      </c>
      <c r="G419" s="36">
        <f>SUM(G407:G418)</f>
        <v>596.60000000000014</v>
      </c>
      <c r="H419" s="37"/>
      <c r="I419" s="37"/>
      <c r="J419" s="37"/>
      <c r="K419" s="37"/>
      <c r="L419" s="37"/>
      <c r="M419" s="38">
        <f ca="1">IFERROR(SUM(M407:M418),"")</f>
        <v>0.14513888888888887</v>
      </c>
      <c r="N419" s="36" t="s">
        <v>237</v>
      </c>
      <c r="O419" s="77">
        <v>700000</v>
      </c>
    </row>
    <row r="420" spans="1:15" ht="15" customHeight="1">
      <c r="A420" s="68">
        <v>46219</v>
      </c>
      <c r="B420" s="25">
        <v>0.83333333333333304</v>
      </c>
      <c r="C420" s="26" t="s">
        <v>29</v>
      </c>
      <c r="D420" s="59" t="s">
        <v>30</v>
      </c>
      <c r="E420" s="59" t="s">
        <v>261</v>
      </c>
      <c r="F420" s="27">
        <v>4</v>
      </c>
      <c r="G420" s="28">
        <f t="shared" ref="G420:G431" si="93">IF(F420="","",IF(E420="PC 17",F420*4.2,IF(E420="PC 19",F420*5,"")))</f>
        <v>16.8</v>
      </c>
      <c r="H420" s="26" t="s">
        <v>18</v>
      </c>
      <c r="I420" s="26" t="s">
        <v>166</v>
      </c>
      <c r="J420" s="26" t="s">
        <v>215</v>
      </c>
      <c r="K420" s="29">
        <v>0.81666666666666665</v>
      </c>
      <c r="L420" s="29">
        <v>0.95138888888888884</v>
      </c>
      <c r="M420" s="30">
        <f t="shared" ref="M420:M431" ca="1" si="94">IFERROR(IF(K420="","",IF(L420="",MOD(NOW()-K420,1),IF(L420&gt;=K420,L420-K420,L420+1-K420))),"")</f>
        <v>0.13472222222222219</v>
      </c>
      <c r="N420" s="46"/>
      <c r="O420" s="47"/>
    </row>
    <row r="421" spans="1:15" ht="15" customHeight="1">
      <c r="A421" s="69">
        <v>46219</v>
      </c>
      <c r="B421" s="32">
        <f t="shared" ref="B421:B431" si="95">B420+TIME(0,60,0)</f>
        <v>0.87499999999999967</v>
      </c>
      <c r="C421" s="26" t="s">
        <v>29</v>
      </c>
      <c r="D421" s="59" t="s">
        <v>30</v>
      </c>
      <c r="E421" s="59" t="s">
        <v>261</v>
      </c>
      <c r="F421" s="27">
        <v>0</v>
      </c>
      <c r="G421" s="34">
        <f t="shared" si="93"/>
        <v>0</v>
      </c>
      <c r="H421" s="33" t="s">
        <v>20</v>
      </c>
      <c r="I421" s="33" t="s">
        <v>39</v>
      </c>
      <c r="J421" s="33" t="s">
        <v>36</v>
      </c>
      <c r="K421" s="29">
        <v>0.95138888888888884</v>
      </c>
      <c r="L421" s="29">
        <v>0.96736111111111112</v>
      </c>
      <c r="M421" s="35">
        <f t="shared" ca="1" si="94"/>
        <v>1.5972222222222276E-2</v>
      </c>
      <c r="N421" s="46" t="s">
        <v>312</v>
      </c>
      <c r="O421" s="47"/>
    </row>
    <row r="422" spans="1:15" ht="15" customHeight="1">
      <c r="A422" s="68">
        <v>46219</v>
      </c>
      <c r="B422" s="25">
        <f t="shared" si="95"/>
        <v>0.9166666666666663</v>
      </c>
      <c r="C422" s="26" t="s">
        <v>29</v>
      </c>
      <c r="D422" s="59" t="s">
        <v>30</v>
      </c>
      <c r="E422" s="59" t="s">
        <v>261</v>
      </c>
      <c r="F422" s="27">
        <v>0</v>
      </c>
      <c r="G422" s="28">
        <f t="shared" si="93"/>
        <v>0</v>
      </c>
      <c r="H422" s="26" t="s">
        <v>19</v>
      </c>
      <c r="I422" s="26" t="s">
        <v>31</v>
      </c>
      <c r="J422" s="26" t="s">
        <v>27</v>
      </c>
      <c r="K422" s="29">
        <v>0.14930555555555555</v>
      </c>
      <c r="L422" s="29">
        <v>0.16944444444444445</v>
      </c>
      <c r="M422" s="30">
        <f t="shared" ca="1" si="94"/>
        <v>2.0138888888888901E-2</v>
      </c>
      <c r="N422" s="46"/>
      <c r="O422" s="47"/>
    </row>
    <row r="423" spans="1:15" ht="15" customHeight="1">
      <c r="A423" s="69">
        <v>46219</v>
      </c>
      <c r="B423" s="32">
        <f t="shared" si="95"/>
        <v>0.95833333333333293</v>
      </c>
      <c r="C423" s="26" t="s">
        <v>29</v>
      </c>
      <c r="D423" s="59" t="s">
        <v>30</v>
      </c>
      <c r="E423" s="59" t="s">
        <v>261</v>
      </c>
      <c r="F423" s="27">
        <v>0</v>
      </c>
      <c r="G423" s="34">
        <f t="shared" si="93"/>
        <v>0</v>
      </c>
      <c r="H423" s="33" t="s">
        <v>20</v>
      </c>
      <c r="I423" s="33" t="s">
        <v>39</v>
      </c>
      <c r="J423" s="33" t="s">
        <v>28</v>
      </c>
      <c r="K423" s="29">
        <v>0.26111111111111113</v>
      </c>
      <c r="L423" s="29"/>
      <c r="M423" s="35">
        <f t="shared" ca="1" si="94"/>
        <v>0.5737997685209848</v>
      </c>
      <c r="N423" s="46"/>
      <c r="O423" s="47"/>
    </row>
    <row r="424" spans="1:15" ht="15" customHeight="1">
      <c r="A424" s="68">
        <v>46219</v>
      </c>
      <c r="B424" s="25">
        <f t="shared" si="95"/>
        <v>0.99999999999999956</v>
      </c>
      <c r="C424" s="26" t="s">
        <v>29</v>
      </c>
      <c r="D424" s="59" t="s">
        <v>30</v>
      </c>
      <c r="E424" s="59" t="s">
        <v>261</v>
      </c>
      <c r="F424" s="27">
        <v>20</v>
      </c>
      <c r="G424" s="28">
        <f t="shared" si="93"/>
        <v>84</v>
      </c>
      <c r="H424" s="26"/>
      <c r="I424" s="26"/>
      <c r="J424" s="26"/>
      <c r="K424" s="29"/>
      <c r="L424" s="29"/>
      <c r="M424" s="30" t="str">
        <f t="shared" ca="1" si="94"/>
        <v/>
      </c>
      <c r="N424" s="46"/>
      <c r="O424" s="47"/>
    </row>
    <row r="425" spans="1:15" ht="15" customHeight="1">
      <c r="A425" s="69">
        <v>46219</v>
      </c>
      <c r="B425" s="32">
        <f t="shared" si="95"/>
        <v>1.0416666666666663</v>
      </c>
      <c r="C425" s="26" t="s">
        <v>29</v>
      </c>
      <c r="D425" s="59" t="s">
        <v>30</v>
      </c>
      <c r="E425" s="59" t="s">
        <v>261</v>
      </c>
      <c r="F425" s="27">
        <v>16</v>
      </c>
      <c r="G425" s="34">
        <f t="shared" si="93"/>
        <v>67.2</v>
      </c>
      <c r="H425" s="33"/>
      <c r="I425" s="33"/>
      <c r="J425" s="33"/>
      <c r="K425" s="29"/>
      <c r="L425" s="29"/>
      <c r="M425" s="35" t="str">
        <f t="shared" ca="1" si="94"/>
        <v/>
      </c>
      <c r="N425" s="46"/>
      <c r="O425" s="47"/>
    </row>
    <row r="426" spans="1:15" ht="15" customHeight="1">
      <c r="A426" s="68">
        <v>46219</v>
      </c>
      <c r="B426" s="25">
        <f t="shared" si="95"/>
        <v>1.083333333333333</v>
      </c>
      <c r="C426" s="26" t="s">
        <v>29</v>
      </c>
      <c r="D426" s="59" t="s">
        <v>30</v>
      </c>
      <c r="E426" s="59" t="s">
        <v>261</v>
      </c>
      <c r="F426" s="27">
        <v>14</v>
      </c>
      <c r="G426" s="28">
        <f t="shared" si="93"/>
        <v>58.800000000000004</v>
      </c>
      <c r="H426" s="26"/>
      <c r="I426" s="26"/>
      <c r="J426" s="26"/>
      <c r="K426" s="29"/>
      <c r="L426" s="29"/>
      <c r="M426" s="30" t="str">
        <f t="shared" ca="1" si="94"/>
        <v/>
      </c>
      <c r="N426" s="46"/>
      <c r="O426" s="47"/>
    </row>
    <row r="427" spans="1:15" ht="15" customHeight="1">
      <c r="A427" s="69">
        <v>46219</v>
      </c>
      <c r="B427" s="32">
        <f t="shared" si="95"/>
        <v>1.1249999999999998</v>
      </c>
      <c r="C427" s="26" t="s">
        <v>29</v>
      </c>
      <c r="D427" s="59" t="s">
        <v>30</v>
      </c>
      <c r="E427" s="59" t="s">
        <v>261</v>
      </c>
      <c r="F427" s="27">
        <v>20</v>
      </c>
      <c r="G427" s="34">
        <f t="shared" si="93"/>
        <v>84</v>
      </c>
      <c r="H427" s="33"/>
      <c r="I427" s="33"/>
      <c r="J427" s="33"/>
      <c r="K427" s="29"/>
      <c r="L427" s="29"/>
      <c r="M427" s="35" t="str">
        <f t="shared" ca="1" si="94"/>
        <v/>
      </c>
      <c r="N427" s="46"/>
      <c r="O427" s="47"/>
    </row>
    <row r="428" spans="1:15" ht="15" customHeight="1">
      <c r="A428" s="68">
        <v>46219</v>
      </c>
      <c r="B428" s="25">
        <f t="shared" si="95"/>
        <v>1.1666666666666665</v>
      </c>
      <c r="C428" s="26" t="s">
        <v>29</v>
      </c>
      <c r="D428" s="59" t="s">
        <v>30</v>
      </c>
      <c r="E428" s="59" t="s">
        <v>261</v>
      </c>
      <c r="F428" s="27">
        <v>11</v>
      </c>
      <c r="G428" s="28">
        <f t="shared" si="93"/>
        <v>46.2</v>
      </c>
      <c r="H428" s="26"/>
      <c r="I428" s="26"/>
      <c r="J428" s="26"/>
      <c r="K428" s="29"/>
      <c r="L428" s="29"/>
      <c r="M428" s="30" t="str">
        <f t="shared" ca="1" si="94"/>
        <v/>
      </c>
      <c r="N428" s="46"/>
      <c r="O428" s="47"/>
    </row>
    <row r="429" spans="1:15" ht="15" customHeight="1">
      <c r="A429" s="69">
        <v>46219</v>
      </c>
      <c r="B429" s="32">
        <f t="shared" si="95"/>
        <v>1.2083333333333333</v>
      </c>
      <c r="C429" s="26" t="s">
        <v>29</v>
      </c>
      <c r="D429" s="59" t="s">
        <v>30</v>
      </c>
      <c r="E429" s="59" t="s">
        <v>261</v>
      </c>
      <c r="F429" s="27">
        <v>12</v>
      </c>
      <c r="G429" s="34">
        <f t="shared" si="93"/>
        <v>50.400000000000006</v>
      </c>
      <c r="H429" s="33"/>
      <c r="I429" s="33"/>
      <c r="J429" s="33"/>
      <c r="K429" s="29"/>
      <c r="L429" s="29"/>
      <c r="M429" s="35" t="str">
        <f t="shared" ca="1" si="94"/>
        <v/>
      </c>
      <c r="N429" s="46"/>
      <c r="O429" s="47"/>
    </row>
    <row r="430" spans="1:15" ht="15" customHeight="1">
      <c r="A430" s="68">
        <v>46219</v>
      </c>
      <c r="B430" s="25">
        <f t="shared" si="95"/>
        <v>1.25</v>
      </c>
      <c r="C430" s="26" t="s">
        <v>29</v>
      </c>
      <c r="D430" s="59" t="s">
        <v>30</v>
      </c>
      <c r="E430" s="59" t="s">
        <v>261</v>
      </c>
      <c r="F430" s="27">
        <v>20</v>
      </c>
      <c r="G430" s="28">
        <f t="shared" si="93"/>
        <v>84</v>
      </c>
      <c r="H430" s="26"/>
      <c r="I430" s="26"/>
      <c r="J430" s="26"/>
      <c r="K430" s="29"/>
      <c r="L430" s="29"/>
      <c r="M430" s="30" t="str">
        <f t="shared" ca="1" si="94"/>
        <v/>
      </c>
      <c r="N430" s="46"/>
      <c r="O430" s="47"/>
    </row>
    <row r="431" spans="1:15" ht="15" customHeight="1">
      <c r="A431" s="69">
        <v>46219</v>
      </c>
      <c r="B431" s="32">
        <f t="shared" si="95"/>
        <v>1.2916666666666667</v>
      </c>
      <c r="C431" s="26" t="s">
        <v>29</v>
      </c>
      <c r="D431" s="59" t="s">
        <v>30</v>
      </c>
      <c r="E431" s="59" t="s">
        <v>261</v>
      </c>
      <c r="F431" s="27">
        <v>6</v>
      </c>
      <c r="G431" s="34">
        <f t="shared" si="93"/>
        <v>25.200000000000003</v>
      </c>
      <c r="H431" s="33"/>
      <c r="I431" s="33"/>
      <c r="J431" s="33"/>
      <c r="K431" s="29"/>
      <c r="L431" s="29"/>
      <c r="M431" s="35" t="str">
        <f t="shared" ca="1" si="94"/>
        <v/>
      </c>
      <c r="N431" s="46"/>
      <c r="O431" s="47"/>
    </row>
    <row r="432" spans="1:15" ht="15.75" customHeight="1">
      <c r="A432" s="87" t="s">
        <v>238</v>
      </c>
      <c r="B432" s="88"/>
      <c r="C432" s="88"/>
      <c r="D432" s="88"/>
      <c r="E432" s="88"/>
      <c r="F432" s="36">
        <f>SUM(F420:F431)</f>
        <v>123</v>
      </c>
      <c r="G432" s="36">
        <f>SUM(G420:G431)</f>
        <v>516.6</v>
      </c>
      <c r="H432" s="37"/>
      <c r="I432" s="37"/>
      <c r="J432" s="37"/>
      <c r="K432" s="37"/>
      <c r="L432" s="37"/>
      <c r="M432" s="38">
        <f ca="1">IFERROR(SUM(M420:M431),"")</f>
        <v>0.74463310185431819</v>
      </c>
      <c r="N432" s="36" t="s">
        <v>237</v>
      </c>
      <c r="O432" s="77">
        <v>484540</v>
      </c>
    </row>
    <row r="433" spans="1:15" ht="18" customHeight="1">
      <c r="A433" s="92" t="s">
        <v>239</v>
      </c>
      <c r="B433" s="91"/>
      <c r="C433" s="91"/>
      <c r="D433" s="91"/>
      <c r="E433" s="91"/>
      <c r="F433" s="40">
        <f>F419+F432</f>
        <v>262</v>
      </c>
      <c r="G433" s="40">
        <f>G419+G432</f>
        <v>1113.2000000000003</v>
      </c>
      <c r="H433" s="41"/>
      <c r="I433" s="41"/>
      <c r="J433" s="41"/>
      <c r="K433" s="41"/>
      <c r="L433" s="41"/>
      <c r="M433" s="42">
        <f ca="1">IFERROR(M419+M432,"")</f>
        <v>0.88977199074320712</v>
      </c>
      <c r="N433" s="40" t="s">
        <v>240</v>
      </c>
      <c r="O433" s="83">
        <f>IFERROR(O419+O432,"")</f>
        <v>1184540</v>
      </c>
    </row>
    <row r="434" spans="1:15" ht="15" customHeight="1">
      <c r="A434" s="68">
        <v>46220</v>
      </c>
      <c r="B434" s="25">
        <v>0.33333333333333298</v>
      </c>
      <c r="C434" s="26" t="s">
        <v>21</v>
      </c>
      <c r="D434" s="59" t="s">
        <v>30</v>
      </c>
      <c r="E434" s="59" t="s">
        <v>261</v>
      </c>
      <c r="F434" s="27">
        <v>16</v>
      </c>
      <c r="G434" s="28">
        <f t="shared" ref="G434:G445" si="96">IF(F434="","",IF(E434="PC 17",F434*4.2,IF(E434="PC 19",F434*5,"")))</f>
        <v>67.2</v>
      </c>
      <c r="H434" s="26" t="s">
        <v>19</v>
      </c>
      <c r="I434" s="26" t="s">
        <v>39</v>
      </c>
      <c r="J434" s="26" t="s">
        <v>50</v>
      </c>
      <c r="K434" s="29">
        <v>0.29166666666666669</v>
      </c>
      <c r="L434" s="29">
        <v>0.30902777777777779</v>
      </c>
      <c r="M434" s="30">
        <f t="shared" ref="M434:M445" ca="1" si="97">IFERROR(IF(K434="","",IF(L434="",MOD(NOW()-K434,1),IF(L434&gt;=K434,L434-K434,L434+1-K434))),"")</f>
        <v>1.7361111111111105E-2</v>
      </c>
      <c r="N434" s="46" t="s">
        <v>313</v>
      </c>
      <c r="O434" s="47"/>
    </row>
    <row r="435" spans="1:15" ht="15" customHeight="1">
      <c r="A435" s="69">
        <v>46220</v>
      </c>
      <c r="B435" s="32">
        <f t="shared" ref="B435:B445" si="98">B434+TIME(0,60,0)</f>
        <v>0.37499999999999967</v>
      </c>
      <c r="C435" s="26" t="s">
        <v>21</v>
      </c>
      <c r="D435" s="59" t="s">
        <v>30</v>
      </c>
      <c r="E435" s="59" t="s">
        <v>261</v>
      </c>
      <c r="F435" s="27">
        <v>24</v>
      </c>
      <c r="G435" s="28">
        <f t="shared" si="96"/>
        <v>100.80000000000001</v>
      </c>
      <c r="H435" s="33" t="s">
        <v>18</v>
      </c>
      <c r="I435" s="33" t="s">
        <v>31</v>
      </c>
      <c r="J435" s="33" t="s">
        <v>154</v>
      </c>
      <c r="K435" s="29">
        <v>0.47222222222222221</v>
      </c>
      <c r="L435" s="29">
        <v>0.49305555555555558</v>
      </c>
      <c r="M435" s="35">
        <f t="shared" ca="1" si="97"/>
        <v>2.083333333333337E-2</v>
      </c>
      <c r="N435" s="46"/>
      <c r="O435" s="47"/>
    </row>
    <row r="436" spans="1:15" ht="15" customHeight="1">
      <c r="A436" s="68">
        <v>46220</v>
      </c>
      <c r="B436" s="25">
        <f t="shared" si="98"/>
        <v>0.41666666666666635</v>
      </c>
      <c r="C436" s="26" t="s">
        <v>21</v>
      </c>
      <c r="D436" s="59" t="s">
        <v>30</v>
      </c>
      <c r="E436" s="59" t="s">
        <v>261</v>
      </c>
      <c r="F436" s="27">
        <v>20</v>
      </c>
      <c r="G436" s="28">
        <f t="shared" si="96"/>
        <v>84</v>
      </c>
      <c r="H436" s="26" t="s">
        <v>19</v>
      </c>
      <c r="I436" s="26" t="s">
        <v>157</v>
      </c>
      <c r="J436" s="26" t="s">
        <v>27</v>
      </c>
      <c r="K436" s="29">
        <v>0.53125</v>
      </c>
      <c r="L436" s="29">
        <v>0.54513888888888884</v>
      </c>
      <c r="M436" s="30">
        <f t="shared" ca="1" si="97"/>
        <v>1.388888888888884E-2</v>
      </c>
      <c r="N436" s="46" t="s">
        <v>314</v>
      </c>
      <c r="O436" s="47"/>
    </row>
    <row r="437" spans="1:15" ht="15" customHeight="1">
      <c r="A437" s="69">
        <v>46220</v>
      </c>
      <c r="B437" s="32">
        <f t="shared" si="98"/>
        <v>0.45833333333333304</v>
      </c>
      <c r="C437" s="26" t="s">
        <v>21</v>
      </c>
      <c r="D437" s="59" t="s">
        <v>30</v>
      </c>
      <c r="E437" s="59" t="s">
        <v>261</v>
      </c>
      <c r="F437" s="27">
        <v>18</v>
      </c>
      <c r="G437" s="34">
        <f t="shared" si="96"/>
        <v>75.600000000000009</v>
      </c>
      <c r="H437" s="33" t="s">
        <v>20</v>
      </c>
      <c r="I437" s="33" t="s">
        <v>39</v>
      </c>
      <c r="J437" s="33" t="s">
        <v>51</v>
      </c>
      <c r="K437" s="29">
        <v>0.75</v>
      </c>
      <c r="L437" s="29">
        <v>0.76736111111111116</v>
      </c>
      <c r="M437" s="35">
        <f t="shared" ca="1" si="97"/>
        <v>1.736111111111116E-2</v>
      </c>
      <c r="N437" s="46"/>
      <c r="O437" s="47"/>
    </row>
    <row r="438" spans="1:15" ht="15" customHeight="1">
      <c r="A438" s="68">
        <v>46220</v>
      </c>
      <c r="B438" s="25">
        <f t="shared" si="98"/>
        <v>0.49999999999999972</v>
      </c>
      <c r="C438" s="26" t="s">
        <v>21</v>
      </c>
      <c r="D438" s="59" t="s">
        <v>30</v>
      </c>
      <c r="E438" s="59" t="s">
        <v>261</v>
      </c>
      <c r="F438" s="27">
        <v>5</v>
      </c>
      <c r="G438" s="28">
        <f t="shared" si="96"/>
        <v>21</v>
      </c>
      <c r="H438" s="26"/>
      <c r="I438" s="26"/>
      <c r="J438" s="26"/>
      <c r="K438" s="29"/>
      <c r="L438" s="29"/>
      <c r="M438" s="30" t="str">
        <f t="shared" ca="1" si="97"/>
        <v/>
      </c>
      <c r="N438" s="46"/>
      <c r="O438" s="47"/>
    </row>
    <row r="439" spans="1:15" ht="15" customHeight="1">
      <c r="A439" s="69">
        <v>46220</v>
      </c>
      <c r="B439" s="32">
        <f t="shared" si="98"/>
        <v>0.54166666666666641</v>
      </c>
      <c r="C439" s="26" t="s">
        <v>21</v>
      </c>
      <c r="D439" s="59" t="s">
        <v>30</v>
      </c>
      <c r="E439" s="59" t="s">
        <v>261</v>
      </c>
      <c r="F439" s="27">
        <v>14</v>
      </c>
      <c r="G439" s="34">
        <f t="shared" si="96"/>
        <v>58.800000000000004</v>
      </c>
      <c r="H439" s="33"/>
      <c r="I439" s="33"/>
      <c r="J439" s="33"/>
      <c r="K439" s="29"/>
      <c r="L439" s="29"/>
      <c r="M439" s="35" t="str">
        <f t="shared" ca="1" si="97"/>
        <v/>
      </c>
      <c r="N439" s="46"/>
      <c r="O439" s="47"/>
    </row>
    <row r="440" spans="1:15" ht="15" customHeight="1">
      <c r="A440" s="68">
        <v>46220</v>
      </c>
      <c r="B440" s="25">
        <f t="shared" si="98"/>
        <v>0.58333333333333304</v>
      </c>
      <c r="C440" s="26" t="s">
        <v>21</v>
      </c>
      <c r="D440" s="59" t="s">
        <v>30</v>
      </c>
      <c r="E440" s="59" t="s">
        <v>261</v>
      </c>
      <c r="F440" s="27">
        <v>16</v>
      </c>
      <c r="G440" s="28">
        <f t="shared" si="96"/>
        <v>67.2</v>
      </c>
      <c r="H440" s="26"/>
      <c r="I440" s="26"/>
      <c r="J440" s="26"/>
      <c r="K440" s="29"/>
      <c r="L440" s="29"/>
      <c r="M440" s="30" t="str">
        <f t="shared" ca="1" si="97"/>
        <v/>
      </c>
      <c r="N440" s="46"/>
      <c r="O440" s="47"/>
    </row>
    <row r="441" spans="1:15" ht="15" customHeight="1">
      <c r="A441" s="69">
        <v>46220</v>
      </c>
      <c r="B441" s="32">
        <f t="shared" si="98"/>
        <v>0.62499999999999967</v>
      </c>
      <c r="C441" s="26" t="s">
        <v>21</v>
      </c>
      <c r="D441" s="59" t="s">
        <v>30</v>
      </c>
      <c r="E441" s="59" t="s">
        <v>261</v>
      </c>
      <c r="F441" s="27">
        <v>21</v>
      </c>
      <c r="G441" s="34">
        <f t="shared" si="96"/>
        <v>88.2</v>
      </c>
      <c r="H441" s="33"/>
      <c r="I441" s="33"/>
      <c r="J441" s="33"/>
      <c r="K441" s="29"/>
      <c r="L441" s="29"/>
      <c r="M441" s="35" t="str">
        <f t="shared" ca="1" si="97"/>
        <v/>
      </c>
      <c r="N441" s="46"/>
      <c r="O441" s="47"/>
    </row>
    <row r="442" spans="1:15" ht="15" customHeight="1">
      <c r="A442" s="68">
        <v>46220</v>
      </c>
      <c r="B442" s="25">
        <f t="shared" si="98"/>
        <v>0.6666666666666663</v>
      </c>
      <c r="C442" s="26" t="s">
        <v>21</v>
      </c>
      <c r="D442" s="59" t="s">
        <v>30</v>
      </c>
      <c r="E442" s="59" t="s">
        <v>261</v>
      </c>
      <c r="F442" s="27">
        <v>29</v>
      </c>
      <c r="G442" s="28">
        <f t="shared" si="96"/>
        <v>121.80000000000001</v>
      </c>
      <c r="H442" s="26"/>
      <c r="I442" s="26"/>
      <c r="J442" s="26"/>
      <c r="K442" s="29"/>
      <c r="L442" s="29"/>
      <c r="M442" s="30" t="str">
        <f t="shared" ca="1" si="97"/>
        <v/>
      </c>
      <c r="N442" s="46"/>
      <c r="O442" s="47"/>
    </row>
    <row r="443" spans="1:15" ht="15" customHeight="1">
      <c r="A443" s="69">
        <v>46220</v>
      </c>
      <c r="B443" s="32">
        <f t="shared" si="98"/>
        <v>0.70833333333333293</v>
      </c>
      <c r="C443" s="26" t="s">
        <v>21</v>
      </c>
      <c r="D443" s="59" t="s">
        <v>38</v>
      </c>
      <c r="E443" s="59" t="s">
        <v>261</v>
      </c>
      <c r="F443" s="27">
        <v>24</v>
      </c>
      <c r="G443" s="34">
        <f t="shared" si="96"/>
        <v>100.80000000000001</v>
      </c>
      <c r="H443" s="33"/>
      <c r="I443" s="33"/>
      <c r="J443" s="33"/>
      <c r="K443" s="29"/>
      <c r="L443" s="29"/>
      <c r="M443" s="35" t="str">
        <f t="shared" ca="1" si="97"/>
        <v/>
      </c>
      <c r="N443" s="46"/>
      <c r="O443" s="47"/>
    </row>
    <row r="444" spans="1:15" ht="15" customHeight="1">
      <c r="A444" s="68">
        <v>46220</v>
      </c>
      <c r="B444" s="25">
        <f t="shared" si="98"/>
        <v>0.74999999999999956</v>
      </c>
      <c r="C444" s="26" t="s">
        <v>21</v>
      </c>
      <c r="D444" s="59" t="s">
        <v>38</v>
      </c>
      <c r="E444" s="59" t="s">
        <v>261</v>
      </c>
      <c r="F444" s="27">
        <v>8</v>
      </c>
      <c r="G444" s="28">
        <f t="shared" si="96"/>
        <v>33.6</v>
      </c>
      <c r="H444" s="26"/>
      <c r="I444" s="26"/>
      <c r="J444" s="26"/>
      <c r="K444" s="29"/>
      <c r="L444" s="29"/>
      <c r="M444" s="30" t="str">
        <f t="shared" ca="1" si="97"/>
        <v/>
      </c>
      <c r="N444" s="46"/>
      <c r="O444" s="47"/>
    </row>
    <row r="445" spans="1:15" ht="15" customHeight="1">
      <c r="A445" s="69">
        <v>46220</v>
      </c>
      <c r="B445" s="32">
        <f t="shared" si="98"/>
        <v>0.79166666666666619</v>
      </c>
      <c r="C445" s="26" t="s">
        <v>21</v>
      </c>
      <c r="D445" s="59" t="s">
        <v>38</v>
      </c>
      <c r="E445" s="59" t="s">
        <v>261</v>
      </c>
      <c r="F445" s="27">
        <v>3</v>
      </c>
      <c r="G445" s="34">
        <f t="shared" si="96"/>
        <v>12.600000000000001</v>
      </c>
      <c r="H445" s="33"/>
      <c r="I445" s="33"/>
      <c r="J445" s="33"/>
      <c r="K445" s="29"/>
      <c r="L445" s="29"/>
      <c r="M445" s="35" t="str">
        <f t="shared" ca="1" si="97"/>
        <v/>
      </c>
      <c r="N445" s="46"/>
      <c r="O445" s="47"/>
    </row>
    <row r="446" spans="1:15" ht="15.75" customHeight="1">
      <c r="A446" s="119" t="s">
        <v>236</v>
      </c>
      <c r="B446" s="120"/>
      <c r="C446" s="120"/>
      <c r="D446" s="120"/>
      <c r="E446" s="121">
        <f>SUM(E434:E445)</f>
        <v>0</v>
      </c>
      <c r="F446" s="36">
        <f>SUM(F434:F445)</f>
        <v>198</v>
      </c>
      <c r="G446" s="36">
        <f>SUM(G434:G445)</f>
        <v>831.60000000000014</v>
      </c>
      <c r="H446" s="37"/>
      <c r="I446" s="37"/>
      <c r="J446" s="37"/>
      <c r="K446" s="37"/>
      <c r="L446" s="37"/>
      <c r="M446" s="38">
        <f ca="1">IFERROR(SUM(M434:M445),"")</f>
        <v>6.9444444444444475E-2</v>
      </c>
      <c r="N446" s="36" t="s">
        <v>237</v>
      </c>
      <c r="O446" s="77">
        <v>849430</v>
      </c>
    </row>
    <row r="447" spans="1:15" ht="15" customHeight="1">
      <c r="A447" s="69">
        <v>46220</v>
      </c>
      <c r="B447" s="32">
        <v>0.83333333333333304</v>
      </c>
      <c r="C447" s="33" t="s">
        <v>45</v>
      </c>
      <c r="D447" s="62" t="s">
        <v>30</v>
      </c>
      <c r="E447" s="62" t="s">
        <v>234</v>
      </c>
      <c r="F447" s="27">
        <v>0</v>
      </c>
      <c r="G447" s="34">
        <f t="shared" ref="G447:G458" si="99">IF(F447="","",IF(E447="PC 17",F447*4.2,IF(E447="PC 19",F447*5,"")))</f>
        <v>0</v>
      </c>
      <c r="H447" s="33" t="s">
        <v>20</v>
      </c>
      <c r="I447" s="33"/>
      <c r="J447" s="33" t="s">
        <v>28</v>
      </c>
      <c r="K447" s="29">
        <v>0.82291666666666663</v>
      </c>
      <c r="L447" s="29">
        <v>0.85833333333333328</v>
      </c>
      <c r="M447" s="35">
        <f t="shared" ref="M447:M458" ca="1" si="100">IFERROR(IF(K447="","",IF(L447="",MOD(NOW()-K447,1),IF(L447&gt;=K447,L447-K447,L447+1-K447))),"")</f>
        <v>3.5416666666666652E-2</v>
      </c>
      <c r="N447" s="46"/>
      <c r="O447" s="47"/>
    </row>
    <row r="448" spans="1:15" ht="15" customHeight="1">
      <c r="A448" s="68">
        <v>46220</v>
      </c>
      <c r="B448" s="25">
        <f t="shared" ref="B448:B458" si="101">B447+TIME(0,60,0)</f>
        <v>0.87499999999999967</v>
      </c>
      <c r="C448" s="33" t="s">
        <v>45</v>
      </c>
      <c r="D448" s="62" t="s">
        <v>30</v>
      </c>
      <c r="E448" s="62" t="s">
        <v>234</v>
      </c>
      <c r="F448" s="27">
        <v>5</v>
      </c>
      <c r="G448" s="28">
        <f t="shared" si="99"/>
        <v>25</v>
      </c>
      <c r="H448" s="26" t="s">
        <v>19</v>
      </c>
      <c r="I448" s="26" t="s">
        <v>31</v>
      </c>
      <c r="J448" s="26" t="s">
        <v>101</v>
      </c>
      <c r="K448" s="29">
        <v>8.7499999999999994E-2</v>
      </c>
      <c r="L448" s="29">
        <v>0.1125</v>
      </c>
      <c r="M448" s="30">
        <f t="shared" ca="1" si="100"/>
        <v>2.5000000000000008E-2</v>
      </c>
      <c r="N448" s="46" t="s">
        <v>315</v>
      </c>
      <c r="O448" s="47"/>
    </row>
    <row r="449" spans="1:15" ht="15" customHeight="1">
      <c r="A449" s="69">
        <v>46220</v>
      </c>
      <c r="B449" s="32">
        <f t="shared" si="101"/>
        <v>0.9166666666666663</v>
      </c>
      <c r="C449" s="33" t="s">
        <v>45</v>
      </c>
      <c r="D449" s="62" t="s">
        <v>30</v>
      </c>
      <c r="E449" s="62" t="s">
        <v>234</v>
      </c>
      <c r="F449" s="27">
        <v>15</v>
      </c>
      <c r="G449" s="34">
        <f t="shared" si="99"/>
        <v>75</v>
      </c>
      <c r="H449" s="33" t="s">
        <v>19</v>
      </c>
      <c r="I449" s="33" t="s">
        <v>39</v>
      </c>
      <c r="J449" s="33" t="s">
        <v>27</v>
      </c>
      <c r="K449" s="29">
        <v>0.24652777777777779</v>
      </c>
      <c r="L449" s="29">
        <v>0.25833333333333336</v>
      </c>
      <c r="M449" s="35">
        <f t="shared" ca="1" si="100"/>
        <v>1.1805555555555569E-2</v>
      </c>
      <c r="N449" s="46"/>
      <c r="O449" s="47"/>
    </row>
    <row r="450" spans="1:15" ht="15" customHeight="1">
      <c r="A450" s="68">
        <v>46220</v>
      </c>
      <c r="B450" s="25">
        <f t="shared" si="101"/>
        <v>0.95833333333333293</v>
      </c>
      <c r="C450" s="33" t="s">
        <v>45</v>
      </c>
      <c r="D450" s="62" t="s">
        <v>30</v>
      </c>
      <c r="E450" s="62" t="s">
        <v>234</v>
      </c>
      <c r="F450" s="27">
        <v>8</v>
      </c>
      <c r="G450" s="28">
        <f t="shared" si="99"/>
        <v>40</v>
      </c>
      <c r="H450" s="26"/>
      <c r="I450" s="26"/>
      <c r="J450" s="26"/>
      <c r="K450" s="29"/>
      <c r="L450" s="29"/>
      <c r="M450" s="30" t="str">
        <f t="shared" ca="1" si="100"/>
        <v/>
      </c>
      <c r="N450" s="46"/>
      <c r="O450" s="47"/>
    </row>
    <row r="451" spans="1:15" ht="15" customHeight="1">
      <c r="A451" s="69">
        <v>46220</v>
      </c>
      <c r="B451" s="32">
        <f t="shared" si="101"/>
        <v>0.99999999999999956</v>
      </c>
      <c r="C451" s="33" t="s">
        <v>45</v>
      </c>
      <c r="D451" s="62" t="s">
        <v>30</v>
      </c>
      <c r="E451" s="62" t="s">
        <v>234</v>
      </c>
      <c r="F451" s="27">
        <v>9</v>
      </c>
      <c r="G451" s="34">
        <f t="shared" si="99"/>
        <v>45</v>
      </c>
      <c r="H451" s="33"/>
      <c r="I451" s="33"/>
      <c r="J451" s="33"/>
      <c r="K451" s="29"/>
      <c r="L451" s="29"/>
      <c r="M451" s="35" t="str">
        <f t="shared" ca="1" si="100"/>
        <v/>
      </c>
      <c r="N451" s="46"/>
      <c r="O451" s="47"/>
    </row>
    <row r="452" spans="1:15" ht="15" customHeight="1">
      <c r="A452" s="68">
        <v>46220</v>
      </c>
      <c r="B452" s="25">
        <f t="shared" si="101"/>
        <v>1.0416666666666663</v>
      </c>
      <c r="C452" s="33" t="s">
        <v>45</v>
      </c>
      <c r="D452" s="62" t="s">
        <v>30</v>
      </c>
      <c r="E452" s="62" t="s">
        <v>234</v>
      </c>
      <c r="F452" s="27">
        <v>17</v>
      </c>
      <c r="G452" s="28">
        <f t="shared" si="99"/>
        <v>85</v>
      </c>
      <c r="H452" s="26"/>
      <c r="I452" s="26"/>
      <c r="J452" s="26"/>
      <c r="K452" s="29"/>
      <c r="L452" s="29"/>
      <c r="M452" s="30" t="str">
        <f t="shared" ca="1" si="100"/>
        <v/>
      </c>
      <c r="N452" s="46"/>
      <c r="O452" s="47"/>
    </row>
    <row r="453" spans="1:15" ht="15" customHeight="1">
      <c r="A453" s="69">
        <v>46220</v>
      </c>
      <c r="B453" s="32">
        <f t="shared" si="101"/>
        <v>1.083333333333333</v>
      </c>
      <c r="C453" s="33" t="s">
        <v>45</v>
      </c>
      <c r="D453" s="62" t="s">
        <v>30</v>
      </c>
      <c r="E453" s="62" t="s">
        <v>234</v>
      </c>
      <c r="F453" s="27">
        <v>11</v>
      </c>
      <c r="G453" s="34">
        <f t="shared" si="99"/>
        <v>55</v>
      </c>
      <c r="H453" s="33"/>
      <c r="I453" s="33"/>
      <c r="J453" s="33"/>
      <c r="K453" s="29"/>
      <c r="L453" s="29"/>
      <c r="M453" s="35" t="str">
        <f t="shared" ca="1" si="100"/>
        <v/>
      </c>
      <c r="N453" s="46"/>
      <c r="O453" s="47"/>
    </row>
    <row r="454" spans="1:15" ht="15" customHeight="1">
      <c r="A454" s="68">
        <v>46220</v>
      </c>
      <c r="B454" s="25">
        <f t="shared" si="101"/>
        <v>1.1249999999999998</v>
      </c>
      <c r="C454" s="33" t="s">
        <v>45</v>
      </c>
      <c r="D454" s="62" t="s">
        <v>30</v>
      </c>
      <c r="E454" s="62" t="s">
        <v>234</v>
      </c>
      <c r="F454" s="27">
        <v>15</v>
      </c>
      <c r="G454" s="28">
        <f t="shared" si="99"/>
        <v>75</v>
      </c>
      <c r="H454" s="26"/>
      <c r="I454" s="26"/>
      <c r="J454" s="26"/>
      <c r="K454" s="29"/>
      <c r="L454" s="29"/>
      <c r="M454" s="30" t="str">
        <f t="shared" ca="1" si="100"/>
        <v/>
      </c>
      <c r="N454" s="46"/>
      <c r="O454" s="47"/>
    </row>
    <row r="455" spans="1:15" ht="15" customHeight="1">
      <c r="A455" s="69">
        <v>46220</v>
      </c>
      <c r="B455" s="32">
        <f t="shared" si="101"/>
        <v>1.1666666666666665</v>
      </c>
      <c r="C455" s="33" t="s">
        <v>45</v>
      </c>
      <c r="D455" s="62" t="s">
        <v>30</v>
      </c>
      <c r="E455" s="62" t="s">
        <v>234</v>
      </c>
      <c r="F455" s="27">
        <v>13</v>
      </c>
      <c r="G455" s="34">
        <f t="shared" si="99"/>
        <v>65</v>
      </c>
      <c r="H455" s="33"/>
      <c r="I455" s="33"/>
      <c r="J455" s="33"/>
      <c r="K455" s="29"/>
      <c r="L455" s="29"/>
      <c r="M455" s="35" t="str">
        <f t="shared" ca="1" si="100"/>
        <v/>
      </c>
      <c r="N455" s="46"/>
      <c r="O455" s="47"/>
    </row>
    <row r="456" spans="1:15" ht="15" customHeight="1">
      <c r="A456" s="68">
        <v>46220</v>
      </c>
      <c r="B456" s="25">
        <f t="shared" si="101"/>
        <v>1.2083333333333333</v>
      </c>
      <c r="C456" s="33" t="s">
        <v>45</v>
      </c>
      <c r="D456" s="62" t="s">
        <v>30</v>
      </c>
      <c r="E456" s="62" t="s">
        <v>234</v>
      </c>
      <c r="F456" s="27">
        <v>7</v>
      </c>
      <c r="G456" s="28">
        <f t="shared" si="99"/>
        <v>35</v>
      </c>
      <c r="H456" s="26"/>
      <c r="I456" s="26"/>
      <c r="J456" s="26"/>
      <c r="K456" s="29"/>
      <c r="L456" s="29"/>
      <c r="M456" s="30" t="str">
        <f t="shared" ca="1" si="100"/>
        <v/>
      </c>
      <c r="N456" s="46"/>
      <c r="O456" s="47"/>
    </row>
    <row r="457" spans="1:15" ht="15" customHeight="1">
      <c r="A457" s="69">
        <v>46220</v>
      </c>
      <c r="B457" s="32">
        <f t="shared" si="101"/>
        <v>1.25</v>
      </c>
      <c r="C457" s="33" t="s">
        <v>45</v>
      </c>
      <c r="D457" s="62" t="s">
        <v>30</v>
      </c>
      <c r="E457" s="62" t="s">
        <v>234</v>
      </c>
      <c r="F457" s="27">
        <v>8</v>
      </c>
      <c r="G457" s="34">
        <f t="shared" si="99"/>
        <v>40</v>
      </c>
      <c r="H457" s="33"/>
      <c r="I457" s="33"/>
      <c r="J457" s="33"/>
      <c r="K457" s="29"/>
      <c r="L457" s="29"/>
      <c r="M457" s="35" t="str">
        <f t="shared" ca="1" si="100"/>
        <v/>
      </c>
      <c r="N457" s="46"/>
      <c r="O457" s="47"/>
    </row>
    <row r="458" spans="1:15" ht="15" customHeight="1">
      <c r="A458" s="68">
        <v>46220</v>
      </c>
      <c r="B458" s="25">
        <f t="shared" si="101"/>
        <v>1.2916666666666667</v>
      </c>
      <c r="C458" s="33" t="s">
        <v>45</v>
      </c>
      <c r="D458" s="62" t="s">
        <v>30</v>
      </c>
      <c r="E458" s="62" t="s">
        <v>234</v>
      </c>
      <c r="F458" s="27">
        <v>6</v>
      </c>
      <c r="G458" s="28">
        <f t="shared" si="99"/>
        <v>30</v>
      </c>
      <c r="H458" s="26"/>
      <c r="I458" s="26"/>
      <c r="J458" s="26"/>
      <c r="K458" s="29"/>
      <c r="L458" s="29"/>
      <c r="M458" s="30" t="str">
        <f t="shared" ca="1" si="100"/>
        <v/>
      </c>
      <c r="N458" s="46"/>
      <c r="O458" s="47"/>
    </row>
    <row r="459" spans="1:15" ht="15.75" customHeight="1">
      <c r="A459" s="119" t="s">
        <v>238</v>
      </c>
      <c r="B459" s="120"/>
      <c r="C459" s="120"/>
      <c r="D459" s="120"/>
      <c r="E459" s="121">
        <f>SUM(E447:E458)</f>
        <v>0</v>
      </c>
      <c r="F459" s="36">
        <f>SUM(F447:F458)</f>
        <v>114</v>
      </c>
      <c r="G459" s="36">
        <f>SUM(G447:G458)</f>
        <v>570</v>
      </c>
      <c r="H459" s="37"/>
      <c r="I459" s="37"/>
      <c r="J459" s="37"/>
      <c r="K459" s="37"/>
      <c r="L459" s="37"/>
      <c r="M459" s="38">
        <f ca="1">IFERROR(SUM(M447:M458),"")</f>
        <v>7.2222222222222229E-2</v>
      </c>
      <c r="N459" s="36" t="s">
        <v>237</v>
      </c>
      <c r="O459" s="77">
        <v>631190</v>
      </c>
    </row>
    <row r="460" spans="1:15" ht="18" customHeight="1">
      <c r="A460" s="122" t="s">
        <v>239</v>
      </c>
      <c r="B460" s="123"/>
      <c r="C460" s="123"/>
      <c r="D460" s="123"/>
      <c r="E460" s="124">
        <f>E446+E459</f>
        <v>0</v>
      </c>
      <c r="F460" s="40">
        <f>F446+F459</f>
        <v>312</v>
      </c>
      <c r="G460" s="40">
        <f>G446+G459</f>
        <v>1401.6000000000001</v>
      </c>
      <c r="H460" s="41"/>
      <c r="I460" s="41"/>
      <c r="J460" s="41"/>
      <c r="K460" s="41"/>
      <c r="L460" s="41"/>
      <c r="M460" s="42">
        <f ca="1">IFERROR(M446+M459,"")</f>
        <v>0.14166666666666672</v>
      </c>
      <c r="N460" s="40" t="s">
        <v>240</v>
      </c>
      <c r="O460" s="83">
        <f>IFERROR(O446+O459,"")</f>
        <v>1480620</v>
      </c>
    </row>
    <row r="461" spans="1:15" ht="15" customHeight="1">
      <c r="A461" s="69">
        <v>46221</v>
      </c>
      <c r="B461" s="32">
        <v>0.33333333333333298</v>
      </c>
      <c r="C461" s="33" t="s">
        <v>21</v>
      </c>
      <c r="D461" s="62" t="s">
        <v>30</v>
      </c>
      <c r="E461" s="62" t="s">
        <v>234</v>
      </c>
      <c r="F461" s="27">
        <v>20</v>
      </c>
      <c r="G461" s="34">
        <f t="shared" ref="G461:G472" si="102">IF(F461="","",IF(E461="PC 17",F461*4.2,IF(E461="PC 19",F461*5,"")))</f>
        <v>100</v>
      </c>
      <c r="H461" s="33" t="s">
        <v>20</v>
      </c>
      <c r="I461" s="33" t="s">
        <v>31</v>
      </c>
      <c r="J461" s="33" t="s">
        <v>51</v>
      </c>
      <c r="K461" s="29">
        <v>0.33680555555555558</v>
      </c>
      <c r="L461" s="29">
        <v>0.3611111111111111</v>
      </c>
      <c r="M461" s="35">
        <f t="shared" ref="M461:M472" ca="1" si="103">IFERROR(IF(K461="","",IF(L461="",MOD(NOW()-K461,1),IF(L461&gt;=K461,L461-K461,L461+1-K461))),"")</f>
        <v>2.4305555555555525E-2</v>
      </c>
      <c r="N461" s="46" t="s">
        <v>316</v>
      </c>
      <c r="O461" s="47"/>
    </row>
    <row r="462" spans="1:15" ht="15" customHeight="1">
      <c r="A462" s="68">
        <v>46221</v>
      </c>
      <c r="B462" s="25">
        <f t="shared" ref="B462:B472" si="104">B461+TIME(0,60,0)</f>
        <v>0.37499999999999967</v>
      </c>
      <c r="C462" s="33" t="s">
        <v>21</v>
      </c>
      <c r="D462" s="62" t="s">
        <v>30</v>
      </c>
      <c r="E462" s="62" t="s">
        <v>234</v>
      </c>
      <c r="F462" s="27">
        <v>6</v>
      </c>
      <c r="G462" s="28">
        <f t="shared" si="102"/>
        <v>30</v>
      </c>
      <c r="H462" s="26" t="s">
        <v>20</v>
      </c>
      <c r="I462" s="26" t="s">
        <v>39</v>
      </c>
      <c r="J462" s="26" t="s">
        <v>36</v>
      </c>
      <c r="K462" s="29">
        <v>0.40625</v>
      </c>
      <c r="L462" s="29">
        <v>0.41319444444444442</v>
      </c>
      <c r="M462" s="30">
        <f t="shared" ca="1" si="103"/>
        <v>6.9444444444444198E-3</v>
      </c>
      <c r="N462" s="46"/>
      <c r="O462" s="47"/>
    </row>
    <row r="463" spans="1:15" ht="15" customHeight="1">
      <c r="A463" s="69">
        <v>46221</v>
      </c>
      <c r="B463" s="32">
        <f t="shared" si="104"/>
        <v>0.41666666666666635</v>
      </c>
      <c r="C463" s="33" t="s">
        <v>21</v>
      </c>
      <c r="D463" s="62" t="s">
        <v>30</v>
      </c>
      <c r="E463" s="62" t="s">
        <v>234</v>
      </c>
      <c r="F463" s="27">
        <v>17</v>
      </c>
      <c r="G463" s="34">
        <f t="shared" si="102"/>
        <v>85</v>
      </c>
      <c r="H463" s="33" t="s">
        <v>18</v>
      </c>
      <c r="I463" s="33" t="s">
        <v>147</v>
      </c>
      <c r="J463" s="33" t="s">
        <v>128</v>
      </c>
      <c r="K463" s="29">
        <v>0.49652777777777779</v>
      </c>
      <c r="L463" s="29">
        <v>0.50902777777777775</v>
      </c>
      <c r="M463" s="35">
        <f t="shared" ca="1" si="103"/>
        <v>1.2499999999999956E-2</v>
      </c>
      <c r="N463" s="46"/>
      <c r="O463" s="47"/>
    </row>
    <row r="464" spans="1:15" ht="15" customHeight="1">
      <c r="A464" s="68">
        <v>46221</v>
      </c>
      <c r="B464" s="25">
        <f t="shared" si="104"/>
        <v>0.45833333333333304</v>
      </c>
      <c r="C464" s="33" t="s">
        <v>21</v>
      </c>
      <c r="D464" s="62" t="s">
        <v>30</v>
      </c>
      <c r="E464" s="62" t="s">
        <v>234</v>
      </c>
      <c r="F464" s="27">
        <v>12</v>
      </c>
      <c r="G464" s="28">
        <f t="shared" si="102"/>
        <v>60</v>
      </c>
      <c r="H464" s="26" t="s">
        <v>18</v>
      </c>
      <c r="I464" s="26" t="s">
        <v>39</v>
      </c>
      <c r="J464" s="26" t="s">
        <v>154</v>
      </c>
      <c r="K464" s="29">
        <v>0.53819444444444442</v>
      </c>
      <c r="L464" s="29">
        <v>0.59375</v>
      </c>
      <c r="M464" s="30">
        <f t="shared" ca="1" si="103"/>
        <v>5.555555555555558E-2</v>
      </c>
      <c r="N464" s="46" t="s">
        <v>317</v>
      </c>
      <c r="O464" s="47"/>
    </row>
    <row r="465" spans="1:15" ht="15" customHeight="1">
      <c r="A465" s="69">
        <v>46221</v>
      </c>
      <c r="B465" s="32">
        <f t="shared" si="104"/>
        <v>0.49999999999999972</v>
      </c>
      <c r="C465" s="33" t="s">
        <v>21</v>
      </c>
      <c r="D465" s="62" t="s">
        <v>30</v>
      </c>
      <c r="E465" s="62" t="s">
        <v>234</v>
      </c>
      <c r="F465" s="27">
        <v>8</v>
      </c>
      <c r="G465" s="34">
        <f t="shared" si="102"/>
        <v>40</v>
      </c>
      <c r="H465" s="33" t="s">
        <v>20</v>
      </c>
      <c r="I465" s="33" t="s">
        <v>31</v>
      </c>
      <c r="J465" s="33" t="s">
        <v>165</v>
      </c>
      <c r="K465" s="29">
        <v>0.70833333333333337</v>
      </c>
      <c r="L465" s="29">
        <v>0.72013888888888888</v>
      </c>
      <c r="M465" s="35">
        <f t="shared" ca="1" si="103"/>
        <v>1.1805555555555514E-2</v>
      </c>
      <c r="N465" s="46" t="s">
        <v>318</v>
      </c>
      <c r="O465" s="47"/>
    </row>
    <row r="466" spans="1:15" ht="15" customHeight="1">
      <c r="A466" s="68">
        <v>46221</v>
      </c>
      <c r="B466" s="25">
        <f t="shared" si="104"/>
        <v>0.54166666666666641</v>
      </c>
      <c r="C466" s="33" t="s">
        <v>21</v>
      </c>
      <c r="D466" s="62" t="s">
        <v>30</v>
      </c>
      <c r="E466" s="62" t="s">
        <v>234</v>
      </c>
      <c r="F466" s="27">
        <v>12</v>
      </c>
      <c r="G466" s="28">
        <f t="shared" si="102"/>
        <v>60</v>
      </c>
      <c r="H466" s="26"/>
      <c r="I466" s="26"/>
      <c r="J466" s="26"/>
      <c r="K466" s="29"/>
      <c r="L466" s="29"/>
      <c r="M466" s="30" t="str">
        <f t="shared" ca="1" si="103"/>
        <v/>
      </c>
      <c r="N466" s="46"/>
      <c r="O466" s="47"/>
    </row>
    <row r="467" spans="1:15" ht="15" customHeight="1">
      <c r="A467" s="69">
        <v>46221</v>
      </c>
      <c r="B467" s="32">
        <f t="shared" si="104"/>
        <v>0.58333333333333304</v>
      </c>
      <c r="C467" s="33" t="s">
        <v>21</v>
      </c>
      <c r="D467" s="62" t="s">
        <v>30</v>
      </c>
      <c r="E467" s="62" t="s">
        <v>234</v>
      </c>
      <c r="F467" s="27">
        <v>0</v>
      </c>
      <c r="G467" s="34">
        <f t="shared" si="102"/>
        <v>0</v>
      </c>
      <c r="H467" s="33"/>
      <c r="I467" s="33"/>
      <c r="J467" s="33"/>
      <c r="K467" s="29"/>
      <c r="L467" s="29"/>
      <c r="M467" s="35" t="str">
        <f t="shared" ca="1" si="103"/>
        <v/>
      </c>
      <c r="N467" s="46"/>
      <c r="O467" s="47"/>
    </row>
    <row r="468" spans="1:15" ht="15" customHeight="1">
      <c r="A468" s="68">
        <v>46221</v>
      </c>
      <c r="B468" s="25">
        <f t="shared" si="104"/>
        <v>0.62499999999999967</v>
      </c>
      <c r="C468" s="33" t="s">
        <v>21</v>
      </c>
      <c r="D468" s="62" t="s">
        <v>30</v>
      </c>
      <c r="E468" s="62" t="s">
        <v>234</v>
      </c>
      <c r="F468" s="27">
        <v>7</v>
      </c>
      <c r="G468" s="28">
        <f t="shared" si="102"/>
        <v>35</v>
      </c>
      <c r="H468" s="26"/>
      <c r="I468" s="26"/>
      <c r="J468" s="26"/>
      <c r="K468" s="29"/>
      <c r="L468" s="29"/>
      <c r="M468" s="30" t="str">
        <f t="shared" ca="1" si="103"/>
        <v/>
      </c>
      <c r="N468" s="46"/>
      <c r="O468" s="47"/>
    </row>
    <row r="469" spans="1:15" ht="15" customHeight="1">
      <c r="A469" s="69">
        <v>46221</v>
      </c>
      <c r="B469" s="32">
        <f t="shared" si="104"/>
        <v>0.6666666666666663</v>
      </c>
      <c r="C469" s="33" t="s">
        <v>21</v>
      </c>
      <c r="D469" s="62" t="s">
        <v>30</v>
      </c>
      <c r="E469" s="62" t="s">
        <v>234</v>
      </c>
      <c r="F469" s="27">
        <v>16</v>
      </c>
      <c r="G469" s="34">
        <f t="shared" si="102"/>
        <v>80</v>
      </c>
      <c r="H469" s="33"/>
      <c r="I469" s="33"/>
      <c r="J469" s="33"/>
      <c r="K469" s="29"/>
      <c r="L469" s="29"/>
      <c r="M469" s="35" t="str">
        <f t="shared" ca="1" si="103"/>
        <v/>
      </c>
      <c r="N469" s="46"/>
      <c r="O469" s="47"/>
    </row>
    <row r="470" spans="1:15" ht="15" customHeight="1">
      <c r="A470" s="68">
        <v>46221</v>
      </c>
      <c r="B470" s="25">
        <f t="shared" si="104"/>
        <v>0.70833333333333293</v>
      </c>
      <c r="C470" s="33" t="s">
        <v>21</v>
      </c>
      <c r="D470" s="62" t="s">
        <v>30</v>
      </c>
      <c r="E470" s="62" t="s">
        <v>234</v>
      </c>
      <c r="F470" s="27">
        <v>13</v>
      </c>
      <c r="G470" s="28">
        <f t="shared" si="102"/>
        <v>65</v>
      </c>
      <c r="H470" s="26"/>
      <c r="I470" s="26"/>
      <c r="J470" s="26"/>
      <c r="K470" s="29"/>
      <c r="L470" s="29"/>
      <c r="M470" s="30" t="str">
        <f t="shared" ca="1" si="103"/>
        <v/>
      </c>
      <c r="N470" s="46"/>
      <c r="O470" s="47"/>
    </row>
    <row r="471" spans="1:15" ht="15" customHeight="1">
      <c r="A471" s="69">
        <v>46221</v>
      </c>
      <c r="B471" s="32">
        <f t="shared" si="104"/>
        <v>0.74999999999999956</v>
      </c>
      <c r="C471" s="33" t="s">
        <v>21</v>
      </c>
      <c r="D471" s="62" t="s">
        <v>30</v>
      </c>
      <c r="E471" s="62" t="s">
        <v>234</v>
      </c>
      <c r="F471" s="27">
        <v>5</v>
      </c>
      <c r="G471" s="34">
        <f t="shared" si="102"/>
        <v>25</v>
      </c>
      <c r="H471" s="33"/>
      <c r="I471" s="33"/>
      <c r="J471" s="33"/>
      <c r="K471" s="29"/>
      <c r="L471" s="29"/>
      <c r="M471" s="35" t="str">
        <f t="shared" ca="1" si="103"/>
        <v/>
      </c>
      <c r="N471" s="46"/>
      <c r="O471" s="47"/>
    </row>
    <row r="472" spans="1:15" ht="15" customHeight="1">
      <c r="A472" s="68">
        <v>46221</v>
      </c>
      <c r="B472" s="25">
        <f t="shared" si="104"/>
        <v>0.79166666666666619</v>
      </c>
      <c r="C472" s="33" t="s">
        <v>21</v>
      </c>
      <c r="D472" s="62" t="s">
        <v>30</v>
      </c>
      <c r="E472" s="62" t="s">
        <v>234</v>
      </c>
      <c r="F472" s="27">
        <v>7</v>
      </c>
      <c r="G472" s="28">
        <f t="shared" si="102"/>
        <v>35</v>
      </c>
      <c r="H472" s="26"/>
      <c r="I472" s="26"/>
      <c r="J472" s="26"/>
      <c r="K472" s="29"/>
      <c r="L472" s="29"/>
      <c r="M472" s="30" t="str">
        <f t="shared" ca="1" si="103"/>
        <v/>
      </c>
      <c r="N472" s="46"/>
      <c r="O472" s="47"/>
    </row>
    <row r="473" spans="1:15" ht="15.75" customHeight="1">
      <c r="A473" s="119" t="s">
        <v>236</v>
      </c>
      <c r="B473" s="120"/>
      <c r="C473" s="120"/>
      <c r="D473" s="120"/>
      <c r="E473" s="121">
        <f>SUM(E461:E472)</f>
        <v>0</v>
      </c>
      <c r="F473" s="36">
        <f>SUM(F461:F472)</f>
        <v>123</v>
      </c>
      <c r="G473" s="36">
        <f>SUM(G461:G472)</f>
        <v>615</v>
      </c>
      <c r="H473" s="37"/>
      <c r="I473" s="37"/>
      <c r="J473" s="37"/>
      <c r="K473" s="37"/>
      <c r="L473" s="37"/>
      <c r="M473" s="38">
        <f ca="1">IFERROR(SUM(M461:M472),"")</f>
        <v>0.11111111111111099</v>
      </c>
      <c r="N473" s="36" t="s">
        <v>237</v>
      </c>
      <c r="O473" s="77">
        <v>870930</v>
      </c>
    </row>
    <row r="474" spans="1:15" ht="15" customHeight="1">
      <c r="A474" s="68">
        <v>46221</v>
      </c>
      <c r="B474" s="25">
        <v>0.83333333333333304</v>
      </c>
      <c r="C474" s="26" t="s">
        <v>45</v>
      </c>
      <c r="D474" s="59" t="s">
        <v>30</v>
      </c>
      <c r="E474" s="59" t="s">
        <v>234</v>
      </c>
      <c r="F474" s="27">
        <v>22</v>
      </c>
      <c r="G474" s="28">
        <f t="shared" ref="G474:G485" si="105">IF(F474="","",IF(E474="PC 17",F474*4.2,IF(E474="PC 19",F474*5,"")))</f>
        <v>110</v>
      </c>
      <c r="H474" s="26" t="s">
        <v>20</v>
      </c>
      <c r="I474" s="26" t="s">
        <v>31</v>
      </c>
      <c r="J474" s="26" t="s">
        <v>28</v>
      </c>
      <c r="K474" s="29">
        <v>0.88888888888888884</v>
      </c>
      <c r="L474" s="29">
        <v>0.90625</v>
      </c>
      <c r="M474" s="30">
        <f t="shared" ref="M474:M485" ca="1" si="106">IFERROR(IF(K474="","",IF(L474="",MOD(NOW()-K474,1),IF(L474&gt;=K474,L474-K474,L474+1-K474))),"")</f>
        <v>1.736111111111116E-2</v>
      </c>
      <c r="N474" s="46"/>
      <c r="O474" s="47"/>
    </row>
    <row r="475" spans="1:15" ht="15" customHeight="1">
      <c r="A475" s="69">
        <v>46221</v>
      </c>
      <c r="B475" s="32">
        <f t="shared" ref="B475:B485" si="107">B474+TIME(0,60,0)</f>
        <v>0.87499999999999967</v>
      </c>
      <c r="C475" s="26" t="s">
        <v>45</v>
      </c>
      <c r="D475" s="59" t="s">
        <v>30</v>
      </c>
      <c r="E475" s="59" t="s">
        <v>234</v>
      </c>
      <c r="F475" s="27">
        <v>17</v>
      </c>
      <c r="G475" s="34">
        <f t="shared" si="105"/>
        <v>85</v>
      </c>
      <c r="H475" s="33" t="s">
        <v>19</v>
      </c>
      <c r="I475" s="33" t="s">
        <v>31</v>
      </c>
      <c r="J475" s="33" t="s">
        <v>50</v>
      </c>
      <c r="K475" s="29">
        <v>0.94305555555555554</v>
      </c>
      <c r="L475" s="29">
        <v>4.1666666666666666E-3</v>
      </c>
      <c r="M475" s="35">
        <f t="shared" ca="1" si="106"/>
        <v>6.1111111111111116E-2</v>
      </c>
      <c r="N475" s="46" t="s">
        <v>319</v>
      </c>
      <c r="O475" s="47"/>
    </row>
    <row r="476" spans="1:15" ht="15" customHeight="1">
      <c r="A476" s="68">
        <v>46221</v>
      </c>
      <c r="B476" s="25">
        <f t="shared" si="107"/>
        <v>0.9166666666666663</v>
      </c>
      <c r="C476" s="26" t="s">
        <v>45</v>
      </c>
      <c r="D476" s="59" t="s">
        <v>30</v>
      </c>
      <c r="E476" s="59" t="s">
        <v>234</v>
      </c>
      <c r="F476" s="27">
        <v>10</v>
      </c>
      <c r="G476" s="28">
        <f t="shared" si="105"/>
        <v>50</v>
      </c>
      <c r="H476" s="26" t="s">
        <v>20</v>
      </c>
      <c r="I476" s="26"/>
      <c r="J476" s="26" t="s">
        <v>74</v>
      </c>
      <c r="K476" s="29">
        <v>0.23819444444444443</v>
      </c>
      <c r="L476" s="29">
        <v>0.24305555555555555</v>
      </c>
      <c r="M476" s="30">
        <f t="shared" ca="1" si="106"/>
        <v>4.8611111111111216E-3</v>
      </c>
      <c r="N476" s="46"/>
      <c r="O476" s="47"/>
    </row>
    <row r="477" spans="1:15" ht="15" customHeight="1">
      <c r="A477" s="69">
        <v>46221</v>
      </c>
      <c r="B477" s="32">
        <f t="shared" si="107"/>
        <v>0.95833333333333293</v>
      </c>
      <c r="C477" s="26" t="s">
        <v>45</v>
      </c>
      <c r="D477" s="59" t="s">
        <v>30</v>
      </c>
      <c r="E477" s="59" t="s">
        <v>234</v>
      </c>
      <c r="F477" s="27">
        <v>8</v>
      </c>
      <c r="G477" s="34">
        <f t="shared" si="105"/>
        <v>40</v>
      </c>
      <c r="H477" s="33"/>
      <c r="I477" s="33"/>
      <c r="J477" s="33"/>
      <c r="K477" s="29"/>
      <c r="L477" s="29"/>
      <c r="M477" s="35" t="str">
        <f t="shared" ca="1" si="106"/>
        <v/>
      </c>
      <c r="N477" s="46"/>
      <c r="O477" s="47"/>
    </row>
    <row r="478" spans="1:15" ht="15" customHeight="1">
      <c r="A478" s="68">
        <v>46221</v>
      </c>
      <c r="B478" s="25">
        <f t="shared" si="107"/>
        <v>0.99999999999999956</v>
      </c>
      <c r="C478" s="26" t="s">
        <v>45</v>
      </c>
      <c r="D478" s="59" t="s">
        <v>30</v>
      </c>
      <c r="E478" s="59" t="s">
        <v>234</v>
      </c>
      <c r="F478" s="27">
        <v>9</v>
      </c>
      <c r="G478" s="28">
        <f t="shared" si="105"/>
        <v>45</v>
      </c>
      <c r="H478" s="26"/>
      <c r="I478" s="26"/>
      <c r="J478" s="26"/>
      <c r="K478" s="29"/>
      <c r="L478" s="29"/>
      <c r="M478" s="30" t="str">
        <f t="shared" ca="1" si="106"/>
        <v/>
      </c>
      <c r="N478" s="46"/>
      <c r="O478" s="47"/>
    </row>
    <row r="479" spans="1:15" ht="15" customHeight="1">
      <c r="A479" s="69">
        <v>46221</v>
      </c>
      <c r="B479" s="32">
        <f t="shared" si="107"/>
        <v>1.0416666666666663</v>
      </c>
      <c r="C479" s="26" t="s">
        <v>45</v>
      </c>
      <c r="D479" s="59" t="s">
        <v>30</v>
      </c>
      <c r="E479" s="59" t="s">
        <v>234</v>
      </c>
      <c r="F479" s="27">
        <v>10</v>
      </c>
      <c r="G479" s="34">
        <f t="shared" si="105"/>
        <v>50</v>
      </c>
      <c r="H479" s="33"/>
      <c r="I479" s="33"/>
      <c r="J479" s="33"/>
      <c r="K479" s="29"/>
      <c r="L479" s="29"/>
      <c r="M479" s="35" t="str">
        <f t="shared" ca="1" si="106"/>
        <v/>
      </c>
      <c r="N479" s="46"/>
      <c r="O479" s="47"/>
    </row>
    <row r="480" spans="1:15" ht="15" customHeight="1">
      <c r="A480" s="68">
        <v>46221</v>
      </c>
      <c r="B480" s="25">
        <f t="shared" si="107"/>
        <v>1.083333333333333</v>
      </c>
      <c r="C480" s="26" t="s">
        <v>45</v>
      </c>
      <c r="D480" s="59" t="s">
        <v>30</v>
      </c>
      <c r="E480" s="59" t="s">
        <v>234</v>
      </c>
      <c r="F480" s="27">
        <v>10</v>
      </c>
      <c r="G480" s="28">
        <f t="shared" si="105"/>
        <v>50</v>
      </c>
      <c r="H480" s="26"/>
      <c r="I480" s="26"/>
      <c r="J480" s="26"/>
      <c r="K480" s="29"/>
      <c r="L480" s="29"/>
      <c r="M480" s="30" t="str">
        <f t="shared" ca="1" si="106"/>
        <v/>
      </c>
      <c r="N480" s="46"/>
      <c r="O480" s="47"/>
    </row>
    <row r="481" spans="1:15" ht="15" customHeight="1">
      <c r="A481" s="69">
        <v>46221</v>
      </c>
      <c r="B481" s="32">
        <f t="shared" si="107"/>
        <v>1.1249999999999998</v>
      </c>
      <c r="C481" s="26" t="s">
        <v>45</v>
      </c>
      <c r="D481" s="59" t="s">
        <v>30</v>
      </c>
      <c r="E481" s="59" t="s">
        <v>234</v>
      </c>
      <c r="F481" s="27">
        <v>10</v>
      </c>
      <c r="G481" s="34">
        <f t="shared" si="105"/>
        <v>50</v>
      </c>
      <c r="H481" s="33"/>
      <c r="I481" s="33"/>
      <c r="J481" s="33"/>
      <c r="K481" s="29"/>
      <c r="L481" s="29"/>
      <c r="M481" s="35" t="str">
        <f t="shared" ca="1" si="106"/>
        <v/>
      </c>
      <c r="N481" s="46"/>
      <c r="O481" s="47"/>
    </row>
    <row r="482" spans="1:15" ht="15" customHeight="1">
      <c r="A482" s="68">
        <v>46221</v>
      </c>
      <c r="B482" s="25">
        <f t="shared" si="107"/>
        <v>1.1666666666666665</v>
      </c>
      <c r="C482" s="26" t="s">
        <v>45</v>
      </c>
      <c r="D482" s="59" t="s">
        <v>30</v>
      </c>
      <c r="E482" s="59" t="s">
        <v>234</v>
      </c>
      <c r="F482" s="27">
        <v>16</v>
      </c>
      <c r="G482" s="28">
        <f t="shared" si="105"/>
        <v>80</v>
      </c>
      <c r="H482" s="26"/>
      <c r="I482" s="26"/>
      <c r="J482" s="26"/>
      <c r="K482" s="29"/>
      <c r="L482" s="29"/>
      <c r="M482" s="30" t="str">
        <f t="shared" ca="1" si="106"/>
        <v/>
      </c>
      <c r="N482" s="46"/>
      <c r="O482" s="47"/>
    </row>
    <row r="483" spans="1:15" ht="15" customHeight="1">
      <c r="A483" s="69">
        <v>46221</v>
      </c>
      <c r="B483" s="32">
        <f t="shared" si="107"/>
        <v>1.2083333333333333</v>
      </c>
      <c r="C483" s="26" t="s">
        <v>45</v>
      </c>
      <c r="D483" s="59" t="s">
        <v>30</v>
      </c>
      <c r="E483" s="59" t="s">
        <v>234</v>
      </c>
      <c r="F483" s="27">
        <v>12</v>
      </c>
      <c r="G483" s="34">
        <f t="shared" si="105"/>
        <v>60</v>
      </c>
      <c r="H483" s="33"/>
      <c r="I483" s="33"/>
      <c r="J483" s="33"/>
      <c r="K483" s="29"/>
      <c r="L483" s="29"/>
      <c r="M483" s="35" t="str">
        <f t="shared" ca="1" si="106"/>
        <v/>
      </c>
      <c r="N483" s="46"/>
      <c r="O483" s="47"/>
    </row>
    <row r="484" spans="1:15" ht="15" customHeight="1">
      <c r="A484" s="68">
        <v>46221</v>
      </c>
      <c r="B484" s="25">
        <f t="shared" si="107"/>
        <v>1.25</v>
      </c>
      <c r="C484" s="26" t="s">
        <v>45</v>
      </c>
      <c r="D484" s="59" t="s">
        <v>30</v>
      </c>
      <c r="E484" s="59" t="s">
        <v>234</v>
      </c>
      <c r="F484" s="27">
        <v>19</v>
      </c>
      <c r="G484" s="28">
        <f t="shared" si="105"/>
        <v>95</v>
      </c>
      <c r="H484" s="26"/>
      <c r="I484" s="26"/>
      <c r="J484" s="26"/>
      <c r="K484" s="29"/>
      <c r="L484" s="29"/>
      <c r="M484" s="30" t="str">
        <f t="shared" ca="1" si="106"/>
        <v/>
      </c>
      <c r="N484" s="46"/>
      <c r="O484" s="47"/>
    </row>
    <row r="485" spans="1:15" ht="15" customHeight="1">
      <c r="A485" s="69">
        <v>46221</v>
      </c>
      <c r="B485" s="32">
        <f t="shared" si="107"/>
        <v>1.2916666666666667</v>
      </c>
      <c r="C485" s="26" t="s">
        <v>45</v>
      </c>
      <c r="D485" s="59" t="s">
        <v>30</v>
      </c>
      <c r="E485" s="59" t="s">
        <v>234</v>
      </c>
      <c r="F485" s="27">
        <v>3</v>
      </c>
      <c r="G485" s="34">
        <f t="shared" si="105"/>
        <v>15</v>
      </c>
      <c r="H485" s="33"/>
      <c r="I485" s="33"/>
      <c r="J485" s="33"/>
      <c r="K485" s="29"/>
      <c r="L485" s="29"/>
      <c r="M485" s="35" t="str">
        <f t="shared" ca="1" si="106"/>
        <v/>
      </c>
      <c r="N485" s="46"/>
      <c r="O485" s="47"/>
    </row>
    <row r="486" spans="1:15" ht="15.75" customHeight="1">
      <c r="A486" s="119" t="s">
        <v>238</v>
      </c>
      <c r="B486" s="120"/>
      <c r="C486" s="120"/>
      <c r="D486" s="120"/>
      <c r="E486" s="121">
        <f>SUM(E474:E485)</f>
        <v>0</v>
      </c>
      <c r="F486" s="36">
        <f>SUM(F474:F485)</f>
        <v>146</v>
      </c>
      <c r="G486" s="36">
        <f>SUM(G474:G485)</f>
        <v>730</v>
      </c>
      <c r="H486" s="37"/>
      <c r="I486" s="37"/>
      <c r="J486" s="37"/>
      <c r="K486" s="37"/>
      <c r="L486" s="37"/>
      <c r="M486" s="38">
        <f ca="1">IFERROR(SUM(M474:M485),"")</f>
        <v>8.3333333333333398E-2</v>
      </c>
      <c r="N486" s="36" t="s">
        <v>237</v>
      </c>
      <c r="O486" s="77">
        <v>969510</v>
      </c>
    </row>
    <row r="487" spans="1:15" ht="18" customHeight="1">
      <c r="A487" s="122" t="s">
        <v>239</v>
      </c>
      <c r="B487" s="123"/>
      <c r="C487" s="123"/>
      <c r="D487" s="123"/>
      <c r="E487" s="124">
        <f>E473+E486</f>
        <v>0</v>
      </c>
      <c r="F487" s="40">
        <f>F473+F486</f>
        <v>269</v>
      </c>
      <c r="G487" s="40">
        <f>G473+G486</f>
        <v>1345</v>
      </c>
      <c r="H487" s="41"/>
      <c r="I487" s="41"/>
      <c r="J487" s="41"/>
      <c r="K487" s="41"/>
      <c r="L487" s="41"/>
      <c r="M487" s="42">
        <f ca="1">IFERROR(M473+M486,"")</f>
        <v>0.19444444444444439</v>
      </c>
      <c r="N487" s="40" t="s">
        <v>240</v>
      </c>
      <c r="O487" s="83">
        <f>IFERROR(O473+O486,"")</f>
        <v>1840440</v>
      </c>
    </row>
    <row r="488" spans="1:15" ht="15" customHeight="1">
      <c r="A488" s="68">
        <v>46222</v>
      </c>
      <c r="B488" s="25">
        <v>0.33333333333333298</v>
      </c>
      <c r="C488" s="26" t="s">
        <v>21</v>
      </c>
      <c r="D488" s="59" t="s">
        <v>30</v>
      </c>
      <c r="E488" s="59" t="s">
        <v>234</v>
      </c>
      <c r="F488" s="27">
        <v>14</v>
      </c>
      <c r="G488" s="28">
        <f t="shared" ref="G488:G499" si="108">IF(F488="","",IF(E488="PC 17",F488*4.2,IF(E488="PC 19",F488*5,"")))</f>
        <v>70</v>
      </c>
      <c r="H488" s="26" t="s">
        <v>19</v>
      </c>
      <c r="I488" s="26" t="s">
        <v>157</v>
      </c>
      <c r="J488" s="26" t="s">
        <v>27</v>
      </c>
      <c r="K488" s="29">
        <v>0.35416666666666669</v>
      </c>
      <c r="L488" s="29">
        <v>0.3840277777777778</v>
      </c>
      <c r="M488" s="30">
        <f t="shared" ref="M488:M499" ca="1" si="109">IFERROR(IF(K488="","",IF(L488="",MOD(NOW()-K488,1),IF(L488&gt;=K488,L488-K488,L488+1-K488))),"")</f>
        <v>2.9861111111111116E-2</v>
      </c>
      <c r="N488" s="46"/>
      <c r="O488" s="47"/>
    </row>
    <row r="489" spans="1:15" ht="15" customHeight="1">
      <c r="A489" s="69">
        <v>46222</v>
      </c>
      <c r="B489" s="32">
        <f t="shared" ref="B489:B499" si="110">B488+TIME(0,60,0)</f>
        <v>0.37499999999999967</v>
      </c>
      <c r="C489" s="26" t="s">
        <v>21</v>
      </c>
      <c r="D489" s="59" t="s">
        <v>30</v>
      </c>
      <c r="E489" s="59" t="s">
        <v>234</v>
      </c>
      <c r="F489" s="27">
        <v>8</v>
      </c>
      <c r="G489" s="34">
        <f t="shared" si="108"/>
        <v>40</v>
      </c>
      <c r="H489" s="33" t="s">
        <v>18</v>
      </c>
      <c r="I489" s="33" t="s">
        <v>31</v>
      </c>
      <c r="J489" s="33" t="s">
        <v>164</v>
      </c>
      <c r="K489" s="29">
        <v>0.39583333333333331</v>
      </c>
      <c r="L489" s="29">
        <v>0.39861111111111114</v>
      </c>
      <c r="M489" s="35">
        <f t="shared" ca="1" si="109"/>
        <v>2.7777777777778234E-3</v>
      </c>
      <c r="N489" s="46"/>
      <c r="O489" s="47"/>
    </row>
    <row r="490" spans="1:15" ht="15" customHeight="1">
      <c r="A490" s="68">
        <v>46222</v>
      </c>
      <c r="B490" s="25">
        <f t="shared" si="110"/>
        <v>0.41666666666666635</v>
      </c>
      <c r="C490" s="26" t="s">
        <v>21</v>
      </c>
      <c r="D490" s="59" t="s">
        <v>30</v>
      </c>
      <c r="E490" s="59" t="s">
        <v>234</v>
      </c>
      <c r="F490" s="27">
        <v>10</v>
      </c>
      <c r="G490" s="28">
        <f t="shared" si="108"/>
        <v>50</v>
      </c>
      <c r="H490" s="26" t="s">
        <v>18</v>
      </c>
      <c r="I490" s="26" t="s">
        <v>39</v>
      </c>
      <c r="J490" s="26" t="s">
        <v>50</v>
      </c>
      <c r="K490" s="29">
        <v>0.54513888888888884</v>
      </c>
      <c r="L490" s="29">
        <v>0.58680555555555558</v>
      </c>
      <c r="M490" s="30">
        <f t="shared" ca="1" si="109"/>
        <v>4.1666666666666741E-2</v>
      </c>
      <c r="N490" s="46"/>
      <c r="O490" s="47"/>
    </row>
    <row r="491" spans="1:15" ht="15" customHeight="1">
      <c r="A491" s="69">
        <v>46222</v>
      </c>
      <c r="B491" s="32">
        <f t="shared" si="110"/>
        <v>0.45833333333333304</v>
      </c>
      <c r="C491" s="26" t="s">
        <v>21</v>
      </c>
      <c r="D491" s="59" t="s">
        <v>30</v>
      </c>
      <c r="E491" s="59" t="s">
        <v>234</v>
      </c>
      <c r="F491" s="27">
        <v>11</v>
      </c>
      <c r="G491" s="34">
        <f t="shared" si="108"/>
        <v>55</v>
      </c>
      <c r="H491" s="33" t="s">
        <v>20</v>
      </c>
      <c r="I491" s="33" t="s">
        <v>39</v>
      </c>
      <c r="J491" s="33" t="s">
        <v>56</v>
      </c>
      <c r="K491" s="29">
        <v>0.71388888888888891</v>
      </c>
      <c r="L491" s="29">
        <v>0.73888888888888893</v>
      </c>
      <c r="M491" s="35">
        <f t="shared" ca="1" si="109"/>
        <v>2.5000000000000022E-2</v>
      </c>
      <c r="N491" s="46" t="s">
        <v>320</v>
      </c>
      <c r="O491" s="47"/>
    </row>
    <row r="492" spans="1:15" ht="15" customHeight="1">
      <c r="A492" s="68">
        <v>46222</v>
      </c>
      <c r="B492" s="25">
        <f t="shared" si="110"/>
        <v>0.49999999999999972</v>
      </c>
      <c r="C492" s="26" t="s">
        <v>21</v>
      </c>
      <c r="D492" s="59" t="s">
        <v>30</v>
      </c>
      <c r="E492" s="59" t="s">
        <v>234</v>
      </c>
      <c r="F492" s="27">
        <v>13</v>
      </c>
      <c r="G492" s="28">
        <f t="shared" si="108"/>
        <v>65</v>
      </c>
      <c r="H492" s="26"/>
      <c r="I492" s="26"/>
      <c r="J492" s="26"/>
      <c r="K492" s="29"/>
      <c r="L492" s="29"/>
      <c r="M492" s="30" t="str">
        <f t="shared" ca="1" si="109"/>
        <v/>
      </c>
      <c r="N492" s="46"/>
      <c r="O492" s="47"/>
    </row>
    <row r="493" spans="1:15" ht="15" customHeight="1">
      <c r="A493" s="69">
        <v>46222</v>
      </c>
      <c r="B493" s="32">
        <f t="shared" si="110"/>
        <v>0.54166666666666641</v>
      </c>
      <c r="C493" s="26" t="s">
        <v>21</v>
      </c>
      <c r="D493" s="59" t="s">
        <v>30</v>
      </c>
      <c r="E493" s="59" t="s">
        <v>261</v>
      </c>
      <c r="F493" s="27">
        <v>15</v>
      </c>
      <c r="G493" s="34">
        <f t="shared" si="108"/>
        <v>63</v>
      </c>
      <c r="H493" s="33"/>
      <c r="I493" s="33"/>
      <c r="J493" s="33"/>
      <c r="K493" s="29"/>
      <c r="L493" s="29"/>
      <c r="M493" s="35" t="str">
        <f t="shared" ca="1" si="109"/>
        <v/>
      </c>
      <c r="N493" s="46"/>
      <c r="O493" s="47"/>
    </row>
    <row r="494" spans="1:15" ht="15" customHeight="1">
      <c r="A494" s="68">
        <v>46222</v>
      </c>
      <c r="B494" s="25">
        <f t="shared" si="110"/>
        <v>0.58333333333333304</v>
      </c>
      <c r="C494" s="26" t="s">
        <v>21</v>
      </c>
      <c r="D494" s="59" t="s">
        <v>30</v>
      </c>
      <c r="E494" s="59" t="s">
        <v>261</v>
      </c>
      <c r="F494" s="27">
        <v>2</v>
      </c>
      <c r="G494" s="28">
        <f t="shared" si="108"/>
        <v>8.4</v>
      </c>
      <c r="H494" s="26"/>
      <c r="I494" s="26"/>
      <c r="J494" s="26"/>
      <c r="K494" s="29"/>
      <c r="L494" s="29"/>
      <c r="M494" s="30" t="str">
        <f t="shared" ca="1" si="109"/>
        <v/>
      </c>
      <c r="N494" s="46"/>
      <c r="O494" s="47"/>
    </row>
    <row r="495" spans="1:15" ht="15" customHeight="1">
      <c r="A495" s="69">
        <v>46222</v>
      </c>
      <c r="B495" s="32">
        <f t="shared" si="110"/>
        <v>0.62499999999999967</v>
      </c>
      <c r="C495" s="26" t="s">
        <v>21</v>
      </c>
      <c r="D495" s="59" t="s">
        <v>30</v>
      </c>
      <c r="E495" s="59" t="s">
        <v>261</v>
      </c>
      <c r="F495" s="27">
        <v>15</v>
      </c>
      <c r="G495" s="34">
        <f t="shared" si="108"/>
        <v>63</v>
      </c>
      <c r="H495" s="33"/>
      <c r="I495" s="33"/>
      <c r="J495" s="33"/>
      <c r="K495" s="29"/>
      <c r="L495" s="29"/>
      <c r="M495" s="35" t="str">
        <f t="shared" ca="1" si="109"/>
        <v/>
      </c>
      <c r="N495" s="46"/>
      <c r="O495" s="47"/>
    </row>
    <row r="496" spans="1:15" ht="15" customHeight="1">
      <c r="A496" s="68">
        <v>46222</v>
      </c>
      <c r="B496" s="25">
        <f t="shared" si="110"/>
        <v>0.6666666666666663</v>
      </c>
      <c r="C496" s="26" t="s">
        <v>21</v>
      </c>
      <c r="D496" s="59" t="s">
        <v>30</v>
      </c>
      <c r="E496" s="59" t="s">
        <v>261</v>
      </c>
      <c r="F496" s="27">
        <v>13</v>
      </c>
      <c r="G496" s="28">
        <f t="shared" si="108"/>
        <v>54.6</v>
      </c>
      <c r="H496" s="26"/>
      <c r="I496" s="26"/>
      <c r="J496" s="26"/>
      <c r="K496" s="29"/>
      <c r="L496" s="29"/>
      <c r="M496" s="30" t="str">
        <f t="shared" ca="1" si="109"/>
        <v/>
      </c>
      <c r="N496" s="46"/>
      <c r="O496" s="47"/>
    </row>
    <row r="497" spans="1:15" ht="15" customHeight="1">
      <c r="A497" s="69">
        <v>46222</v>
      </c>
      <c r="B497" s="32">
        <f t="shared" si="110"/>
        <v>0.70833333333333293</v>
      </c>
      <c r="C497" s="26" t="s">
        <v>21</v>
      </c>
      <c r="D497" s="59" t="s">
        <v>30</v>
      </c>
      <c r="E497" s="59" t="s">
        <v>261</v>
      </c>
      <c r="F497" s="27">
        <v>19</v>
      </c>
      <c r="G497" s="34">
        <f t="shared" si="108"/>
        <v>79.8</v>
      </c>
      <c r="H497" s="33"/>
      <c r="I497" s="33"/>
      <c r="J497" s="33"/>
      <c r="K497" s="29"/>
      <c r="L497" s="29"/>
      <c r="M497" s="35" t="str">
        <f t="shared" ca="1" si="109"/>
        <v/>
      </c>
      <c r="N497" s="46"/>
      <c r="O497" s="47"/>
    </row>
    <row r="498" spans="1:15" ht="15" customHeight="1">
      <c r="A498" s="68">
        <v>46222</v>
      </c>
      <c r="B498" s="25">
        <f t="shared" si="110"/>
        <v>0.74999999999999956</v>
      </c>
      <c r="C498" s="26" t="s">
        <v>21</v>
      </c>
      <c r="D498" s="59" t="s">
        <v>30</v>
      </c>
      <c r="E498" s="59" t="s">
        <v>261</v>
      </c>
      <c r="F498" s="27">
        <v>4</v>
      </c>
      <c r="G498" s="28">
        <f t="shared" si="108"/>
        <v>16.8</v>
      </c>
      <c r="H498" s="26"/>
      <c r="I498" s="26"/>
      <c r="J498" s="26"/>
      <c r="K498" s="29"/>
      <c r="L498" s="29"/>
      <c r="M498" s="30" t="str">
        <f t="shared" ca="1" si="109"/>
        <v/>
      </c>
      <c r="N498" s="46"/>
      <c r="O498" s="47"/>
    </row>
    <row r="499" spans="1:15" ht="15" customHeight="1">
      <c r="A499" s="69">
        <v>46222</v>
      </c>
      <c r="B499" s="32">
        <f t="shared" si="110"/>
        <v>0.79166666666666619</v>
      </c>
      <c r="C499" s="26" t="s">
        <v>21</v>
      </c>
      <c r="D499" s="59" t="s">
        <v>30</v>
      </c>
      <c r="E499" s="59" t="s">
        <v>261</v>
      </c>
      <c r="F499" s="27">
        <v>6</v>
      </c>
      <c r="G499" s="34">
        <f t="shared" si="108"/>
        <v>25.200000000000003</v>
      </c>
      <c r="H499" s="33"/>
      <c r="I499" s="33"/>
      <c r="J499" s="33"/>
      <c r="K499" s="29"/>
      <c r="L499" s="29"/>
      <c r="M499" s="35" t="str">
        <f t="shared" ca="1" si="109"/>
        <v/>
      </c>
      <c r="N499" s="46"/>
      <c r="O499" s="47"/>
    </row>
    <row r="500" spans="1:15" ht="15.75" customHeight="1">
      <c r="A500" s="119" t="s">
        <v>236</v>
      </c>
      <c r="B500" s="120"/>
      <c r="C500" s="120"/>
      <c r="D500" s="120"/>
      <c r="E500" s="121">
        <f>SUM(E488:E499)</f>
        <v>0</v>
      </c>
      <c r="F500" s="36">
        <f>SUM(F488:F499)</f>
        <v>130</v>
      </c>
      <c r="G500" s="90">
        <f>SUM(G488:G499)</f>
        <v>590.79999999999995</v>
      </c>
      <c r="H500" s="37"/>
      <c r="I500" s="37"/>
      <c r="J500" s="37"/>
      <c r="K500" s="37"/>
      <c r="L500" s="37"/>
      <c r="M500" s="38">
        <f ca="1">IFERROR(SUM(M488:M499),"")</f>
        <v>9.9305555555555702E-2</v>
      </c>
      <c r="N500" s="36" t="s">
        <v>237</v>
      </c>
      <c r="O500" s="77">
        <v>751110</v>
      </c>
    </row>
    <row r="501" spans="1:15" ht="15" customHeight="1">
      <c r="A501" s="69">
        <v>46222</v>
      </c>
      <c r="B501" s="32">
        <v>0.83333333333333304</v>
      </c>
      <c r="C501" s="33" t="s">
        <v>45</v>
      </c>
      <c r="D501" s="62" t="s">
        <v>30</v>
      </c>
      <c r="E501" s="62" t="s">
        <v>261</v>
      </c>
      <c r="F501" s="27">
        <v>20</v>
      </c>
      <c r="G501" s="34">
        <f t="shared" ref="G501:G512" si="111">IF(F501="","",IF(E501="PC 17",F501*4.2,IF(E501="PC 19",F501*5,"")))</f>
        <v>84</v>
      </c>
      <c r="H501" s="33" t="s">
        <v>19</v>
      </c>
      <c r="I501" s="33" t="s">
        <v>157</v>
      </c>
      <c r="J501" s="33" t="s">
        <v>27</v>
      </c>
      <c r="K501" s="29">
        <v>0.96736111111111112</v>
      </c>
      <c r="L501" s="29">
        <v>0.98124999999999996</v>
      </c>
      <c r="M501" s="35">
        <f t="shared" ref="M501:M512" ca="1" si="112">IFERROR(IF(K501="","",IF(L501="",MOD(NOW()-K501,1),IF(L501&gt;=K501,L501-K501,L501+1-K501))),"")</f>
        <v>1.388888888888884E-2</v>
      </c>
      <c r="N501" s="46"/>
      <c r="O501" s="47"/>
    </row>
    <row r="502" spans="1:15" ht="15" customHeight="1">
      <c r="A502" s="68">
        <v>46222</v>
      </c>
      <c r="B502" s="25">
        <f t="shared" ref="B502:B512" si="113">B501+TIME(0,60,0)</f>
        <v>0.87499999999999967</v>
      </c>
      <c r="C502" s="33" t="s">
        <v>45</v>
      </c>
      <c r="D502" s="62" t="s">
        <v>30</v>
      </c>
      <c r="E502" s="62" t="s">
        <v>234</v>
      </c>
      <c r="F502" s="27">
        <v>12</v>
      </c>
      <c r="G502" s="28">
        <f t="shared" si="111"/>
        <v>60</v>
      </c>
      <c r="H502" s="26"/>
      <c r="I502" s="26"/>
      <c r="J502" s="26"/>
      <c r="K502" s="29"/>
      <c r="L502" s="29"/>
      <c r="M502" s="30" t="str">
        <f t="shared" ca="1" si="112"/>
        <v/>
      </c>
      <c r="N502" s="46"/>
      <c r="O502" s="47"/>
    </row>
    <row r="503" spans="1:15" ht="15" customHeight="1">
      <c r="A503" s="69">
        <v>46222</v>
      </c>
      <c r="B503" s="32">
        <f t="shared" si="113"/>
        <v>0.9166666666666663</v>
      </c>
      <c r="C503" s="33" t="s">
        <v>45</v>
      </c>
      <c r="D503" s="62" t="s">
        <v>30</v>
      </c>
      <c r="E503" s="62" t="s">
        <v>261</v>
      </c>
      <c r="F503" s="27">
        <v>14</v>
      </c>
      <c r="G503" s="34">
        <f t="shared" si="111"/>
        <v>58.800000000000004</v>
      </c>
      <c r="H503" s="33"/>
      <c r="I503" s="33"/>
      <c r="J503" s="33"/>
      <c r="K503" s="29"/>
      <c r="L503" s="29"/>
      <c r="M503" s="35" t="str">
        <f t="shared" ca="1" si="112"/>
        <v/>
      </c>
      <c r="N503" s="46"/>
      <c r="O503" s="47"/>
    </row>
    <row r="504" spans="1:15" ht="15" customHeight="1">
      <c r="A504" s="68">
        <v>46222</v>
      </c>
      <c r="B504" s="25">
        <f t="shared" si="113"/>
        <v>0.95833333333333293</v>
      </c>
      <c r="C504" s="33" t="s">
        <v>45</v>
      </c>
      <c r="D504" s="62" t="s">
        <v>30</v>
      </c>
      <c r="E504" s="62" t="s">
        <v>261</v>
      </c>
      <c r="F504" s="27">
        <v>10</v>
      </c>
      <c r="G504" s="28">
        <f t="shared" si="111"/>
        <v>42</v>
      </c>
      <c r="H504" s="26"/>
      <c r="I504" s="26"/>
      <c r="J504" s="26"/>
      <c r="K504" s="29"/>
      <c r="L504" s="29"/>
      <c r="M504" s="30" t="str">
        <f t="shared" ca="1" si="112"/>
        <v/>
      </c>
      <c r="N504" s="46"/>
      <c r="O504" s="47"/>
    </row>
    <row r="505" spans="1:15" ht="15" customHeight="1">
      <c r="A505" s="69">
        <v>46222</v>
      </c>
      <c r="B505" s="32">
        <f t="shared" si="113"/>
        <v>0.99999999999999956</v>
      </c>
      <c r="C505" s="33" t="s">
        <v>45</v>
      </c>
      <c r="D505" s="62" t="s">
        <v>30</v>
      </c>
      <c r="E505" s="62" t="s">
        <v>261</v>
      </c>
      <c r="F505" s="27">
        <v>0</v>
      </c>
      <c r="G505" s="34">
        <f t="shared" si="111"/>
        <v>0</v>
      </c>
      <c r="H505" s="33"/>
      <c r="I505" s="33"/>
      <c r="J505" s="33"/>
      <c r="K505" s="29"/>
      <c r="L505" s="29"/>
      <c r="M505" s="35" t="str">
        <f t="shared" ca="1" si="112"/>
        <v/>
      </c>
      <c r="N505" s="46"/>
      <c r="O505" s="47"/>
    </row>
    <row r="506" spans="1:15" ht="15" customHeight="1">
      <c r="A506" s="68">
        <v>46222</v>
      </c>
      <c r="B506" s="25">
        <f t="shared" si="113"/>
        <v>1.0416666666666663</v>
      </c>
      <c r="C506" s="33" t="s">
        <v>45</v>
      </c>
      <c r="D506" s="62" t="s">
        <v>30</v>
      </c>
      <c r="E506" s="62" t="s">
        <v>261</v>
      </c>
      <c r="F506" s="27">
        <v>20</v>
      </c>
      <c r="G506" s="28">
        <f t="shared" si="111"/>
        <v>84</v>
      </c>
      <c r="H506" s="26"/>
      <c r="I506" s="26"/>
      <c r="J506" s="26"/>
      <c r="K506" s="29"/>
      <c r="L506" s="29"/>
      <c r="M506" s="30" t="str">
        <f t="shared" ca="1" si="112"/>
        <v/>
      </c>
      <c r="N506" s="46"/>
      <c r="O506" s="47"/>
    </row>
    <row r="507" spans="1:15" ht="15" customHeight="1">
      <c r="A507" s="69">
        <v>46222</v>
      </c>
      <c r="B507" s="32">
        <f t="shared" si="113"/>
        <v>1.083333333333333</v>
      </c>
      <c r="C507" s="33" t="s">
        <v>45</v>
      </c>
      <c r="D507" s="62" t="s">
        <v>30</v>
      </c>
      <c r="E507" s="62" t="s">
        <v>261</v>
      </c>
      <c r="F507" s="27">
        <v>0</v>
      </c>
      <c r="G507" s="34">
        <f t="shared" si="111"/>
        <v>0</v>
      </c>
      <c r="H507" s="33"/>
      <c r="I507" s="33"/>
      <c r="J507" s="33"/>
      <c r="K507" s="29"/>
      <c r="L507" s="29"/>
      <c r="M507" s="35" t="str">
        <f t="shared" ca="1" si="112"/>
        <v/>
      </c>
      <c r="N507" s="46"/>
      <c r="O507" s="47"/>
    </row>
    <row r="508" spans="1:15" ht="15" customHeight="1">
      <c r="A508" s="68">
        <v>46222</v>
      </c>
      <c r="B508" s="25">
        <f t="shared" si="113"/>
        <v>1.1249999999999998</v>
      </c>
      <c r="C508" s="33" t="s">
        <v>45</v>
      </c>
      <c r="D508" s="62" t="s">
        <v>30</v>
      </c>
      <c r="E508" s="62" t="s">
        <v>261</v>
      </c>
      <c r="F508" s="27">
        <v>6</v>
      </c>
      <c r="G508" s="28">
        <f t="shared" si="111"/>
        <v>25.200000000000003</v>
      </c>
      <c r="H508" s="26"/>
      <c r="I508" s="26"/>
      <c r="J508" s="26"/>
      <c r="K508" s="29"/>
      <c r="L508" s="29"/>
      <c r="M508" s="30" t="str">
        <f t="shared" ca="1" si="112"/>
        <v/>
      </c>
      <c r="N508" s="46"/>
      <c r="O508" s="47"/>
    </row>
    <row r="509" spans="1:15" ht="15" customHeight="1">
      <c r="A509" s="69">
        <v>46222</v>
      </c>
      <c r="B509" s="32">
        <f t="shared" si="113"/>
        <v>1.1666666666666665</v>
      </c>
      <c r="C509" s="33" t="s">
        <v>45</v>
      </c>
      <c r="D509" s="62" t="s">
        <v>30</v>
      </c>
      <c r="E509" s="62" t="s">
        <v>261</v>
      </c>
      <c r="F509" s="27">
        <v>12</v>
      </c>
      <c r="G509" s="34">
        <f t="shared" si="111"/>
        <v>50.400000000000006</v>
      </c>
      <c r="H509" s="33"/>
      <c r="I509" s="33"/>
      <c r="J509" s="33"/>
      <c r="K509" s="29"/>
      <c r="L509" s="29"/>
      <c r="M509" s="35" t="str">
        <f t="shared" ca="1" si="112"/>
        <v/>
      </c>
      <c r="N509" s="46"/>
      <c r="O509" s="47"/>
    </row>
    <row r="510" spans="1:15" ht="15" customHeight="1">
      <c r="A510" s="68">
        <v>46222</v>
      </c>
      <c r="B510" s="25">
        <f t="shared" si="113"/>
        <v>1.2083333333333333</v>
      </c>
      <c r="C510" s="33" t="s">
        <v>45</v>
      </c>
      <c r="D510" s="62" t="s">
        <v>30</v>
      </c>
      <c r="E510" s="62" t="s">
        <v>261</v>
      </c>
      <c r="F510" s="27">
        <v>16</v>
      </c>
      <c r="G510" s="28">
        <f t="shared" si="111"/>
        <v>67.2</v>
      </c>
      <c r="H510" s="26"/>
      <c r="I510" s="26"/>
      <c r="J510" s="26"/>
      <c r="K510" s="29"/>
      <c r="L510" s="29"/>
      <c r="M510" s="30" t="str">
        <f t="shared" ca="1" si="112"/>
        <v/>
      </c>
      <c r="N510" s="46"/>
      <c r="O510" s="47"/>
    </row>
    <row r="511" spans="1:15" ht="15" customHeight="1">
      <c r="A511" s="69">
        <v>46222</v>
      </c>
      <c r="B511" s="32">
        <f t="shared" si="113"/>
        <v>1.25</v>
      </c>
      <c r="C511" s="33" t="s">
        <v>45</v>
      </c>
      <c r="D511" s="62" t="s">
        <v>30</v>
      </c>
      <c r="E511" s="62" t="s">
        <v>261</v>
      </c>
      <c r="F511" s="27">
        <v>11</v>
      </c>
      <c r="G511" s="34">
        <f t="shared" si="111"/>
        <v>46.2</v>
      </c>
      <c r="H511" s="33"/>
      <c r="I511" s="33"/>
      <c r="J511" s="33"/>
      <c r="K511" s="29"/>
      <c r="L511" s="29"/>
      <c r="M511" s="35" t="str">
        <f t="shared" ca="1" si="112"/>
        <v/>
      </c>
      <c r="N511" s="46"/>
      <c r="O511" s="47"/>
    </row>
    <row r="512" spans="1:15" ht="15" customHeight="1">
      <c r="A512" s="68">
        <v>46222</v>
      </c>
      <c r="B512" s="25">
        <f t="shared" si="113"/>
        <v>1.2916666666666667</v>
      </c>
      <c r="C512" s="33" t="s">
        <v>45</v>
      </c>
      <c r="D512" s="62" t="s">
        <v>30</v>
      </c>
      <c r="E512" s="62" t="s">
        <v>261</v>
      </c>
      <c r="F512" s="27">
        <v>3</v>
      </c>
      <c r="G512" s="28">
        <f t="shared" si="111"/>
        <v>12.600000000000001</v>
      </c>
      <c r="H512" s="26"/>
      <c r="I512" s="26"/>
      <c r="J512" s="26"/>
      <c r="K512" s="29"/>
      <c r="L512" s="29"/>
      <c r="M512" s="30" t="str">
        <f t="shared" ca="1" si="112"/>
        <v/>
      </c>
      <c r="N512" s="46"/>
      <c r="O512" s="47"/>
    </row>
    <row r="513" spans="1:15" ht="15.75" customHeight="1">
      <c r="A513" s="87" t="s">
        <v>238</v>
      </c>
      <c r="B513" s="88"/>
      <c r="C513" s="88"/>
      <c r="D513" s="88"/>
      <c r="E513" s="88"/>
      <c r="F513" s="36">
        <f>SUM(F501:F512)</f>
        <v>124</v>
      </c>
      <c r="G513" s="90">
        <f>SUM(G501:G512)</f>
        <v>530.4</v>
      </c>
      <c r="H513" s="37"/>
      <c r="I513" s="37"/>
      <c r="J513" s="37"/>
      <c r="K513" s="37"/>
      <c r="L513" s="37"/>
      <c r="M513" s="38">
        <f ca="1">IFERROR(SUM(M501:M512),"")</f>
        <v>1.388888888888884E-2</v>
      </c>
      <c r="N513" s="36" t="s">
        <v>237</v>
      </c>
      <c r="O513" s="77">
        <v>556040</v>
      </c>
    </row>
    <row r="514" spans="1:15" ht="18" customHeight="1">
      <c r="A514" s="92" t="s">
        <v>239</v>
      </c>
      <c r="B514" s="91"/>
      <c r="C514" s="91"/>
      <c r="D514" s="91"/>
      <c r="E514" s="91"/>
      <c r="F514" s="40">
        <f>F500+F513</f>
        <v>254</v>
      </c>
      <c r="G514" s="97">
        <f>G500+G513</f>
        <v>1121.1999999999998</v>
      </c>
      <c r="H514" s="41"/>
      <c r="I514" s="41"/>
      <c r="J514" s="41"/>
      <c r="K514" s="41"/>
      <c r="L514" s="41"/>
      <c r="M514" s="42">
        <f ca="1">IFERROR(M500+M513,"")</f>
        <v>0.11319444444444454</v>
      </c>
      <c r="N514" s="40" t="s">
        <v>240</v>
      </c>
      <c r="O514" s="83">
        <f>IFERROR(O500+O513,"")</f>
        <v>1307150</v>
      </c>
    </row>
    <row r="515" spans="1:15" ht="15" customHeight="1">
      <c r="A515" s="69">
        <v>46223</v>
      </c>
      <c r="B515" s="32">
        <v>0.33333333333333298</v>
      </c>
      <c r="C515" s="33" t="s">
        <v>21</v>
      </c>
      <c r="D515" s="62" t="s">
        <v>30</v>
      </c>
      <c r="E515" s="62" t="s">
        <v>261</v>
      </c>
      <c r="F515" s="27">
        <v>24</v>
      </c>
      <c r="G515" s="34">
        <f t="shared" ref="G515:G526" si="114">IF(F515="","",IF(E515="PC 17",F515*4.2,IF(E515="PC 19",F515*5,"")))</f>
        <v>100.80000000000001</v>
      </c>
      <c r="H515" s="33" t="s">
        <v>17</v>
      </c>
      <c r="I515" s="33"/>
      <c r="J515" s="33" t="s">
        <v>25</v>
      </c>
      <c r="K515" s="29">
        <v>0.375</v>
      </c>
      <c r="L515" s="29">
        <v>0.38333333333333336</v>
      </c>
      <c r="M515" s="35">
        <f t="shared" ref="M515:M526" ca="1" si="115">IFERROR(IF(K515="","",IF(L515="",MOD(NOW()-K515,1),IF(L515&gt;=K515,L515-K515,L515+1-K515))),"")</f>
        <v>8.3333333333333592E-3</v>
      </c>
      <c r="N515" s="46"/>
      <c r="O515" s="47"/>
    </row>
    <row r="516" spans="1:15" ht="15" customHeight="1">
      <c r="A516" s="68">
        <v>46223</v>
      </c>
      <c r="B516" s="25">
        <f t="shared" ref="B516:B526" si="116">B515+TIME(0,60,0)</f>
        <v>0.37499999999999967</v>
      </c>
      <c r="C516" s="33" t="s">
        <v>21</v>
      </c>
      <c r="D516" s="62" t="s">
        <v>30</v>
      </c>
      <c r="E516" s="62" t="s">
        <v>261</v>
      </c>
      <c r="F516" s="27">
        <v>18</v>
      </c>
      <c r="G516" s="28">
        <f t="shared" si="114"/>
        <v>75.600000000000009</v>
      </c>
      <c r="H516" s="49" t="s">
        <v>20</v>
      </c>
      <c r="I516" s="26" t="s">
        <v>31</v>
      </c>
      <c r="J516" s="49" t="s">
        <v>62</v>
      </c>
      <c r="K516" s="29">
        <v>0.38541666666666669</v>
      </c>
      <c r="L516" s="29">
        <v>0.39097222222222222</v>
      </c>
      <c r="M516" s="30">
        <f t="shared" ca="1" si="115"/>
        <v>5.5555555555555358E-3</v>
      </c>
      <c r="N516" s="46"/>
      <c r="O516" s="47"/>
    </row>
    <row r="517" spans="1:15" ht="15" customHeight="1">
      <c r="A517" s="69">
        <v>46223</v>
      </c>
      <c r="B517" s="32">
        <f t="shared" si="116"/>
        <v>0.41666666666666635</v>
      </c>
      <c r="C517" s="33" t="s">
        <v>21</v>
      </c>
      <c r="D517" s="62" t="s">
        <v>30</v>
      </c>
      <c r="E517" s="62" t="s">
        <v>261</v>
      </c>
      <c r="F517" s="27">
        <v>13</v>
      </c>
      <c r="G517" s="34">
        <f t="shared" si="114"/>
        <v>54.6</v>
      </c>
      <c r="H517" s="33" t="s">
        <v>20</v>
      </c>
      <c r="I517" s="33" t="s">
        <v>31</v>
      </c>
      <c r="J517" s="33" t="s">
        <v>62</v>
      </c>
      <c r="K517" s="29">
        <v>0.39583333333333331</v>
      </c>
      <c r="L517" s="29">
        <v>0.40416666666666667</v>
      </c>
      <c r="M517" s="35">
        <f t="shared" ca="1" si="115"/>
        <v>8.3333333333333592E-3</v>
      </c>
      <c r="N517" s="46"/>
      <c r="O517" s="47"/>
    </row>
    <row r="518" spans="1:15" ht="15" customHeight="1">
      <c r="A518" s="68">
        <v>46223</v>
      </c>
      <c r="B518" s="25">
        <f t="shared" si="116"/>
        <v>0.45833333333333304</v>
      </c>
      <c r="C518" s="33" t="s">
        <v>21</v>
      </c>
      <c r="D518" s="62" t="s">
        <v>30</v>
      </c>
      <c r="E518" s="62" t="s">
        <v>261</v>
      </c>
      <c r="F518" s="27">
        <v>9</v>
      </c>
      <c r="G518" s="28">
        <f t="shared" si="114"/>
        <v>37.800000000000004</v>
      </c>
      <c r="H518" s="33" t="s">
        <v>20</v>
      </c>
      <c r="I518" s="26" t="s">
        <v>31</v>
      </c>
      <c r="J518" s="26" t="s">
        <v>62</v>
      </c>
      <c r="K518" s="29">
        <v>0.42986111111111114</v>
      </c>
      <c r="L518" s="29">
        <v>0.43125000000000002</v>
      </c>
      <c r="M518" s="30">
        <f t="shared" ca="1" si="115"/>
        <v>1.388888888888884E-3</v>
      </c>
      <c r="N518" s="46"/>
      <c r="O518" s="47"/>
    </row>
    <row r="519" spans="1:15" ht="15" customHeight="1">
      <c r="A519" s="69">
        <v>46223</v>
      </c>
      <c r="B519" s="32">
        <f t="shared" si="116"/>
        <v>0.49999999999999972</v>
      </c>
      <c r="C519" s="33" t="s">
        <v>21</v>
      </c>
      <c r="D519" s="62" t="s">
        <v>30</v>
      </c>
      <c r="E519" s="62" t="s">
        <v>261</v>
      </c>
      <c r="F519" s="27">
        <v>20</v>
      </c>
      <c r="G519" s="34">
        <f t="shared" si="114"/>
        <v>84</v>
      </c>
      <c r="H519" s="33" t="s">
        <v>19</v>
      </c>
      <c r="I519" s="33" t="s">
        <v>157</v>
      </c>
      <c r="J519" s="33" t="s">
        <v>27</v>
      </c>
      <c r="K519" s="29">
        <v>0.4375</v>
      </c>
      <c r="L519" s="29">
        <v>0.4548611111111111</v>
      </c>
      <c r="M519" s="35">
        <f t="shared" ca="1" si="115"/>
        <v>1.7361111111111105E-2</v>
      </c>
      <c r="N519" s="46"/>
      <c r="O519" s="47"/>
    </row>
    <row r="520" spans="1:15" ht="15" customHeight="1">
      <c r="A520" s="68">
        <v>46223</v>
      </c>
      <c r="B520" s="25">
        <f t="shared" si="116"/>
        <v>0.54166666666666641</v>
      </c>
      <c r="C520" s="33" t="s">
        <v>21</v>
      </c>
      <c r="D520" s="62" t="s">
        <v>30</v>
      </c>
      <c r="E520" s="62" t="s">
        <v>261</v>
      </c>
      <c r="F520" s="27">
        <v>18</v>
      </c>
      <c r="G520" s="28">
        <f t="shared" si="114"/>
        <v>75.600000000000009</v>
      </c>
      <c r="H520" s="26" t="s">
        <v>20</v>
      </c>
      <c r="I520" s="26" t="s">
        <v>157</v>
      </c>
      <c r="J520" s="26" t="s">
        <v>62</v>
      </c>
      <c r="K520" s="29">
        <v>0.46180555555555558</v>
      </c>
      <c r="L520" s="29">
        <v>0.46458333333333335</v>
      </c>
      <c r="M520" s="30">
        <f t="shared" ca="1" si="115"/>
        <v>2.7777777777777679E-3</v>
      </c>
      <c r="N520" s="46"/>
      <c r="O520" s="47"/>
    </row>
    <row r="521" spans="1:15" ht="15" customHeight="1">
      <c r="A521" s="69">
        <v>46223</v>
      </c>
      <c r="B521" s="32">
        <f t="shared" si="116"/>
        <v>0.58333333333333304</v>
      </c>
      <c r="C521" s="33" t="s">
        <v>21</v>
      </c>
      <c r="D521" s="62" t="s">
        <v>30</v>
      </c>
      <c r="E521" s="62" t="s">
        <v>261</v>
      </c>
      <c r="F521" s="27">
        <v>8</v>
      </c>
      <c r="G521" s="34">
        <f t="shared" si="114"/>
        <v>33.6</v>
      </c>
      <c r="H521" s="33" t="s">
        <v>20</v>
      </c>
      <c r="I521" s="33" t="s">
        <v>31</v>
      </c>
      <c r="J521" s="33" t="s">
        <v>62</v>
      </c>
      <c r="K521" s="29">
        <v>0.51736111111111116</v>
      </c>
      <c r="L521" s="29">
        <v>0.52361111111111114</v>
      </c>
      <c r="M521" s="35">
        <f t="shared" ca="1" si="115"/>
        <v>6.2499999999999778E-3</v>
      </c>
      <c r="N521" s="46"/>
      <c r="O521" s="47"/>
    </row>
    <row r="522" spans="1:15" ht="15" customHeight="1">
      <c r="A522" s="68">
        <v>46223</v>
      </c>
      <c r="B522" s="25">
        <f t="shared" si="116"/>
        <v>0.62499999999999967</v>
      </c>
      <c r="C522" s="33" t="s">
        <v>21</v>
      </c>
      <c r="D522" s="62" t="s">
        <v>30</v>
      </c>
      <c r="E522" s="62" t="s">
        <v>261</v>
      </c>
      <c r="F522" s="27">
        <v>17</v>
      </c>
      <c r="G522" s="28">
        <f t="shared" si="114"/>
        <v>71.400000000000006</v>
      </c>
      <c r="H522" s="26" t="s">
        <v>20</v>
      </c>
      <c r="I522" s="26" t="s">
        <v>31</v>
      </c>
      <c r="J522" s="26" t="s">
        <v>62</v>
      </c>
      <c r="K522" s="29">
        <v>0.54166666666666663</v>
      </c>
      <c r="L522" s="29">
        <v>0.55902777777777779</v>
      </c>
      <c r="M522" s="30">
        <f t="shared" ca="1" si="115"/>
        <v>1.736111111111116E-2</v>
      </c>
      <c r="N522" s="46" t="s">
        <v>321</v>
      </c>
      <c r="O522" s="47"/>
    </row>
    <row r="523" spans="1:15" ht="15" customHeight="1">
      <c r="A523" s="69">
        <v>46223</v>
      </c>
      <c r="B523" s="32">
        <f t="shared" si="116"/>
        <v>0.6666666666666663</v>
      </c>
      <c r="C523" s="33" t="s">
        <v>21</v>
      </c>
      <c r="D523" s="62" t="s">
        <v>30</v>
      </c>
      <c r="E523" s="62" t="s">
        <v>261</v>
      </c>
      <c r="F523" s="27">
        <v>13</v>
      </c>
      <c r="G523" s="34">
        <f t="shared" si="114"/>
        <v>54.6</v>
      </c>
      <c r="H523" s="33" t="s">
        <v>20</v>
      </c>
      <c r="I523" s="33" t="s">
        <v>39</v>
      </c>
      <c r="J523" s="33" t="s">
        <v>28</v>
      </c>
      <c r="K523" s="29">
        <v>0.57430555555555551</v>
      </c>
      <c r="L523" s="29">
        <v>0.57708333333333328</v>
      </c>
      <c r="M523" s="35">
        <f t="shared" ca="1" si="115"/>
        <v>2.7777777777777679E-3</v>
      </c>
      <c r="N523" s="46"/>
      <c r="O523" s="47"/>
    </row>
    <row r="524" spans="1:15" ht="15" customHeight="1">
      <c r="A524" s="68">
        <v>46223</v>
      </c>
      <c r="B524" s="25">
        <f t="shared" si="116"/>
        <v>0.70833333333333293</v>
      </c>
      <c r="C524" s="33" t="s">
        <v>21</v>
      </c>
      <c r="D524" s="62" t="s">
        <v>30</v>
      </c>
      <c r="E524" s="62" t="s">
        <v>261</v>
      </c>
      <c r="F524" s="27">
        <v>15</v>
      </c>
      <c r="G524" s="28">
        <f t="shared" si="114"/>
        <v>63</v>
      </c>
      <c r="H524" s="26" t="s">
        <v>20</v>
      </c>
      <c r="I524" s="26" t="s">
        <v>31</v>
      </c>
      <c r="J524" s="26" t="s">
        <v>62</v>
      </c>
      <c r="K524" s="29">
        <v>0.64513888888888893</v>
      </c>
      <c r="L524" s="29">
        <v>0.65138888888888891</v>
      </c>
      <c r="M524" s="30">
        <f t="shared" ca="1" si="115"/>
        <v>6.2499999999999778E-3</v>
      </c>
      <c r="N524" s="46"/>
      <c r="O524" s="47"/>
    </row>
    <row r="525" spans="1:15" ht="15" customHeight="1">
      <c r="A525" s="69">
        <v>46223</v>
      </c>
      <c r="B525" s="32">
        <f t="shared" si="116"/>
        <v>0.74999999999999956</v>
      </c>
      <c r="C525" s="33" t="s">
        <v>21</v>
      </c>
      <c r="D525" s="62" t="s">
        <v>30</v>
      </c>
      <c r="E525" s="62" t="s">
        <v>261</v>
      </c>
      <c r="F525" s="27">
        <v>20</v>
      </c>
      <c r="G525" s="34">
        <f t="shared" si="114"/>
        <v>84</v>
      </c>
      <c r="H525" s="33" t="s">
        <v>20</v>
      </c>
      <c r="I525" s="33" t="s">
        <v>31</v>
      </c>
      <c r="J525" s="33" t="s">
        <v>36</v>
      </c>
      <c r="K525" s="29">
        <v>0.66319444444444442</v>
      </c>
      <c r="L525" s="29">
        <v>0.6743055555555556</v>
      </c>
      <c r="M525" s="35">
        <f t="shared" ca="1" si="115"/>
        <v>1.1111111111111183E-2</v>
      </c>
      <c r="N525" s="46"/>
      <c r="O525" s="47"/>
    </row>
    <row r="526" spans="1:15" ht="15" customHeight="1">
      <c r="A526" s="68">
        <v>46223</v>
      </c>
      <c r="B526" s="25">
        <f t="shared" si="116"/>
        <v>0.79166666666666619</v>
      </c>
      <c r="C526" s="33" t="s">
        <v>21</v>
      </c>
      <c r="D526" s="62" t="s">
        <v>30</v>
      </c>
      <c r="E526" s="62" t="s">
        <v>261</v>
      </c>
      <c r="F526" s="27">
        <v>9</v>
      </c>
      <c r="G526" s="28">
        <f t="shared" si="114"/>
        <v>37.800000000000004</v>
      </c>
      <c r="H526" s="26"/>
      <c r="I526" s="26"/>
      <c r="J526" s="26"/>
      <c r="K526" s="29"/>
      <c r="L526" s="29"/>
      <c r="M526" s="30" t="str">
        <f t="shared" ca="1" si="115"/>
        <v/>
      </c>
      <c r="N526" s="46"/>
      <c r="O526" s="47"/>
    </row>
    <row r="527" spans="1:15" ht="15.75" customHeight="1">
      <c r="A527" s="119" t="s">
        <v>236</v>
      </c>
      <c r="B527" s="120"/>
      <c r="C527" s="120"/>
      <c r="D527" s="120"/>
      <c r="E527" s="121">
        <f>SUM(E515:E526)</f>
        <v>0</v>
      </c>
      <c r="F527" s="36">
        <f>SUM(F515:F526)</f>
        <v>184</v>
      </c>
      <c r="G527" s="90">
        <f>SUM(G515:G526)</f>
        <v>772.80000000000007</v>
      </c>
      <c r="H527" s="37"/>
      <c r="I527" s="37"/>
      <c r="J527" s="37"/>
      <c r="K527" s="37"/>
      <c r="L527" s="37"/>
      <c r="M527" s="38">
        <f ca="1">IFERROR(SUM(M515:M526),"")</f>
        <v>8.7500000000000078E-2</v>
      </c>
      <c r="N527" s="36" t="s">
        <v>237</v>
      </c>
      <c r="O527" s="77">
        <v>826410</v>
      </c>
    </row>
    <row r="528" spans="1:15" ht="15" customHeight="1">
      <c r="A528" s="68">
        <v>46223</v>
      </c>
      <c r="B528" s="25">
        <v>0.83333333333333304</v>
      </c>
      <c r="C528" s="26" t="s">
        <v>45</v>
      </c>
      <c r="D528" s="59" t="s">
        <v>30</v>
      </c>
      <c r="E528" s="59" t="s">
        <v>261</v>
      </c>
      <c r="F528" s="27">
        <v>20</v>
      </c>
      <c r="G528" s="28">
        <f t="shared" ref="G528:G539" si="117">IF(F528="","",IF(E528="PC 17",F528*4.2,IF(E528="PC 19",F528*5,"")))</f>
        <v>84</v>
      </c>
      <c r="H528" s="26" t="s">
        <v>20</v>
      </c>
      <c r="I528" s="26" t="s">
        <v>39</v>
      </c>
      <c r="J528" s="26" t="s">
        <v>28</v>
      </c>
      <c r="K528" s="29">
        <v>0.83680555555555558</v>
      </c>
      <c r="L528" s="29">
        <v>0.84305555555555556</v>
      </c>
      <c r="M528" s="30">
        <f t="shared" ref="M528:M539" ca="1" si="118">IFERROR(IF(K528="","",IF(L528="",MOD(NOW()-K528,1),IF(L528&gt;=K528,L528-K528,L528+1-K528))),"")</f>
        <v>6.2499999999999778E-3</v>
      </c>
      <c r="N528" s="46"/>
      <c r="O528" s="47"/>
    </row>
    <row r="529" spans="1:15" ht="15" customHeight="1">
      <c r="A529" s="69">
        <v>46223</v>
      </c>
      <c r="B529" s="32">
        <f t="shared" ref="B529:B539" si="119">B528+TIME(0,60,0)</f>
        <v>0.87499999999999967</v>
      </c>
      <c r="C529" s="26" t="s">
        <v>45</v>
      </c>
      <c r="D529" s="59" t="s">
        <v>30</v>
      </c>
      <c r="E529" s="59" t="s">
        <v>261</v>
      </c>
      <c r="F529" s="27">
        <v>10</v>
      </c>
      <c r="G529" s="34">
        <f t="shared" si="117"/>
        <v>42</v>
      </c>
      <c r="H529" s="33" t="s">
        <v>19</v>
      </c>
      <c r="I529" s="33" t="s">
        <v>157</v>
      </c>
      <c r="J529" s="33" t="s">
        <v>27</v>
      </c>
      <c r="K529" s="29">
        <v>0.92847222222222225</v>
      </c>
      <c r="L529" s="29">
        <v>0.95625000000000004</v>
      </c>
      <c r="M529" s="35">
        <f t="shared" ca="1" si="118"/>
        <v>2.777777777777779E-2</v>
      </c>
      <c r="N529" s="46"/>
      <c r="O529" s="47"/>
    </row>
    <row r="530" spans="1:15" ht="15" customHeight="1">
      <c r="A530" s="68">
        <v>46223</v>
      </c>
      <c r="B530" s="25">
        <f t="shared" si="119"/>
        <v>0.9166666666666663</v>
      </c>
      <c r="C530" s="26" t="s">
        <v>45</v>
      </c>
      <c r="D530" s="59" t="s">
        <v>30</v>
      </c>
      <c r="E530" s="59" t="s">
        <v>261</v>
      </c>
      <c r="F530" s="27">
        <v>15</v>
      </c>
      <c r="G530" s="28">
        <f t="shared" si="117"/>
        <v>63</v>
      </c>
      <c r="H530" s="26" t="s">
        <v>20</v>
      </c>
      <c r="I530" s="26" t="s">
        <v>31</v>
      </c>
      <c r="J530" s="26" t="s">
        <v>129</v>
      </c>
      <c r="K530" s="29">
        <v>0.98263888888888884</v>
      </c>
      <c r="L530" s="29">
        <v>0.9916666666666667</v>
      </c>
      <c r="M530" s="30">
        <f t="shared" ca="1" si="118"/>
        <v>9.0277777777778567E-3</v>
      </c>
      <c r="N530" s="46"/>
      <c r="O530" s="47"/>
    </row>
    <row r="531" spans="1:15" ht="15" customHeight="1">
      <c r="A531" s="69">
        <v>46223</v>
      </c>
      <c r="B531" s="32">
        <f t="shared" si="119"/>
        <v>0.95833333333333293</v>
      </c>
      <c r="C531" s="26" t="s">
        <v>45</v>
      </c>
      <c r="D531" s="59" t="s">
        <v>30</v>
      </c>
      <c r="E531" s="59" t="s">
        <v>261</v>
      </c>
      <c r="F531" s="27">
        <v>6</v>
      </c>
      <c r="G531" s="34">
        <f t="shared" si="117"/>
        <v>25.200000000000003</v>
      </c>
      <c r="H531" s="33" t="s">
        <v>20</v>
      </c>
      <c r="I531" s="33" t="s">
        <v>31</v>
      </c>
      <c r="J531" s="33" t="s">
        <v>62</v>
      </c>
      <c r="K531" s="29">
        <v>1.1805555555555555E-2</v>
      </c>
      <c r="L531" s="29">
        <v>1.8055555555555554E-2</v>
      </c>
      <c r="M531" s="35">
        <f t="shared" ca="1" si="118"/>
        <v>6.2499999999999986E-3</v>
      </c>
      <c r="N531" s="46"/>
      <c r="O531" s="47"/>
    </row>
    <row r="532" spans="1:15" ht="15" customHeight="1">
      <c r="A532" s="68">
        <v>46223</v>
      </c>
      <c r="B532" s="25">
        <f t="shared" si="119"/>
        <v>0.99999999999999956</v>
      </c>
      <c r="C532" s="26" t="s">
        <v>45</v>
      </c>
      <c r="D532" s="59" t="s">
        <v>30</v>
      </c>
      <c r="E532" s="59" t="s">
        <v>261</v>
      </c>
      <c r="F532" s="27">
        <v>0</v>
      </c>
      <c r="G532" s="28">
        <f t="shared" si="117"/>
        <v>0</v>
      </c>
      <c r="H532" s="26" t="s">
        <v>20</v>
      </c>
      <c r="I532" s="26"/>
      <c r="J532" s="26" t="s">
        <v>28</v>
      </c>
      <c r="K532" s="29">
        <v>0.11388888888888889</v>
      </c>
      <c r="L532" s="29">
        <v>0.12013888888888889</v>
      </c>
      <c r="M532" s="30">
        <f t="shared" ca="1" si="118"/>
        <v>6.2500000000000056E-3</v>
      </c>
      <c r="N532" s="46"/>
      <c r="O532" s="47"/>
    </row>
    <row r="533" spans="1:15" ht="15" customHeight="1">
      <c r="A533" s="69">
        <v>46223</v>
      </c>
      <c r="B533" s="32">
        <f t="shared" si="119"/>
        <v>1.0416666666666663</v>
      </c>
      <c r="C533" s="26" t="s">
        <v>45</v>
      </c>
      <c r="D533" s="59" t="s">
        <v>30</v>
      </c>
      <c r="E533" s="59" t="s">
        <v>261</v>
      </c>
      <c r="F533" s="27">
        <v>12</v>
      </c>
      <c r="G533" s="34">
        <f t="shared" si="117"/>
        <v>50.400000000000006</v>
      </c>
      <c r="H533" s="33" t="s">
        <v>20</v>
      </c>
      <c r="I533" s="33" t="s">
        <v>31</v>
      </c>
      <c r="J533" s="33" t="s">
        <v>28</v>
      </c>
      <c r="K533" s="29">
        <v>0.2361111111111111</v>
      </c>
      <c r="L533" s="29">
        <v>0.24374999999999999</v>
      </c>
      <c r="M533" s="35">
        <f t="shared" ca="1" si="118"/>
        <v>7.6388888888888895E-3</v>
      </c>
      <c r="N533" s="46"/>
      <c r="O533" s="47"/>
    </row>
    <row r="534" spans="1:15" ht="15" customHeight="1">
      <c r="A534" s="68">
        <v>46223</v>
      </c>
      <c r="B534" s="25">
        <f t="shared" si="119"/>
        <v>1.083333333333333</v>
      </c>
      <c r="C534" s="26" t="s">
        <v>45</v>
      </c>
      <c r="D534" s="59" t="s">
        <v>30</v>
      </c>
      <c r="E534" s="59" t="s">
        <v>261</v>
      </c>
      <c r="F534" s="27">
        <v>19</v>
      </c>
      <c r="G534" s="28">
        <f t="shared" si="117"/>
        <v>79.8</v>
      </c>
      <c r="H534" s="26"/>
      <c r="I534" s="26"/>
      <c r="J534" s="26"/>
      <c r="K534" s="29"/>
      <c r="L534" s="29"/>
      <c r="M534" s="30" t="str">
        <f t="shared" ca="1" si="118"/>
        <v/>
      </c>
      <c r="N534" s="46"/>
      <c r="O534" s="47"/>
    </row>
    <row r="535" spans="1:15" ht="15" customHeight="1">
      <c r="A535" s="69">
        <v>46223</v>
      </c>
      <c r="B535" s="32">
        <f t="shared" si="119"/>
        <v>1.1249999999999998</v>
      </c>
      <c r="C535" s="26" t="s">
        <v>45</v>
      </c>
      <c r="D535" s="59" t="s">
        <v>30</v>
      </c>
      <c r="E535" s="59" t="s">
        <v>261</v>
      </c>
      <c r="F535" s="27">
        <v>10</v>
      </c>
      <c r="G535" s="34">
        <f t="shared" si="117"/>
        <v>42</v>
      </c>
      <c r="H535" s="33"/>
      <c r="I535" s="33"/>
      <c r="J535" s="33"/>
      <c r="K535" s="29"/>
      <c r="L535" s="29"/>
      <c r="M535" s="35" t="str">
        <f t="shared" ca="1" si="118"/>
        <v/>
      </c>
      <c r="N535" s="46"/>
      <c r="O535" s="47"/>
    </row>
    <row r="536" spans="1:15" ht="15" customHeight="1">
      <c r="A536" s="68">
        <v>46223</v>
      </c>
      <c r="B536" s="25">
        <f t="shared" si="119"/>
        <v>1.1666666666666665</v>
      </c>
      <c r="C536" s="26" t="s">
        <v>45</v>
      </c>
      <c r="D536" s="59" t="s">
        <v>30</v>
      </c>
      <c r="E536" s="59" t="s">
        <v>261</v>
      </c>
      <c r="F536" s="27">
        <v>5</v>
      </c>
      <c r="G536" s="28">
        <f t="shared" si="117"/>
        <v>21</v>
      </c>
      <c r="H536" s="26"/>
      <c r="I536" s="26"/>
      <c r="J536" s="26"/>
      <c r="K536" s="29"/>
      <c r="L536" s="29"/>
      <c r="M536" s="30" t="str">
        <f t="shared" ca="1" si="118"/>
        <v/>
      </c>
      <c r="N536" s="46"/>
      <c r="O536" s="47"/>
    </row>
    <row r="537" spans="1:15" ht="15" customHeight="1">
      <c r="A537" s="69">
        <v>46223</v>
      </c>
      <c r="B537" s="32">
        <f t="shared" si="119"/>
        <v>1.2083333333333333</v>
      </c>
      <c r="C537" s="26" t="s">
        <v>45</v>
      </c>
      <c r="D537" s="59" t="s">
        <v>30</v>
      </c>
      <c r="E537" s="59" t="s">
        <v>261</v>
      </c>
      <c r="F537" s="27">
        <v>15</v>
      </c>
      <c r="G537" s="34">
        <f t="shared" si="117"/>
        <v>63</v>
      </c>
      <c r="H537" s="33"/>
      <c r="I537" s="33"/>
      <c r="J537" s="33"/>
      <c r="K537" s="29"/>
      <c r="L537" s="29"/>
      <c r="M537" s="35" t="str">
        <f t="shared" ca="1" si="118"/>
        <v/>
      </c>
      <c r="N537" s="46"/>
      <c r="O537" s="47"/>
    </row>
    <row r="538" spans="1:15" ht="15" customHeight="1">
      <c r="A538" s="68">
        <v>46223</v>
      </c>
      <c r="B538" s="25">
        <f t="shared" si="119"/>
        <v>1.25</v>
      </c>
      <c r="C538" s="26" t="s">
        <v>45</v>
      </c>
      <c r="D538" s="59" t="s">
        <v>30</v>
      </c>
      <c r="E538" s="59" t="s">
        <v>261</v>
      </c>
      <c r="F538" s="27">
        <v>18</v>
      </c>
      <c r="G538" s="28">
        <f t="shared" si="117"/>
        <v>75.600000000000009</v>
      </c>
      <c r="H538" s="26"/>
      <c r="I538" s="26"/>
      <c r="J538" s="26"/>
      <c r="K538" s="29"/>
      <c r="L538" s="29"/>
      <c r="M538" s="30" t="str">
        <f t="shared" ca="1" si="118"/>
        <v/>
      </c>
      <c r="N538" s="46"/>
      <c r="O538" s="47"/>
    </row>
    <row r="539" spans="1:15" ht="15" customHeight="1">
      <c r="A539" s="69">
        <v>46223</v>
      </c>
      <c r="B539" s="32">
        <f t="shared" si="119"/>
        <v>1.2916666666666667</v>
      </c>
      <c r="C539" s="26" t="s">
        <v>45</v>
      </c>
      <c r="D539" s="59" t="s">
        <v>30</v>
      </c>
      <c r="E539" s="59" t="s">
        <v>261</v>
      </c>
      <c r="F539" s="27">
        <v>10</v>
      </c>
      <c r="G539" s="34">
        <f t="shared" si="117"/>
        <v>42</v>
      </c>
      <c r="H539" s="33"/>
      <c r="I539" s="33"/>
      <c r="J539" s="33"/>
      <c r="K539" s="29"/>
      <c r="L539" s="29"/>
      <c r="M539" s="35" t="str">
        <f t="shared" ca="1" si="118"/>
        <v/>
      </c>
      <c r="N539" s="46"/>
      <c r="O539" s="47"/>
    </row>
    <row r="540" spans="1:15" ht="15.75" customHeight="1">
      <c r="A540" s="119" t="s">
        <v>238</v>
      </c>
      <c r="B540" s="120"/>
      <c r="C540" s="120"/>
      <c r="D540" s="120"/>
      <c r="E540" s="121">
        <f>SUM(E528:E539)</f>
        <v>0</v>
      </c>
      <c r="F540" s="36">
        <f>SUM(F528:F539)</f>
        <v>140</v>
      </c>
      <c r="G540" s="36">
        <f>SUM(G528:G539)</f>
        <v>588</v>
      </c>
      <c r="H540" s="37"/>
      <c r="I540" s="37"/>
      <c r="J540" s="37"/>
      <c r="K540" s="37"/>
      <c r="L540" s="37"/>
      <c r="M540" s="38">
        <f ca="1">IFERROR(SUM(M528:M539),"")</f>
        <v>6.3194444444444525E-2</v>
      </c>
      <c r="N540" s="36" t="s">
        <v>237</v>
      </c>
      <c r="O540" s="77">
        <v>548610</v>
      </c>
    </row>
    <row r="541" spans="1:15" ht="18" customHeight="1">
      <c r="A541" s="122" t="s">
        <v>239</v>
      </c>
      <c r="B541" s="123"/>
      <c r="C541" s="123"/>
      <c r="D541" s="123"/>
      <c r="E541" s="124">
        <f>E527+E540</f>
        <v>0</v>
      </c>
      <c r="F541" s="40">
        <f>F527+F540</f>
        <v>324</v>
      </c>
      <c r="G541" s="40">
        <f>G527+G540</f>
        <v>1360.8000000000002</v>
      </c>
      <c r="H541" s="41"/>
      <c r="I541" s="41"/>
      <c r="J541" s="41"/>
      <c r="K541" s="41"/>
      <c r="L541" s="41"/>
      <c r="M541" s="42">
        <f ca="1">IFERROR(M527+M540,"")</f>
        <v>0.1506944444444446</v>
      </c>
      <c r="N541" s="40" t="s">
        <v>240</v>
      </c>
      <c r="O541" s="83">
        <f>IFERROR(O527+O540,"")</f>
        <v>1375020</v>
      </c>
    </row>
    <row r="542" spans="1:15" ht="15" customHeight="1">
      <c r="A542" s="68">
        <v>46224</v>
      </c>
      <c r="B542" s="25">
        <v>0.33333333333333298</v>
      </c>
      <c r="C542" s="26" t="s">
        <v>21</v>
      </c>
      <c r="D542" s="59" t="s">
        <v>30</v>
      </c>
      <c r="E542" s="59" t="s">
        <v>261</v>
      </c>
      <c r="F542" s="27">
        <v>12</v>
      </c>
      <c r="G542" s="28">
        <f t="shared" ref="G542:G553" si="120">IF(F542="","",IF(E542="PC 17",F542*4.2,IF(E542="PC 19",F542*5,"")))</f>
        <v>50.400000000000006</v>
      </c>
      <c r="H542" s="26" t="s">
        <v>20</v>
      </c>
      <c r="I542" s="26" t="s">
        <v>31</v>
      </c>
      <c r="J542" s="26" t="s">
        <v>62</v>
      </c>
      <c r="K542" s="29">
        <v>0.2951388888888889</v>
      </c>
      <c r="L542" s="29">
        <v>0.30694444444444446</v>
      </c>
      <c r="M542" s="30">
        <f t="shared" ref="M542:M553" ca="1" si="121">IFERROR(IF(K542="","",IF(L542="",MOD(NOW()-K542,1),IF(L542&gt;=K542,L542-K542,L542+1-K542))),"")</f>
        <v>1.1805555555555569E-2</v>
      </c>
      <c r="N542" s="46"/>
      <c r="O542" s="47"/>
    </row>
    <row r="543" spans="1:15" ht="15" customHeight="1">
      <c r="A543" s="69">
        <v>46224</v>
      </c>
      <c r="B543" s="32">
        <f t="shared" ref="B543:B553" si="122">B542+TIME(0,60,0)</f>
        <v>0.37499999999999967</v>
      </c>
      <c r="C543" s="26" t="s">
        <v>21</v>
      </c>
      <c r="D543" s="59" t="s">
        <v>30</v>
      </c>
      <c r="E543" s="59" t="s">
        <v>261</v>
      </c>
      <c r="F543" s="27">
        <v>18</v>
      </c>
      <c r="G543" s="34">
        <f t="shared" si="120"/>
        <v>75.600000000000009</v>
      </c>
      <c r="H543" s="33" t="s">
        <v>20</v>
      </c>
      <c r="I543" s="33"/>
      <c r="J543" s="33" t="s">
        <v>181</v>
      </c>
      <c r="K543" s="29">
        <v>0.38541666666666669</v>
      </c>
      <c r="L543" s="29">
        <v>0.39583333333333331</v>
      </c>
      <c r="M543" s="35">
        <f t="shared" ca="1" si="121"/>
        <v>1.041666666666663E-2</v>
      </c>
      <c r="N543" s="46" t="s">
        <v>322</v>
      </c>
      <c r="O543" s="47"/>
    </row>
    <row r="544" spans="1:15" ht="15" customHeight="1">
      <c r="A544" s="68">
        <v>46224</v>
      </c>
      <c r="B544" s="25">
        <f t="shared" si="122"/>
        <v>0.41666666666666635</v>
      </c>
      <c r="C544" s="26" t="s">
        <v>21</v>
      </c>
      <c r="D544" s="59" t="s">
        <v>30</v>
      </c>
      <c r="E544" s="59" t="s">
        <v>261</v>
      </c>
      <c r="F544" s="27">
        <v>21</v>
      </c>
      <c r="G544" s="28">
        <f t="shared" si="120"/>
        <v>88.2</v>
      </c>
      <c r="H544" s="26" t="s">
        <v>19</v>
      </c>
      <c r="I544" s="26" t="s">
        <v>157</v>
      </c>
      <c r="J544" s="26" t="s">
        <v>27</v>
      </c>
      <c r="K544" s="29">
        <v>0.47013888888888888</v>
      </c>
      <c r="L544" s="29">
        <v>0.4861111111111111</v>
      </c>
      <c r="M544" s="30">
        <f t="shared" ca="1" si="121"/>
        <v>1.5972222222222221E-2</v>
      </c>
      <c r="N544" s="46"/>
      <c r="O544" s="47"/>
    </row>
    <row r="545" spans="1:15" ht="15" customHeight="1">
      <c r="A545" s="69">
        <v>46224</v>
      </c>
      <c r="B545" s="32">
        <f t="shared" si="122"/>
        <v>0.45833333333333304</v>
      </c>
      <c r="C545" s="26" t="s">
        <v>21</v>
      </c>
      <c r="D545" s="59" t="s">
        <v>30</v>
      </c>
      <c r="E545" s="59" t="s">
        <v>261</v>
      </c>
      <c r="F545" s="27">
        <v>28</v>
      </c>
      <c r="G545" s="34">
        <f t="shared" si="120"/>
        <v>117.60000000000001</v>
      </c>
      <c r="H545" s="33" t="s">
        <v>20</v>
      </c>
      <c r="I545" s="33" t="s">
        <v>31</v>
      </c>
      <c r="J545" s="33" t="s">
        <v>62</v>
      </c>
      <c r="K545" s="29">
        <v>0.64930555555555558</v>
      </c>
      <c r="L545" s="29">
        <v>0.67847222222222225</v>
      </c>
      <c r="M545" s="35">
        <f t="shared" ca="1" si="121"/>
        <v>2.9166666666666674E-2</v>
      </c>
      <c r="N545" s="46"/>
      <c r="O545" s="47"/>
    </row>
    <row r="546" spans="1:15" ht="15" customHeight="1">
      <c r="A546" s="68">
        <v>46224</v>
      </c>
      <c r="B546" s="25">
        <f t="shared" si="122"/>
        <v>0.49999999999999972</v>
      </c>
      <c r="C546" s="26" t="s">
        <v>21</v>
      </c>
      <c r="D546" s="59" t="s">
        <v>30</v>
      </c>
      <c r="E546" s="59" t="s">
        <v>261</v>
      </c>
      <c r="F546" s="27">
        <v>12</v>
      </c>
      <c r="G546" s="28">
        <f t="shared" si="120"/>
        <v>50.400000000000006</v>
      </c>
      <c r="H546" s="26" t="s">
        <v>20</v>
      </c>
      <c r="I546" s="26" t="s">
        <v>121</v>
      </c>
      <c r="J546" s="26" t="s">
        <v>113</v>
      </c>
      <c r="K546" s="29">
        <v>0.75</v>
      </c>
      <c r="L546" s="29">
        <v>0.76736111111111116</v>
      </c>
      <c r="M546" s="30">
        <f t="shared" ca="1" si="121"/>
        <v>1.736111111111116E-2</v>
      </c>
      <c r="N546" s="46"/>
      <c r="O546" s="47"/>
    </row>
    <row r="547" spans="1:15" ht="15" customHeight="1">
      <c r="A547" s="69">
        <v>46224</v>
      </c>
      <c r="B547" s="32">
        <f t="shared" si="122"/>
        <v>0.54166666666666641</v>
      </c>
      <c r="C547" s="26" t="s">
        <v>21</v>
      </c>
      <c r="D547" s="59" t="s">
        <v>38</v>
      </c>
      <c r="E547" s="59" t="s">
        <v>261</v>
      </c>
      <c r="F547" s="27">
        <v>21</v>
      </c>
      <c r="G547" s="34">
        <f t="shared" si="120"/>
        <v>88.2</v>
      </c>
      <c r="H547" s="33"/>
      <c r="I547" s="33"/>
      <c r="J547" s="33"/>
      <c r="K547" s="29"/>
      <c r="L547" s="29"/>
      <c r="M547" s="35" t="str">
        <f t="shared" ca="1" si="121"/>
        <v/>
      </c>
      <c r="N547" s="46"/>
      <c r="O547" s="47"/>
    </row>
    <row r="548" spans="1:15" ht="15" customHeight="1">
      <c r="A548" s="68">
        <v>46224</v>
      </c>
      <c r="B548" s="25">
        <f t="shared" si="122"/>
        <v>0.58333333333333304</v>
      </c>
      <c r="C548" s="26" t="s">
        <v>21</v>
      </c>
      <c r="D548" s="59" t="s">
        <v>38</v>
      </c>
      <c r="E548" s="59" t="s">
        <v>261</v>
      </c>
      <c r="F548" s="27">
        <v>30</v>
      </c>
      <c r="G548" s="28">
        <f t="shared" si="120"/>
        <v>126</v>
      </c>
      <c r="H548" s="26"/>
      <c r="I548" s="26"/>
      <c r="J548" s="26"/>
      <c r="K548" s="29"/>
      <c r="L548" s="29"/>
      <c r="M548" s="30" t="str">
        <f t="shared" ca="1" si="121"/>
        <v/>
      </c>
      <c r="N548" s="46"/>
      <c r="O548" s="47"/>
    </row>
    <row r="549" spans="1:15" ht="15" customHeight="1">
      <c r="A549" s="69">
        <v>46224</v>
      </c>
      <c r="B549" s="32">
        <f t="shared" si="122"/>
        <v>0.62499999999999967</v>
      </c>
      <c r="C549" s="26" t="s">
        <v>21</v>
      </c>
      <c r="D549" s="59" t="s">
        <v>38</v>
      </c>
      <c r="E549" s="59" t="s">
        <v>261</v>
      </c>
      <c r="F549" s="27">
        <v>41</v>
      </c>
      <c r="G549" s="34">
        <f t="shared" si="120"/>
        <v>172.20000000000002</v>
      </c>
      <c r="H549" s="33"/>
      <c r="I549" s="33"/>
      <c r="J549" s="33"/>
      <c r="K549" s="29"/>
      <c r="L549" s="29"/>
      <c r="M549" s="35" t="str">
        <f t="shared" ca="1" si="121"/>
        <v/>
      </c>
      <c r="N549" s="46"/>
      <c r="O549" s="47"/>
    </row>
    <row r="550" spans="1:15" ht="15" customHeight="1">
      <c r="A550" s="68">
        <v>46224</v>
      </c>
      <c r="B550" s="25">
        <f t="shared" si="122"/>
        <v>0.6666666666666663</v>
      </c>
      <c r="C550" s="26" t="s">
        <v>21</v>
      </c>
      <c r="D550" s="59" t="s">
        <v>38</v>
      </c>
      <c r="E550" s="59" t="s">
        <v>261</v>
      </c>
      <c r="F550" s="27">
        <v>19</v>
      </c>
      <c r="G550" s="28">
        <f t="shared" si="120"/>
        <v>79.8</v>
      </c>
      <c r="H550" s="26"/>
      <c r="I550" s="26"/>
      <c r="J550" s="26"/>
      <c r="K550" s="29"/>
      <c r="L550" s="29"/>
      <c r="M550" s="30" t="str">
        <f t="shared" ca="1" si="121"/>
        <v/>
      </c>
      <c r="N550" s="46"/>
      <c r="O550" s="47"/>
    </row>
    <row r="551" spans="1:15" ht="15" customHeight="1">
      <c r="A551" s="69">
        <v>46224</v>
      </c>
      <c r="B551" s="32">
        <f t="shared" si="122"/>
        <v>0.70833333333333293</v>
      </c>
      <c r="C551" s="26" t="s">
        <v>21</v>
      </c>
      <c r="D551" s="59" t="s">
        <v>38</v>
      </c>
      <c r="E551" s="59" t="s">
        <v>261</v>
      </c>
      <c r="F551" s="27">
        <v>19</v>
      </c>
      <c r="G551" s="34">
        <f t="shared" si="120"/>
        <v>79.8</v>
      </c>
      <c r="H551" s="33"/>
      <c r="I551" s="33"/>
      <c r="J551" s="33"/>
      <c r="K551" s="29"/>
      <c r="L551" s="29"/>
      <c r="M551" s="35" t="str">
        <f t="shared" ca="1" si="121"/>
        <v/>
      </c>
      <c r="N551" s="46"/>
      <c r="O551" s="47"/>
    </row>
    <row r="552" spans="1:15" ht="15" customHeight="1">
      <c r="A552" s="68">
        <v>46224</v>
      </c>
      <c r="B552" s="25">
        <f t="shared" si="122"/>
        <v>0.74999999999999956</v>
      </c>
      <c r="C552" s="26" t="s">
        <v>21</v>
      </c>
      <c r="D552" s="59" t="s">
        <v>38</v>
      </c>
      <c r="E552" s="59" t="s">
        <v>261</v>
      </c>
      <c r="F552" s="27">
        <v>17</v>
      </c>
      <c r="G552" s="28">
        <f t="shared" si="120"/>
        <v>71.400000000000006</v>
      </c>
      <c r="H552" s="26"/>
      <c r="I552" s="26"/>
      <c r="J552" s="26"/>
      <c r="K552" s="29"/>
      <c r="L552" s="29"/>
      <c r="M552" s="30" t="str">
        <f t="shared" ca="1" si="121"/>
        <v/>
      </c>
      <c r="N552" s="46"/>
      <c r="O552" s="47"/>
    </row>
    <row r="553" spans="1:15" ht="15" customHeight="1">
      <c r="A553" s="69">
        <v>46224</v>
      </c>
      <c r="B553" s="32">
        <f t="shared" si="122"/>
        <v>0.79166666666666619</v>
      </c>
      <c r="C553" s="26" t="s">
        <v>21</v>
      </c>
      <c r="D553" s="59" t="s">
        <v>38</v>
      </c>
      <c r="E553" s="59" t="s">
        <v>261</v>
      </c>
      <c r="F553" s="27">
        <v>0</v>
      </c>
      <c r="G553" s="34">
        <f t="shared" si="120"/>
        <v>0</v>
      </c>
      <c r="H553" s="33"/>
      <c r="I553" s="33"/>
      <c r="J553" s="33"/>
      <c r="K553" s="29"/>
      <c r="L553" s="29"/>
      <c r="M553" s="35" t="str">
        <f t="shared" ca="1" si="121"/>
        <v/>
      </c>
      <c r="N553" s="46"/>
      <c r="O553" s="47"/>
    </row>
    <row r="554" spans="1:15" ht="15.75" customHeight="1">
      <c r="A554" s="119" t="s">
        <v>236</v>
      </c>
      <c r="B554" s="120"/>
      <c r="C554" s="120"/>
      <c r="D554" s="120"/>
      <c r="E554" s="121">
        <f>SUM(E542:E553)</f>
        <v>0</v>
      </c>
      <c r="F554" s="36">
        <f>SUM(F542:F553)</f>
        <v>238</v>
      </c>
      <c r="G554" s="36">
        <f>SUM(G542:G553)</f>
        <v>999.6</v>
      </c>
      <c r="H554" s="37"/>
      <c r="I554" s="37"/>
      <c r="J554" s="37"/>
      <c r="K554" s="37"/>
      <c r="L554" s="37"/>
      <c r="M554" s="38">
        <f ca="1">IFERROR(SUM(M542:M553),"")</f>
        <v>8.4722222222222254E-2</v>
      </c>
      <c r="N554" s="36" t="s">
        <v>237</v>
      </c>
      <c r="O554" s="77">
        <v>1003230</v>
      </c>
    </row>
    <row r="555" spans="1:15" ht="15" customHeight="1">
      <c r="A555" s="69">
        <v>46224</v>
      </c>
      <c r="B555" s="32">
        <v>0.83333333333333304</v>
      </c>
      <c r="C555" s="33" t="s">
        <v>45</v>
      </c>
      <c r="D555" s="62" t="s">
        <v>30</v>
      </c>
      <c r="E555" s="62" t="s">
        <v>261</v>
      </c>
      <c r="F555" s="27">
        <v>17</v>
      </c>
      <c r="G555" s="34">
        <f t="shared" ref="G555:G566" si="123">IF(F555="","",IF(E555="PC 17",F555*4.2,IF(E555="PC 19",F555*5,"")))</f>
        <v>71.400000000000006</v>
      </c>
      <c r="H555" s="33" t="s">
        <v>20</v>
      </c>
      <c r="I555" s="33" t="s">
        <v>31</v>
      </c>
      <c r="J555" s="33" t="s">
        <v>62</v>
      </c>
      <c r="K555" s="29">
        <v>0.81111111111111112</v>
      </c>
      <c r="L555" s="29">
        <v>0.82777777777777772</v>
      </c>
      <c r="M555" s="35">
        <f t="shared" ref="M555:M566" ca="1" si="124">IFERROR(IF(K555="","",IF(L555="",MOD(NOW()-K555,1),IF(L555&gt;=K555,L555-K555,L555+1-K555))),"")</f>
        <v>1.6666666666666607E-2</v>
      </c>
      <c r="N555" s="46"/>
      <c r="O555" s="47"/>
    </row>
    <row r="556" spans="1:15" ht="15" customHeight="1">
      <c r="A556" s="68">
        <v>46224</v>
      </c>
      <c r="B556" s="25">
        <f t="shared" ref="B556:B566" si="125">B555+TIME(0,60,0)</f>
        <v>0.87499999999999967</v>
      </c>
      <c r="C556" s="33" t="s">
        <v>45</v>
      </c>
      <c r="D556" s="62" t="s">
        <v>30</v>
      </c>
      <c r="E556" s="62" t="s">
        <v>261</v>
      </c>
      <c r="F556" s="27">
        <v>5</v>
      </c>
      <c r="G556" s="28">
        <f t="shared" si="123"/>
        <v>21</v>
      </c>
      <c r="H556" s="26" t="s">
        <v>20</v>
      </c>
      <c r="I556" s="26" t="s">
        <v>39</v>
      </c>
      <c r="J556" s="26" t="s">
        <v>62</v>
      </c>
      <c r="K556" s="29">
        <v>0.86736111111111114</v>
      </c>
      <c r="L556" s="29">
        <v>0.87013888888888891</v>
      </c>
      <c r="M556" s="30">
        <f t="shared" ca="1" si="124"/>
        <v>2.7777777777777679E-3</v>
      </c>
      <c r="N556" s="46"/>
      <c r="O556" s="47"/>
    </row>
    <row r="557" spans="1:15" ht="15" customHeight="1">
      <c r="A557" s="69">
        <v>46224</v>
      </c>
      <c r="B557" s="32">
        <f t="shared" si="125"/>
        <v>0.9166666666666663</v>
      </c>
      <c r="C557" s="33" t="s">
        <v>45</v>
      </c>
      <c r="D557" s="62" t="s">
        <v>30</v>
      </c>
      <c r="E557" s="62" t="s">
        <v>261</v>
      </c>
      <c r="F557" s="27">
        <v>18</v>
      </c>
      <c r="G557" s="34">
        <f t="shared" si="123"/>
        <v>75.600000000000009</v>
      </c>
      <c r="H557" s="33" t="s">
        <v>20</v>
      </c>
      <c r="I557" s="33" t="s">
        <v>39</v>
      </c>
      <c r="J557" s="33" t="s">
        <v>62</v>
      </c>
      <c r="K557" s="29">
        <v>0.95</v>
      </c>
      <c r="L557" s="29">
        <v>0.96875</v>
      </c>
      <c r="M557" s="35">
        <f t="shared" ca="1" si="124"/>
        <v>1.8750000000000044E-2</v>
      </c>
      <c r="N557" s="46"/>
      <c r="O557" s="47"/>
    </row>
    <row r="558" spans="1:15" ht="15" customHeight="1">
      <c r="A558" s="68">
        <v>46224</v>
      </c>
      <c r="B558" s="25">
        <f t="shared" si="125"/>
        <v>0.95833333333333293</v>
      </c>
      <c r="C558" s="33" t="s">
        <v>45</v>
      </c>
      <c r="D558" s="62" t="s">
        <v>30</v>
      </c>
      <c r="E558" s="62" t="s">
        <v>261</v>
      </c>
      <c r="F558" s="27">
        <v>16</v>
      </c>
      <c r="G558" s="28">
        <f t="shared" si="123"/>
        <v>67.2</v>
      </c>
      <c r="H558" s="26" t="s">
        <v>20</v>
      </c>
      <c r="I558" s="26" t="s">
        <v>39</v>
      </c>
      <c r="J558" s="26" t="s">
        <v>28</v>
      </c>
      <c r="K558" s="29">
        <v>0.99652777777777779</v>
      </c>
      <c r="L558" s="29">
        <v>4.1666666666666666E-3</v>
      </c>
      <c r="M558" s="30">
        <f t="shared" ca="1" si="124"/>
        <v>7.6388888888888618E-3</v>
      </c>
      <c r="N558" s="46"/>
      <c r="O558" s="47"/>
    </row>
    <row r="559" spans="1:15" ht="15" customHeight="1">
      <c r="A559" s="69">
        <v>46224</v>
      </c>
      <c r="B559" s="32">
        <f t="shared" si="125"/>
        <v>0.99999999999999956</v>
      </c>
      <c r="C559" s="33" t="s">
        <v>45</v>
      </c>
      <c r="D559" s="62" t="s">
        <v>30</v>
      </c>
      <c r="E559" s="62" t="s">
        <v>261</v>
      </c>
      <c r="F559" s="27">
        <v>14</v>
      </c>
      <c r="G559" s="34">
        <f t="shared" si="123"/>
        <v>58.800000000000004</v>
      </c>
      <c r="H559" s="33" t="s">
        <v>20</v>
      </c>
      <c r="I559" s="33" t="s">
        <v>31</v>
      </c>
      <c r="J559" s="33" t="s">
        <v>28</v>
      </c>
      <c r="K559" s="29">
        <v>8.3333333333333329E-2</v>
      </c>
      <c r="L559" s="29">
        <v>0.1388888888888889</v>
      </c>
      <c r="M559" s="35">
        <f t="shared" ca="1" si="124"/>
        <v>5.5555555555555566E-2</v>
      </c>
      <c r="N559" s="46" t="s">
        <v>323</v>
      </c>
      <c r="O559" s="47"/>
    </row>
    <row r="560" spans="1:15" ht="15" customHeight="1">
      <c r="A560" s="68">
        <v>46224</v>
      </c>
      <c r="B560" s="25">
        <f t="shared" si="125"/>
        <v>1.0416666666666663</v>
      </c>
      <c r="C560" s="33" t="s">
        <v>45</v>
      </c>
      <c r="D560" s="62" t="s">
        <v>30</v>
      </c>
      <c r="E560" s="62" t="s">
        <v>261</v>
      </c>
      <c r="F560" s="27">
        <v>15</v>
      </c>
      <c r="G560" s="28">
        <f t="shared" si="123"/>
        <v>63</v>
      </c>
      <c r="H560" s="26"/>
      <c r="I560" s="26"/>
      <c r="J560" s="26"/>
      <c r="K560" s="29"/>
      <c r="L560" s="29"/>
      <c r="M560" s="30" t="str">
        <f t="shared" ca="1" si="124"/>
        <v/>
      </c>
      <c r="N560" s="46"/>
      <c r="O560" s="47"/>
    </row>
    <row r="561" spans="1:15" ht="15" customHeight="1">
      <c r="A561" s="69">
        <v>46224</v>
      </c>
      <c r="B561" s="32">
        <f t="shared" si="125"/>
        <v>1.083333333333333</v>
      </c>
      <c r="C561" s="33" t="s">
        <v>45</v>
      </c>
      <c r="D561" s="62" t="s">
        <v>30</v>
      </c>
      <c r="E561" s="62" t="s">
        <v>261</v>
      </c>
      <c r="F561" s="27">
        <v>20</v>
      </c>
      <c r="G561" s="34">
        <f t="shared" si="123"/>
        <v>84</v>
      </c>
      <c r="H561" s="33"/>
      <c r="I561" s="33"/>
      <c r="J561" s="33"/>
      <c r="K561" s="29"/>
      <c r="L561" s="29"/>
      <c r="M561" s="35" t="str">
        <f t="shared" ca="1" si="124"/>
        <v/>
      </c>
      <c r="N561" s="46"/>
      <c r="O561" s="47"/>
    </row>
    <row r="562" spans="1:15" ht="15" customHeight="1">
      <c r="A562" s="68">
        <v>46224</v>
      </c>
      <c r="B562" s="25">
        <f t="shared" si="125"/>
        <v>1.1249999999999998</v>
      </c>
      <c r="C562" s="33" t="s">
        <v>45</v>
      </c>
      <c r="D562" s="62" t="s">
        <v>30</v>
      </c>
      <c r="E562" s="62" t="s">
        <v>261</v>
      </c>
      <c r="F562" s="27">
        <v>11</v>
      </c>
      <c r="G562" s="28">
        <f t="shared" si="123"/>
        <v>46.2</v>
      </c>
      <c r="H562" s="26"/>
      <c r="I562" s="26"/>
      <c r="J562" s="26"/>
      <c r="K562" s="29"/>
      <c r="L562" s="29"/>
      <c r="M562" s="30" t="str">
        <f t="shared" ca="1" si="124"/>
        <v/>
      </c>
      <c r="N562" s="46"/>
      <c r="O562" s="47"/>
    </row>
    <row r="563" spans="1:15" ht="15" customHeight="1">
      <c r="A563" s="69">
        <v>46224</v>
      </c>
      <c r="B563" s="32">
        <f t="shared" si="125"/>
        <v>1.1666666666666665</v>
      </c>
      <c r="C563" s="33" t="s">
        <v>45</v>
      </c>
      <c r="D563" s="62" t="s">
        <v>30</v>
      </c>
      <c r="E563" s="62" t="s">
        <v>261</v>
      </c>
      <c r="F563" s="27">
        <v>16</v>
      </c>
      <c r="G563" s="34">
        <f t="shared" si="123"/>
        <v>67.2</v>
      </c>
      <c r="H563" s="33"/>
      <c r="I563" s="33"/>
      <c r="J563" s="33"/>
      <c r="K563" s="29"/>
      <c r="L563" s="29"/>
      <c r="M563" s="35" t="str">
        <f t="shared" ca="1" si="124"/>
        <v/>
      </c>
      <c r="N563" s="46"/>
      <c r="O563" s="47"/>
    </row>
    <row r="564" spans="1:15" ht="15" customHeight="1">
      <c r="A564" s="68">
        <v>46224</v>
      </c>
      <c r="B564" s="25">
        <f t="shared" si="125"/>
        <v>1.2083333333333333</v>
      </c>
      <c r="C564" s="33" t="s">
        <v>45</v>
      </c>
      <c r="D564" s="62" t="s">
        <v>30</v>
      </c>
      <c r="E564" s="62" t="s">
        <v>261</v>
      </c>
      <c r="F564" s="27">
        <v>17</v>
      </c>
      <c r="G564" s="28">
        <f t="shared" si="123"/>
        <v>71.400000000000006</v>
      </c>
      <c r="H564" s="26"/>
      <c r="I564" s="26"/>
      <c r="J564" s="26"/>
      <c r="K564" s="29"/>
      <c r="L564" s="29"/>
      <c r="M564" s="30" t="str">
        <f t="shared" ca="1" si="124"/>
        <v/>
      </c>
      <c r="N564" s="46"/>
      <c r="O564" s="47"/>
    </row>
    <row r="565" spans="1:15" ht="15" customHeight="1">
      <c r="A565" s="69">
        <v>46224</v>
      </c>
      <c r="B565" s="32">
        <f t="shared" si="125"/>
        <v>1.25</v>
      </c>
      <c r="C565" s="33" t="s">
        <v>45</v>
      </c>
      <c r="D565" s="62" t="s">
        <v>30</v>
      </c>
      <c r="E565" s="62" t="s">
        <v>261</v>
      </c>
      <c r="F565" s="27">
        <v>15</v>
      </c>
      <c r="G565" s="34">
        <f t="shared" si="123"/>
        <v>63</v>
      </c>
      <c r="H565" s="33"/>
      <c r="I565" s="33"/>
      <c r="J565" s="33"/>
      <c r="K565" s="29"/>
      <c r="L565" s="29"/>
      <c r="M565" s="35" t="str">
        <f t="shared" ca="1" si="124"/>
        <v/>
      </c>
      <c r="N565" s="46"/>
      <c r="O565" s="47"/>
    </row>
    <row r="566" spans="1:15" ht="15" customHeight="1">
      <c r="A566" s="68">
        <v>46224</v>
      </c>
      <c r="B566" s="25">
        <f t="shared" si="125"/>
        <v>1.2916666666666667</v>
      </c>
      <c r="C566" s="33" t="s">
        <v>45</v>
      </c>
      <c r="D566" s="62" t="s">
        <v>30</v>
      </c>
      <c r="E566" s="62" t="s">
        <v>261</v>
      </c>
      <c r="F566" s="27">
        <v>11</v>
      </c>
      <c r="G566" s="28">
        <f t="shared" si="123"/>
        <v>46.2</v>
      </c>
      <c r="H566" s="26"/>
      <c r="I566" s="26"/>
      <c r="J566" s="26"/>
      <c r="K566" s="29"/>
      <c r="L566" s="29"/>
      <c r="M566" s="30" t="str">
        <f t="shared" ca="1" si="124"/>
        <v/>
      </c>
      <c r="N566" s="46"/>
      <c r="O566" s="47"/>
    </row>
    <row r="567" spans="1:15" ht="15.75" customHeight="1">
      <c r="A567" s="119" t="s">
        <v>238</v>
      </c>
      <c r="B567" s="120"/>
      <c r="C567" s="120"/>
      <c r="D567" s="120"/>
      <c r="E567" s="121">
        <f>SUM(E555:E566)</f>
        <v>0</v>
      </c>
      <c r="F567" s="36">
        <f>SUM(F555:F566)</f>
        <v>175</v>
      </c>
      <c r="G567" s="36">
        <f>SUM(G555:G566)</f>
        <v>735</v>
      </c>
      <c r="H567" s="37"/>
      <c r="I567" s="37"/>
      <c r="J567" s="37"/>
      <c r="K567" s="37"/>
      <c r="L567" s="37"/>
      <c r="M567" s="38">
        <f ca="1">IFERROR(SUM(M555:M566),"")</f>
        <v>0.10138888888888885</v>
      </c>
      <c r="N567" s="36" t="s">
        <v>237</v>
      </c>
      <c r="O567" s="77">
        <v>722660</v>
      </c>
    </row>
    <row r="568" spans="1:15" ht="18" customHeight="1">
      <c r="A568" s="122" t="s">
        <v>239</v>
      </c>
      <c r="B568" s="123"/>
      <c r="C568" s="123"/>
      <c r="D568" s="123"/>
      <c r="E568" s="124">
        <f>E554+E567</f>
        <v>0</v>
      </c>
      <c r="F568" s="40">
        <f>F554+F567</f>
        <v>413</v>
      </c>
      <c r="G568" s="40">
        <f>G554+G567</f>
        <v>1734.6</v>
      </c>
      <c r="H568" s="41"/>
      <c r="I568" s="41"/>
      <c r="J568" s="41"/>
      <c r="K568" s="41"/>
      <c r="L568" s="41"/>
      <c r="M568" s="42">
        <f ca="1">IFERROR(M554+M567,"")</f>
        <v>0.18611111111111112</v>
      </c>
      <c r="N568" s="40" t="s">
        <v>240</v>
      </c>
      <c r="O568" s="83">
        <f>IFERROR(O554+O567,"")</f>
        <v>1725890</v>
      </c>
    </row>
    <row r="569" spans="1:15" ht="15" customHeight="1">
      <c r="A569" s="69">
        <v>46225</v>
      </c>
      <c r="B569" s="32">
        <v>0.33333333333333298</v>
      </c>
      <c r="C569" s="33" t="s">
        <v>21</v>
      </c>
      <c r="D569" s="62" t="s">
        <v>30</v>
      </c>
      <c r="E569" s="62" t="s">
        <v>261</v>
      </c>
      <c r="F569" s="27">
        <v>30</v>
      </c>
      <c r="G569" s="34">
        <f t="shared" ref="G569:G580" si="126">IF(F569="","",IF(E569="PC 17",F569*4.2,IF(E569="PC 19",F569*5,"")))</f>
        <v>126</v>
      </c>
      <c r="H569" s="33" t="s">
        <v>20</v>
      </c>
      <c r="I569" s="33" t="s">
        <v>155</v>
      </c>
      <c r="J569" s="33" t="s">
        <v>74</v>
      </c>
      <c r="K569" s="29">
        <v>0.2951388888888889</v>
      </c>
      <c r="L569" s="29">
        <v>0.3</v>
      </c>
      <c r="M569" s="35">
        <f t="shared" ref="M569:M580" ca="1" si="127">IFERROR(IF(K569="","",IF(L569="",MOD(NOW()-K569,1),IF(L569&gt;=K569,L569-K569,L569+1-K569))),"")</f>
        <v>4.8611111111110938E-3</v>
      </c>
      <c r="N569" s="46"/>
      <c r="O569" s="47"/>
    </row>
    <row r="570" spans="1:15" ht="15" customHeight="1">
      <c r="A570" s="68">
        <v>46225</v>
      </c>
      <c r="B570" s="25">
        <f t="shared" ref="B570:B580" si="128">B569+TIME(0,60,0)</f>
        <v>0.37499999999999967</v>
      </c>
      <c r="C570" s="33" t="s">
        <v>21</v>
      </c>
      <c r="D570" s="62" t="s">
        <v>30</v>
      </c>
      <c r="E570" s="62" t="s">
        <v>261</v>
      </c>
      <c r="F570" s="27">
        <v>37</v>
      </c>
      <c r="G570" s="34">
        <f t="shared" si="126"/>
        <v>155.4</v>
      </c>
      <c r="H570" s="26" t="s">
        <v>19</v>
      </c>
      <c r="I570" s="26" t="s">
        <v>157</v>
      </c>
      <c r="J570" s="26" t="s">
        <v>27</v>
      </c>
      <c r="K570" s="29">
        <v>0.49305555555555558</v>
      </c>
      <c r="L570" s="29">
        <v>0.50694444444444442</v>
      </c>
      <c r="M570" s="30">
        <f t="shared" ca="1" si="127"/>
        <v>1.388888888888884E-2</v>
      </c>
      <c r="N570" s="46"/>
      <c r="O570" s="47"/>
    </row>
    <row r="571" spans="1:15" ht="15" customHeight="1">
      <c r="A571" s="69">
        <v>46225</v>
      </c>
      <c r="B571" s="32">
        <f t="shared" si="128"/>
        <v>0.41666666666666635</v>
      </c>
      <c r="C571" s="33" t="s">
        <v>21</v>
      </c>
      <c r="D571" s="62" t="s">
        <v>30</v>
      </c>
      <c r="E571" s="62" t="s">
        <v>261</v>
      </c>
      <c r="F571" s="27">
        <v>14</v>
      </c>
      <c r="G571" s="34">
        <f t="shared" si="126"/>
        <v>58.800000000000004</v>
      </c>
      <c r="H571" s="33" t="s">
        <v>20</v>
      </c>
      <c r="I571" s="33" t="s">
        <v>39</v>
      </c>
      <c r="J571" s="33" t="s">
        <v>51</v>
      </c>
      <c r="K571" s="29">
        <v>0.51388888888888884</v>
      </c>
      <c r="L571" s="29">
        <v>0.5180555555555556</v>
      </c>
      <c r="M571" s="35">
        <f t="shared" ca="1" si="127"/>
        <v>4.1666666666667629E-3</v>
      </c>
      <c r="N571" s="46"/>
      <c r="O571" s="47"/>
    </row>
    <row r="572" spans="1:15" ht="15" customHeight="1">
      <c r="A572" s="68">
        <v>46225</v>
      </c>
      <c r="B572" s="25">
        <f t="shared" si="128"/>
        <v>0.45833333333333304</v>
      </c>
      <c r="C572" s="33" t="s">
        <v>21</v>
      </c>
      <c r="D572" s="62" t="s">
        <v>30</v>
      </c>
      <c r="E572" s="62" t="s">
        <v>261</v>
      </c>
      <c r="F572" s="27">
        <v>24</v>
      </c>
      <c r="G572" s="34">
        <f t="shared" si="126"/>
        <v>100.80000000000001</v>
      </c>
      <c r="H572" s="26"/>
      <c r="I572" s="26"/>
      <c r="J572" s="26"/>
      <c r="K572" s="29"/>
      <c r="L572" s="29"/>
      <c r="M572" s="30" t="str">
        <f t="shared" ca="1" si="127"/>
        <v/>
      </c>
      <c r="N572" s="46"/>
      <c r="O572" s="47"/>
    </row>
    <row r="573" spans="1:15" ht="15" customHeight="1">
      <c r="A573" s="69">
        <v>46225</v>
      </c>
      <c r="B573" s="32">
        <f t="shared" si="128"/>
        <v>0.49999999999999972</v>
      </c>
      <c r="C573" s="33" t="s">
        <v>21</v>
      </c>
      <c r="D573" s="62" t="s">
        <v>30</v>
      </c>
      <c r="E573" s="62" t="s">
        <v>261</v>
      </c>
      <c r="F573" s="27">
        <v>5</v>
      </c>
      <c r="G573" s="34">
        <f t="shared" si="126"/>
        <v>21</v>
      </c>
      <c r="H573" s="33"/>
      <c r="I573" s="33"/>
      <c r="J573" s="33"/>
      <c r="K573" s="29"/>
      <c r="L573" s="29"/>
      <c r="M573" s="35" t="str">
        <f t="shared" ca="1" si="127"/>
        <v/>
      </c>
      <c r="N573" s="46"/>
      <c r="O573" s="47"/>
    </row>
    <row r="574" spans="1:15" ht="15" customHeight="1">
      <c r="A574" s="68">
        <v>46225</v>
      </c>
      <c r="B574" s="25">
        <f t="shared" si="128"/>
        <v>0.54166666666666641</v>
      </c>
      <c r="C574" s="33" t="s">
        <v>21</v>
      </c>
      <c r="D574" s="62" t="s">
        <v>30</v>
      </c>
      <c r="E574" s="62" t="s">
        <v>261</v>
      </c>
      <c r="F574" s="27">
        <v>21</v>
      </c>
      <c r="G574" s="34">
        <f t="shared" si="126"/>
        <v>88.2</v>
      </c>
      <c r="H574" s="26"/>
      <c r="I574" s="26"/>
      <c r="J574" s="26"/>
      <c r="K574" s="29"/>
      <c r="L574" s="29"/>
      <c r="M574" s="30" t="str">
        <f t="shared" ca="1" si="127"/>
        <v/>
      </c>
      <c r="N574" s="46"/>
      <c r="O574" s="47"/>
    </row>
    <row r="575" spans="1:15" ht="15" customHeight="1">
      <c r="A575" s="69">
        <v>46225</v>
      </c>
      <c r="B575" s="32">
        <f t="shared" si="128"/>
        <v>0.58333333333333304</v>
      </c>
      <c r="C575" s="33" t="s">
        <v>21</v>
      </c>
      <c r="D575" s="62" t="s">
        <v>30</v>
      </c>
      <c r="E575" s="62" t="s">
        <v>261</v>
      </c>
      <c r="F575" s="27">
        <v>20</v>
      </c>
      <c r="G575" s="34">
        <f t="shared" si="126"/>
        <v>84</v>
      </c>
      <c r="H575" s="33"/>
      <c r="I575" s="33"/>
      <c r="J575" s="33"/>
      <c r="K575" s="29"/>
      <c r="L575" s="29"/>
      <c r="M575" s="35" t="str">
        <f t="shared" ca="1" si="127"/>
        <v/>
      </c>
      <c r="N575" s="46"/>
      <c r="O575" s="47"/>
    </row>
    <row r="576" spans="1:15" ht="15" customHeight="1">
      <c r="A576" s="68">
        <v>46225</v>
      </c>
      <c r="B576" s="25">
        <f t="shared" si="128"/>
        <v>0.62499999999999967</v>
      </c>
      <c r="C576" s="33" t="s">
        <v>21</v>
      </c>
      <c r="D576" s="62" t="s">
        <v>30</v>
      </c>
      <c r="E576" s="62" t="s">
        <v>261</v>
      </c>
      <c r="F576" s="55">
        <v>31</v>
      </c>
      <c r="G576" s="34">
        <f t="shared" si="126"/>
        <v>130.20000000000002</v>
      </c>
      <c r="H576" s="26"/>
      <c r="I576" s="26"/>
      <c r="J576" s="26"/>
      <c r="K576" s="29"/>
      <c r="L576" s="29"/>
      <c r="M576" s="30" t="str">
        <f t="shared" ca="1" si="127"/>
        <v/>
      </c>
      <c r="N576" s="46"/>
      <c r="O576" s="47"/>
    </row>
    <row r="577" spans="1:15" ht="15" customHeight="1">
      <c r="A577" s="69">
        <v>46225</v>
      </c>
      <c r="B577" s="32">
        <f t="shared" si="128"/>
        <v>0.6666666666666663</v>
      </c>
      <c r="C577" s="33" t="s">
        <v>21</v>
      </c>
      <c r="D577" s="62" t="s">
        <v>30</v>
      </c>
      <c r="E577" s="62" t="s">
        <v>261</v>
      </c>
      <c r="F577" s="27">
        <v>26</v>
      </c>
      <c r="G577" s="34">
        <f t="shared" si="126"/>
        <v>109.2</v>
      </c>
      <c r="H577" s="33"/>
      <c r="I577" s="33"/>
      <c r="J577" s="33"/>
      <c r="K577" s="29"/>
      <c r="L577" s="29"/>
      <c r="M577" s="35" t="str">
        <f t="shared" ca="1" si="127"/>
        <v/>
      </c>
      <c r="N577" s="46"/>
      <c r="O577" s="47"/>
    </row>
    <row r="578" spans="1:15" ht="15" customHeight="1">
      <c r="A578" s="68">
        <v>46225</v>
      </c>
      <c r="B578" s="25">
        <f t="shared" si="128"/>
        <v>0.70833333333333293</v>
      </c>
      <c r="C578" s="33" t="s">
        <v>21</v>
      </c>
      <c r="D578" s="62" t="s">
        <v>30</v>
      </c>
      <c r="E578" s="62" t="s">
        <v>261</v>
      </c>
      <c r="F578" s="27">
        <v>18</v>
      </c>
      <c r="G578" s="34">
        <f t="shared" si="126"/>
        <v>75.600000000000009</v>
      </c>
      <c r="H578" s="26"/>
      <c r="I578" s="26"/>
      <c r="J578" s="26"/>
      <c r="K578" s="29"/>
      <c r="L578" s="29"/>
      <c r="M578" s="30" t="str">
        <f t="shared" ca="1" si="127"/>
        <v/>
      </c>
      <c r="N578" s="46" t="s">
        <v>324</v>
      </c>
      <c r="O578" s="47"/>
    </row>
    <row r="579" spans="1:15" ht="15" customHeight="1">
      <c r="A579" s="69">
        <v>46225</v>
      </c>
      <c r="B579" s="32">
        <f t="shared" si="128"/>
        <v>0.74999999999999956</v>
      </c>
      <c r="C579" s="33" t="s">
        <v>21</v>
      </c>
      <c r="D579" s="62" t="s">
        <v>30</v>
      </c>
      <c r="E579" s="62" t="s">
        <v>261</v>
      </c>
      <c r="F579" s="27">
        <v>2</v>
      </c>
      <c r="G579" s="34">
        <f t="shared" si="126"/>
        <v>8.4</v>
      </c>
      <c r="H579" s="33"/>
      <c r="I579" s="33"/>
      <c r="J579" s="33"/>
      <c r="K579" s="29"/>
      <c r="L579" s="29"/>
      <c r="M579" s="35" t="str">
        <f t="shared" ca="1" si="127"/>
        <v/>
      </c>
      <c r="N579" s="46"/>
      <c r="O579" s="47"/>
    </row>
    <row r="580" spans="1:15" ht="15" customHeight="1">
      <c r="A580" s="68">
        <v>46225</v>
      </c>
      <c r="B580" s="25">
        <f t="shared" si="128"/>
        <v>0.79166666666666619</v>
      </c>
      <c r="C580" s="33" t="s">
        <v>21</v>
      </c>
      <c r="D580" s="62" t="s">
        <v>30</v>
      </c>
      <c r="E580" s="62" t="s">
        <v>261</v>
      </c>
      <c r="F580" s="27">
        <v>2</v>
      </c>
      <c r="G580" s="34">
        <f t="shared" si="126"/>
        <v>8.4</v>
      </c>
      <c r="H580" s="26"/>
      <c r="I580" s="26"/>
      <c r="J580" s="26"/>
      <c r="K580" s="29"/>
      <c r="L580" s="29"/>
      <c r="M580" s="30" t="str">
        <f t="shared" ca="1" si="127"/>
        <v/>
      </c>
      <c r="N580" s="46"/>
      <c r="O580" s="47"/>
    </row>
    <row r="581" spans="1:15" ht="15.75" customHeight="1">
      <c r="A581" s="119" t="s">
        <v>236</v>
      </c>
      <c r="B581" s="120"/>
      <c r="C581" s="120"/>
      <c r="D581" s="120"/>
      <c r="E581" s="121">
        <f>SUM(E569:E580)</f>
        <v>0</v>
      </c>
      <c r="F581" s="36">
        <f>SUM(F569:F580)</f>
        <v>230</v>
      </c>
      <c r="G581" s="36">
        <f>SUM(G569:G580)</f>
        <v>966.00000000000011</v>
      </c>
      <c r="H581" s="37"/>
      <c r="I581" s="37"/>
      <c r="J581" s="37"/>
      <c r="K581" s="37"/>
      <c r="L581" s="37"/>
      <c r="M581" s="38">
        <f ca="1">IFERROR(SUM(M569:M580),"")</f>
        <v>2.2916666666666696E-2</v>
      </c>
      <c r="N581" s="36" t="s">
        <v>237</v>
      </c>
      <c r="O581" s="77">
        <v>966000</v>
      </c>
    </row>
    <row r="582" spans="1:15" ht="15" customHeight="1">
      <c r="A582" s="68">
        <v>46225</v>
      </c>
      <c r="B582" s="25">
        <v>0.83333333333333304</v>
      </c>
      <c r="C582" s="26" t="s">
        <v>45</v>
      </c>
      <c r="D582" s="59" t="s">
        <v>30</v>
      </c>
      <c r="E582" s="59" t="s">
        <v>261</v>
      </c>
      <c r="F582" s="27">
        <v>16</v>
      </c>
      <c r="G582" s="28">
        <f t="shared" ref="G582:G593" si="129">IF(F582="","",IF(E582="PC 17",F582*4.2,IF(E582="PC 19",F582*5,"")))</f>
        <v>67.2</v>
      </c>
      <c r="H582" s="26" t="s">
        <v>20</v>
      </c>
      <c r="I582" s="26" t="s">
        <v>155</v>
      </c>
      <c r="J582" s="26" t="s">
        <v>74</v>
      </c>
      <c r="K582" s="29">
        <v>0.81944444444444442</v>
      </c>
      <c r="L582" s="29">
        <v>0.82708333333333328</v>
      </c>
      <c r="M582" s="30">
        <f t="shared" ref="M582:M593" ca="1" si="130">IFERROR(IF(K582="","",IF(L582="",MOD(NOW()-K582,1),IF(L582&gt;=K582,L582-K582,L582+1-K582))),"")</f>
        <v>7.6388888888888618E-3</v>
      </c>
      <c r="N582" s="46"/>
      <c r="O582" s="47"/>
    </row>
    <row r="583" spans="1:15" ht="15" customHeight="1">
      <c r="A583" s="69">
        <v>46225</v>
      </c>
      <c r="B583" s="32">
        <f t="shared" ref="B583:B593" si="131">B582+TIME(0,60,0)</f>
        <v>0.87499999999999967</v>
      </c>
      <c r="C583" s="26" t="s">
        <v>45</v>
      </c>
      <c r="D583" s="59" t="s">
        <v>30</v>
      </c>
      <c r="E583" s="59" t="s">
        <v>234</v>
      </c>
      <c r="F583" s="27">
        <v>11</v>
      </c>
      <c r="G583" s="34">
        <f t="shared" si="129"/>
        <v>55</v>
      </c>
      <c r="H583" s="33" t="s">
        <v>19</v>
      </c>
      <c r="I583" s="33" t="s">
        <v>157</v>
      </c>
      <c r="J583" s="33" t="s">
        <v>27</v>
      </c>
      <c r="K583" s="29">
        <v>6.9444444444444448E-2</v>
      </c>
      <c r="L583" s="29">
        <v>9.0277777777777776E-2</v>
      </c>
      <c r="M583" s="35">
        <f t="shared" ca="1" si="130"/>
        <v>2.0833333333333329E-2</v>
      </c>
      <c r="N583" s="46"/>
      <c r="O583" s="47"/>
    </row>
    <row r="584" spans="1:15" ht="15" customHeight="1">
      <c r="A584" s="68">
        <v>46225</v>
      </c>
      <c r="B584" s="25">
        <f t="shared" si="131"/>
        <v>0.9166666666666663</v>
      </c>
      <c r="C584" s="26" t="s">
        <v>45</v>
      </c>
      <c r="D584" s="59" t="s">
        <v>30</v>
      </c>
      <c r="E584" s="59" t="s">
        <v>261</v>
      </c>
      <c r="F584" s="27">
        <v>10</v>
      </c>
      <c r="G584" s="28">
        <f t="shared" si="129"/>
        <v>42</v>
      </c>
      <c r="H584" s="26"/>
      <c r="I584" s="26"/>
      <c r="J584" s="26"/>
      <c r="K584" s="29"/>
      <c r="L584" s="29"/>
      <c r="M584" s="30" t="str">
        <f t="shared" ca="1" si="130"/>
        <v/>
      </c>
      <c r="N584" s="46"/>
      <c r="O584" s="47"/>
    </row>
    <row r="585" spans="1:15" ht="15" customHeight="1">
      <c r="A585" s="69">
        <v>46225</v>
      </c>
      <c r="B585" s="32">
        <f t="shared" si="131"/>
        <v>0.95833333333333293</v>
      </c>
      <c r="C585" s="26" t="s">
        <v>45</v>
      </c>
      <c r="D585" s="59" t="s">
        <v>30</v>
      </c>
      <c r="E585" s="59" t="s">
        <v>261</v>
      </c>
      <c r="F585" s="27">
        <v>5</v>
      </c>
      <c r="G585" s="34">
        <f t="shared" si="129"/>
        <v>21</v>
      </c>
      <c r="H585" s="33"/>
      <c r="I585" s="33"/>
      <c r="J585" s="33"/>
      <c r="K585" s="29"/>
      <c r="L585" s="29"/>
      <c r="M585" s="35" t="str">
        <f t="shared" ca="1" si="130"/>
        <v/>
      </c>
      <c r="N585" s="46"/>
      <c r="O585" s="47"/>
    </row>
    <row r="586" spans="1:15" ht="15" customHeight="1">
      <c r="A586" s="68">
        <v>46225</v>
      </c>
      <c r="B586" s="25">
        <f t="shared" si="131"/>
        <v>0.99999999999999956</v>
      </c>
      <c r="C586" s="26" t="s">
        <v>45</v>
      </c>
      <c r="D586" s="59" t="s">
        <v>30</v>
      </c>
      <c r="E586" s="59" t="s">
        <v>261</v>
      </c>
      <c r="F586" s="27">
        <v>20</v>
      </c>
      <c r="G586" s="28">
        <f t="shared" si="129"/>
        <v>84</v>
      </c>
      <c r="H586" s="26"/>
      <c r="I586" s="26"/>
      <c r="J586" s="26"/>
      <c r="K586" s="29"/>
      <c r="L586" s="29"/>
      <c r="M586" s="30" t="str">
        <f t="shared" ca="1" si="130"/>
        <v/>
      </c>
      <c r="N586" s="46"/>
      <c r="O586" s="47"/>
    </row>
    <row r="587" spans="1:15" ht="15" customHeight="1">
      <c r="A587" s="69">
        <v>46225</v>
      </c>
      <c r="B587" s="32">
        <f t="shared" si="131"/>
        <v>1.0416666666666663</v>
      </c>
      <c r="C587" s="26" t="s">
        <v>45</v>
      </c>
      <c r="D587" s="59" t="s">
        <v>30</v>
      </c>
      <c r="E587" s="59" t="s">
        <v>261</v>
      </c>
      <c r="F587" s="27">
        <v>16</v>
      </c>
      <c r="G587" s="34">
        <f t="shared" si="129"/>
        <v>67.2</v>
      </c>
      <c r="H587" s="33"/>
      <c r="I587" s="33"/>
      <c r="J587" s="33"/>
      <c r="K587" s="29"/>
      <c r="L587" s="29"/>
      <c r="M587" s="35" t="str">
        <f t="shared" ca="1" si="130"/>
        <v/>
      </c>
      <c r="N587" s="46"/>
      <c r="O587" s="47"/>
    </row>
    <row r="588" spans="1:15" ht="15" customHeight="1">
      <c r="A588" s="68">
        <v>46225</v>
      </c>
      <c r="B588" s="25">
        <f t="shared" si="131"/>
        <v>1.083333333333333</v>
      </c>
      <c r="C588" s="26" t="s">
        <v>45</v>
      </c>
      <c r="D588" s="59" t="s">
        <v>30</v>
      </c>
      <c r="E588" s="59" t="s">
        <v>261</v>
      </c>
      <c r="F588" s="27">
        <v>15</v>
      </c>
      <c r="G588" s="28">
        <f t="shared" si="129"/>
        <v>63</v>
      </c>
      <c r="H588" s="26"/>
      <c r="I588" s="26"/>
      <c r="J588" s="26"/>
      <c r="K588" s="29"/>
      <c r="L588" s="29"/>
      <c r="M588" s="30" t="str">
        <f t="shared" ca="1" si="130"/>
        <v/>
      </c>
      <c r="N588" s="46"/>
      <c r="O588" s="47"/>
    </row>
    <row r="589" spans="1:15" ht="15" customHeight="1">
      <c r="A589" s="69">
        <v>46225</v>
      </c>
      <c r="B589" s="32">
        <f t="shared" si="131"/>
        <v>1.1249999999999998</v>
      </c>
      <c r="C589" s="26" t="s">
        <v>45</v>
      </c>
      <c r="D589" s="59" t="s">
        <v>30</v>
      </c>
      <c r="E589" s="59" t="s">
        <v>261</v>
      </c>
      <c r="F589" s="27">
        <v>12</v>
      </c>
      <c r="G589" s="34">
        <f t="shared" si="129"/>
        <v>50.400000000000006</v>
      </c>
      <c r="H589" s="33"/>
      <c r="I589" s="33"/>
      <c r="J589" s="33"/>
      <c r="K589" s="29"/>
      <c r="L589" s="29"/>
      <c r="M589" s="35" t="str">
        <f t="shared" ca="1" si="130"/>
        <v/>
      </c>
      <c r="N589" s="46"/>
      <c r="O589" s="47"/>
    </row>
    <row r="590" spans="1:15" ht="15" customHeight="1">
      <c r="A590" s="68">
        <v>46225</v>
      </c>
      <c r="B590" s="25">
        <f t="shared" si="131"/>
        <v>1.1666666666666665</v>
      </c>
      <c r="C590" s="26" t="s">
        <v>45</v>
      </c>
      <c r="D590" s="59" t="s">
        <v>30</v>
      </c>
      <c r="E590" s="59" t="s">
        <v>261</v>
      </c>
      <c r="F590" s="27">
        <v>19</v>
      </c>
      <c r="G590" s="28">
        <f t="shared" si="129"/>
        <v>79.8</v>
      </c>
      <c r="H590" s="26"/>
      <c r="I590" s="26"/>
      <c r="J590" s="26"/>
      <c r="K590" s="29"/>
      <c r="L590" s="29"/>
      <c r="M590" s="30" t="str">
        <f t="shared" ca="1" si="130"/>
        <v/>
      </c>
      <c r="N590" s="46"/>
      <c r="O590" s="47"/>
    </row>
    <row r="591" spans="1:15" ht="15" customHeight="1">
      <c r="A591" s="69">
        <v>46225</v>
      </c>
      <c r="B591" s="32">
        <f t="shared" si="131"/>
        <v>1.2083333333333333</v>
      </c>
      <c r="C591" s="26" t="s">
        <v>45</v>
      </c>
      <c r="D591" s="59" t="s">
        <v>30</v>
      </c>
      <c r="E591" s="59" t="s">
        <v>261</v>
      </c>
      <c r="F591" s="27">
        <v>21</v>
      </c>
      <c r="G591" s="34">
        <f t="shared" si="129"/>
        <v>88.2</v>
      </c>
      <c r="H591" s="33"/>
      <c r="I591" s="33"/>
      <c r="J591" s="33"/>
      <c r="K591" s="29"/>
      <c r="L591" s="29"/>
      <c r="M591" s="35" t="str">
        <f t="shared" ca="1" si="130"/>
        <v/>
      </c>
      <c r="N591" s="46"/>
      <c r="O591" s="47"/>
    </row>
    <row r="592" spans="1:15" ht="15" customHeight="1">
      <c r="A592" s="68">
        <v>46225</v>
      </c>
      <c r="B592" s="25">
        <f t="shared" si="131"/>
        <v>1.25</v>
      </c>
      <c r="C592" s="26" t="s">
        <v>45</v>
      </c>
      <c r="D592" s="59" t="s">
        <v>30</v>
      </c>
      <c r="E592" s="59" t="s">
        <v>261</v>
      </c>
      <c r="F592" s="27">
        <v>0</v>
      </c>
      <c r="G592" s="28">
        <f t="shared" si="129"/>
        <v>0</v>
      </c>
      <c r="H592" s="26"/>
      <c r="I592" s="26"/>
      <c r="J592" s="26"/>
      <c r="K592" s="29"/>
      <c r="L592" s="29"/>
      <c r="M592" s="30" t="str">
        <f t="shared" ca="1" si="130"/>
        <v/>
      </c>
      <c r="N592" s="46"/>
      <c r="O592" s="47"/>
    </row>
    <row r="593" spans="1:15" ht="15" customHeight="1">
      <c r="A593" s="69">
        <v>46225</v>
      </c>
      <c r="B593" s="32">
        <f t="shared" si="131"/>
        <v>1.2916666666666667</v>
      </c>
      <c r="C593" s="26" t="s">
        <v>45</v>
      </c>
      <c r="D593" s="59" t="s">
        <v>30</v>
      </c>
      <c r="E593" s="59" t="s">
        <v>261</v>
      </c>
      <c r="F593" s="27">
        <v>0</v>
      </c>
      <c r="G593" s="34">
        <f t="shared" si="129"/>
        <v>0</v>
      </c>
      <c r="H593" s="33"/>
      <c r="I593" s="33"/>
      <c r="J593" s="33"/>
      <c r="K593" s="29"/>
      <c r="L593" s="29"/>
      <c r="M593" s="35" t="str">
        <f t="shared" ca="1" si="130"/>
        <v/>
      </c>
      <c r="N593" s="46"/>
      <c r="O593" s="47"/>
    </row>
    <row r="594" spans="1:15" ht="15.75" customHeight="1">
      <c r="A594" s="119" t="s">
        <v>238</v>
      </c>
      <c r="B594" s="120"/>
      <c r="C594" s="120"/>
      <c r="D594" s="120"/>
      <c r="E594" s="121">
        <f>SUM(E582:E593)</f>
        <v>0</v>
      </c>
      <c r="F594" s="36">
        <f>SUM(F582:F593)</f>
        <v>145</v>
      </c>
      <c r="G594" s="36">
        <f>SUM(G582:G593)</f>
        <v>617.79999999999995</v>
      </c>
      <c r="H594" s="37"/>
      <c r="I594" s="37"/>
      <c r="J594" s="37"/>
      <c r="K594" s="37"/>
      <c r="L594" s="37"/>
      <c r="M594" s="38">
        <f ca="1">IFERROR(SUM(M582:M593),"")</f>
        <v>2.847222222222219E-2</v>
      </c>
      <c r="N594" s="36" t="s">
        <v>237</v>
      </c>
      <c r="O594" s="77">
        <v>644900</v>
      </c>
    </row>
    <row r="595" spans="1:15" ht="18" customHeight="1">
      <c r="A595" s="122" t="s">
        <v>239</v>
      </c>
      <c r="B595" s="123"/>
      <c r="C595" s="123"/>
      <c r="D595" s="123"/>
      <c r="E595" s="124">
        <f>E581+E594</f>
        <v>0</v>
      </c>
      <c r="F595" s="40">
        <f>F581+F594</f>
        <v>375</v>
      </c>
      <c r="G595" s="40">
        <f>G581+G594</f>
        <v>1583.8000000000002</v>
      </c>
      <c r="H595" s="41"/>
      <c r="I595" s="41"/>
      <c r="J595" s="41"/>
      <c r="K595" s="41"/>
      <c r="L595" s="41"/>
      <c r="M595" s="42">
        <f ca="1">IFERROR(M581+M594,"")</f>
        <v>5.1388888888888887E-2</v>
      </c>
      <c r="N595" s="40" t="s">
        <v>240</v>
      </c>
      <c r="O595" s="83">
        <f>IFERROR(O581+O594,"")</f>
        <v>1610900</v>
      </c>
    </row>
    <row r="596" spans="1:15" ht="15" customHeight="1">
      <c r="A596" s="68">
        <v>46226</v>
      </c>
      <c r="B596" s="25">
        <v>0.33333333333333298</v>
      </c>
      <c r="C596" s="26" t="s">
        <v>29</v>
      </c>
      <c r="D596" s="59" t="s">
        <v>30</v>
      </c>
      <c r="E596" s="59" t="s">
        <v>261</v>
      </c>
      <c r="F596" s="27">
        <v>13</v>
      </c>
      <c r="G596" s="28">
        <f t="shared" ref="G596:G607" si="132">IF(F596="","",IF(E596="PC 17",F596*4.2,IF(E596="PC 19",F596*5,"")))</f>
        <v>54.6</v>
      </c>
      <c r="H596" s="26" t="s">
        <v>19</v>
      </c>
      <c r="I596" s="26" t="s">
        <v>39</v>
      </c>
      <c r="J596" s="26" t="s">
        <v>35</v>
      </c>
      <c r="K596" s="29">
        <v>0.35902777777777778</v>
      </c>
      <c r="L596" s="29">
        <v>0.36805555555555558</v>
      </c>
      <c r="M596" s="30">
        <f t="shared" ref="M596:M607" ca="1" si="133">IFERROR(IF(K596="","",IF(L596="",MOD(NOW()-K596,1),IF(L596&gt;=K596,L596-K596,L596+1-K596))),"")</f>
        <v>9.0277777777778012E-3</v>
      </c>
      <c r="N596" s="46"/>
      <c r="O596" s="47"/>
    </row>
    <row r="597" spans="1:15" ht="15" customHeight="1">
      <c r="A597" s="69">
        <v>46226</v>
      </c>
      <c r="B597" s="32">
        <f t="shared" ref="B597:B607" si="134">B596+TIME(0,60,0)</f>
        <v>0.37499999999999967</v>
      </c>
      <c r="C597" s="26" t="s">
        <v>29</v>
      </c>
      <c r="D597" s="59" t="s">
        <v>30</v>
      </c>
      <c r="E597" s="59" t="s">
        <v>261</v>
      </c>
      <c r="F597" s="27">
        <v>8</v>
      </c>
      <c r="G597" s="34">
        <f t="shared" si="132"/>
        <v>33.6</v>
      </c>
      <c r="H597" s="33" t="s">
        <v>19</v>
      </c>
      <c r="I597" s="33" t="s">
        <v>31</v>
      </c>
      <c r="J597" s="33" t="s">
        <v>50</v>
      </c>
      <c r="K597" s="29">
        <v>0.38541666666666669</v>
      </c>
      <c r="L597" s="29">
        <v>0.40694444444444444</v>
      </c>
      <c r="M597" s="35">
        <f t="shared" ca="1" si="133"/>
        <v>2.1527777777777757E-2</v>
      </c>
      <c r="N597" s="46"/>
      <c r="O597" s="47"/>
    </row>
    <row r="598" spans="1:15" ht="15" customHeight="1">
      <c r="A598" s="68">
        <v>46226</v>
      </c>
      <c r="B598" s="25">
        <f t="shared" si="134"/>
        <v>0.41666666666666635</v>
      </c>
      <c r="C598" s="26" t="s">
        <v>29</v>
      </c>
      <c r="D598" s="59" t="s">
        <v>30</v>
      </c>
      <c r="E598" s="59" t="s">
        <v>261</v>
      </c>
      <c r="F598" s="27">
        <v>6</v>
      </c>
      <c r="G598" s="28">
        <f t="shared" si="132"/>
        <v>25.200000000000003</v>
      </c>
      <c r="H598" s="26" t="s">
        <v>20</v>
      </c>
      <c r="I598" s="26" t="s">
        <v>39</v>
      </c>
      <c r="J598" s="26" t="s">
        <v>56</v>
      </c>
      <c r="K598" s="29">
        <v>0.54513888888888884</v>
      </c>
      <c r="L598" s="29">
        <v>0.57361111111111107</v>
      </c>
      <c r="M598" s="30">
        <f t="shared" ca="1" si="133"/>
        <v>2.8472222222222232E-2</v>
      </c>
      <c r="N598" s="46" t="s">
        <v>325</v>
      </c>
      <c r="O598" s="47"/>
    </row>
    <row r="599" spans="1:15" ht="15" customHeight="1">
      <c r="A599" s="69">
        <v>46226</v>
      </c>
      <c r="B599" s="32">
        <f t="shared" si="134"/>
        <v>0.45833333333333304</v>
      </c>
      <c r="C599" s="26" t="s">
        <v>29</v>
      </c>
      <c r="D599" s="59" t="s">
        <v>30</v>
      </c>
      <c r="E599" s="59" t="s">
        <v>261</v>
      </c>
      <c r="F599" s="27">
        <v>14</v>
      </c>
      <c r="G599" s="34">
        <f t="shared" si="132"/>
        <v>58.800000000000004</v>
      </c>
      <c r="H599" s="33" t="s">
        <v>20</v>
      </c>
      <c r="I599" s="33" t="s">
        <v>31</v>
      </c>
      <c r="J599" s="33" t="s">
        <v>51</v>
      </c>
      <c r="K599" s="29">
        <v>0.59722222222222221</v>
      </c>
      <c r="L599" s="29">
        <v>0.60277777777777775</v>
      </c>
      <c r="M599" s="35">
        <f t="shared" ca="1" si="133"/>
        <v>5.5555555555555358E-3</v>
      </c>
      <c r="N599" s="46"/>
      <c r="O599" s="47"/>
    </row>
    <row r="600" spans="1:15" ht="15" customHeight="1">
      <c r="A600" s="68">
        <v>46226</v>
      </c>
      <c r="B600" s="25">
        <f t="shared" si="134"/>
        <v>0.49999999999999972</v>
      </c>
      <c r="C600" s="26" t="s">
        <v>29</v>
      </c>
      <c r="D600" s="59" t="s">
        <v>30</v>
      </c>
      <c r="E600" s="59" t="s">
        <v>261</v>
      </c>
      <c r="F600" s="27">
        <v>16</v>
      </c>
      <c r="G600" s="28">
        <f t="shared" si="132"/>
        <v>67.2</v>
      </c>
      <c r="H600" s="26"/>
      <c r="I600" s="26"/>
      <c r="J600" s="26" t="s">
        <v>74</v>
      </c>
      <c r="K600" s="29"/>
      <c r="L600" s="29"/>
      <c r="M600" s="30" t="str">
        <f t="shared" ca="1" si="133"/>
        <v/>
      </c>
      <c r="N600" s="46"/>
      <c r="O600" s="47"/>
    </row>
    <row r="601" spans="1:15" ht="15" customHeight="1">
      <c r="A601" s="69">
        <v>46226</v>
      </c>
      <c r="B601" s="32">
        <f t="shared" si="134"/>
        <v>0.54166666666666641</v>
      </c>
      <c r="C601" s="26" t="s">
        <v>29</v>
      </c>
      <c r="D601" s="59" t="s">
        <v>30</v>
      </c>
      <c r="E601" s="59" t="s">
        <v>261</v>
      </c>
      <c r="F601" s="27">
        <v>24</v>
      </c>
      <c r="G601" s="34">
        <f t="shared" si="132"/>
        <v>100.80000000000001</v>
      </c>
      <c r="H601" s="33"/>
      <c r="I601" s="33"/>
      <c r="J601" s="33"/>
      <c r="K601" s="29"/>
      <c r="L601" s="29"/>
      <c r="M601" s="35" t="str">
        <f t="shared" ca="1" si="133"/>
        <v/>
      </c>
      <c r="N601" s="46"/>
      <c r="O601" s="47"/>
    </row>
    <row r="602" spans="1:15" ht="15" customHeight="1">
      <c r="A602" s="68">
        <v>46226</v>
      </c>
      <c r="B602" s="25">
        <f t="shared" si="134"/>
        <v>0.58333333333333304</v>
      </c>
      <c r="C602" s="26" t="s">
        <v>29</v>
      </c>
      <c r="D602" s="59" t="s">
        <v>30</v>
      </c>
      <c r="E602" s="59" t="s">
        <v>261</v>
      </c>
      <c r="F602" s="27">
        <v>4</v>
      </c>
      <c r="G602" s="28">
        <f t="shared" si="132"/>
        <v>16.8</v>
      </c>
      <c r="H602" s="26"/>
      <c r="I602" s="26"/>
      <c r="J602" s="26"/>
      <c r="K602" s="29"/>
      <c r="L602" s="29"/>
      <c r="M602" s="30" t="str">
        <f t="shared" ca="1" si="133"/>
        <v/>
      </c>
      <c r="N602" s="46"/>
      <c r="O602" s="47"/>
    </row>
    <row r="603" spans="1:15" ht="15" customHeight="1">
      <c r="A603" s="69">
        <v>46226</v>
      </c>
      <c r="B603" s="32">
        <f t="shared" si="134"/>
        <v>0.62499999999999967</v>
      </c>
      <c r="C603" s="26" t="s">
        <v>29</v>
      </c>
      <c r="D603" s="59" t="s">
        <v>30</v>
      </c>
      <c r="E603" s="59" t="s">
        <v>261</v>
      </c>
      <c r="F603" s="27">
        <v>19</v>
      </c>
      <c r="G603" s="34">
        <f t="shared" si="132"/>
        <v>79.8</v>
      </c>
      <c r="H603" s="33"/>
      <c r="I603" s="33"/>
      <c r="J603" s="33"/>
      <c r="K603" s="29"/>
      <c r="L603" s="29"/>
      <c r="M603" s="35" t="str">
        <f t="shared" ca="1" si="133"/>
        <v/>
      </c>
      <c r="N603" s="46"/>
      <c r="O603" s="47"/>
    </row>
    <row r="604" spans="1:15" ht="15" customHeight="1">
      <c r="A604" s="68">
        <v>46226</v>
      </c>
      <c r="B604" s="25">
        <f t="shared" si="134"/>
        <v>0.6666666666666663</v>
      </c>
      <c r="C604" s="26" t="s">
        <v>29</v>
      </c>
      <c r="D604" s="59" t="s">
        <v>30</v>
      </c>
      <c r="E604" s="59" t="s">
        <v>261</v>
      </c>
      <c r="F604" s="27">
        <v>24</v>
      </c>
      <c r="G604" s="28">
        <f t="shared" si="132"/>
        <v>100.80000000000001</v>
      </c>
      <c r="H604" s="26"/>
      <c r="I604" s="26"/>
      <c r="J604" s="26"/>
      <c r="K604" s="29"/>
      <c r="L604" s="29"/>
      <c r="M604" s="30" t="str">
        <f t="shared" ca="1" si="133"/>
        <v/>
      </c>
      <c r="N604" s="46"/>
      <c r="O604" s="47"/>
    </row>
    <row r="605" spans="1:15" ht="15" customHeight="1">
      <c r="A605" s="69">
        <v>46226</v>
      </c>
      <c r="B605" s="32">
        <f t="shared" si="134"/>
        <v>0.70833333333333293</v>
      </c>
      <c r="C605" s="26" t="s">
        <v>29</v>
      </c>
      <c r="D605" s="59" t="s">
        <v>30</v>
      </c>
      <c r="E605" s="59" t="s">
        <v>261</v>
      </c>
      <c r="F605" s="27">
        <v>15</v>
      </c>
      <c r="G605" s="34">
        <f t="shared" si="132"/>
        <v>63</v>
      </c>
      <c r="H605" s="33"/>
      <c r="I605" s="33"/>
      <c r="J605" s="33"/>
      <c r="K605" s="29"/>
      <c r="L605" s="29"/>
      <c r="M605" s="35" t="str">
        <f t="shared" ca="1" si="133"/>
        <v/>
      </c>
      <c r="N605" s="46"/>
      <c r="O605" s="47"/>
    </row>
    <row r="606" spans="1:15" ht="15" customHeight="1">
      <c r="A606" s="68">
        <v>46226</v>
      </c>
      <c r="B606" s="25">
        <f t="shared" si="134"/>
        <v>0.74999999999999956</v>
      </c>
      <c r="C606" s="26" t="s">
        <v>29</v>
      </c>
      <c r="D606" s="59" t="s">
        <v>30</v>
      </c>
      <c r="E606" s="59" t="s">
        <v>261</v>
      </c>
      <c r="F606" s="27">
        <v>12</v>
      </c>
      <c r="G606" s="28">
        <f t="shared" si="132"/>
        <v>50.400000000000006</v>
      </c>
      <c r="H606" s="26"/>
      <c r="I606" s="26"/>
      <c r="J606" s="26"/>
      <c r="K606" s="29"/>
      <c r="L606" s="29"/>
      <c r="M606" s="30" t="str">
        <f t="shared" ca="1" si="133"/>
        <v/>
      </c>
      <c r="N606" s="46"/>
      <c r="O606" s="47"/>
    </row>
    <row r="607" spans="1:15" ht="15" customHeight="1">
      <c r="A607" s="69">
        <v>46226</v>
      </c>
      <c r="B607" s="32">
        <f t="shared" si="134"/>
        <v>0.79166666666666619</v>
      </c>
      <c r="C607" s="26" t="s">
        <v>29</v>
      </c>
      <c r="D607" s="59" t="s">
        <v>30</v>
      </c>
      <c r="E607" s="59" t="s">
        <v>261</v>
      </c>
      <c r="F607" s="27">
        <v>9</v>
      </c>
      <c r="G607" s="34">
        <f t="shared" si="132"/>
        <v>37.800000000000004</v>
      </c>
      <c r="H607" s="33"/>
      <c r="I607" s="33"/>
      <c r="J607" s="33"/>
      <c r="K607" s="29"/>
      <c r="L607" s="29"/>
      <c r="M607" s="35" t="str">
        <f t="shared" ca="1" si="133"/>
        <v/>
      </c>
      <c r="N607" s="46"/>
      <c r="O607" s="47"/>
    </row>
    <row r="608" spans="1:15" ht="15.75" customHeight="1">
      <c r="A608" s="119" t="s">
        <v>236</v>
      </c>
      <c r="B608" s="120"/>
      <c r="C608" s="120"/>
      <c r="D608" s="120"/>
      <c r="E608" s="121">
        <f>SUM(E596:E607)</f>
        <v>0</v>
      </c>
      <c r="F608" s="36">
        <f>SUM(F596:F607)</f>
        <v>164</v>
      </c>
      <c r="G608" s="36">
        <f>SUM(G596:G607)</f>
        <v>688.80000000000007</v>
      </c>
      <c r="H608" s="37"/>
      <c r="I608" s="37"/>
      <c r="J608" s="37"/>
      <c r="K608" s="37"/>
      <c r="L608" s="37"/>
      <c r="M608" s="38">
        <f ca="1">IFERROR(SUM(M596:M607),"")</f>
        <v>6.4583333333333326E-2</v>
      </c>
      <c r="N608" s="36" t="s">
        <v>237</v>
      </c>
      <c r="O608" s="77">
        <v>763240</v>
      </c>
    </row>
    <row r="609" spans="1:15" ht="15" customHeight="1">
      <c r="A609" s="69">
        <v>46226</v>
      </c>
      <c r="B609" s="32">
        <v>0.83333333333333304</v>
      </c>
      <c r="C609" s="33" t="s">
        <v>45</v>
      </c>
      <c r="D609" s="62" t="s">
        <v>30</v>
      </c>
      <c r="E609" s="62" t="s">
        <v>234</v>
      </c>
      <c r="F609" s="27">
        <v>7</v>
      </c>
      <c r="G609" s="34">
        <f t="shared" ref="G609:G614" si="135">IF(F609="","",IF(E609="PC 17",F609*4.2,IF(E609="PC 19",F609*5,"")))</f>
        <v>35</v>
      </c>
      <c r="H609" s="33" t="s">
        <v>18</v>
      </c>
      <c r="I609" s="33" t="s">
        <v>31</v>
      </c>
      <c r="J609" s="33" t="s">
        <v>34</v>
      </c>
      <c r="K609" s="29">
        <v>8.1250000000000003E-2</v>
      </c>
      <c r="L609" s="29">
        <v>0.28333333333333333</v>
      </c>
      <c r="M609" s="35">
        <f t="shared" ref="M609:M620" ca="1" si="136">IFERROR(IF(K609="","",IF(L609="",MOD(NOW()-K609,1),IF(L609&gt;=K609,L609-K609,L609+1-K609))),"")</f>
        <v>0.20208333333333334</v>
      </c>
      <c r="N609" s="46"/>
      <c r="O609" s="47"/>
    </row>
    <row r="610" spans="1:15" ht="15" customHeight="1">
      <c r="A610" s="68">
        <v>46226</v>
      </c>
      <c r="B610" s="25">
        <f t="shared" ref="B610:B620" si="137">B609+TIME(0,60,0)</f>
        <v>0.87499999999999967</v>
      </c>
      <c r="C610" s="33" t="s">
        <v>45</v>
      </c>
      <c r="D610" s="62" t="s">
        <v>30</v>
      </c>
      <c r="E610" s="62" t="s">
        <v>234</v>
      </c>
      <c r="F610" s="27">
        <v>5</v>
      </c>
      <c r="G610" s="28">
        <f t="shared" si="135"/>
        <v>25</v>
      </c>
      <c r="H610" s="26" t="s">
        <v>19</v>
      </c>
      <c r="I610" s="26" t="s">
        <v>39</v>
      </c>
      <c r="J610" s="26" t="s">
        <v>27</v>
      </c>
      <c r="K610" s="29">
        <v>8.1250000000000003E-2</v>
      </c>
      <c r="L610" s="29">
        <v>0.1111111111111111</v>
      </c>
      <c r="M610" s="30">
        <f t="shared" ca="1" si="136"/>
        <v>2.9861111111111102E-2</v>
      </c>
      <c r="N610" s="46"/>
      <c r="O610" s="47"/>
    </row>
    <row r="611" spans="1:15" ht="15" customHeight="1">
      <c r="A611" s="69">
        <v>46226</v>
      </c>
      <c r="B611" s="32">
        <f t="shared" si="137"/>
        <v>0.9166666666666663</v>
      </c>
      <c r="C611" s="33" t="s">
        <v>45</v>
      </c>
      <c r="D611" s="62" t="s">
        <v>30</v>
      </c>
      <c r="E611" s="20" t="s">
        <v>326</v>
      </c>
      <c r="F611" s="27">
        <v>8</v>
      </c>
      <c r="G611" s="34">
        <f>IF(F611="","",IF(E612="PC 17",F611*4.2,IF(E612="PC 19",F611*5,"")))</f>
        <v>33.6</v>
      </c>
      <c r="H611" s="33"/>
      <c r="I611" s="33"/>
      <c r="J611" s="33"/>
      <c r="K611" s="29"/>
      <c r="L611" s="29"/>
      <c r="M611" s="35" t="str">
        <f t="shared" ca="1" si="136"/>
        <v/>
      </c>
      <c r="N611" s="46"/>
      <c r="O611" s="47"/>
    </row>
    <row r="612" spans="1:15" ht="15" customHeight="1">
      <c r="A612" s="68">
        <v>46226</v>
      </c>
      <c r="B612" s="25">
        <f t="shared" si="137"/>
        <v>0.95833333333333293</v>
      </c>
      <c r="C612" s="33" t="s">
        <v>45</v>
      </c>
      <c r="D612" s="62" t="s">
        <v>30</v>
      </c>
      <c r="E612" s="62" t="s">
        <v>261</v>
      </c>
      <c r="F612" s="27">
        <v>4</v>
      </c>
      <c r="G612" s="28">
        <v>20</v>
      </c>
      <c r="H612" s="26"/>
      <c r="I612" s="26"/>
      <c r="J612" s="26"/>
      <c r="K612" s="29"/>
      <c r="L612" s="29"/>
      <c r="M612" s="30" t="str">
        <f t="shared" ca="1" si="136"/>
        <v/>
      </c>
      <c r="N612" s="46"/>
      <c r="O612" s="47"/>
    </row>
    <row r="613" spans="1:15" ht="15" customHeight="1">
      <c r="A613" s="69">
        <v>46226</v>
      </c>
      <c r="B613" s="32">
        <f t="shared" si="137"/>
        <v>0.99999999999999956</v>
      </c>
      <c r="C613" s="33" t="s">
        <v>45</v>
      </c>
      <c r="D613" s="62" t="s">
        <v>30</v>
      </c>
      <c r="E613" s="62" t="s">
        <v>261</v>
      </c>
      <c r="F613" s="27">
        <v>15</v>
      </c>
      <c r="G613" s="34">
        <f t="shared" si="135"/>
        <v>63</v>
      </c>
      <c r="H613" s="33"/>
      <c r="I613" s="33"/>
      <c r="J613" s="33"/>
      <c r="K613" s="29"/>
      <c r="L613" s="29"/>
      <c r="M613" s="35" t="str">
        <f t="shared" ca="1" si="136"/>
        <v/>
      </c>
      <c r="N613" s="46"/>
      <c r="O613" s="47"/>
    </row>
    <row r="614" spans="1:15" ht="15" customHeight="1">
      <c r="A614" s="68">
        <v>46226</v>
      </c>
      <c r="B614" s="25">
        <f t="shared" si="137"/>
        <v>1.0416666666666663</v>
      </c>
      <c r="C614" s="33" t="s">
        <v>45</v>
      </c>
      <c r="D614" s="62" t="s">
        <v>30</v>
      </c>
      <c r="E614" s="62" t="s">
        <v>261</v>
      </c>
      <c r="F614" s="27">
        <v>8</v>
      </c>
      <c r="G614" s="28">
        <f t="shared" si="135"/>
        <v>33.6</v>
      </c>
      <c r="H614" s="26"/>
      <c r="I614" s="26"/>
      <c r="J614" s="26"/>
      <c r="K614" s="29"/>
      <c r="L614" s="29"/>
      <c r="M614" s="30" t="str">
        <f t="shared" ca="1" si="136"/>
        <v/>
      </c>
      <c r="N614" s="46"/>
      <c r="O614" s="47"/>
    </row>
    <row r="615" spans="1:15" ht="15" customHeight="1">
      <c r="A615" s="69">
        <v>46226</v>
      </c>
      <c r="B615" s="32">
        <f t="shared" si="137"/>
        <v>1.083333333333333</v>
      </c>
      <c r="C615" s="33" t="s">
        <v>45</v>
      </c>
      <c r="D615" s="62" t="s">
        <v>30</v>
      </c>
      <c r="E615" s="62" t="s">
        <v>261</v>
      </c>
      <c r="F615" s="27">
        <v>10</v>
      </c>
      <c r="G615" s="34">
        <v>25</v>
      </c>
      <c r="H615" s="33"/>
      <c r="I615" s="33"/>
      <c r="J615" s="33"/>
      <c r="K615" s="29"/>
      <c r="L615" s="29"/>
      <c r="M615" s="35" t="str">
        <f t="shared" ca="1" si="136"/>
        <v/>
      </c>
      <c r="N615" s="46"/>
      <c r="O615" s="47"/>
    </row>
    <row r="616" spans="1:15" ht="15" customHeight="1">
      <c r="A616" s="68">
        <v>46226</v>
      </c>
      <c r="B616" s="25">
        <f t="shared" si="137"/>
        <v>1.1249999999999998</v>
      </c>
      <c r="C616" s="33" t="s">
        <v>45</v>
      </c>
      <c r="D616" s="62" t="s">
        <v>30</v>
      </c>
      <c r="E616" s="62" t="s">
        <v>261</v>
      </c>
      <c r="F616" s="27">
        <v>0</v>
      </c>
      <c r="G616" s="28">
        <f>IF(F616="","",IF(E616="PC 17",F616*4.2,IF(E616="PC 19",F616*5,"")))</f>
        <v>0</v>
      </c>
      <c r="H616" s="26"/>
      <c r="I616" s="26"/>
      <c r="J616" s="26"/>
      <c r="K616" s="29"/>
      <c r="L616" s="29"/>
      <c r="M616" s="30" t="str">
        <f t="shared" ca="1" si="136"/>
        <v/>
      </c>
      <c r="N616" s="46"/>
      <c r="O616" s="47"/>
    </row>
    <row r="617" spans="1:15" ht="15" customHeight="1">
      <c r="A617" s="69">
        <v>46226</v>
      </c>
      <c r="B617" s="32">
        <f t="shared" si="137"/>
        <v>1.1666666666666665</v>
      </c>
      <c r="C617" s="33" t="s">
        <v>45</v>
      </c>
      <c r="D617" s="62" t="s">
        <v>30</v>
      </c>
      <c r="E617" s="62" t="s">
        <v>261</v>
      </c>
      <c r="F617" s="27">
        <v>10</v>
      </c>
      <c r="G617" s="34">
        <f>IF(F617="","",IF(E617="PC 17",F617*4.2,IF(E617="PC 19",F617*5,"")))</f>
        <v>42</v>
      </c>
      <c r="H617" s="33"/>
      <c r="I617" s="33"/>
      <c r="J617" s="33"/>
      <c r="K617" s="29"/>
      <c r="L617" s="29"/>
      <c r="M617" s="35" t="str">
        <f t="shared" ca="1" si="136"/>
        <v/>
      </c>
      <c r="N617" s="46"/>
      <c r="O617" s="47"/>
    </row>
    <row r="618" spans="1:15" ht="15" customHeight="1">
      <c r="A618" s="68">
        <v>46226</v>
      </c>
      <c r="B618" s="25">
        <f t="shared" si="137"/>
        <v>1.2083333333333333</v>
      </c>
      <c r="C618" s="33" t="s">
        <v>45</v>
      </c>
      <c r="D618" s="62" t="s">
        <v>30</v>
      </c>
      <c r="E618" s="62" t="s">
        <v>261</v>
      </c>
      <c r="F618" s="27">
        <v>0</v>
      </c>
      <c r="G618" s="28">
        <f>IF(F618="","",IF(E618="PC 17",F618*4.2,IF(E618="PC 19",F618*5,"")))</f>
        <v>0</v>
      </c>
      <c r="H618" s="26"/>
      <c r="I618" s="26"/>
      <c r="J618" s="26"/>
      <c r="K618" s="29"/>
      <c r="L618" s="29"/>
      <c r="M618" s="30" t="str">
        <f t="shared" ca="1" si="136"/>
        <v/>
      </c>
      <c r="N618" s="46"/>
      <c r="O618" s="47"/>
    </row>
    <row r="619" spans="1:15" ht="15" customHeight="1">
      <c r="A619" s="69">
        <v>46226</v>
      </c>
      <c r="B619" s="32">
        <f t="shared" si="137"/>
        <v>1.25</v>
      </c>
      <c r="C619" s="33" t="s">
        <v>45</v>
      </c>
      <c r="D619" s="62" t="s">
        <v>30</v>
      </c>
      <c r="E619" s="62" t="s">
        <v>261</v>
      </c>
      <c r="F619" s="27">
        <v>0</v>
      </c>
      <c r="G619" s="34">
        <f>IF(F619="","",IF(E619="PC 17",F619*4.2,IF(E619="PC 19",F619*5,"")))</f>
        <v>0</v>
      </c>
      <c r="H619" s="33"/>
      <c r="I619" s="33"/>
      <c r="J619" s="33"/>
      <c r="K619" s="29"/>
      <c r="L619" s="29"/>
      <c r="M619" s="35" t="str">
        <f t="shared" ca="1" si="136"/>
        <v/>
      </c>
      <c r="N619" s="46"/>
      <c r="O619" s="47"/>
    </row>
    <row r="620" spans="1:15" ht="15" customHeight="1">
      <c r="A620" s="68">
        <v>46226</v>
      </c>
      <c r="B620" s="25">
        <f t="shared" si="137"/>
        <v>1.2916666666666667</v>
      </c>
      <c r="C620" s="33" t="s">
        <v>45</v>
      </c>
      <c r="D620" s="62" t="s">
        <v>30</v>
      </c>
      <c r="E620" s="62" t="s">
        <v>261</v>
      </c>
      <c r="F620" s="27">
        <v>3</v>
      </c>
      <c r="G620" s="28">
        <f>IF(F620="","",IF(E620="PC 17",F620*4.2,IF(E620="PC 19",F620*5,"")))</f>
        <v>12.600000000000001</v>
      </c>
      <c r="H620" s="26"/>
      <c r="I620" s="26"/>
      <c r="J620" s="26"/>
      <c r="K620" s="29"/>
      <c r="L620" s="29"/>
      <c r="M620" s="30" t="str">
        <f t="shared" ca="1" si="136"/>
        <v/>
      </c>
      <c r="N620" s="46"/>
      <c r="O620" s="47"/>
    </row>
    <row r="621" spans="1:15" ht="15.75" customHeight="1">
      <c r="A621" s="119" t="s">
        <v>238</v>
      </c>
      <c r="B621" s="120"/>
      <c r="C621" s="120"/>
      <c r="D621" s="120"/>
      <c r="E621" s="121">
        <f>SUM(E609:E620)</f>
        <v>0</v>
      </c>
      <c r="F621" s="36">
        <f>SUM(F609:F620)</f>
        <v>70</v>
      </c>
      <c r="G621" s="36">
        <f>SUM(G609:G620)</f>
        <v>289.8</v>
      </c>
      <c r="H621" s="37"/>
      <c r="I621" s="37"/>
      <c r="J621" s="37"/>
      <c r="K621" s="37"/>
      <c r="L621" s="37"/>
      <c r="M621" s="38">
        <f ca="1">IFERROR(SUM(M609:M620),"")</f>
        <v>0.23194444444444445</v>
      </c>
      <c r="N621" s="36" t="s">
        <v>237</v>
      </c>
      <c r="O621" s="77">
        <v>348050</v>
      </c>
    </row>
    <row r="622" spans="1:15" ht="18" customHeight="1">
      <c r="A622" s="122" t="s">
        <v>239</v>
      </c>
      <c r="B622" s="123"/>
      <c r="C622" s="123"/>
      <c r="D622" s="123"/>
      <c r="E622" s="124">
        <f>E608+E621</f>
        <v>0</v>
      </c>
      <c r="F622" s="40">
        <f>F608+F621</f>
        <v>234</v>
      </c>
      <c r="G622" s="40">
        <f>G608+G621</f>
        <v>978.60000000000014</v>
      </c>
      <c r="H622" s="41"/>
      <c r="I622" s="41"/>
      <c r="J622" s="41"/>
      <c r="K622" s="41"/>
      <c r="L622" s="41"/>
      <c r="M622" s="42">
        <f ca="1">IFERROR(M608+M621,"")</f>
        <v>0.29652777777777778</v>
      </c>
      <c r="N622" s="40" t="s">
        <v>240</v>
      </c>
      <c r="O622" s="83">
        <f>O608+O621</f>
        <v>1111290</v>
      </c>
    </row>
    <row r="623" spans="1:15" ht="15" customHeight="1">
      <c r="A623" s="69">
        <v>46227</v>
      </c>
      <c r="B623" s="32">
        <v>0.33333333333333298</v>
      </c>
      <c r="C623" s="33" t="s">
        <v>29</v>
      </c>
      <c r="D623" s="62" t="s">
        <v>30</v>
      </c>
      <c r="E623" s="62" t="s">
        <v>261</v>
      </c>
      <c r="F623" s="27">
        <v>9</v>
      </c>
      <c r="G623" s="34">
        <f t="shared" ref="G623:G634" si="138">IF(F623="","",IF(E623="PC 17",F623*4.2,IF(E623="PC 19",F623*5,"")))</f>
        <v>37.800000000000004</v>
      </c>
      <c r="H623" s="33" t="s">
        <v>19</v>
      </c>
      <c r="I623" s="33" t="s">
        <v>39</v>
      </c>
      <c r="J623" s="33" t="s">
        <v>27</v>
      </c>
      <c r="K623" s="29">
        <v>0.49722222222222223</v>
      </c>
      <c r="L623" s="29">
        <v>0.50763888888888886</v>
      </c>
      <c r="M623" s="79">
        <f ca="1">IFERROR(IF(K623="","",IF(L623="",MOD(NOW()-K623,1),IF(L623&gt;=K623,L623-K623,L623+1-K623))),"")</f>
        <v>1.041666666666663E-2</v>
      </c>
      <c r="N623" s="46"/>
      <c r="O623" s="47"/>
    </row>
    <row r="624" spans="1:15" ht="15" customHeight="1">
      <c r="A624" s="68">
        <v>46227</v>
      </c>
      <c r="B624" s="25">
        <f t="shared" ref="B624:B634" si="139">B623+TIME(0,60,0)</f>
        <v>0.37499999999999967</v>
      </c>
      <c r="C624" s="33" t="s">
        <v>29</v>
      </c>
      <c r="D624" s="62" t="s">
        <v>30</v>
      </c>
      <c r="E624" s="62" t="s">
        <v>261</v>
      </c>
      <c r="F624" s="27">
        <v>7</v>
      </c>
      <c r="G624" s="28">
        <f t="shared" si="138"/>
        <v>29.400000000000002</v>
      </c>
      <c r="H624" s="26" t="s">
        <v>20</v>
      </c>
      <c r="I624" s="26" t="s">
        <v>39</v>
      </c>
      <c r="J624" s="26" t="s">
        <v>56</v>
      </c>
      <c r="K624" s="29">
        <v>0.5493055555555556</v>
      </c>
      <c r="L624" s="98">
        <v>0.54930555555555505</v>
      </c>
      <c r="M624" s="79">
        <f ca="1">IFERROR(IF(K624="","",IF(L624="",MOD(NOW()-K624,1),IF(L624&gt;=K624,L624-K624,L624+1-K624))),"")</f>
        <v>0.99999999999999944</v>
      </c>
      <c r="N624" s="46"/>
      <c r="O624" s="47"/>
    </row>
    <row r="625" spans="1:15" ht="15" customHeight="1">
      <c r="A625" s="69">
        <v>46227</v>
      </c>
      <c r="B625" s="32">
        <f t="shared" si="139"/>
        <v>0.41666666666666635</v>
      </c>
      <c r="C625" s="33" t="s">
        <v>29</v>
      </c>
      <c r="D625" s="62" t="s">
        <v>30</v>
      </c>
      <c r="E625" s="62" t="s">
        <v>261</v>
      </c>
      <c r="F625" s="27">
        <v>13</v>
      </c>
      <c r="G625" s="34">
        <f t="shared" si="138"/>
        <v>54.6</v>
      </c>
      <c r="H625" s="33" t="s">
        <v>20</v>
      </c>
      <c r="I625" s="33" t="s">
        <v>31</v>
      </c>
      <c r="J625" s="33" t="s">
        <v>132</v>
      </c>
      <c r="K625" s="29">
        <v>0.75277777777777777</v>
      </c>
      <c r="L625" s="29">
        <v>0.75763888888888886</v>
      </c>
      <c r="M625" s="79">
        <f t="shared" ref="M625:M634" ca="1" si="140">IFERROR(IF(K625="","",IF(L625="",MOD(NOW()-K625,1),IF(L625&gt;=K625,L625-K625,L625+1-K625))),"")</f>
        <v>4.8611111111110938E-3</v>
      </c>
      <c r="N625" s="46"/>
      <c r="O625" s="47"/>
    </row>
    <row r="626" spans="1:15" ht="15" customHeight="1">
      <c r="A626" s="68">
        <v>46227</v>
      </c>
      <c r="B626" s="25">
        <f t="shared" si="139"/>
        <v>0.45833333333333304</v>
      </c>
      <c r="C626" s="33" t="s">
        <v>29</v>
      </c>
      <c r="D626" s="62" t="s">
        <v>30</v>
      </c>
      <c r="E626" s="62" t="s">
        <v>261</v>
      </c>
      <c r="F626" s="27">
        <v>11</v>
      </c>
      <c r="G626" s="28">
        <f t="shared" si="138"/>
        <v>46.2</v>
      </c>
      <c r="H626" s="26"/>
      <c r="I626" s="26"/>
      <c r="J626" s="26"/>
      <c r="K626" s="29"/>
      <c r="L626" s="29"/>
      <c r="M626" s="30" t="str">
        <f t="shared" ca="1" si="140"/>
        <v/>
      </c>
      <c r="N626" s="46"/>
      <c r="O626" s="47"/>
    </row>
    <row r="627" spans="1:15" ht="15" customHeight="1">
      <c r="A627" s="69">
        <v>46227</v>
      </c>
      <c r="B627" s="32">
        <f t="shared" si="139"/>
        <v>0.49999999999999972</v>
      </c>
      <c r="C627" s="33" t="s">
        <v>29</v>
      </c>
      <c r="D627" s="62" t="s">
        <v>30</v>
      </c>
      <c r="E627" s="62" t="s">
        <v>261</v>
      </c>
      <c r="F627" s="27">
        <v>11</v>
      </c>
      <c r="G627" s="34">
        <f t="shared" si="138"/>
        <v>46.2</v>
      </c>
      <c r="H627" s="33"/>
      <c r="I627" s="33"/>
      <c r="J627" s="33"/>
      <c r="K627" s="29"/>
      <c r="L627" s="29"/>
      <c r="M627" s="35" t="str">
        <f t="shared" ca="1" si="140"/>
        <v/>
      </c>
      <c r="N627" s="46"/>
      <c r="O627" s="47"/>
    </row>
    <row r="628" spans="1:15" ht="15" customHeight="1">
      <c r="A628" s="68">
        <v>46227</v>
      </c>
      <c r="B628" s="25">
        <f t="shared" si="139"/>
        <v>0.54166666666666641</v>
      </c>
      <c r="C628" s="33" t="s">
        <v>29</v>
      </c>
      <c r="D628" s="62" t="s">
        <v>30</v>
      </c>
      <c r="E628" s="62" t="s">
        <v>261</v>
      </c>
      <c r="F628" s="27">
        <v>7</v>
      </c>
      <c r="G628" s="28">
        <f t="shared" si="138"/>
        <v>29.400000000000002</v>
      </c>
      <c r="H628" s="26"/>
      <c r="I628" s="26"/>
      <c r="J628" s="26"/>
      <c r="K628" s="29"/>
      <c r="L628" s="29"/>
      <c r="M628" s="30" t="str">
        <f t="shared" ca="1" si="140"/>
        <v/>
      </c>
      <c r="N628" s="46"/>
      <c r="O628" s="47"/>
    </row>
    <row r="629" spans="1:15" ht="15" customHeight="1">
      <c r="A629" s="69">
        <v>46227</v>
      </c>
      <c r="B629" s="32">
        <f t="shared" si="139"/>
        <v>0.58333333333333304</v>
      </c>
      <c r="C629" s="33" t="s">
        <v>29</v>
      </c>
      <c r="D629" s="62" t="s">
        <v>30</v>
      </c>
      <c r="E629" s="62" t="s">
        <v>261</v>
      </c>
      <c r="F629" s="27">
        <v>4</v>
      </c>
      <c r="G629" s="34">
        <f t="shared" si="138"/>
        <v>16.8</v>
      </c>
      <c r="H629" s="33"/>
      <c r="I629" s="33"/>
      <c r="J629" s="33"/>
      <c r="K629" s="29"/>
      <c r="L629" s="29"/>
      <c r="M629" s="35" t="str">
        <f t="shared" ca="1" si="140"/>
        <v/>
      </c>
      <c r="N629" s="46"/>
      <c r="O629" s="47"/>
    </row>
    <row r="630" spans="1:15" ht="15" customHeight="1">
      <c r="A630" s="68">
        <v>46227</v>
      </c>
      <c r="B630" s="25">
        <f t="shared" si="139"/>
        <v>0.62499999999999967</v>
      </c>
      <c r="C630" s="33" t="s">
        <v>29</v>
      </c>
      <c r="D630" s="62" t="s">
        <v>30</v>
      </c>
      <c r="E630" s="62" t="s">
        <v>261</v>
      </c>
      <c r="F630" s="27">
        <v>2</v>
      </c>
      <c r="G630" s="28">
        <f t="shared" si="138"/>
        <v>8.4</v>
      </c>
      <c r="H630" s="26"/>
      <c r="I630" s="26"/>
      <c r="J630" s="26"/>
      <c r="K630" s="29"/>
      <c r="L630" s="29"/>
      <c r="M630" s="30" t="str">
        <f t="shared" ca="1" si="140"/>
        <v/>
      </c>
      <c r="N630" s="46"/>
      <c r="O630" s="47"/>
    </row>
    <row r="631" spans="1:15" ht="15" customHeight="1">
      <c r="A631" s="69">
        <v>46227</v>
      </c>
      <c r="B631" s="32">
        <f t="shared" si="139"/>
        <v>0.6666666666666663</v>
      </c>
      <c r="C631" s="33" t="s">
        <v>29</v>
      </c>
      <c r="D631" s="62" t="s">
        <v>30</v>
      </c>
      <c r="E631" s="62" t="s">
        <v>261</v>
      </c>
      <c r="F631" s="27">
        <v>3</v>
      </c>
      <c r="G631" s="34">
        <f t="shared" si="138"/>
        <v>12.600000000000001</v>
      </c>
      <c r="H631" s="33"/>
      <c r="I631" s="33"/>
      <c r="J631" s="33"/>
      <c r="K631" s="29"/>
      <c r="L631" s="29"/>
      <c r="M631" s="35" t="str">
        <f t="shared" ca="1" si="140"/>
        <v/>
      </c>
      <c r="N631" s="46"/>
      <c r="O631" s="47"/>
    </row>
    <row r="632" spans="1:15" ht="15" customHeight="1">
      <c r="A632" s="68">
        <v>46227</v>
      </c>
      <c r="B632" s="25">
        <f t="shared" si="139"/>
        <v>0.70833333333333293</v>
      </c>
      <c r="C632" s="33" t="s">
        <v>29</v>
      </c>
      <c r="D632" s="62" t="s">
        <v>30</v>
      </c>
      <c r="E632" s="62" t="s">
        <v>261</v>
      </c>
      <c r="F632" s="27">
        <v>13</v>
      </c>
      <c r="G632" s="28">
        <f t="shared" si="138"/>
        <v>54.6</v>
      </c>
      <c r="H632" s="26"/>
      <c r="I632" s="26"/>
      <c r="J632" s="26"/>
      <c r="K632" s="29"/>
      <c r="L632" s="29"/>
      <c r="M632" s="30" t="str">
        <f t="shared" ca="1" si="140"/>
        <v/>
      </c>
      <c r="N632" s="46"/>
      <c r="O632" s="47"/>
    </row>
    <row r="633" spans="1:15" ht="15" customHeight="1">
      <c r="A633" s="69">
        <v>46227</v>
      </c>
      <c r="B633" s="32">
        <f t="shared" si="139"/>
        <v>0.74999999999999956</v>
      </c>
      <c r="C633" s="33" t="s">
        <v>29</v>
      </c>
      <c r="D633" s="62" t="s">
        <v>30</v>
      </c>
      <c r="E633" s="62" t="s">
        <v>261</v>
      </c>
      <c r="F633" s="27">
        <v>11</v>
      </c>
      <c r="G633" s="34">
        <f t="shared" si="138"/>
        <v>46.2</v>
      </c>
      <c r="H633" s="33"/>
      <c r="I633" s="33"/>
      <c r="J633" s="33"/>
      <c r="K633" s="29"/>
      <c r="L633" s="29"/>
      <c r="M633" s="35" t="str">
        <f t="shared" ca="1" si="140"/>
        <v/>
      </c>
      <c r="N633" s="46"/>
      <c r="O633" s="47"/>
    </row>
    <row r="634" spans="1:15" ht="15" customHeight="1">
      <c r="A634" s="68">
        <v>46227</v>
      </c>
      <c r="B634" s="25">
        <f t="shared" si="139"/>
        <v>0.79166666666666619</v>
      </c>
      <c r="C634" s="33" t="s">
        <v>29</v>
      </c>
      <c r="D634" s="62" t="s">
        <v>30</v>
      </c>
      <c r="E634" s="62" t="s">
        <v>261</v>
      </c>
      <c r="F634" s="27">
        <v>2</v>
      </c>
      <c r="G634" s="28">
        <f t="shared" si="138"/>
        <v>8.4</v>
      </c>
      <c r="H634" s="26"/>
      <c r="I634" s="26"/>
      <c r="J634" s="26"/>
      <c r="K634" s="29"/>
      <c r="L634" s="29"/>
      <c r="M634" s="30" t="str">
        <f t="shared" ca="1" si="140"/>
        <v/>
      </c>
      <c r="N634" s="46"/>
      <c r="O634" s="47"/>
    </row>
    <row r="635" spans="1:15" ht="15.75" customHeight="1">
      <c r="A635" s="119" t="s">
        <v>236</v>
      </c>
      <c r="B635" s="120"/>
      <c r="C635" s="120"/>
      <c r="D635" s="120"/>
      <c r="E635" s="121">
        <f>SUM(E623:E634)</f>
        <v>0</v>
      </c>
      <c r="F635" s="36">
        <f>SUM(F623:F634)</f>
        <v>93</v>
      </c>
      <c r="G635" s="36">
        <f>SUM(G623:G634)</f>
        <v>390.59999999999997</v>
      </c>
      <c r="H635" s="37"/>
      <c r="I635" s="37"/>
      <c r="J635" s="37"/>
      <c r="K635" s="37"/>
      <c r="L635" s="37"/>
      <c r="M635" s="38">
        <f ca="1">IFERROR(SUM(M623:M634),"")</f>
        <v>1.0152777777777771</v>
      </c>
      <c r="N635" s="36" t="s">
        <v>237</v>
      </c>
      <c r="O635" s="77">
        <v>508090</v>
      </c>
    </row>
    <row r="636" spans="1:15" ht="15" customHeight="1">
      <c r="A636" s="68">
        <v>46227</v>
      </c>
      <c r="B636" s="25">
        <v>0.83333333333333304</v>
      </c>
      <c r="C636" s="26" t="s">
        <v>21</v>
      </c>
      <c r="D636" s="59" t="s">
        <v>30</v>
      </c>
      <c r="E636" s="59" t="s">
        <v>261</v>
      </c>
      <c r="F636" s="27">
        <v>18</v>
      </c>
      <c r="G636" s="28">
        <f t="shared" ref="G636:G647" si="141">IF(F636="","",IF(E636="PC 17",F636*4.2,IF(E636="PC 19",F636*5,"")))</f>
        <v>75.600000000000009</v>
      </c>
      <c r="H636" s="26" t="s">
        <v>19</v>
      </c>
      <c r="I636" s="26" t="s">
        <v>157</v>
      </c>
      <c r="J636" s="26" t="s">
        <v>27</v>
      </c>
      <c r="K636" s="29">
        <v>0.88541666666666663</v>
      </c>
      <c r="L636" s="29">
        <v>0.90277777777777779</v>
      </c>
      <c r="M636" s="30">
        <f t="shared" ref="M636:M647" ca="1" si="142">IFERROR(IF(K636="","",IF(L636="",MOD(NOW()-K636,1),IF(L636&gt;=K636,L636-K636,L636+1-K636))),"")</f>
        <v>1.736111111111116E-2</v>
      </c>
      <c r="N636" s="46"/>
      <c r="O636" s="47"/>
    </row>
    <row r="637" spans="1:15" ht="15" customHeight="1">
      <c r="A637" s="69">
        <v>46227</v>
      </c>
      <c r="B637" s="32">
        <f t="shared" ref="B637:B647" si="143">B636+TIME(0,60,0)</f>
        <v>0.87499999999999967</v>
      </c>
      <c r="C637" s="26" t="s">
        <v>21</v>
      </c>
      <c r="D637" s="59" t="s">
        <v>30</v>
      </c>
      <c r="E637" s="59" t="s">
        <v>261</v>
      </c>
      <c r="F637" s="27">
        <v>24</v>
      </c>
      <c r="G637" s="34">
        <f t="shared" si="141"/>
        <v>100.80000000000001</v>
      </c>
      <c r="H637" s="33" t="s">
        <v>20</v>
      </c>
      <c r="I637" s="33" t="s">
        <v>39</v>
      </c>
      <c r="J637" s="33" t="s">
        <v>51</v>
      </c>
      <c r="K637" s="29">
        <v>0.90833333333333333</v>
      </c>
      <c r="L637" s="29">
        <v>0.9145833333333333</v>
      </c>
      <c r="M637" s="35">
        <f t="shared" ca="1" si="142"/>
        <v>6.2499999999999778E-3</v>
      </c>
      <c r="N637" s="46"/>
      <c r="O637" s="47"/>
    </row>
    <row r="638" spans="1:15" ht="15" customHeight="1">
      <c r="A638" s="68">
        <v>46227</v>
      </c>
      <c r="B638" s="25">
        <f t="shared" si="143"/>
        <v>0.9166666666666663</v>
      </c>
      <c r="C638" s="26" t="s">
        <v>21</v>
      </c>
      <c r="D638" s="59" t="s">
        <v>30</v>
      </c>
      <c r="E638" s="59" t="s">
        <v>261</v>
      </c>
      <c r="F638" s="27">
        <v>10</v>
      </c>
      <c r="G638" s="28">
        <f t="shared" si="141"/>
        <v>42</v>
      </c>
      <c r="H638" s="26" t="s">
        <v>20</v>
      </c>
      <c r="I638" s="26" t="s">
        <v>121</v>
      </c>
      <c r="J638" s="26" t="s">
        <v>113</v>
      </c>
      <c r="K638" s="29">
        <v>2.0833333333333332E-2</v>
      </c>
      <c r="L638" s="29">
        <v>9.0277777777777776E-2</v>
      </c>
      <c r="M638" s="30">
        <f t="shared" ca="1" si="142"/>
        <v>6.9444444444444448E-2</v>
      </c>
      <c r="N638" s="46"/>
      <c r="O638" s="47"/>
    </row>
    <row r="639" spans="1:15" ht="15" customHeight="1">
      <c r="A639" s="69">
        <v>46227</v>
      </c>
      <c r="B639" s="32">
        <f t="shared" si="143"/>
        <v>0.95833333333333293</v>
      </c>
      <c r="C639" s="26" t="s">
        <v>21</v>
      </c>
      <c r="D639" s="59" t="s">
        <v>30</v>
      </c>
      <c r="E639" s="59" t="s">
        <v>261</v>
      </c>
      <c r="F639" s="27">
        <v>25</v>
      </c>
      <c r="G639" s="34">
        <f t="shared" si="141"/>
        <v>105</v>
      </c>
      <c r="H639" s="33"/>
      <c r="I639" s="33"/>
      <c r="J639" s="33"/>
      <c r="K639" s="29"/>
      <c r="L639" s="29"/>
      <c r="M639" s="35" t="str">
        <f t="shared" ca="1" si="142"/>
        <v/>
      </c>
      <c r="N639" s="46"/>
      <c r="O639" s="47"/>
    </row>
    <row r="640" spans="1:15" ht="15" customHeight="1">
      <c r="A640" s="68">
        <v>46227</v>
      </c>
      <c r="B640" s="25">
        <f t="shared" si="143"/>
        <v>0.99999999999999956</v>
      </c>
      <c r="C640" s="26" t="s">
        <v>21</v>
      </c>
      <c r="D640" s="59" t="s">
        <v>30</v>
      </c>
      <c r="E640" s="59" t="s">
        <v>261</v>
      </c>
      <c r="F640" s="27">
        <v>20</v>
      </c>
      <c r="G640" s="28">
        <f t="shared" si="141"/>
        <v>84</v>
      </c>
      <c r="H640" s="26"/>
      <c r="I640" s="26"/>
      <c r="J640" s="26"/>
      <c r="K640" s="29"/>
      <c r="L640" s="29"/>
      <c r="M640" s="30" t="str">
        <f t="shared" ca="1" si="142"/>
        <v/>
      </c>
      <c r="N640" s="46"/>
      <c r="O640" s="47"/>
    </row>
    <row r="641" spans="1:15" ht="15" customHeight="1">
      <c r="A641" s="69">
        <v>46227</v>
      </c>
      <c r="B641" s="32">
        <f t="shared" si="143"/>
        <v>1.0416666666666663</v>
      </c>
      <c r="C641" s="26" t="s">
        <v>21</v>
      </c>
      <c r="D641" s="59" t="s">
        <v>30</v>
      </c>
      <c r="E641" s="59" t="s">
        <v>261</v>
      </c>
      <c r="F641" s="27">
        <v>1</v>
      </c>
      <c r="G641" s="34">
        <f t="shared" si="141"/>
        <v>4.2</v>
      </c>
      <c r="H641" s="33"/>
      <c r="I641" s="33"/>
      <c r="J641" s="33"/>
      <c r="K641" s="29"/>
      <c r="L641" s="29"/>
      <c r="M641" s="35" t="str">
        <f t="shared" ca="1" si="142"/>
        <v/>
      </c>
      <c r="N641" s="46"/>
      <c r="O641" s="47"/>
    </row>
    <row r="642" spans="1:15" ht="15" customHeight="1">
      <c r="A642" s="68">
        <v>46227</v>
      </c>
      <c r="B642" s="25">
        <f t="shared" si="143"/>
        <v>1.083333333333333</v>
      </c>
      <c r="C642" s="26" t="s">
        <v>21</v>
      </c>
      <c r="D642" s="59" t="s">
        <v>30</v>
      </c>
      <c r="E642" s="59" t="s">
        <v>261</v>
      </c>
      <c r="F642" s="27">
        <v>0</v>
      </c>
      <c r="G642" s="28">
        <f t="shared" si="141"/>
        <v>0</v>
      </c>
      <c r="H642" s="26"/>
      <c r="I642" s="26"/>
      <c r="J642" s="26"/>
      <c r="K642" s="29"/>
      <c r="L642" s="29"/>
      <c r="M642" s="30" t="str">
        <f t="shared" ca="1" si="142"/>
        <v/>
      </c>
      <c r="N642" s="46"/>
      <c r="O642" s="47"/>
    </row>
    <row r="643" spans="1:15" ht="15" customHeight="1">
      <c r="A643" s="69">
        <v>46227</v>
      </c>
      <c r="B643" s="32">
        <f t="shared" si="143"/>
        <v>1.1249999999999998</v>
      </c>
      <c r="C643" s="26" t="s">
        <v>21</v>
      </c>
      <c r="D643" s="59" t="s">
        <v>30</v>
      </c>
      <c r="E643" s="59" t="s">
        <v>261</v>
      </c>
      <c r="F643" s="27">
        <v>22</v>
      </c>
      <c r="G643" s="34">
        <f t="shared" si="141"/>
        <v>92.4</v>
      </c>
      <c r="H643" s="33"/>
      <c r="I643" s="33"/>
      <c r="J643" s="33"/>
      <c r="K643" s="29"/>
      <c r="L643" s="29"/>
      <c r="M643" s="35" t="str">
        <f t="shared" ca="1" si="142"/>
        <v/>
      </c>
      <c r="N643" s="46"/>
      <c r="O643" s="47"/>
    </row>
    <row r="644" spans="1:15" ht="15" customHeight="1">
      <c r="A644" s="68">
        <v>46227</v>
      </c>
      <c r="B644" s="25">
        <f t="shared" si="143"/>
        <v>1.1666666666666665</v>
      </c>
      <c r="C644" s="26" t="s">
        <v>21</v>
      </c>
      <c r="D644" s="59" t="s">
        <v>30</v>
      </c>
      <c r="E644" s="59" t="s">
        <v>261</v>
      </c>
      <c r="F644" s="27">
        <v>15</v>
      </c>
      <c r="G644" s="28">
        <f t="shared" si="141"/>
        <v>63</v>
      </c>
      <c r="H644" s="26"/>
      <c r="I644" s="26"/>
      <c r="J644" s="26"/>
      <c r="K644" s="29"/>
      <c r="L644" s="29"/>
      <c r="M644" s="30" t="str">
        <f t="shared" ca="1" si="142"/>
        <v/>
      </c>
      <c r="N644" s="46"/>
      <c r="O644" s="47"/>
    </row>
    <row r="645" spans="1:15" ht="15" customHeight="1">
      <c r="A645" s="69">
        <v>46227</v>
      </c>
      <c r="B645" s="32">
        <f t="shared" si="143"/>
        <v>1.2083333333333333</v>
      </c>
      <c r="C645" s="26" t="s">
        <v>21</v>
      </c>
      <c r="D645" s="59" t="s">
        <v>30</v>
      </c>
      <c r="E645" s="59" t="s">
        <v>261</v>
      </c>
      <c r="F645" s="27">
        <v>20</v>
      </c>
      <c r="G645" s="34">
        <f t="shared" si="141"/>
        <v>84</v>
      </c>
      <c r="H645" s="33"/>
      <c r="I645" s="33"/>
      <c r="J645" s="33"/>
      <c r="K645" s="29"/>
      <c r="L645" s="29"/>
      <c r="M645" s="35" t="str">
        <f t="shared" ca="1" si="142"/>
        <v/>
      </c>
      <c r="N645" s="46"/>
      <c r="O645" s="47"/>
    </row>
    <row r="646" spans="1:15" ht="15" customHeight="1">
      <c r="A646" s="68">
        <v>46227</v>
      </c>
      <c r="B646" s="25">
        <f t="shared" si="143"/>
        <v>1.25</v>
      </c>
      <c r="C646" s="26" t="s">
        <v>21</v>
      </c>
      <c r="D646" s="59" t="s">
        <v>30</v>
      </c>
      <c r="E646" s="59" t="s">
        <v>261</v>
      </c>
      <c r="F646" s="27">
        <v>17</v>
      </c>
      <c r="G646" s="28">
        <f t="shared" si="141"/>
        <v>71.400000000000006</v>
      </c>
      <c r="H646" s="26"/>
      <c r="I646" s="26"/>
      <c r="J646" s="26"/>
      <c r="K646" s="29"/>
      <c r="L646" s="29"/>
      <c r="M646" s="30" t="str">
        <f t="shared" ca="1" si="142"/>
        <v/>
      </c>
      <c r="N646" s="46"/>
      <c r="O646" s="47"/>
    </row>
    <row r="647" spans="1:15" ht="15" customHeight="1">
      <c r="A647" s="69">
        <v>46227</v>
      </c>
      <c r="B647" s="32">
        <f t="shared" si="143"/>
        <v>1.2916666666666667</v>
      </c>
      <c r="C647" s="26" t="s">
        <v>21</v>
      </c>
      <c r="D647" s="59" t="s">
        <v>30</v>
      </c>
      <c r="E647" s="59" t="s">
        <v>261</v>
      </c>
      <c r="F647" s="27">
        <v>12</v>
      </c>
      <c r="G647" s="34">
        <f t="shared" si="141"/>
        <v>50.400000000000006</v>
      </c>
      <c r="H647" s="33"/>
      <c r="I647" s="33"/>
      <c r="J647" s="33"/>
      <c r="K647" s="29"/>
      <c r="L647" s="29"/>
      <c r="M647" s="35" t="str">
        <f t="shared" ca="1" si="142"/>
        <v/>
      </c>
      <c r="N647" s="46"/>
      <c r="O647" s="47"/>
    </row>
    <row r="648" spans="1:15" ht="15.75" customHeight="1">
      <c r="A648" s="119" t="s">
        <v>238</v>
      </c>
      <c r="B648" s="120"/>
      <c r="C648" s="120"/>
      <c r="D648" s="120"/>
      <c r="E648" s="121">
        <f>SUM(E636:E647)</f>
        <v>0</v>
      </c>
      <c r="F648" s="36">
        <f>SUM(F636:F647)</f>
        <v>184</v>
      </c>
      <c r="G648" s="36">
        <f>SUM(G636:G647)</f>
        <v>772.8</v>
      </c>
      <c r="H648" s="37"/>
      <c r="I648" s="37"/>
      <c r="J648" s="37"/>
      <c r="K648" s="37"/>
      <c r="L648" s="37"/>
      <c r="M648" s="38">
        <f ca="1">IFERROR(SUM(M636:M647),"")</f>
        <v>9.3055555555555586E-2</v>
      </c>
      <c r="N648" s="36" t="s">
        <v>237</v>
      </c>
      <c r="O648" s="77">
        <v>757160</v>
      </c>
    </row>
    <row r="649" spans="1:15" ht="18" customHeight="1">
      <c r="A649" s="122" t="s">
        <v>239</v>
      </c>
      <c r="B649" s="123"/>
      <c r="C649" s="123"/>
      <c r="D649" s="123"/>
      <c r="E649" s="124">
        <f>E635+E648</f>
        <v>0</v>
      </c>
      <c r="F649" s="40">
        <f>F635+F648</f>
        <v>277</v>
      </c>
      <c r="G649" s="40">
        <f>G635+G648</f>
        <v>1163.3999999999999</v>
      </c>
      <c r="H649" s="41"/>
      <c r="I649" s="41"/>
      <c r="J649" s="41"/>
      <c r="K649" s="41"/>
      <c r="L649" s="41"/>
      <c r="M649" s="42">
        <f ca="1">IFERROR(M635+M648,"")</f>
        <v>1.1083333333333327</v>
      </c>
      <c r="N649" s="40" t="s">
        <v>240</v>
      </c>
      <c r="O649" s="83">
        <f>O635+O648</f>
        <v>1265250</v>
      </c>
    </row>
    <row r="650" spans="1:15" ht="15" customHeight="1">
      <c r="A650" s="68">
        <v>46228</v>
      </c>
      <c r="B650" s="25">
        <v>0.33333333333333298</v>
      </c>
      <c r="C650" s="26" t="s">
        <v>29</v>
      </c>
      <c r="D650" s="59" t="s">
        <v>30</v>
      </c>
      <c r="E650" s="59" t="s">
        <v>261</v>
      </c>
      <c r="F650" s="27">
        <v>8</v>
      </c>
      <c r="G650" s="28">
        <f t="shared" ref="G650:G661" si="144">IF(F650="","",IF(E650="PC 17",F650*4.2,IF(E650="PC 19",F650*5,"")))</f>
        <v>33.6</v>
      </c>
      <c r="H650" s="26" t="s">
        <v>20</v>
      </c>
      <c r="I650" s="26" t="s">
        <v>31</v>
      </c>
      <c r="J650" s="26" t="s">
        <v>56</v>
      </c>
      <c r="K650" s="29">
        <v>0.30277777777777776</v>
      </c>
      <c r="L650" s="29">
        <v>0.32847222222222222</v>
      </c>
      <c r="M650" s="30">
        <f t="shared" ref="M650:M661" ca="1" si="145">IFERROR(IF(K650="","",IF(L650="",MOD(NOW()-K650,1),IF(L650&gt;=K650,L650-K650,L650+1-K650))),"")</f>
        <v>2.5694444444444464E-2</v>
      </c>
      <c r="N650" s="46" t="s">
        <v>327</v>
      </c>
      <c r="O650" s="47"/>
    </row>
    <row r="651" spans="1:15" ht="15" customHeight="1">
      <c r="A651" s="69">
        <v>46228</v>
      </c>
      <c r="B651" s="32">
        <f t="shared" ref="B651:B661" si="146">B650+TIME(0,60,0)</f>
        <v>0.37499999999999967</v>
      </c>
      <c r="C651" s="26" t="s">
        <v>29</v>
      </c>
      <c r="D651" s="59" t="s">
        <v>30</v>
      </c>
      <c r="E651" s="59" t="s">
        <v>261</v>
      </c>
      <c r="F651" s="27">
        <v>8</v>
      </c>
      <c r="G651" s="34">
        <f t="shared" si="144"/>
        <v>33.6</v>
      </c>
      <c r="H651" s="33" t="s">
        <v>19</v>
      </c>
      <c r="I651" s="33" t="s">
        <v>39</v>
      </c>
      <c r="J651" s="33" t="s">
        <v>27</v>
      </c>
      <c r="K651" s="29">
        <v>0.30277777777777776</v>
      </c>
      <c r="L651" s="29">
        <v>0.32291666666666669</v>
      </c>
      <c r="M651" s="35">
        <f t="shared" ca="1" si="145"/>
        <v>2.0138888888888928E-2</v>
      </c>
      <c r="N651" s="46"/>
      <c r="O651" s="47"/>
    </row>
    <row r="652" spans="1:15" ht="15" customHeight="1">
      <c r="A652" s="68">
        <v>46228</v>
      </c>
      <c r="B652" s="25">
        <f t="shared" si="146"/>
        <v>0.41666666666666635</v>
      </c>
      <c r="C652" s="26" t="s">
        <v>29</v>
      </c>
      <c r="D652" s="59" t="s">
        <v>30</v>
      </c>
      <c r="E652" s="59" t="s">
        <v>261</v>
      </c>
      <c r="F652" s="27">
        <v>0</v>
      </c>
      <c r="G652" s="34">
        <f t="shared" si="144"/>
        <v>0</v>
      </c>
      <c r="H652" s="26" t="s">
        <v>18</v>
      </c>
      <c r="I652" s="26"/>
      <c r="J652" s="26" t="s">
        <v>128</v>
      </c>
      <c r="K652" s="29">
        <v>0.35902777777777778</v>
      </c>
      <c r="L652" s="29">
        <v>0.41875000000000001</v>
      </c>
      <c r="M652" s="30">
        <f t="shared" ca="1" si="145"/>
        <v>5.9722222222222232E-2</v>
      </c>
      <c r="N652" s="46" t="s">
        <v>328</v>
      </c>
      <c r="O652" s="47"/>
    </row>
    <row r="653" spans="1:15" ht="15" customHeight="1">
      <c r="A653" s="69">
        <v>46228</v>
      </c>
      <c r="B653" s="32">
        <f t="shared" si="146"/>
        <v>0.45833333333333304</v>
      </c>
      <c r="C653" s="26" t="s">
        <v>29</v>
      </c>
      <c r="D653" s="59" t="s">
        <v>30</v>
      </c>
      <c r="E653" s="59" t="s">
        <v>261</v>
      </c>
      <c r="F653" s="27">
        <v>10</v>
      </c>
      <c r="G653" s="34">
        <f t="shared" si="144"/>
        <v>42</v>
      </c>
      <c r="H653" s="33" t="s">
        <v>20</v>
      </c>
      <c r="I653" s="33" t="s">
        <v>39</v>
      </c>
      <c r="J653" s="33" t="s">
        <v>51</v>
      </c>
      <c r="K653" s="29">
        <v>0.4284722222222222</v>
      </c>
      <c r="L653" s="29">
        <v>0.44236111111111109</v>
      </c>
      <c r="M653" s="35">
        <f t="shared" ca="1" si="145"/>
        <v>1.3888888888888895E-2</v>
      </c>
      <c r="N653" s="46" t="s">
        <v>329</v>
      </c>
      <c r="O653" s="47"/>
    </row>
    <row r="654" spans="1:15" ht="15" customHeight="1">
      <c r="A654" s="68">
        <v>46228</v>
      </c>
      <c r="B654" s="25">
        <f t="shared" si="146"/>
        <v>0.49999999999999972</v>
      </c>
      <c r="C654" s="26" t="s">
        <v>29</v>
      </c>
      <c r="D654" s="59" t="s">
        <v>30</v>
      </c>
      <c r="E654" s="59" t="s">
        <v>234</v>
      </c>
      <c r="F654" s="27">
        <v>10</v>
      </c>
      <c r="G654" s="28">
        <f t="shared" si="144"/>
        <v>50</v>
      </c>
      <c r="H654" s="26" t="s">
        <v>20</v>
      </c>
      <c r="I654" s="26" t="s">
        <v>31</v>
      </c>
      <c r="J654" s="26" t="s">
        <v>56</v>
      </c>
      <c r="K654" s="29">
        <v>0.53749999999999998</v>
      </c>
      <c r="L654" s="29">
        <v>0.55069444444444449</v>
      </c>
      <c r="M654" s="30">
        <f t="shared" ca="1" si="145"/>
        <v>1.3194444444444509E-2</v>
      </c>
      <c r="N654" s="46" t="s">
        <v>330</v>
      </c>
      <c r="O654" s="47"/>
    </row>
    <row r="655" spans="1:15" ht="15" customHeight="1">
      <c r="A655" s="69">
        <v>46228</v>
      </c>
      <c r="B655" s="32">
        <f t="shared" si="146"/>
        <v>0.54166666666666641</v>
      </c>
      <c r="C655" s="26" t="s">
        <v>29</v>
      </c>
      <c r="D655" s="59" t="s">
        <v>30</v>
      </c>
      <c r="E655" s="59" t="s">
        <v>261</v>
      </c>
      <c r="F655" s="27">
        <v>18</v>
      </c>
      <c r="G655" s="34">
        <f t="shared" si="144"/>
        <v>75.600000000000009</v>
      </c>
      <c r="H655" s="33"/>
      <c r="I655" s="33"/>
      <c r="J655" s="33"/>
      <c r="K655" s="29">
        <v>0.73124999999999996</v>
      </c>
      <c r="L655" s="29">
        <v>0.79166666666666663</v>
      </c>
      <c r="M655" s="35">
        <f t="shared" ca="1" si="145"/>
        <v>6.0416666666666674E-2</v>
      </c>
      <c r="N655" s="46"/>
      <c r="O655" s="47"/>
    </row>
    <row r="656" spans="1:15" ht="15" customHeight="1">
      <c r="A656" s="68">
        <v>46228</v>
      </c>
      <c r="B656" s="25">
        <f t="shared" si="146"/>
        <v>0.58333333333333304</v>
      </c>
      <c r="C656" s="26" t="s">
        <v>29</v>
      </c>
      <c r="D656" s="59" t="s">
        <v>30</v>
      </c>
      <c r="E656" s="59" t="s">
        <v>261</v>
      </c>
      <c r="F656" s="27">
        <v>18</v>
      </c>
      <c r="G656" s="28">
        <f t="shared" si="144"/>
        <v>75.600000000000009</v>
      </c>
      <c r="H656" s="26"/>
      <c r="I656" s="26"/>
      <c r="J656" s="26"/>
      <c r="K656" s="29"/>
      <c r="L656" s="29"/>
      <c r="M656" s="30" t="str">
        <f t="shared" ca="1" si="145"/>
        <v/>
      </c>
      <c r="N656" s="46"/>
      <c r="O656" s="47"/>
    </row>
    <row r="657" spans="1:15" ht="15" customHeight="1">
      <c r="A657" s="69">
        <v>46228</v>
      </c>
      <c r="B657" s="32">
        <f t="shared" si="146"/>
        <v>0.62499999999999967</v>
      </c>
      <c r="C657" s="26" t="s">
        <v>29</v>
      </c>
      <c r="D657" s="59" t="s">
        <v>30</v>
      </c>
      <c r="E657" s="59" t="s">
        <v>261</v>
      </c>
      <c r="F657" s="27">
        <v>9</v>
      </c>
      <c r="G657" s="34">
        <f t="shared" si="144"/>
        <v>37.800000000000004</v>
      </c>
      <c r="H657" s="33"/>
      <c r="I657" s="33"/>
      <c r="J657" s="33"/>
      <c r="K657" s="29"/>
      <c r="L657" s="29"/>
      <c r="M657" s="35" t="str">
        <f t="shared" ca="1" si="145"/>
        <v/>
      </c>
      <c r="N657" s="46"/>
      <c r="O657" s="47"/>
    </row>
    <row r="658" spans="1:15" ht="15" customHeight="1">
      <c r="A658" s="68">
        <v>46228</v>
      </c>
      <c r="B658" s="25">
        <f t="shared" si="146"/>
        <v>0.6666666666666663</v>
      </c>
      <c r="C658" s="26" t="s">
        <v>29</v>
      </c>
      <c r="D658" s="59" t="s">
        <v>30</v>
      </c>
      <c r="E658" s="59" t="s">
        <v>261</v>
      </c>
      <c r="F658" s="27">
        <v>17</v>
      </c>
      <c r="G658" s="28">
        <f t="shared" si="144"/>
        <v>71.400000000000006</v>
      </c>
      <c r="H658" s="26"/>
      <c r="I658" s="26"/>
      <c r="J658" s="26"/>
      <c r="K658" s="29"/>
      <c r="L658" s="29"/>
      <c r="M658" s="30" t="str">
        <f t="shared" ca="1" si="145"/>
        <v/>
      </c>
      <c r="N658" s="46"/>
      <c r="O658" s="47"/>
    </row>
    <row r="659" spans="1:15" ht="15" customHeight="1">
      <c r="A659" s="69">
        <v>46228</v>
      </c>
      <c r="B659" s="32">
        <f t="shared" si="146"/>
        <v>0.70833333333333293</v>
      </c>
      <c r="C659" s="26" t="s">
        <v>29</v>
      </c>
      <c r="D659" s="59" t="s">
        <v>30</v>
      </c>
      <c r="E659" s="59" t="s">
        <v>261</v>
      </c>
      <c r="F659" s="27">
        <v>14</v>
      </c>
      <c r="G659" s="34">
        <f t="shared" si="144"/>
        <v>58.800000000000004</v>
      </c>
      <c r="H659" s="33"/>
      <c r="I659" s="33"/>
      <c r="J659" s="33"/>
      <c r="K659" s="29"/>
      <c r="L659" s="29"/>
      <c r="M659" s="35" t="str">
        <f t="shared" ca="1" si="145"/>
        <v/>
      </c>
      <c r="N659" s="46"/>
      <c r="O659" s="47"/>
    </row>
    <row r="660" spans="1:15" ht="15" customHeight="1">
      <c r="A660" s="68">
        <v>46228</v>
      </c>
      <c r="B660" s="25">
        <f t="shared" si="146"/>
        <v>0.74999999999999956</v>
      </c>
      <c r="C660" s="26" t="s">
        <v>29</v>
      </c>
      <c r="D660" s="59" t="s">
        <v>30</v>
      </c>
      <c r="E660" s="59" t="s">
        <v>261</v>
      </c>
      <c r="F660" s="27">
        <v>13</v>
      </c>
      <c r="G660" s="28">
        <f t="shared" si="144"/>
        <v>54.6</v>
      </c>
      <c r="H660" s="26"/>
      <c r="I660" s="26"/>
      <c r="J660" s="26"/>
      <c r="K660" s="29"/>
      <c r="L660" s="29"/>
      <c r="M660" s="30" t="str">
        <f t="shared" ca="1" si="145"/>
        <v/>
      </c>
      <c r="N660" s="46"/>
      <c r="O660" s="47"/>
    </row>
    <row r="661" spans="1:15" ht="15" customHeight="1">
      <c r="A661" s="69">
        <v>46228</v>
      </c>
      <c r="B661" s="32">
        <f t="shared" si="146"/>
        <v>0.79166666666666619</v>
      </c>
      <c r="C661" s="26" t="s">
        <v>29</v>
      </c>
      <c r="D661" s="59" t="s">
        <v>30</v>
      </c>
      <c r="E661" s="59" t="s">
        <v>261</v>
      </c>
      <c r="F661" s="27">
        <v>0</v>
      </c>
      <c r="G661" s="34">
        <f t="shared" si="144"/>
        <v>0</v>
      </c>
      <c r="H661" s="33"/>
      <c r="I661" s="33"/>
      <c r="J661" s="33"/>
      <c r="K661" s="29"/>
      <c r="L661" s="29"/>
      <c r="M661" s="35" t="str">
        <f t="shared" ca="1" si="145"/>
        <v/>
      </c>
      <c r="N661" s="46"/>
      <c r="O661" s="47"/>
    </row>
    <row r="662" spans="1:15" ht="15.75" customHeight="1">
      <c r="A662" s="119" t="s">
        <v>236</v>
      </c>
      <c r="B662" s="120"/>
      <c r="C662" s="120"/>
      <c r="D662" s="120"/>
      <c r="E662" s="121">
        <f>SUM(E650:E661)</f>
        <v>0</v>
      </c>
      <c r="F662" s="36">
        <f>SUM(F650:F661)</f>
        <v>125</v>
      </c>
      <c r="G662" s="36">
        <f>SUM(G650:G661)</f>
        <v>533</v>
      </c>
      <c r="H662" s="37"/>
      <c r="I662" s="37"/>
      <c r="J662" s="37"/>
      <c r="K662" s="37"/>
      <c r="L662" s="37"/>
      <c r="M662" s="38">
        <f ca="1">IFERROR(SUM(M650:M661),"")</f>
        <v>0.1930555555555557</v>
      </c>
      <c r="N662" s="36" t="s">
        <v>237</v>
      </c>
      <c r="O662" s="77">
        <v>595370</v>
      </c>
    </row>
    <row r="663" spans="1:15" ht="15" customHeight="1">
      <c r="A663" s="69">
        <v>46228</v>
      </c>
      <c r="B663" s="32">
        <v>0.83333333333333304</v>
      </c>
      <c r="C663" s="33" t="s">
        <v>21</v>
      </c>
      <c r="D663" s="62" t="s">
        <v>30</v>
      </c>
      <c r="E663" s="62" t="s">
        <v>261</v>
      </c>
      <c r="F663" s="27">
        <v>19</v>
      </c>
      <c r="G663" s="34">
        <f t="shared" ref="G663:G674" si="147">IF(F663="","",IF(E663="PC 17",F663*4.2,IF(E663="PC 19",F663*5,"")))</f>
        <v>79.8</v>
      </c>
      <c r="H663" s="33" t="s">
        <v>19</v>
      </c>
      <c r="I663" s="33" t="s">
        <v>157</v>
      </c>
      <c r="J663" s="33" t="s">
        <v>27</v>
      </c>
      <c r="K663" s="29">
        <v>0.81944444444444442</v>
      </c>
      <c r="L663" s="29">
        <v>0.8354166666666667</v>
      </c>
      <c r="M663" s="35">
        <f t="shared" ref="M663:M674" ca="1" si="148">IFERROR(IF(K663="","",IF(L663="",MOD(NOW()-K663,1),IF(L663&gt;=K663,L663-K663,L663+1-K663))),"")</f>
        <v>1.5972222222222276E-2</v>
      </c>
      <c r="N663" s="46"/>
      <c r="O663" s="47"/>
    </row>
    <row r="664" spans="1:15" ht="15" customHeight="1">
      <c r="A664" s="68">
        <v>46228</v>
      </c>
      <c r="B664" s="25">
        <f t="shared" ref="B664:B674" si="149">B663+TIME(0,60,0)</f>
        <v>0.87499999999999967</v>
      </c>
      <c r="C664" s="33" t="s">
        <v>21</v>
      </c>
      <c r="D664" s="62" t="s">
        <v>30</v>
      </c>
      <c r="E664" s="62" t="s">
        <v>261</v>
      </c>
      <c r="F664" s="27">
        <v>11</v>
      </c>
      <c r="G664" s="28">
        <f t="shared" si="147"/>
        <v>46.2</v>
      </c>
      <c r="H664" s="26" t="s">
        <v>20</v>
      </c>
      <c r="I664" s="26" t="s">
        <v>39</v>
      </c>
      <c r="J664" s="26" t="s">
        <v>51</v>
      </c>
      <c r="K664" s="29">
        <v>0.85763888888888884</v>
      </c>
      <c r="L664" s="29">
        <v>0.86458333333333337</v>
      </c>
      <c r="M664" s="30">
        <f t="shared" ca="1" si="148"/>
        <v>6.9444444444445308E-3</v>
      </c>
      <c r="N664" s="46"/>
      <c r="O664" s="47"/>
    </row>
    <row r="665" spans="1:15" ht="15" customHeight="1">
      <c r="A665" s="69">
        <v>46228</v>
      </c>
      <c r="B665" s="32">
        <f t="shared" si="149"/>
        <v>0.9166666666666663</v>
      </c>
      <c r="C665" s="33" t="s">
        <v>21</v>
      </c>
      <c r="D665" s="62" t="s">
        <v>30</v>
      </c>
      <c r="E665" s="62" t="s">
        <v>261</v>
      </c>
      <c r="F665" s="27">
        <v>10</v>
      </c>
      <c r="G665" s="34">
        <f t="shared" si="147"/>
        <v>42</v>
      </c>
      <c r="H665" s="33" t="s">
        <v>18</v>
      </c>
      <c r="I665" s="33" t="s">
        <v>39</v>
      </c>
      <c r="J665" s="33" t="s">
        <v>122</v>
      </c>
      <c r="K665" s="29">
        <v>0.90069444444444446</v>
      </c>
      <c r="L665" s="29">
        <v>0.91319444444444442</v>
      </c>
      <c r="M665" s="35">
        <f t="shared" ca="1" si="148"/>
        <v>1.2499999999999956E-2</v>
      </c>
      <c r="N665" s="46"/>
      <c r="O665" s="47"/>
    </row>
    <row r="666" spans="1:15" ht="15" customHeight="1">
      <c r="A666" s="68">
        <v>46228</v>
      </c>
      <c r="B666" s="25">
        <f t="shared" si="149"/>
        <v>0.95833333333333293</v>
      </c>
      <c r="C666" s="33" t="s">
        <v>21</v>
      </c>
      <c r="D666" s="62" t="s">
        <v>30</v>
      </c>
      <c r="E666" s="62" t="s">
        <v>261</v>
      </c>
      <c r="F666" s="27">
        <v>25</v>
      </c>
      <c r="G666" s="28">
        <f t="shared" si="147"/>
        <v>105</v>
      </c>
      <c r="H666" s="26" t="s">
        <v>20</v>
      </c>
      <c r="I666" s="26" t="s">
        <v>121</v>
      </c>
      <c r="J666" s="26" t="s">
        <v>113</v>
      </c>
      <c r="K666" s="29">
        <v>0.96527777777777779</v>
      </c>
      <c r="L666" s="29">
        <v>0.99305555555555558</v>
      </c>
      <c r="M666" s="30">
        <f t="shared" ca="1" si="148"/>
        <v>2.777777777777779E-2</v>
      </c>
      <c r="N666" s="46"/>
      <c r="O666" s="47"/>
    </row>
    <row r="667" spans="1:15" ht="15" customHeight="1">
      <c r="A667" s="69">
        <v>46228</v>
      </c>
      <c r="B667" s="32">
        <f t="shared" si="149"/>
        <v>0.99999999999999956</v>
      </c>
      <c r="C667" s="33" t="s">
        <v>21</v>
      </c>
      <c r="D667" s="62" t="s">
        <v>30</v>
      </c>
      <c r="E667" s="62" t="s">
        <v>261</v>
      </c>
      <c r="F667" s="27">
        <v>8</v>
      </c>
      <c r="G667" s="34">
        <f t="shared" si="147"/>
        <v>33.6</v>
      </c>
      <c r="H667" s="33" t="s">
        <v>20</v>
      </c>
      <c r="I667" s="33" t="s">
        <v>31</v>
      </c>
      <c r="J667" s="33" t="s">
        <v>62</v>
      </c>
      <c r="K667" s="29">
        <v>9.0277777777777776E-2</v>
      </c>
      <c r="L667" s="29">
        <v>0.1388888888888889</v>
      </c>
      <c r="M667" s="35">
        <f t="shared" ca="1" si="148"/>
        <v>4.8611111111111119E-2</v>
      </c>
      <c r="N667" s="46"/>
      <c r="O667" s="47"/>
    </row>
    <row r="668" spans="1:15" ht="15" customHeight="1">
      <c r="A668" s="68">
        <v>46228</v>
      </c>
      <c r="B668" s="25">
        <f t="shared" si="149"/>
        <v>1.0416666666666663</v>
      </c>
      <c r="C668" s="33" t="s">
        <v>21</v>
      </c>
      <c r="D668" s="62" t="s">
        <v>30</v>
      </c>
      <c r="E668" s="62" t="s">
        <v>261</v>
      </c>
      <c r="F668" s="27">
        <v>20</v>
      </c>
      <c r="G668" s="28">
        <f t="shared" si="147"/>
        <v>84</v>
      </c>
      <c r="H668" s="26"/>
      <c r="I668" s="26"/>
      <c r="J668" s="26"/>
      <c r="K668" s="29"/>
      <c r="L668" s="29"/>
      <c r="M668" s="30" t="str">
        <f t="shared" ca="1" si="148"/>
        <v/>
      </c>
      <c r="N668" s="46"/>
      <c r="O668" s="47"/>
    </row>
    <row r="669" spans="1:15" ht="15" customHeight="1">
      <c r="A669" s="69">
        <v>46228</v>
      </c>
      <c r="B669" s="32">
        <f t="shared" si="149"/>
        <v>1.083333333333333</v>
      </c>
      <c r="C669" s="33" t="s">
        <v>21</v>
      </c>
      <c r="D669" s="62" t="s">
        <v>30</v>
      </c>
      <c r="E669" s="62" t="s">
        <v>261</v>
      </c>
      <c r="F669" s="27">
        <v>11</v>
      </c>
      <c r="G669" s="34">
        <f t="shared" si="147"/>
        <v>46.2</v>
      </c>
      <c r="H669" s="33"/>
      <c r="I669" s="33"/>
      <c r="J669" s="33"/>
      <c r="K669" s="29"/>
      <c r="L669" s="29"/>
      <c r="M669" s="35" t="str">
        <f t="shared" ca="1" si="148"/>
        <v/>
      </c>
      <c r="N669" s="46"/>
      <c r="O669" s="47"/>
    </row>
    <row r="670" spans="1:15" ht="15" customHeight="1">
      <c r="A670" s="68">
        <v>46228</v>
      </c>
      <c r="B670" s="25">
        <f t="shared" si="149"/>
        <v>1.1249999999999998</v>
      </c>
      <c r="C670" s="33" t="s">
        <v>21</v>
      </c>
      <c r="D670" s="62" t="s">
        <v>30</v>
      </c>
      <c r="E670" s="62" t="s">
        <v>261</v>
      </c>
      <c r="F670" s="27">
        <v>8</v>
      </c>
      <c r="G670" s="28">
        <f t="shared" si="147"/>
        <v>33.6</v>
      </c>
      <c r="H670" s="26"/>
      <c r="I670" s="26"/>
      <c r="J670" s="26"/>
      <c r="K670" s="29"/>
      <c r="L670" s="29"/>
      <c r="M670" s="30" t="str">
        <f t="shared" ca="1" si="148"/>
        <v/>
      </c>
      <c r="N670" s="46"/>
      <c r="O670" s="47"/>
    </row>
    <row r="671" spans="1:15" ht="15" customHeight="1">
      <c r="A671" s="69">
        <v>46228</v>
      </c>
      <c r="B671" s="32">
        <f t="shared" si="149"/>
        <v>1.1666666666666665</v>
      </c>
      <c r="C671" s="33" t="s">
        <v>21</v>
      </c>
      <c r="D671" s="62" t="s">
        <v>30</v>
      </c>
      <c r="E671" s="62" t="s">
        <v>261</v>
      </c>
      <c r="F671" s="27">
        <v>14</v>
      </c>
      <c r="G671" s="34">
        <f t="shared" si="147"/>
        <v>58.800000000000004</v>
      </c>
      <c r="H671" s="33"/>
      <c r="I671" s="33"/>
      <c r="J671" s="33"/>
      <c r="K671" s="29"/>
      <c r="L671" s="29"/>
      <c r="M671" s="35" t="str">
        <f t="shared" ca="1" si="148"/>
        <v/>
      </c>
      <c r="N671" s="46"/>
      <c r="O671" s="47"/>
    </row>
    <row r="672" spans="1:15" ht="15" customHeight="1">
      <c r="A672" s="68">
        <v>46228</v>
      </c>
      <c r="B672" s="25">
        <f t="shared" si="149"/>
        <v>1.2083333333333333</v>
      </c>
      <c r="C672" s="33" t="s">
        <v>21</v>
      </c>
      <c r="D672" s="62" t="s">
        <v>30</v>
      </c>
      <c r="E672" s="62" t="s">
        <v>261</v>
      </c>
      <c r="F672" s="27">
        <v>10</v>
      </c>
      <c r="G672" s="28">
        <f t="shared" si="147"/>
        <v>42</v>
      </c>
      <c r="H672" s="26"/>
      <c r="I672" s="26"/>
      <c r="J672" s="26"/>
      <c r="K672" s="29"/>
      <c r="L672" s="29"/>
      <c r="M672" s="30" t="str">
        <f t="shared" ca="1" si="148"/>
        <v/>
      </c>
      <c r="N672" s="46"/>
      <c r="O672" s="47"/>
    </row>
    <row r="673" spans="1:15" ht="15" customHeight="1">
      <c r="A673" s="69">
        <v>46228</v>
      </c>
      <c r="B673" s="32">
        <f t="shared" si="149"/>
        <v>1.25</v>
      </c>
      <c r="C673" s="33" t="s">
        <v>21</v>
      </c>
      <c r="D673" s="62" t="s">
        <v>30</v>
      </c>
      <c r="E673" s="62" t="s">
        <v>261</v>
      </c>
      <c r="F673" s="27">
        <v>20</v>
      </c>
      <c r="G673" s="34">
        <f t="shared" si="147"/>
        <v>84</v>
      </c>
      <c r="H673" s="33"/>
      <c r="I673" s="33"/>
      <c r="J673" s="33"/>
      <c r="K673" s="29"/>
      <c r="L673" s="29"/>
      <c r="M673" s="35" t="str">
        <f t="shared" ca="1" si="148"/>
        <v/>
      </c>
      <c r="N673" s="46"/>
      <c r="O673" s="47"/>
    </row>
    <row r="674" spans="1:15" ht="15" customHeight="1">
      <c r="A674" s="68">
        <v>46228</v>
      </c>
      <c r="B674" s="25">
        <f t="shared" si="149"/>
        <v>1.2916666666666667</v>
      </c>
      <c r="C674" s="33" t="s">
        <v>21</v>
      </c>
      <c r="D674" s="62" t="s">
        <v>30</v>
      </c>
      <c r="E674" s="62" t="s">
        <v>261</v>
      </c>
      <c r="F674" s="27">
        <v>5</v>
      </c>
      <c r="G674" s="28">
        <f t="shared" si="147"/>
        <v>21</v>
      </c>
      <c r="H674" s="26"/>
      <c r="I674" s="26"/>
      <c r="J674" s="26"/>
      <c r="K674" s="29"/>
      <c r="L674" s="29"/>
      <c r="M674" s="30" t="str">
        <f t="shared" ca="1" si="148"/>
        <v/>
      </c>
      <c r="N674" s="46"/>
      <c r="O674" s="47"/>
    </row>
    <row r="675" spans="1:15" ht="15.75" customHeight="1">
      <c r="A675" s="119" t="s">
        <v>238</v>
      </c>
      <c r="B675" s="120"/>
      <c r="C675" s="120"/>
      <c r="D675" s="120"/>
      <c r="E675" s="121">
        <f>SUM(E663:E674)</f>
        <v>0</v>
      </c>
      <c r="F675" s="36">
        <f>SUM(F663:F674)</f>
        <v>161</v>
      </c>
      <c r="G675" s="36">
        <f>SUM(G663:G674)</f>
        <v>676.2</v>
      </c>
      <c r="H675" s="37"/>
      <c r="I675" s="37"/>
      <c r="J675" s="37"/>
      <c r="K675" s="37"/>
      <c r="L675" s="37"/>
      <c r="M675" s="38">
        <f ca="1">IFERROR(SUM(M663:M674),"")</f>
        <v>0.11180555555555567</v>
      </c>
      <c r="N675" s="36" t="s">
        <v>237</v>
      </c>
      <c r="O675" s="77">
        <v>681950</v>
      </c>
    </row>
    <row r="676" spans="1:15" ht="18" customHeight="1">
      <c r="A676" s="122" t="s">
        <v>239</v>
      </c>
      <c r="B676" s="123"/>
      <c r="C676" s="123"/>
      <c r="D676" s="123"/>
      <c r="E676" s="124">
        <f>E662+E675</f>
        <v>0</v>
      </c>
      <c r="F676" s="40">
        <f>F662+F675</f>
        <v>286</v>
      </c>
      <c r="G676" s="40">
        <f>G662+G675</f>
        <v>1209.2</v>
      </c>
      <c r="H676" s="41"/>
      <c r="I676" s="41"/>
      <c r="J676" s="41"/>
      <c r="K676" s="41"/>
      <c r="L676" s="41"/>
      <c r="M676" s="42">
        <f ca="1">IFERROR(M662+M675,"")</f>
        <v>0.30486111111111136</v>
      </c>
      <c r="N676" s="40" t="s">
        <v>240</v>
      </c>
      <c r="O676" s="83">
        <f>IFERROR(O662+O675,"")</f>
        <v>1277320</v>
      </c>
    </row>
    <row r="677" spans="1:15" ht="15" customHeight="1">
      <c r="A677" s="69">
        <v>46229</v>
      </c>
      <c r="B677" s="32">
        <v>0.33333333333333298</v>
      </c>
      <c r="C677" s="33" t="s">
        <v>29</v>
      </c>
      <c r="D677" s="62" t="s">
        <v>30</v>
      </c>
      <c r="E677" s="62" t="s">
        <v>261</v>
      </c>
      <c r="F677" s="27">
        <v>18</v>
      </c>
      <c r="G677" s="34">
        <f t="shared" ref="G677:G688" si="150">IF(F677="","",IF(E677="PC 17",F677*4.2,IF(E677="PC 19",F677*5,"")))</f>
        <v>75.600000000000009</v>
      </c>
      <c r="H677" s="33" t="s">
        <v>18</v>
      </c>
      <c r="I677" s="33" t="s">
        <v>136</v>
      </c>
      <c r="J677" s="33" t="s">
        <v>209</v>
      </c>
      <c r="K677" s="29">
        <v>0.31319444444444444</v>
      </c>
      <c r="L677" s="29">
        <v>0.34930555555555554</v>
      </c>
      <c r="M677" s="35">
        <f t="shared" ref="M677:M688" ca="1" si="151">IFERROR(IF(K677="","",IF(L677="",MOD(NOW()-K677,1),IF(L677&gt;=K677,L677-K677,L677+1-K677))),"")</f>
        <v>3.6111111111111094E-2</v>
      </c>
      <c r="N677" s="46"/>
      <c r="O677" s="47"/>
    </row>
    <row r="678" spans="1:15" ht="15" customHeight="1">
      <c r="A678" s="68">
        <v>46229</v>
      </c>
      <c r="B678" s="25">
        <f t="shared" ref="B678:B688" si="152">B677+TIME(0,60,0)</f>
        <v>0.37499999999999967</v>
      </c>
      <c r="C678" s="33" t="s">
        <v>29</v>
      </c>
      <c r="D678" s="62" t="s">
        <v>30</v>
      </c>
      <c r="E678" s="62" t="s">
        <v>261</v>
      </c>
      <c r="F678" s="27">
        <v>2</v>
      </c>
      <c r="G678" s="28">
        <f t="shared" si="150"/>
        <v>8.4</v>
      </c>
      <c r="H678" s="26" t="s">
        <v>19</v>
      </c>
      <c r="I678" s="26" t="s">
        <v>157</v>
      </c>
      <c r="J678" s="26" t="s">
        <v>27</v>
      </c>
      <c r="K678" s="29">
        <v>0.34930555555555554</v>
      </c>
      <c r="L678" s="29">
        <v>0.35972222222222222</v>
      </c>
      <c r="M678" s="35">
        <f t="shared" ca="1" si="151"/>
        <v>1.0416666666666685E-2</v>
      </c>
      <c r="N678" s="46" t="s">
        <v>331</v>
      </c>
      <c r="O678" s="47"/>
    </row>
    <row r="679" spans="1:15" ht="15" customHeight="1">
      <c r="A679" s="69">
        <v>46229</v>
      </c>
      <c r="B679" s="32">
        <f t="shared" si="152"/>
        <v>0.41666666666666635</v>
      </c>
      <c r="C679" s="33" t="s">
        <v>29</v>
      </c>
      <c r="D679" s="62" t="s">
        <v>30</v>
      </c>
      <c r="E679" s="62" t="s">
        <v>261</v>
      </c>
      <c r="F679" s="27">
        <v>18</v>
      </c>
      <c r="G679" s="34">
        <f t="shared" si="150"/>
        <v>75.600000000000009</v>
      </c>
      <c r="H679" s="33" t="s">
        <v>19</v>
      </c>
      <c r="I679" s="33" t="s">
        <v>136</v>
      </c>
      <c r="J679" s="33" t="s">
        <v>61</v>
      </c>
      <c r="K679" s="29">
        <v>0.37152777777777779</v>
      </c>
      <c r="L679" s="29">
        <v>0.42083333333333334</v>
      </c>
      <c r="M679" s="35">
        <f t="shared" ca="1" si="151"/>
        <v>4.9305555555555547E-2</v>
      </c>
      <c r="N679" s="46"/>
      <c r="O679" s="47"/>
    </row>
    <row r="680" spans="1:15" ht="15" customHeight="1">
      <c r="A680" s="68">
        <v>46229</v>
      </c>
      <c r="B680" s="25">
        <f t="shared" si="152"/>
        <v>0.45833333333333304</v>
      </c>
      <c r="C680" s="33" t="s">
        <v>29</v>
      </c>
      <c r="D680" s="62" t="s">
        <v>30</v>
      </c>
      <c r="E680" s="99" t="s">
        <v>261</v>
      </c>
      <c r="F680" s="100"/>
      <c r="G680" s="101"/>
      <c r="H680" s="81"/>
      <c r="I680" s="81"/>
      <c r="J680" s="26"/>
      <c r="K680" s="29"/>
      <c r="L680" s="29"/>
      <c r="M680" s="35" t="str">
        <f t="shared" ca="1" si="151"/>
        <v/>
      </c>
      <c r="N680" s="46"/>
      <c r="O680" s="47"/>
    </row>
    <row r="681" spans="1:15" ht="15" customHeight="1">
      <c r="A681" s="69">
        <v>46229</v>
      </c>
      <c r="B681" s="32">
        <f t="shared" si="152"/>
        <v>0.49999999999999972</v>
      </c>
      <c r="C681" s="33" t="s">
        <v>29</v>
      </c>
      <c r="D681" s="62" t="s">
        <v>30</v>
      </c>
      <c r="E681" s="62" t="s">
        <v>261</v>
      </c>
      <c r="F681" s="27">
        <v>23</v>
      </c>
      <c r="G681" s="34">
        <f t="shared" si="150"/>
        <v>96.600000000000009</v>
      </c>
      <c r="H681" s="33" t="s">
        <v>20</v>
      </c>
      <c r="I681" s="33" t="s">
        <v>157</v>
      </c>
      <c r="J681" s="33" t="s">
        <v>28</v>
      </c>
      <c r="K681" s="29">
        <v>0.57638888888888884</v>
      </c>
      <c r="L681" s="29">
        <v>0.58750000000000002</v>
      </c>
      <c r="M681" s="35">
        <f t="shared" ca="1" si="151"/>
        <v>1.1111111111111183E-2</v>
      </c>
      <c r="N681" s="46"/>
      <c r="O681" s="47"/>
    </row>
    <row r="682" spans="1:15" ht="15" customHeight="1">
      <c r="A682" s="68">
        <v>46229</v>
      </c>
      <c r="B682" s="25">
        <f t="shared" si="152"/>
        <v>0.54166666666666641</v>
      </c>
      <c r="C682" s="33" t="s">
        <v>29</v>
      </c>
      <c r="D682" s="62" t="s">
        <v>30</v>
      </c>
      <c r="E682" s="62" t="s">
        <v>261</v>
      </c>
      <c r="F682" s="27">
        <v>13</v>
      </c>
      <c r="G682" s="28">
        <f t="shared" si="150"/>
        <v>54.6</v>
      </c>
      <c r="H682" s="26" t="s">
        <v>20</v>
      </c>
      <c r="I682" s="26" t="s">
        <v>31</v>
      </c>
      <c r="J682" s="26" t="s">
        <v>56</v>
      </c>
      <c r="K682" s="29" t="s">
        <v>332</v>
      </c>
      <c r="L682" s="29">
        <v>0.64513888888888893</v>
      </c>
      <c r="M682" s="35">
        <v>10</v>
      </c>
      <c r="N682" s="46"/>
      <c r="O682" s="47"/>
    </row>
    <row r="683" spans="1:15" ht="15" customHeight="1">
      <c r="A683" s="69">
        <v>46229</v>
      </c>
      <c r="B683" s="32">
        <f t="shared" si="152"/>
        <v>0.58333333333333304</v>
      </c>
      <c r="C683" s="33" t="s">
        <v>29</v>
      </c>
      <c r="D683" s="62" t="s">
        <v>30</v>
      </c>
      <c r="E683" s="62" t="s">
        <v>261</v>
      </c>
      <c r="F683" s="27">
        <v>11</v>
      </c>
      <c r="G683" s="34">
        <f t="shared" si="150"/>
        <v>46.2</v>
      </c>
      <c r="H683" s="33" t="s">
        <v>20</v>
      </c>
      <c r="I683" s="33" t="s">
        <v>157</v>
      </c>
      <c r="J683" s="33" t="s">
        <v>28</v>
      </c>
      <c r="K683" s="29">
        <v>0.67569444444444449</v>
      </c>
      <c r="L683" s="29">
        <v>0.6875</v>
      </c>
      <c r="M683" s="35">
        <f t="shared" ca="1" si="151"/>
        <v>1.1805555555555514E-2</v>
      </c>
      <c r="N683" s="46"/>
      <c r="O683" s="47"/>
    </row>
    <row r="684" spans="1:15" ht="15" customHeight="1">
      <c r="A684" s="68">
        <v>46229</v>
      </c>
      <c r="B684" s="25">
        <f t="shared" si="152"/>
        <v>0.62499999999999967</v>
      </c>
      <c r="C684" s="33" t="s">
        <v>29</v>
      </c>
      <c r="D684" s="62" t="s">
        <v>30</v>
      </c>
      <c r="E684" s="62" t="s">
        <v>261</v>
      </c>
      <c r="F684" s="27">
        <v>10</v>
      </c>
      <c r="G684" s="28">
        <f t="shared" si="150"/>
        <v>42</v>
      </c>
      <c r="H684" s="26" t="s">
        <v>19</v>
      </c>
      <c r="I684" s="26" t="s">
        <v>157</v>
      </c>
      <c r="J684" s="26" t="s">
        <v>27</v>
      </c>
      <c r="K684" s="29">
        <v>0.73958333333333337</v>
      </c>
      <c r="L684" s="29">
        <v>0.79166666666666663</v>
      </c>
      <c r="M684" s="30">
        <f t="shared" ca="1" si="151"/>
        <v>5.2083333333333259E-2</v>
      </c>
      <c r="N684" s="46"/>
      <c r="O684" s="47"/>
    </row>
    <row r="685" spans="1:15" ht="15" customHeight="1">
      <c r="A685" s="69">
        <v>46229</v>
      </c>
      <c r="B685" s="32">
        <f t="shared" si="152"/>
        <v>0.6666666666666663</v>
      </c>
      <c r="C685" s="33" t="s">
        <v>29</v>
      </c>
      <c r="D685" s="62" t="s">
        <v>30</v>
      </c>
      <c r="E685" s="62" t="s">
        <v>261</v>
      </c>
      <c r="F685" s="27">
        <v>12</v>
      </c>
      <c r="G685" s="34">
        <f t="shared" si="150"/>
        <v>50.400000000000006</v>
      </c>
      <c r="H685" s="33"/>
      <c r="I685" s="33"/>
      <c r="J685" s="33"/>
      <c r="K685" s="29"/>
      <c r="L685" s="29"/>
      <c r="M685" s="35" t="str">
        <f t="shared" ca="1" si="151"/>
        <v/>
      </c>
      <c r="N685" s="46"/>
      <c r="O685" s="47"/>
    </row>
    <row r="686" spans="1:15" ht="15" customHeight="1">
      <c r="A686" s="68">
        <v>46229</v>
      </c>
      <c r="B686" s="25">
        <f t="shared" si="152"/>
        <v>0.70833333333333293</v>
      </c>
      <c r="C686" s="33" t="s">
        <v>29</v>
      </c>
      <c r="D686" s="62" t="s">
        <v>30</v>
      </c>
      <c r="E686" s="62" t="s">
        <v>261</v>
      </c>
      <c r="F686" s="27">
        <v>10</v>
      </c>
      <c r="G686" s="28">
        <f t="shared" si="150"/>
        <v>42</v>
      </c>
      <c r="H686" s="26"/>
      <c r="I686" s="26"/>
      <c r="J686" s="26"/>
      <c r="K686" s="29"/>
      <c r="L686" s="29"/>
      <c r="M686" s="30" t="str">
        <f t="shared" ca="1" si="151"/>
        <v/>
      </c>
      <c r="N686" s="46"/>
      <c r="O686" s="47"/>
    </row>
    <row r="687" spans="1:15" ht="15" customHeight="1">
      <c r="A687" s="69">
        <v>46229</v>
      </c>
      <c r="B687" s="32">
        <f t="shared" si="152"/>
        <v>0.74999999999999956</v>
      </c>
      <c r="C687" s="33" t="s">
        <v>29</v>
      </c>
      <c r="D687" s="62" t="s">
        <v>30</v>
      </c>
      <c r="E687" s="62" t="s">
        <v>261</v>
      </c>
      <c r="F687" s="27">
        <v>8</v>
      </c>
      <c r="G687" s="34">
        <f t="shared" si="150"/>
        <v>33.6</v>
      </c>
      <c r="H687" s="33"/>
      <c r="I687" s="33"/>
      <c r="J687" s="33"/>
      <c r="K687" s="29"/>
      <c r="L687" s="29"/>
      <c r="M687" s="35" t="str">
        <f t="shared" ca="1" si="151"/>
        <v/>
      </c>
      <c r="N687" s="46"/>
      <c r="O687" s="47"/>
    </row>
    <row r="688" spans="1:15" ht="15" customHeight="1">
      <c r="A688" s="68">
        <v>46229</v>
      </c>
      <c r="B688" s="25">
        <f t="shared" si="152"/>
        <v>0.79166666666666619</v>
      </c>
      <c r="C688" s="33" t="s">
        <v>29</v>
      </c>
      <c r="D688" s="62" t="s">
        <v>30</v>
      </c>
      <c r="E688" s="62" t="s">
        <v>261</v>
      </c>
      <c r="F688" s="27">
        <v>4</v>
      </c>
      <c r="G688" s="28">
        <f t="shared" si="150"/>
        <v>16.8</v>
      </c>
      <c r="H688" s="26"/>
      <c r="I688" s="26"/>
      <c r="J688" s="26"/>
      <c r="K688" s="29"/>
      <c r="L688" s="29"/>
      <c r="M688" s="30" t="str">
        <f t="shared" ca="1" si="151"/>
        <v/>
      </c>
      <c r="N688" s="46"/>
      <c r="O688" s="47"/>
    </row>
    <row r="689" spans="1:15" ht="15.75" customHeight="1">
      <c r="A689" s="113" t="s">
        <v>236</v>
      </c>
      <c r="B689" s="114"/>
      <c r="C689" s="114"/>
      <c r="D689" s="114"/>
      <c r="E689" s="115">
        <f>SUM(E677:E688)</f>
        <v>0</v>
      </c>
      <c r="F689" s="36">
        <f>SUM(F677:F688)</f>
        <v>129</v>
      </c>
      <c r="G689" s="36">
        <f>SUM(G677:G688)</f>
        <v>541.80000000000007</v>
      </c>
      <c r="H689" s="37"/>
      <c r="I689" s="37"/>
      <c r="J689" s="37"/>
      <c r="K689" s="37"/>
      <c r="L689" s="37"/>
      <c r="M689" s="38">
        <f ca="1">IFERROR(SUM(M677:M688),"")</f>
        <v>10.170833333333334</v>
      </c>
      <c r="N689" s="36" t="s">
        <v>237</v>
      </c>
      <c r="O689" s="77">
        <v>516320</v>
      </c>
    </row>
    <row r="690" spans="1:15" ht="15" customHeight="1">
      <c r="A690" s="68">
        <v>46229</v>
      </c>
      <c r="B690" s="25">
        <v>0.83333333333333304</v>
      </c>
      <c r="C690" s="26" t="s">
        <v>21</v>
      </c>
      <c r="D690" s="59" t="s">
        <v>30</v>
      </c>
      <c r="E690" s="59" t="s">
        <v>261</v>
      </c>
      <c r="F690" s="27">
        <v>15</v>
      </c>
      <c r="G690" s="28">
        <f t="shared" ref="G690:G701" si="153">IF(F690="","",IF(E690="PC 17",F690*4.2,IF(E690="PC 19",F690*5,"")))</f>
        <v>63</v>
      </c>
      <c r="H690" s="26" t="s">
        <v>20</v>
      </c>
      <c r="I690" s="26" t="s">
        <v>31</v>
      </c>
      <c r="J690" s="26" t="s">
        <v>28</v>
      </c>
      <c r="K690" s="29">
        <v>0.84305555555555556</v>
      </c>
      <c r="L690" s="29">
        <v>0.84791666666666665</v>
      </c>
      <c r="M690" s="30">
        <f t="shared" ref="M690:M701" ca="1" si="154">IFERROR(IF(K690="","",IF(L690="",MOD(NOW()-K690,1),IF(L690&gt;=K690,L690-K690,L690+1-K690))),"")</f>
        <v>4.8611111111110938E-3</v>
      </c>
      <c r="N690" s="46"/>
      <c r="O690" s="47"/>
    </row>
    <row r="691" spans="1:15" ht="15" customHeight="1">
      <c r="A691" s="69">
        <v>46229</v>
      </c>
      <c r="B691" s="32">
        <f t="shared" ref="B691:B701" si="155">B690+TIME(0,60,0)</f>
        <v>0.87499999999999967</v>
      </c>
      <c r="C691" s="26" t="s">
        <v>21</v>
      </c>
      <c r="D691" s="59" t="s">
        <v>30</v>
      </c>
      <c r="E691" s="59" t="s">
        <v>234</v>
      </c>
      <c r="F691" s="27">
        <v>12</v>
      </c>
      <c r="G691" s="34">
        <f t="shared" si="153"/>
        <v>60</v>
      </c>
      <c r="H691" s="33" t="s">
        <v>20</v>
      </c>
      <c r="I691" s="33" t="s">
        <v>39</v>
      </c>
      <c r="J691" s="33" t="s">
        <v>28</v>
      </c>
      <c r="K691" s="29">
        <v>0.94444444444444442</v>
      </c>
      <c r="L691" s="29">
        <v>0.94722222222222219</v>
      </c>
      <c r="M691" s="35">
        <f t="shared" ca="1" si="154"/>
        <v>2.7777777777777679E-3</v>
      </c>
      <c r="N691" s="46"/>
      <c r="O691" s="47"/>
    </row>
    <row r="692" spans="1:15" ht="15" customHeight="1">
      <c r="A692" s="68">
        <v>46229</v>
      </c>
      <c r="B692" s="25">
        <f t="shared" si="155"/>
        <v>0.9166666666666663</v>
      </c>
      <c r="C692" s="26" t="s">
        <v>21</v>
      </c>
      <c r="D692" s="59" t="s">
        <v>30</v>
      </c>
      <c r="E692" s="59" t="s">
        <v>234</v>
      </c>
      <c r="F692" s="27">
        <v>7</v>
      </c>
      <c r="G692" s="28">
        <f t="shared" si="153"/>
        <v>35</v>
      </c>
      <c r="H692" s="26" t="s">
        <v>18</v>
      </c>
      <c r="I692" s="26" t="s">
        <v>31</v>
      </c>
      <c r="J692" s="26" t="s">
        <v>154</v>
      </c>
      <c r="K692" s="29">
        <v>0.96458333333333335</v>
      </c>
      <c r="L692" s="29">
        <v>0.99652777777777779</v>
      </c>
      <c r="M692" s="30">
        <f t="shared" ca="1" si="154"/>
        <v>3.1944444444444442E-2</v>
      </c>
      <c r="N692" s="46"/>
      <c r="O692" s="47"/>
    </row>
    <row r="693" spans="1:15" ht="15" customHeight="1">
      <c r="A693" s="69">
        <v>46229</v>
      </c>
      <c r="B693" s="32">
        <f t="shared" si="155"/>
        <v>0.95833333333333293</v>
      </c>
      <c r="C693" s="26" t="s">
        <v>21</v>
      </c>
      <c r="D693" s="59" t="s">
        <v>30</v>
      </c>
      <c r="E693" s="59" t="s">
        <v>261</v>
      </c>
      <c r="F693" s="27">
        <v>23</v>
      </c>
      <c r="G693" s="34">
        <f t="shared" si="153"/>
        <v>96.600000000000009</v>
      </c>
      <c r="H693" s="33" t="s">
        <v>20</v>
      </c>
      <c r="I693" s="33" t="s">
        <v>39</v>
      </c>
      <c r="J693" s="33" t="s">
        <v>56</v>
      </c>
      <c r="K693" s="29">
        <v>1.7361111111111112E-2</v>
      </c>
      <c r="L693" s="29">
        <v>3.8194444444444448E-2</v>
      </c>
      <c r="M693" s="35">
        <f t="shared" ca="1" si="154"/>
        <v>2.0833333333333336E-2</v>
      </c>
      <c r="N693" s="46" t="s">
        <v>333</v>
      </c>
      <c r="O693" s="47"/>
    </row>
    <row r="694" spans="1:15" ht="15" customHeight="1">
      <c r="A694" s="68">
        <v>46229</v>
      </c>
      <c r="B694" s="25">
        <f t="shared" si="155"/>
        <v>0.99999999999999956</v>
      </c>
      <c r="C694" s="26" t="s">
        <v>21</v>
      </c>
      <c r="D694" s="59" t="s">
        <v>30</v>
      </c>
      <c r="E694" s="59" t="s">
        <v>261</v>
      </c>
      <c r="F694" s="27">
        <v>0</v>
      </c>
      <c r="G694" s="28">
        <f t="shared" si="153"/>
        <v>0</v>
      </c>
      <c r="H694" s="26" t="s">
        <v>20</v>
      </c>
      <c r="I694" s="26" t="s">
        <v>31</v>
      </c>
      <c r="J694" s="26" t="s">
        <v>36</v>
      </c>
      <c r="K694" s="29">
        <v>4.1666666666666664E-2</v>
      </c>
      <c r="L694" s="29">
        <v>4.8611111111111112E-2</v>
      </c>
      <c r="M694" s="30">
        <f t="shared" ca="1" si="154"/>
        <v>6.9444444444444475E-3</v>
      </c>
      <c r="N694" s="46"/>
      <c r="O694" s="47"/>
    </row>
    <row r="695" spans="1:15" ht="15" customHeight="1">
      <c r="A695" s="69">
        <v>46229</v>
      </c>
      <c r="B695" s="32">
        <f t="shared" si="155"/>
        <v>1.0416666666666663</v>
      </c>
      <c r="C695" s="26" t="s">
        <v>21</v>
      </c>
      <c r="D695" s="59" t="s">
        <v>30</v>
      </c>
      <c r="E695" s="59" t="s">
        <v>261</v>
      </c>
      <c r="F695" s="27">
        <v>12</v>
      </c>
      <c r="G695" s="34">
        <f t="shared" si="153"/>
        <v>50.400000000000006</v>
      </c>
      <c r="H695" s="33" t="s">
        <v>20</v>
      </c>
      <c r="I695" s="33" t="s">
        <v>47</v>
      </c>
      <c r="J695" s="33" t="s">
        <v>51</v>
      </c>
      <c r="K695" s="29">
        <v>0.14930555555555555</v>
      </c>
      <c r="L695" s="29">
        <v>0.16666666666666666</v>
      </c>
      <c r="M695" s="35">
        <f t="shared" ca="1" si="154"/>
        <v>1.7361111111111105E-2</v>
      </c>
      <c r="N695" s="46" t="s">
        <v>334</v>
      </c>
      <c r="O695" s="47"/>
    </row>
    <row r="696" spans="1:15" ht="15" customHeight="1">
      <c r="A696" s="68">
        <v>46229</v>
      </c>
      <c r="B696" s="25">
        <f t="shared" si="155"/>
        <v>1.083333333333333</v>
      </c>
      <c r="C696" s="26" t="s">
        <v>21</v>
      </c>
      <c r="D696" s="59" t="s">
        <v>30</v>
      </c>
      <c r="E696" s="59" t="s">
        <v>261</v>
      </c>
      <c r="F696" s="27">
        <v>12</v>
      </c>
      <c r="G696" s="28">
        <f t="shared" si="153"/>
        <v>50.400000000000006</v>
      </c>
      <c r="H696" s="26"/>
      <c r="I696" s="26"/>
      <c r="J696" s="26"/>
      <c r="K696" s="29"/>
      <c r="L696" s="29"/>
      <c r="M696" s="30" t="str">
        <f t="shared" ca="1" si="154"/>
        <v/>
      </c>
      <c r="N696" s="46"/>
      <c r="O696" s="47"/>
    </row>
    <row r="697" spans="1:15" ht="15" customHeight="1">
      <c r="A697" s="69">
        <v>46229</v>
      </c>
      <c r="B697" s="32">
        <f t="shared" si="155"/>
        <v>1.1249999999999998</v>
      </c>
      <c r="C697" s="26" t="s">
        <v>21</v>
      </c>
      <c r="D697" s="59" t="s">
        <v>30</v>
      </c>
      <c r="E697" s="59" t="s">
        <v>261</v>
      </c>
      <c r="F697" s="27">
        <v>16</v>
      </c>
      <c r="G697" s="34">
        <f t="shared" si="153"/>
        <v>67.2</v>
      </c>
      <c r="H697" s="33"/>
      <c r="I697" s="33"/>
      <c r="J697" s="33"/>
      <c r="K697" s="29"/>
      <c r="L697" s="29"/>
      <c r="M697" s="35" t="str">
        <f t="shared" ca="1" si="154"/>
        <v/>
      </c>
      <c r="N697" s="46"/>
      <c r="O697" s="47"/>
    </row>
    <row r="698" spans="1:15" ht="15" customHeight="1">
      <c r="A698" s="68">
        <v>46229</v>
      </c>
      <c r="B698" s="25">
        <f t="shared" si="155"/>
        <v>1.1666666666666665</v>
      </c>
      <c r="C698" s="26" t="s">
        <v>21</v>
      </c>
      <c r="D698" s="59" t="s">
        <v>30</v>
      </c>
      <c r="E698" s="59" t="s">
        <v>261</v>
      </c>
      <c r="F698" s="27">
        <v>15</v>
      </c>
      <c r="G698" s="28">
        <f t="shared" si="153"/>
        <v>63</v>
      </c>
      <c r="H698" s="26"/>
      <c r="I698" s="26"/>
      <c r="J698" s="26"/>
      <c r="K698" s="29"/>
      <c r="L698" s="29"/>
      <c r="M698" s="30" t="str">
        <f t="shared" ca="1" si="154"/>
        <v/>
      </c>
      <c r="N698" s="46"/>
      <c r="O698" s="47"/>
    </row>
    <row r="699" spans="1:15" ht="15" customHeight="1">
      <c r="A699" s="69">
        <v>46229</v>
      </c>
      <c r="B699" s="32">
        <f t="shared" si="155"/>
        <v>1.2083333333333333</v>
      </c>
      <c r="C699" s="26" t="s">
        <v>21</v>
      </c>
      <c r="D699" s="59" t="s">
        <v>30</v>
      </c>
      <c r="E699" s="59" t="s">
        <v>261</v>
      </c>
      <c r="F699" s="27">
        <v>18</v>
      </c>
      <c r="G699" s="34">
        <f t="shared" si="153"/>
        <v>75.600000000000009</v>
      </c>
      <c r="H699" s="33"/>
      <c r="I699" s="33"/>
      <c r="J699" s="33"/>
      <c r="K699" s="29"/>
      <c r="L699" s="29"/>
      <c r="M699" s="35" t="str">
        <f t="shared" ca="1" si="154"/>
        <v/>
      </c>
      <c r="N699" s="46"/>
      <c r="O699" s="47"/>
    </row>
    <row r="700" spans="1:15" ht="15" customHeight="1">
      <c r="A700" s="68">
        <v>46229</v>
      </c>
      <c r="B700" s="25">
        <f t="shared" si="155"/>
        <v>1.25</v>
      </c>
      <c r="C700" s="26" t="s">
        <v>21</v>
      </c>
      <c r="D700" s="59" t="s">
        <v>30</v>
      </c>
      <c r="E700" s="59" t="s">
        <v>261</v>
      </c>
      <c r="F700" s="27">
        <v>12</v>
      </c>
      <c r="G700" s="28">
        <f t="shared" si="153"/>
        <v>50.400000000000006</v>
      </c>
      <c r="H700" s="26"/>
      <c r="I700" s="26"/>
      <c r="J700" s="26"/>
      <c r="K700" s="29"/>
      <c r="L700" s="29"/>
      <c r="M700" s="30" t="str">
        <f t="shared" ca="1" si="154"/>
        <v/>
      </c>
      <c r="N700" s="46"/>
      <c r="O700" s="47"/>
    </row>
    <row r="701" spans="1:15" ht="15" customHeight="1">
      <c r="A701" s="69">
        <v>46229</v>
      </c>
      <c r="B701" s="32">
        <f t="shared" si="155"/>
        <v>1.2916666666666667</v>
      </c>
      <c r="C701" s="26" t="s">
        <v>21</v>
      </c>
      <c r="D701" s="59" t="s">
        <v>30</v>
      </c>
      <c r="E701" s="59" t="s">
        <v>261</v>
      </c>
      <c r="F701" s="27">
        <v>15</v>
      </c>
      <c r="G701" s="34">
        <f t="shared" si="153"/>
        <v>63</v>
      </c>
      <c r="H701" s="33"/>
      <c r="I701" s="33"/>
      <c r="J701" s="33"/>
      <c r="K701" s="29"/>
      <c r="L701" s="29"/>
      <c r="M701" s="35" t="str">
        <f t="shared" ca="1" si="154"/>
        <v/>
      </c>
      <c r="N701" s="46"/>
      <c r="O701" s="47"/>
    </row>
    <row r="702" spans="1:15" ht="15.75" customHeight="1">
      <c r="A702" s="119" t="s">
        <v>238</v>
      </c>
      <c r="B702" s="120"/>
      <c r="C702" s="120"/>
      <c r="D702" s="120"/>
      <c r="E702" s="121">
        <f>SUM(E690:E701)</f>
        <v>0</v>
      </c>
      <c r="F702" s="36">
        <f>SUM(F690:F701)</f>
        <v>157</v>
      </c>
      <c r="G702" s="36">
        <f>SUM(G690:G701)</f>
        <v>674.59999999999991</v>
      </c>
      <c r="H702" s="37"/>
      <c r="I702" s="37"/>
      <c r="J702" s="37"/>
      <c r="K702" s="37"/>
      <c r="L702" s="37"/>
      <c r="M702" s="38">
        <f ca="1">IFERROR(SUM(M690:M701),"")</f>
        <v>8.4722222222222199E-2</v>
      </c>
      <c r="N702" s="36" t="s">
        <v>237</v>
      </c>
      <c r="O702" s="77">
        <v>813880</v>
      </c>
    </row>
    <row r="703" spans="1:15" ht="18" customHeight="1">
      <c r="A703" s="122" t="s">
        <v>239</v>
      </c>
      <c r="B703" s="123"/>
      <c r="C703" s="123"/>
      <c r="D703" s="123"/>
      <c r="E703" s="124">
        <f>E689+E702</f>
        <v>0</v>
      </c>
      <c r="F703" s="40">
        <f>F689+F702</f>
        <v>286</v>
      </c>
      <c r="G703" s="40">
        <f>G689+G702</f>
        <v>1216.4000000000001</v>
      </c>
      <c r="H703" s="41"/>
      <c r="I703" s="41"/>
      <c r="J703" s="41"/>
      <c r="K703" s="41"/>
      <c r="L703" s="41"/>
      <c r="M703" s="42">
        <f ca="1">IFERROR(M689+M702,"")</f>
        <v>10.255555555555556</v>
      </c>
      <c r="N703" s="40" t="s">
        <v>240</v>
      </c>
      <c r="O703" s="83">
        <f>IFERROR(O689+O702,"")</f>
        <v>1330200</v>
      </c>
    </row>
    <row r="704" spans="1:15" ht="15" customHeight="1">
      <c r="A704" s="68">
        <v>46230</v>
      </c>
      <c r="B704" s="25">
        <v>0.33333333333333298</v>
      </c>
      <c r="C704" s="26" t="s">
        <v>29</v>
      </c>
      <c r="D704" s="59" t="s">
        <v>30</v>
      </c>
      <c r="E704" s="59" t="s">
        <v>261</v>
      </c>
      <c r="F704" s="27">
        <v>11</v>
      </c>
      <c r="G704" s="28">
        <f t="shared" ref="G704:G715" si="156">IF(F704="","",IF(E704="PC 17",F704*4.2,IF(E704="PC 19",F704*5,"")))</f>
        <v>46.2</v>
      </c>
      <c r="H704" s="26" t="s">
        <v>17</v>
      </c>
      <c r="I704" s="26" t="s">
        <v>138</v>
      </c>
      <c r="J704" s="26" t="s">
        <v>115</v>
      </c>
      <c r="K704" s="29">
        <v>0.35486111111111113</v>
      </c>
      <c r="L704" s="29">
        <v>0.37083333333333335</v>
      </c>
      <c r="M704" s="30">
        <f t="shared" ref="M704:M715" ca="1" si="157">IFERROR(IF(K704="","",IF(L704="",MOD(NOW()-K704,1),IF(L704&gt;=K704,L704-K704,L704+1-K704))),"")</f>
        <v>1.5972222222222221E-2</v>
      </c>
      <c r="N704" s="46"/>
      <c r="O704" s="47"/>
    </row>
    <row r="705" spans="1:15" ht="15" customHeight="1">
      <c r="A705" s="69">
        <v>46230</v>
      </c>
      <c r="B705" s="32">
        <f t="shared" ref="B705:B715" si="158">B704+TIME(0,60,0)</f>
        <v>0.37499999999999967</v>
      </c>
      <c r="C705" s="26" t="s">
        <v>29</v>
      </c>
      <c r="D705" s="59" t="s">
        <v>30</v>
      </c>
      <c r="E705" s="59" t="s">
        <v>261</v>
      </c>
      <c r="F705" s="27">
        <v>7</v>
      </c>
      <c r="G705" s="34">
        <f t="shared" si="156"/>
        <v>29.400000000000002</v>
      </c>
      <c r="H705" s="33" t="s">
        <v>20</v>
      </c>
      <c r="I705" s="33" t="s">
        <v>31</v>
      </c>
      <c r="J705" s="33" t="s">
        <v>56</v>
      </c>
      <c r="K705" s="29">
        <v>0.4201388888888889</v>
      </c>
      <c r="L705" s="29">
        <v>0.44583333333333336</v>
      </c>
      <c r="M705" s="35">
        <f t="shared" ca="1" si="157"/>
        <v>2.5694444444444464E-2</v>
      </c>
      <c r="N705" s="46" t="s">
        <v>335</v>
      </c>
      <c r="O705" s="47"/>
    </row>
    <row r="706" spans="1:15" ht="15" customHeight="1">
      <c r="A706" s="68">
        <v>46230</v>
      </c>
      <c r="B706" s="25">
        <f t="shared" si="158"/>
        <v>0.41666666666666635</v>
      </c>
      <c r="C706" s="26" t="s">
        <v>29</v>
      </c>
      <c r="D706" s="59" t="s">
        <v>30</v>
      </c>
      <c r="E706" s="59" t="s">
        <v>261</v>
      </c>
      <c r="F706" s="27">
        <v>20</v>
      </c>
      <c r="G706" s="28">
        <f t="shared" si="156"/>
        <v>84</v>
      </c>
      <c r="H706" s="26" t="s">
        <v>20</v>
      </c>
      <c r="I706" s="26" t="s">
        <v>39</v>
      </c>
      <c r="J706" s="26" t="s">
        <v>129</v>
      </c>
      <c r="K706" s="29">
        <v>0.47499999999999998</v>
      </c>
      <c r="L706" s="29">
        <v>0.47638888888888886</v>
      </c>
      <c r="M706" s="30">
        <f t="shared" ca="1" si="157"/>
        <v>1.388888888888884E-3</v>
      </c>
      <c r="N706" s="46"/>
      <c r="O706" s="47"/>
    </row>
    <row r="707" spans="1:15" ht="15" customHeight="1">
      <c r="A707" s="69">
        <v>46230</v>
      </c>
      <c r="B707" s="32">
        <f t="shared" si="158"/>
        <v>0.45833333333333304</v>
      </c>
      <c r="C707" s="26" t="s">
        <v>29</v>
      </c>
      <c r="D707" s="59" t="s">
        <v>30</v>
      </c>
      <c r="E707" s="59" t="s">
        <v>261</v>
      </c>
      <c r="F707" s="27">
        <v>25</v>
      </c>
      <c r="G707" s="34">
        <f t="shared" si="156"/>
        <v>105</v>
      </c>
      <c r="H707" s="33" t="s">
        <v>19</v>
      </c>
      <c r="I707" s="33" t="s">
        <v>31</v>
      </c>
      <c r="J707" s="33" t="s">
        <v>35</v>
      </c>
      <c r="K707" s="29">
        <v>0.51736111111111116</v>
      </c>
      <c r="L707" s="29">
        <v>0.75</v>
      </c>
      <c r="M707" s="35">
        <f t="shared" ca="1" si="157"/>
        <v>0.23263888888888884</v>
      </c>
      <c r="N707" s="46" t="s">
        <v>336</v>
      </c>
      <c r="O707" s="47"/>
    </row>
    <row r="708" spans="1:15" ht="15" customHeight="1">
      <c r="A708" s="68">
        <v>46230</v>
      </c>
      <c r="B708" s="25">
        <f t="shared" si="158"/>
        <v>0.49999999999999972</v>
      </c>
      <c r="C708" s="26" t="s">
        <v>29</v>
      </c>
      <c r="D708" s="59" t="s">
        <v>30</v>
      </c>
      <c r="E708" s="59" t="s">
        <v>261</v>
      </c>
      <c r="F708" s="27">
        <v>7</v>
      </c>
      <c r="G708" s="28">
        <f t="shared" si="156"/>
        <v>29.400000000000002</v>
      </c>
      <c r="H708" s="26" t="s">
        <v>20</v>
      </c>
      <c r="I708" s="26"/>
      <c r="J708" s="26" t="s">
        <v>129</v>
      </c>
      <c r="K708" s="29">
        <v>0.5625</v>
      </c>
      <c r="L708" s="29">
        <v>0.56458333333333333</v>
      </c>
      <c r="M708" s="30">
        <f t="shared" ca="1" si="157"/>
        <v>2.0833333333333259E-3</v>
      </c>
      <c r="N708" s="46" t="s">
        <v>337</v>
      </c>
      <c r="O708" s="47"/>
    </row>
    <row r="709" spans="1:15" ht="15" customHeight="1">
      <c r="A709" s="69">
        <v>46230</v>
      </c>
      <c r="B709" s="32">
        <f t="shared" si="158"/>
        <v>0.54166666666666641</v>
      </c>
      <c r="C709" s="26" t="s">
        <v>29</v>
      </c>
      <c r="D709" s="59" t="s">
        <v>30</v>
      </c>
      <c r="E709" s="59" t="s">
        <v>261</v>
      </c>
      <c r="F709" s="27">
        <v>8</v>
      </c>
      <c r="G709" s="34">
        <f t="shared" si="156"/>
        <v>33.6</v>
      </c>
      <c r="H709" s="33" t="s">
        <v>20</v>
      </c>
      <c r="I709" s="33"/>
      <c r="J709" s="33" t="s">
        <v>129</v>
      </c>
      <c r="K709" s="29">
        <v>0.57847222222222228</v>
      </c>
      <c r="L709" s="29">
        <v>0.58472222222222225</v>
      </c>
      <c r="M709" s="35">
        <f t="shared" ca="1" si="157"/>
        <v>6.2499999999999778E-3</v>
      </c>
      <c r="N709" s="46"/>
      <c r="O709" s="47"/>
    </row>
    <row r="710" spans="1:15" ht="15" customHeight="1">
      <c r="A710" s="68">
        <v>46230</v>
      </c>
      <c r="B710" s="25">
        <f t="shared" si="158"/>
        <v>0.58333333333333304</v>
      </c>
      <c r="C710" s="26" t="s">
        <v>29</v>
      </c>
      <c r="D710" s="59" t="s">
        <v>30</v>
      </c>
      <c r="E710" s="59" t="s">
        <v>261</v>
      </c>
      <c r="F710" s="27">
        <v>8</v>
      </c>
      <c r="G710" s="28">
        <f t="shared" si="156"/>
        <v>33.6</v>
      </c>
      <c r="H710" s="26" t="s">
        <v>20</v>
      </c>
      <c r="I710" s="26" t="s">
        <v>39</v>
      </c>
      <c r="J710" s="26" t="s">
        <v>181</v>
      </c>
      <c r="K710" s="29">
        <v>0.67361111111111116</v>
      </c>
      <c r="L710" s="29">
        <v>0.68333333333333335</v>
      </c>
      <c r="M710" s="30">
        <f t="shared" ca="1" si="157"/>
        <v>9.7222222222221877E-3</v>
      </c>
      <c r="N710" s="46"/>
      <c r="O710" s="47"/>
    </row>
    <row r="711" spans="1:15" ht="15" customHeight="1">
      <c r="A711" s="69">
        <v>46230</v>
      </c>
      <c r="B711" s="32">
        <f t="shared" si="158"/>
        <v>0.62499999999999967</v>
      </c>
      <c r="C711" s="26" t="s">
        <v>29</v>
      </c>
      <c r="D711" s="59" t="s">
        <v>30</v>
      </c>
      <c r="E711" s="59" t="s">
        <v>261</v>
      </c>
      <c r="F711" s="27">
        <v>6</v>
      </c>
      <c r="G711" s="34">
        <f t="shared" si="156"/>
        <v>25.200000000000003</v>
      </c>
      <c r="H711" s="33"/>
      <c r="I711" s="33"/>
      <c r="J711" s="33"/>
      <c r="K711" s="29"/>
      <c r="L711" s="29"/>
      <c r="M711" s="35" t="str">
        <f t="shared" ca="1" si="157"/>
        <v/>
      </c>
      <c r="N711" s="46"/>
      <c r="O711" s="47"/>
    </row>
    <row r="712" spans="1:15" ht="15" customHeight="1">
      <c r="A712" s="68">
        <v>46230</v>
      </c>
      <c r="B712" s="25">
        <f t="shared" si="158"/>
        <v>0.6666666666666663</v>
      </c>
      <c r="C712" s="26" t="s">
        <v>29</v>
      </c>
      <c r="D712" s="59" t="s">
        <v>30</v>
      </c>
      <c r="E712" s="59" t="s">
        <v>261</v>
      </c>
      <c r="F712" s="27">
        <v>7</v>
      </c>
      <c r="G712" s="28">
        <f t="shared" si="156"/>
        <v>29.400000000000002</v>
      </c>
      <c r="H712" s="26"/>
      <c r="I712" s="26"/>
      <c r="J712" s="26"/>
      <c r="K712" s="29"/>
      <c r="L712" s="29"/>
      <c r="M712" s="30" t="str">
        <f t="shared" ca="1" si="157"/>
        <v/>
      </c>
      <c r="N712" s="46"/>
      <c r="O712" s="47"/>
    </row>
    <row r="713" spans="1:15" ht="15" customHeight="1">
      <c r="A713" s="69">
        <v>46230</v>
      </c>
      <c r="B713" s="32">
        <f t="shared" si="158"/>
        <v>0.70833333333333293</v>
      </c>
      <c r="C713" s="26" t="s">
        <v>29</v>
      </c>
      <c r="D713" s="59" t="s">
        <v>30</v>
      </c>
      <c r="E713" s="59" t="s">
        <v>261</v>
      </c>
      <c r="F713" s="27">
        <v>7</v>
      </c>
      <c r="G713" s="34">
        <f t="shared" si="156"/>
        <v>29.400000000000002</v>
      </c>
      <c r="H713" s="33"/>
      <c r="I713" s="33"/>
      <c r="J713" s="33"/>
      <c r="K713" s="29"/>
      <c r="L713" s="29"/>
      <c r="M713" s="35" t="str">
        <f t="shared" ca="1" si="157"/>
        <v/>
      </c>
      <c r="N713" s="46"/>
      <c r="O713" s="47"/>
    </row>
    <row r="714" spans="1:15" ht="15" customHeight="1">
      <c r="A714" s="68">
        <v>46230</v>
      </c>
      <c r="B714" s="25">
        <f t="shared" si="158"/>
        <v>0.74999999999999956</v>
      </c>
      <c r="C714" s="26" t="s">
        <v>29</v>
      </c>
      <c r="D714" s="59" t="s">
        <v>30</v>
      </c>
      <c r="E714" s="59" t="s">
        <v>261</v>
      </c>
      <c r="F714" s="27">
        <v>8</v>
      </c>
      <c r="G714" s="28">
        <f t="shared" si="156"/>
        <v>33.6</v>
      </c>
      <c r="H714" s="26"/>
      <c r="I714" s="26"/>
      <c r="J714" s="26"/>
      <c r="K714" s="29"/>
      <c r="L714" s="29"/>
      <c r="M714" s="30" t="str">
        <f t="shared" ca="1" si="157"/>
        <v/>
      </c>
      <c r="N714" s="46"/>
      <c r="O714" s="47"/>
    </row>
    <row r="715" spans="1:15" ht="15" customHeight="1">
      <c r="A715" s="69">
        <v>46230</v>
      </c>
      <c r="B715" s="32">
        <f t="shared" si="158"/>
        <v>0.79166666666666619</v>
      </c>
      <c r="C715" s="26" t="s">
        <v>29</v>
      </c>
      <c r="D715" s="59" t="s">
        <v>30</v>
      </c>
      <c r="E715" s="59" t="s">
        <v>261</v>
      </c>
      <c r="F715" s="27">
        <v>3</v>
      </c>
      <c r="G715" s="34">
        <f t="shared" si="156"/>
        <v>12.600000000000001</v>
      </c>
      <c r="H715" s="33"/>
      <c r="I715" s="33"/>
      <c r="J715" s="33"/>
      <c r="K715" s="29"/>
      <c r="L715" s="29"/>
      <c r="M715" s="35" t="str">
        <f t="shared" ca="1" si="157"/>
        <v/>
      </c>
      <c r="N715" s="46"/>
      <c r="O715" s="47"/>
    </row>
    <row r="716" spans="1:15" ht="15.75" customHeight="1">
      <c r="A716" s="119" t="s">
        <v>236</v>
      </c>
      <c r="B716" s="120"/>
      <c r="C716" s="120"/>
      <c r="D716" s="120"/>
      <c r="E716" s="121">
        <f>SUM(E704:E715)</f>
        <v>0</v>
      </c>
      <c r="F716" s="36">
        <f>SUM(F704:F715)</f>
        <v>117</v>
      </c>
      <c r="G716" s="36">
        <f>SUM(G704:G715)</f>
        <v>491.40000000000003</v>
      </c>
      <c r="H716" s="37"/>
      <c r="I716" s="37"/>
      <c r="J716" s="37"/>
      <c r="K716" s="37"/>
      <c r="L716" s="37"/>
      <c r="M716" s="38">
        <f ca="1">IFERROR(SUM(M704:M715),"")</f>
        <v>0.2937499999999999</v>
      </c>
      <c r="N716" s="36" t="s">
        <v>237</v>
      </c>
      <c r="O716" s="77">
        <v>479760</v>
      </c>
    </row>
    <row r="717" spans="1:15" ht="15" customHeight="1">
      <c r="A717" s="69">
        <v>46230</v>
      </c>
      <c r="B717" s="32">
        <v>0.83333333333333304</v>
      </c>
      <c r="C717" s="33" t="s">
        <v>21</v>
      </c>
      <c r="D717" s="62" t="s">
        <v>30</v>
      </c>
      <c r="E717" s="59" t="s">
        <v>261</v>
      </c>
      <c r="F717" s="27">
        <v>17</v>
      </c>
      <c r="G717" s="34">
        <f t="shared" ref="G717:G728" si="159">IF(F717="","",IF(E717="PC 17",F717*4.2,IF(E717="PC 19",F717*5,"")))</f>
        <v>71.400000000000006</v>
      </c>
      <c r="H717" s="33" t="s">
        <v>20</v>
      </c>
      <c r="I717" s="33" t="s">
        <v>121</v>
      </c>
      <c r="J717" s="33" t="s">
        <v>56</v>
      </c>
      <c r="K717" s="29">
        <v>0.81944444444444442</v>
      </c>
      <c r="L717" s="29">
        <v>0.84375</v>
      </c>
      <c r="M717" s="35">
        <f t="shared" ref="M717:M728" ca="1" si="160">IFERROR(IF(K717="","",IF(L717="",MOD(NOW()-K717,1),IF(L717&gt;=K717,L717-K717,L717+1-K717))),"")</f>
        <v>2.430555555555558E-2</v>
      </c>
      <c r="N717" s="46" t="s">
        <v>338</v>
      </c>
      <c r="O717" s="47"/>
    </row>
    <row r="718" spans="1:15" ht="15" customHeight="1">
      <c r="A718" s="68">
        <v>46230</v>
      </c>
      <c r="B718" s="25">
        <f t="shared" ref="B718:B728" si="161">B717+TIME(0,60,0)</f>
        <v>0.87499999999999967</v>
      </c>
      <c r="C718" s="33" t="s">
        <v>21</v>
      </c>
      <c r="D718" s="62" t="s">
        <v>30</v>
      </c>
      <c r="E718" s="59" t="s">
        <v>234</v>
      </c>
      <c r="F718" s="27">
        <v>4</v>
      </c>
      <c r="G718" s="28">
        <f t="shared" si="159"/>
        <v>20</v>
      </c>
      <c r="H718" s="26" t="s">
        <v>20</v>
      </c>
      <c r="I718" s="26" t="s">
        <v>31</v>
      </c>
      <c r="J718" s="26" t="s">
        <v>28</v>
      </c>
      <c r="K718" s="29">
        <v>0.86111111111111116</v>
      </c>
      <c r="L718" s="29">
        <v>0.87152777777777779</v>
      </c>
      <c r="M718" s="30">
        <f t="shared" ca="1" si="160"/>
        <v>1.041666666666663E-2</v>
      </c>
      <c r="N718" s="46"/>
      <c r="O718" s="47"/>
    </row>
    <row r="719" spans="1:15" ht="15" customHeight="1">
      <c r="A719" s="69">
        <v>46230</v>
      </c>
      <c r="B719" s="32">
        <f t="shared" si="161"/>
        <v>0.9166666666666663</v>
      </c>
      <c r="C719" s="33" t="s">
        <v>21</v>
      </c>
      <c r="D719" s="62" t="s">
        <v>30</v>
      </c>
      <c r="E719" s="59" t="s">
        <v>261</v>
      </c>
      <c r="F719" s="27">
        <v>30</v>
      </c>
      <c r="G719" s="34">
        <f t="shared" si="159"/>
        <v>126</v>
      </c>
      <c r="H719" s="33" t="s">
        <v>20</v>
      </c>
      <c r="I719" s="33" t="s">
        <v>31</v>
      </c>
      <c r="J719" s="33" t="s">
        <v>62</v>
      </c>
      <c r="K719" s="29">
        <v>0.95486111111111116</v>
      </c>
      <c r="L719" s="29">
        <v>0.96597222222222223</v>
      </c>
      <c r="M719" s="35">
        <f t="shared" ca="1" si="160"/>
        <v>1.1111111111111072E-2</v>
      </c>
      <c r="N719" s="46"/>
      <c r="O719" s="47"/>
    </row>
    <row r="720" spans="1:15" ht="15" customHeight="1">
      <c r="A720" s="68">
        <v>46230</v>
      </c>
      <c r="B720" s="25">
        <f t="shared" si="161"/>
        <v>0.95833333333333293</v>
      </c>
      <c r="C720" s="33" t="s">
        <v>21</v>
      </c>
      <c r="D720" s="62" t="s">
        <v>30</v>
      </c>
      <c r="E720" s="59" t="s">
        <v>261</v>
      </c>
      <c r="F720" s="27">
        <v>13</v>
      </c>
      <c r="G720" s="28">
        <f t="shared" si="159"/>
        <v>54.6</v>
      </c>
      <c r="H720" s="26" t="s">
        <v>20</v>
      </c>
      <c r="I720" s="26" t="s">
        <v>31</v>
      </c>
      <c r="J720" s="26" t="s">
        <v>62</v>
      </c>
      <c r="K720" s="29">
        <v>0.97847222222222219</v>
      </c>
      <c r="L720" s="29">
        <v>0.9916666666666667</v>
      </c>
      <c r="M720" s="30">
        <f t="shared" ca="1" si="160"/>
        <v>1.3194444444444509E-2</v>
      </c>
      <c r="N720" s="46"/>
      <c r="O720" s="47"/>
    </row>
    <row r="721" spans="1:15" ht="15" customHeight="1">
      <c r="A721" s="69">
        <v>46230</v>
      </c>
      <c r="B721" s="32">
        <f t="shared" si="161"/>
        <v>0.99999999999999956</v>
      </c>
      <c r="C721" s="33" t="s">
        <v>21</v>
      </c>
      <c r="D721" s="62" t="s">
        <v>30</v>
      </c>
      <c r="E721" s="59" t="s">
        <v>261</v>
      </c>
      <c r="F721" s="27">
        <v>2</v>
      </c>
      <c r="G721" s="34">
        <f t="shared" si="159"/>
        <v>8.4</v>
      </c>
      <c r="H721" s="33" t="s">
        <v>20</v>
      </c>
      <c r="I721" s="33" t="s">
        <v>39</v>
      </c>
      <c r="J721" s="33" t="s">
        <v>28</v>
      </c>
      <c r="K721" s="29">
        <v>3.888888888888889E-2</v>
      </c>
      <c r="L721" s="29">
        <v>7.2222222222222215E-2</v>
      </c>
      <c r="M721" s="35">
        <f t="shared" ca="1" si="160"/>
        <v>3.3333333333333326E-2</v>
      </c>
      <c r="N721" s="46" t="s">
        <v>339</v>
      </c>
      <c r="O721" s="47"/>
    </row>
    <row r="722" spans="1:15" ht="15" customHeight="1">
      <c r="A722" s="68">
        <v>46230</v>
      </c>
      <c r="B722" s="25">
        <f t="shared" si="161"/>
        <v>1.0416666666666663</v>
      </c>
      <c r="C722" s="33" t="s">
        <v>21</v>
      </c>
      <c r="D722" s="62" t="s">
        <v>30</v>
      </c>
      <c r="E722" s="59" t="s">
        <v>261</v>
      </c>
      <c r="F722" s="27">
        <v>24</v>
      </c>
      <c r="G722" s="28">
        <f t="shared" si="159"/>
        <v>100.80000000000001</v>
      </c>
      <c r="H722" s="26" t="s">
        <v>18</v>
      </c>
      <c r="I722" s="26" t="s">
        <v>39</v>
      </c>
      <c r="J722" s="26" t="s">
        <v>154</v>
      </c>
      <c r="K722" s="29">
        <v>0.16319444444444445</v>
      </c>
      <c r="L722" s="29">
        <v>0.18680555555555556</v>
      </c>
      <c r="M722" s="30">
        <f t="shared" ca="1" si="160"/>
        <v>2.361111111111111E-2</v>
      </c>
      <c r="N722" s="46"/>
      <c r="O722" s="47"/>
    </row>
    <row r="723" spans="1:15" ht="15" customHeight="1">
      <c r="A723" s="69">
        <v>46230</v>
      </c>
      <c r="B723" s="32">
        <f t="shared" si="161"/>
        <v>1.083333333333333</v>
      </c>
      <c r="C723" s="33" t="s">
        <v>21</v>
      </c>
      <c r="D723" s="62" t="s">
        <v>30</v>
      </c>
      <c r="E723" s="59" t="s">
        <v>261</v>
      </c>
      <c r="F723" s="27">
        <v>10</v>
      </c>
      <c r="G723" s="34">
        <f t="shared" si="159"/>
        <v>42</v>
      </c>
      <c r="H723" s="33"/>
      <c r="I723" s="33"/>
      <c r="J723" s="33"/>
      <c r="K723" s="29"/>
      <c r="L723" s="29"/>
      <c r="M723" s="35" t="str">
        <f t="shared" ca="1" si="160"/>
        <v/>
      </c>
      <c r="N723" s="46"/>
      <c r="O723" s="47"/>
    </row>
    <row r="724" spans="1:15" ht="15" customHeight="1">
      <c r="A724" s="68">
        <v>46230</v>
      </c>
      <c r="B724" s="25">
        <f t="shared" si="161"/>
        <v>1.1249999999999998</v>
      </c>
      <c r="C724" s="33" t="s">
        <v>21</v>
      </c>
      <c r="D724" s="62" t="s">
        <v>30</v>
      </c>
      <c r="E724" s="59" t="s">
        <v>261</v>
      </c>
      <c r="F724" s="27">
        <v>10</v>
      </c>
      <c r="G724" s="28">
        <f t="shared" si="159"/>
        <v>42</v>
      </c>
      <c r="H724" s="26"/>
      <c r="I724" s="26"/>
      <c r="J724" s="26"/>
      <c r="K724" s="29"/>
      <c r="L724" s="29"/>
      <c r="M724" s="30" t="str">
        <f t="shared" ca="1" si="160"/>
        <v/>
      </c>
      <c r="N724" s="46"/>
      <c r="O724" s="47"/>
    </row>
    <row r="725" spans="1:15" ht="15" customHeight="1">
      <c r="A725" s="69">
        <v>46230</v>
      </c>
      <c r="B725" s="32">
        <f t="shared" si="161"/>
        <v>1.1666666666666665</v>
      </c>
      <c r="C725" s="33" t="s">
        <v>21</v>
      </c>
      <c r="D725" s="62" t="s">
        <v>30</v>
      </c>
      <c r="E725" s="59" t="s">
        <v>234</v>
      </c>
      <c r="F725" s="27">
        <v>20</v>
      </c>
      <c r="G725" s="34">
        <f t="shared" si="159"/>
        <v>100</v>
      </c>
      <c r="H725" s="33"/>
      <c r="I725" s="33"/>
      <c r="J725" s="33"/>
      <c r="K725" s="29"/>
      <c r="L725" s="29"/>
      <c r="M725" s="35" t="str">
        <f t="shared" ca="1" si="160"/>
        <v/>
      </c>
      <c r="N725" s="46"/>
      <c r="O725" s="47"/>
    </row>
    <row r="726" spans="1:15" ht="15" customHeight="1">
      <c r="A726" s="68">
        <v>46230</v>
      </c>
      <c r="B726" s="25">
        <f t="shared" si="161"/>
        <v>1.2083333333333333</v>
      </c>
      <c r="C726" s="33" t="s">
        <v>21</v>
      </c>
      <c r="D726" s="62" t="s">
        <v>30</v>
      </c>
      <c r="E726" s="59" t="s">
        <v>234</v>
      </c>
      <c r="F726" s="27">
        <v>12</v>
      </c>
      <c r="G726" s="28">
        <f t="shared" si="159"/>
        <v>60</v>
      </c>
      <c r="H726" s="26"/>
      <c r="I726" s="26"/>
      <c r="J726" s="26"/>
      <c r="K726" s="29"/>
      <c r="L726" s="29"/>
      <c r="M726" s="30" t="str">
        <f t="shared" ca="1" si="160"/>
        <v/>
      </c>
      <c r="N726" s="46"/>
      <c r="O726" s="47"/>
    </row>
    <row r="727" spans="1:15" ht="15" customHeight="1">
      <c r="A727" s="69">
        <v>46230</v>
      </c>
      <c r="B727" s="32">
        <f t="shared" si="161"/>
        <v>1.25</v>
      </c>
      <c r="C727" s="33" t="s">
        <v>21</v>
      </c>
      <c r="D727" s="62" t="s">
        <v>30</v>
      </c>
      <c r="E727" s="59" t="s">
        <v>234</v>
      </c>
      <c r="F727" s="27">
        <v>10</v>
      </c>
      <c r="G727" s="34">
        <f t="shared" si="159"/>
        <v>50</v>
      </c>
      <c r="H727" s="33"/>
      <c r="I727" s="33"/>
      <c r="J727" s="33"/>
      <c r="K727" s="29"/>
      <c r="L727" s="29"/>
      <c r="M727" s="35" t="str">
        <f t="shared" ca="1" si="160"/>
        <v/>
      </c>
      <c r="N727" s="46"/>
      <c r="O727" s="47"/>
    </row>
    <row r="728" spans="1:15" ht="15" customHeight="1">
      <c r="A728" s="68">
        <v>46230</v>
      </c>
      <c r="B728" s="25">
        <f t="shared" si="161"/>
        <v>1.2916666666666667</v>
      </c>
      <c r="C728" s="33" t="s">
        <v>21</v>
      </c>
      <c r="D728" s="62" t="s">
        <v>30</v>
      </c>
      <c r="E728" s="59" t="s">
        <v>261</v>
      </c>
      <c r="F728" s="27">
        <v>6</v>
      </c>
      <c r="G728" s="28">
        <f t="shared" si="159"/>
        <v>25.200000000000003</v>
      </c>
      <c r="H728" s="26"/>
      <c r="I728" s="26"/>
      <c r="J728" s="26"/>
      <c r="K728" s="29"/>
      <c r="L728" s="29"/>
      <c r="M728" s="30" t="str">
        <f t="shared" ca="1" si="160"/>
        <v/>
      </c>
      <c r="N728" s="46"/>
      <c r="O728" s="47"/>
    </row>
    <row r="729" spans="1:15" ht="15.75" customHeight="1">
      <c r="A729" s="119" t="s">
        <v>238</v>
      </c>
      <c r="B729" s="120"/>
      <c r="C729" s="120"/>
      <c r="D729" s="120"/>
      <c r="E729" s="121">
        <f>SUM(E717:E728)</f>
        <v>0</v>
      </c>
      <c r="F729" s="36">
        <f>SUM(F717:F728)</f>
        <v>158</v>
      </c>
      <c r="G729" s="36">
        <f>SUM(G717:G728)</f>
        <v>700.40000000000009</v>
      </c>
      <c r="H729" s="37"/>
      <c r="I729" s="37"/>
      <c r="J729" s="37"/>
      <c r="K729" s="37"/>
      <c r="L729" s="37"/>
      <c r="M729" s="38">
        <f ca="1">IFERROR(SUM(M717:M728),"")</f>
        <v>0.11597222222222223</v>
      </c>
      <c r="N729" s="36" t="s">
        <v>237</v>
      </c>
      <c r="O729" s="77">
        <v>766420</v>
      </c>
    </row>
    <row r="730" spans="1:15" ht="18" customHeight="1">
      <c r="A730" s="122" t="s">
        <v>239</v>
      </c>
      <c r="B730" s="123"/>
      <c r="C730" s="123"/>
      <c r="D730" s="123"/>
      <c r="E730" s="124">
        <f>E716+E729</f>
        <v>0</v>
      </c>
      <c r="F730" s="40">
        <f>F716+F729</f>
        <v>275</v>
      </c>
      <c r="G730" s="40">
        <f>G716+G729</f>
        <v>1191.8000000000002</v>
      </c>
      <c r="H730" s="41"/>
      <c r="I730" s="41"/>
      <c r="J730" s="41"/>
      <c r="K730" s="41"/>
      <c r="L730" s="41"/>
      <c r="M730" s="42">
        <f ca="1">IFERROR(M716+M729,"")</f>
        <v>0.4097222222222221</v>
      </c>
      <c r="N730" s="40" t="s">
        <v>240</v>
      </c>
      <c r="O730" s="83">
        <f>IFERROR(O716+O729,"")</f>
        <v>1246180</v>
      </c>
    </row>
    <row r="731" spans="1:15" ht="15" customHeight="1">
      <c r="A731" s="69">
        <v>46231</v>
      </c>
      <c r="B731" s="32">
        <v>0.33333333333333298</v>
      </c>
      <c r="C731" s="33" t="s">
        <v>29</v>
      </c>
      <c r="D731" s="62" t="s">
        <v>30</v>
      </c>
      <c r="E731" s="62" t="s">
        <v>261</v>
      </c>
      <c r="F731" s="27">
        <v>14</v>
      </c>
      <c r="G731" s="34">
        <f t="shared" ref="G731:G742" si="162">IF(F731="","",IF(E731="PC 17",F731*4.2,IF(E731="PC 19",F731*5,"")))</f>
        <v>58.800000000000004</v>
      </c>
      <c r="H731" s="33" t="s">
        <v>19</v>
      </c>
      <c r="I731" s="33" t="s">
        <v>31</v>
      </c>
      <c r="J731" s="33" t="s">
        <v>27</v>
      </c>
      <c r="K731" s="29">
        <v>0.51944444444444449</v>
      </c>
      <c r="L731" s="29">
        <v>0.52986111111111112</v>
      </c>
      <c r="M731" s="35">
        <f t="shared" ref="M731:M742" ca="1" si="163">IFERROR(IF(K731="","",IF(L731="",MOD(NOW()-K731,1),IF(L731&gt;=K731,L731-K731,L731+1-K731))),"")</f>
        <v>1.041666666666663E-2</v>
      </c>
      <c r="N731" s="46"/>
      <c r="O731" s="47"/>
    </row>
    <row r="732" spans="1:15" ht="15" customHeight="1">
      <c r="A732" s="68">
        <v>46231</v>
      </c>
      <c r="B732" s="25">
        <f t="shared" ref="B732:B742" si="164">B731+TIME(0,60,0)</f>
        <v>0.37499999999999967</v>
      </c>
      <c r="C732" s="33" t="s">
        <v>29</v>
      </c>
      <c r="D732" s="62" t="s">
        <v>30</v>
      </c>
      <c r="E732" s="59" t="s">
        <v>261</v>
      </c>
      <c r="F732" s="27">
        <v>13</v>
      </c>
      <c r="G732" s="28">
        <f t="shared" si="162"/>
        <v>54.6</v>
      </c>
      <c r="H732" s="26" t="s">
        <v>18</v>
      </c>
      <c r="I732" s="26" t="s">
        <v>31</v>
      </c>
      <c r="J732" s="26" t="s">
        <v>128</v>
      </c>
      <c r="K732" s="29">
        <v>0.52986111111111112</v>
      </c>
      <c r="L732" s="29">
        <v>0.54166666666666663</v>
      </c>
      <c r="M732" s="30">
        <f t="shared" ca="1" si="163"/>
        <v>1.1805555555555514E-2</v>
      </c>
      <c r="N732" s="46" t="s">
        <v>340</v>
      </c>
      <c r="O732" s="47"/>
    </row>
    <row r="733" spans="1:15" ht="15" customHeight="1">
      <c r="A733" s="69">
        <v>46231</v>
      </c>
      <c r="B733" s="32">
        <f t="shared" si="164"/>
        <v>0.41666666666666635</v>
      </c>
      <c r="C733" s="33" t="s">
        <v>29</v>
      </c>
      <c r="D733" s="62" t="s">
        <v>30</v>
      </c>
      <c r="E733" s="62" t="s">
        <v>261</v>
      </c>
      <c r="F733" s="27">
        <v>14</v>
      </c>
      <c r="G733" s="34">
        <f t="shared" si="162"/>
        <v>58.800000000000004</v>
      </c>
      <c r="H733" s="33" t="s">
        <v>19</v>
      </c>
      <c r="I733" s="33" t="s">
        <v>39</v>
      </c>
      <c r="J733" s="33" t="s">
        <v>27</v>
      </c>
      <c r="K733" s="29">
        <v>0.54166666666666663</v>
      </c>
      <c r="L733" s="29">
        <v>0.55208333333333337</v>
      </c>
      <c r="M733" s="35">
        <f t="shared" ca="1" si="163"/>
        <v>1.0416666666666741E-2</v>
      </c>
      <c r="N733" s="46"/>
      <c r="O733" s="47"/>
    </row>
    <row r="734" spans="1:15" ht="15" customHeight="1">
      <c r="A734" s="68">
        <v>46231</v>
      </c>
      <c r="B734" s="25">
        <f t="shared" si="164"/>
        <v>0.45833333333333304</v>
      </c>
      <c r="C734" s="33" t="s">
        <v>29</v>
      </c>
      <c r="D734" s="62" t="s">
        <v>30</v>
      </c>
      <c r="E734" s="59" t="s">
        <v>261</v>
      </c>
      <c r="F734" s="27">
        <v>13</v>
      </c>
      <c r="G734" s="28">
        <f t="shared" si="162"/>
        <v>54.6</v>
      </c>
      <c r="H734" s="26" t="s">
        <v>19</v>
      </c>
      <c r="I734" s="26" t="s">
        <v>39</v>
      </c>
      <c r="J734" s="26" t="s">
        <v>35</v>
      </c>
      <c r="K734" s="29">
        <v>0.55208333333333337</v>
      </c>
      <c r="L734" s="29">
        <v>0.56388888888888888</v>
      </c>
      <c r="M734" s="30">
        <f t="shared" ca="1" si="163"/>
        <v>1.1805555555555514E-2</v>
      </c>
      <c r="N734" s="46"/>
      <c r="O734" s="47"/>
    </row>
    <row r="735" spans="1:15" ht="15" customHeight="1">
      <c r="A735" s="69">
        <v>46231</v>
      </c>
      <c r="B735" s="32">
        <f t="shared" si="164"/>
        <v>0.49999999999999972</v>
      </c>
      <c r="C735" s="33" t="s">
        <v>29</v>
      </c>
      <c r="D735" s="62" t="s">
        <v>30</v>
      </c>
      <c r="E735" s="62" t="s">
        <v>261</v>
      </c>
      <c r="F735" s="27">
        <v>12</v>
      </c>
      <c r="G735" s="34">
        <f t="shared" si="162"/>
        <v>50.400000000000006</v>
      </c>
      <c r="H735" s="33" t="s">
        <v>20</v>
      </c>
      <c r="I735" s="33" t="s">
        <v>121</v>
      </c>
      <c r="J735" s="33" t="s">
        <v>113</v>
      </c>
      <c r="K735" s="29">
        <v>0.68680555555555556</v>
      </c>
      <c r="L735" s="29">
        <v>0.7006944444444444</v>
      </c>
      <c r="M735" s="35">
        <f t="shared" ca="1" si="163"/>
        <v>1.388888888888884E-2</v>
      </c>
      <c r="N735" s="46"/>
      <c r="O735" s="47"/>
    </row>
    <row r="736" spans="1:15" ht="15" customHeight="1">
      <c r="A736" s="68">
        <v>46231</v>
      </c>
      <c r="B736" s="25">
        <f t="shared" si="164"/>
        <v>0.54166666666666641</v>
      </c>
      <c r="C736" s="33" t="s">
        <v>29</v>
      </c>
      <c r="D736" s="62" t="s">
        <v>30</v>
      </c>
      <c r="E736" s="59" t="s">
        <v>261</v>
      </c>
      <c r="F736" s="27">
        <v>0</v>
      </c>
      <c r="G736" s="28">
        <f t="shared" si="162"/>
        <v>0</v>
      </c>
      <c r="H736" s="26" t="s">
        <v>17</v>
      </c>
      <c r="I736" s="26" t="s">
        <v>133</v>
      </c>
      <c r="J736" s="26" t="s">
        <v>49</v>
      </c>
      <c r="K736" s="29">
        <v>0.7006944444444444</v>
      </c>
      <c r="L736" s="29">
        <v>0.70277777777777772</v>
      </c>
      <c r="M736" s="30">
        <f t="shared" ca="1" si="163"/>
        <v>2.0833333333333259E-3</v>
      </c>
      <c r="N736" s="46"/>
      <c r="O736" s="47"/>
    </row>
    <row r="737" spans="1:15" ht="15" customHeight="1">
      <c r="A737" s="69">
        <v>46231</v>
      </c>
      <c r="B737" s="32">
        <f t="shared" si="164"/>
        <v>0.58333333333333304</v>
      </c>
      <c r="C737" s="33" t="s">
        <v>29</v>
      </c>
      <c r="D737" s="62" t="s">
        <v>30</v>
      </c>
      <c r="E737" s="62" t="s">
        <v>261</v>
      </c>
      <c r="F737" s="27">
        <v>27</v>
      </c>
      <c r="G737" s="34">
        <f t="shared" si="162"/>
        <v>113.4</v>
      </c>
      <c r="H737" s="33" t="s">
        <v>20</v>
      </c>
      <c r="I737" s="33" t="s">
        <v>39</v>
      </c>
      <c r="J737" s="33" t="s">
        <v>56</v>
      </c>
      <c r="K737" s="29">
        <v>0.72847222222222219</v>
      </c>
      <c r="L737" s="29">
        <v>0.73819444444444449</v>
      </c>
      <c r="M737" s="35">
        <f t="shared" ca="1" si="163"/>
        <v>9.7222222222222987E-3</v>
      </c>
      <c r="N737" s="46" t="s">
        <v>341</v>
      </c>
      <c r="O737" s="47"/>
    </row>
    <row r="738" spans="1:15" ht="15" customHeight="1">
      <c r="A738" s="68">
        <v>46231</v>
      </c>
      <c r="B738" s="25">
        <f t="shared" si="164"/>
        <v>0.62499999999999967</v>
      </c>
      <c r="C738" s="33" t="s">
        <v>29</v>
      </c>
      <c r="D738" s="62" t="s">
        <v>30</v>
      </c>
      <c r="E738" s="59" t="s">
        <v>261</v>
      </c>
      <c r="F738" s="27">
        <v>13</v>
      </c>
      <c r="G738" s="28">
        <f t="shared" si="162"/>
        <v>54.6</v>
      </c>
      <c r="H738" s="26"/>
      <c r="I738" s="26"/>
      <c r="J738" s="26"/>
      <c r="K738" s="29"/>
      <c r="L738" s="29"/>
      <c r="M738" s="30" t="str">
        <f t="shared" ca="1" si="163"/>
        <v/>
      </c>
      <c r="N738" s="46"/>
      <c r="O738" s="47"/>
    </row>
    <row r="739" spans="1:15" ht="15" customHeight="1">
      <c r="A739" s="69">
        <v>46231</v>
      </c>
      <c r="B739" s="32">
        <f t="shared" si="164"/>
        <v>0.6666666666666663</v>
      </c>
      <c r="C739" s="33" t="s">
        <v>29</v>
      </c>
      <c r="D739" s="62" t="s">
        <v>30</v>
      </c>
      <c r="E739" s="62" t="s">
        <v>261</v>
      </c>
      <c r="F739" s="27">
        <v>0</v>
      </c>
      <c r="G739" s="34">
        <f t="shared" si="162"/>
        <v>0</v>
      </c>
      <c r="H739" s="33"/>
      <c r="I739" s="33"/>
      <c r="J739" s="33"/>
      <c r="K739" s="29"/>
      <c r="L739" s="29"/>
      <c r="M739" s="35" t="str">
        <f t="shared" ca="1" si="163"/>
        <v/>
      </c>
      <c r="N739" s="46"/>
      <c r="O739" s="47"/>
    </row>
    <row r="740" spans="1:15" ht="15" customHeight="1">
      <c r="A740" s="68">
        <v>46231</v>
      </c>
      <c r="B740" s="25">
        <f t="shared" si="164"/>
        <v>0.70833333333333293</v>
      </c>
      <c r="C740" s="33" t="s">
        <v>29</v>
      </c>
      <c r="D740" s="62" t="s">
        <v>30</v>
      </c>
      <c r="E740" s="59" t="s">
        <v>261</v>
      </c>
      <c r="F740" s="27">
        <v>15</v>
      </c>
      <c r="G740" s="28">
        <f t="shared" si="162"/>
        <v>63</v>
      </c>
      <c r="H740" s="26"/>
      <c r="I740" s="26"/>
      <c r="J740" s="26"/>
      <c r="K740" s="29"/>
      <c r="L740" s="29"/>
      <c r="M740" s="30" t="str">
        <f t="shared" ca="1" si="163"/>
        <v/>
      </c>
      <c r="N740" s="46"/>
      <c r="O740" s="47"/>
    </row>
    <row r="741" spans="1:15" ht="15" customHeight="1">
      <c r="A741" s="69">
        <v>46231</v>
      </c>
      <c r="B741" s="32">
        <f t="shared" si="164"/>
        <v>0.74999999999999956</v>
      </c>
      <c r="C741" s="33" t="s">
        <v>29</v>
      </c>
      <c r="D741" s="62" t="s">
        <v>30</v>
      </c>
      <c r="E741" s="62" t="s">
        <v>261</v>
      </c>
      <c r="F741" s="27">
        <v>9</v>
      </c>
      <c r="G741" s="34">
        <f t="shared" si="162"/>
        <v>37.800000000000004</v>
      </c>
      <c r="H741" s="33"/>
      <c r="I741" s="33"/>
      <c r="J741" s="33"/>
      <c r="K741" s="29"/>
      <c r="L741" s="29"/>
      <c r="M741" s="35" t="str">
        <f t="shared" ca="1" si="163"/>
        <v/>
      </c>
      <c r="N741" s="46"/>
      <c r="O741" s="47"/>
    </row>
    <row r="742" spans="1:15" ht="15" customHeight="1">
      <c r="A742" s="68">
        <v>46231</v>
      </c>
      <c r="B742" s="25">
        <f t="shared" si="164"/>
        <v>0.79166666666666619</v>
      </c>
      <c r="C742" s="33" t="s">
        <v>29</v>
      </c>
      <c r="D742" s="62" t="s">
        <v>30</v>
      </c>
      <c r="E742" s="59" t="s">
        <v>261</v>
      </c>
      <c r="F742" s="27">
        <v>5</v>
      </c>
      <c r="G742" s="28">
        <f t="shared" si="162"/>
        <v>21</v>
      </c>
      <c r="H742" s="26"/>
      <c r="I742" s="26"/>
      <c r="J742" s="26"/>
      <c r="K742" s="29"/>
      <c r="L742" s="29"/>
      <c r="M742" s="30" t="str">
        <f t="shared" ca="1" si="163"/>
        <v/>
      </c>
      <c r="N742" s="46"/>
      <c r="O742" s="47"/>
    </row>
    <row r="743" spans="1:15" ht="15.75" customHeight="1">
      <c r="A743" s="119" t="s">
        <v>236</v>
      </c>
      <c r="B743" s="120"/>
      <c r="C743" s="120"/>
      <c r="D743" s="120"/>
      <c r="E743" s="121">
        <f>SUM(E731:E742)</f>
        <v>0</v>
      </c>
      <c r="F743" s="36">
        <f>SUM(F731:F742)</f>
        <v>135</v>
      </c>
      <c r="G743" s="36">
        <f>SUM(G731:G742)</f>
        <v>567</v>
      </c>
      <c r="H743" s="37"/>
      <c r="I743" s="37"/>
      <c r="J743" s="37"/>
      <c r="K743" s="37"/>
      <c r="L743" s="37"/>
      <c r="M743" s="38">
        <f ca="1">IFERROR(SUM(M731:M742),"")</f>
        <v>7.0138888888888862E-2</v>
      </c>
      <c r="N743" s="36" t="s">
        <v>237</v>
      </c>
      <c r="O743" s="77">
        <v>658990</v>
      </c>
    </row>
    <row r="744" spans="1:15" ht="15" customHeight="1">
      <c r="A744" s="68">
        <v>46231</v>
      </c>
      <c r="B744" s="25">
        <v>0.83333333333333304</v>
      </c>
      <c r="C744" s="26" t="s">
        <v>21</v>
      </c>
      <c r="D744" s="59" t="s">
        <v>30</v>
      </c>
      <c r="E744" s="59" t="s">
        <v>261</v>
      </c>
      <c r="F744" s="27">
        <v>24</v>
      </c>
      <c r="G744" s="28">
        <f t="shared" ref="G744:G755" si="165">IF(F744="","",IF(E744="PC 17",F744*4.2,IF(E744="PC 19",F744*5,"")))</f>
        <v>100.80000000000001</v>
      </c>
      <c r="H744" s="26" t="s">
        <v>17</v>
      </c>
      <c r="I744" s="26"/>
      <c r="J744" s="26" t="s">
        <v>25</v>
      </c>
      <c r="K744" s="29">
        <v>0.88888888888888884</v>
      </c>
      <c r="L744" s="29">
        <v>0.92708333333333337</v>
      </c>
      <c r="M744" s="30">
        <f t="shared" ref="M744:M755" ca="1" si="166">IFERROR(IF(K744="","",IF(L744="",MOD(NOW()-K744,1),IF(L744&gt;=K744,L744-K744,L744+1-K744))),"")</f>
        <v>3.8194444444444531E-2</v>
      </c>
      <c r="N744" s="46"/>
      <c r="O744" s="47"/>
    </row>
    <row r="745" spans="1:15" ht="15" customHeight="1">
      <c r="A745" s="69">
        <v>46231</v>
      </c>
      <c r="B745" s="32">
        <f t="shared" ref="B745:B755" si="167">B744+TIME(0,60,0)</f>
        <v>0.87499999999999967</v>
      </c>
      <c r="C745" s="26" t="s">
        <v>21</v>
      </c>
      <c r="D745" s="59" t="s">
        <v>30</v>
      </c>
      <c r="E745" s="59" t="s">
        <v>261</v>
      </c>
      <c r="F745" s="27">
        <v>11</v>
      </c>
      <c r="G745" s="34">
        <f t="shared" si="165"/>
        <v>46.2</v>
      </c>
      <c r="H745" s="33" t="s">
        <v>20</v>
      </c>
      <c r="I745" s="33" t="s">
        <v>39</v>
      </c>
      <c r="J745" s="33" t="s">
        <v>28</v>
      </c>
      <c r="K745" s="29">
        <v>0.93541666666666667</v>
      </c>
      <c r="L745" s="29">
        <v>0.9375</v>
      </c>
      <c r="M745" s="35">
        <f t="shared" ca="1" si="166"/>
        <v>2.0833333333333259E-3</v>
      </c>
      <c r="N745" s="46"/>
      <c r="O745" s="47"/>
    </row>
    <row r="746" spans="1:15" ht="15" customHeight="1">
      <c r="A746" s="68">
        <v>46231</v>
      </c>
      <c r="B746" s="25">
        <f t="shared" si="167"/>
        <v>0.9166666666666663</v>
      </c>
      <c r="C746" s="26" t="s">
        <v>21</v>
      </c>
      <c r="D746" s="59" t="s">
        <v>30</v>
      </c>
      <c r="E746" s="59" t="s">
        <v>261</v>
      </c>
      <c r="F746" s="27">
        <v>10</v>
      </c>
      <c r="G746" s="28">
        <f t="shared" si="165"/>
        <v>42</v>
      </c>
      <c r="H746" s="26" t="s">
        <v>20</v>
      </c>
      <c r="I746" s="26" t="s">
        <v>39</v>
      </c>
      <c r="J746" s="26" t="s">
        <v>62</v>
      </c>
      <c r="K746" s="29">
        <v>7.6388888888888886E-3</v>
      </c>
      <c r="L746" s="29">
        <v>1.3888888888888888E-2</v>
      </c>
      <c r="M746" s="30">
        <f t="shared" ca="1" si="166"/>
        <v>6.2499999999999995E-3</v>
      </c>
      <c r="N746" s="46"/>
      <c r="O746" s="47"/>
    </row>
    <row r="747" spans="1:15" ht="15" customHeight="1">
      <c r="A747" s="69">
        <v>46231</v>
      </c>
      <c r="B747" s="32">
        <f t="shared" si="167"/>
        <v>0.95833333333333293</v>
      </c>
      <c r="C747" s="26" t="s">
        <v>21</v>
      </c>
      <c r="D747" s="59" t="s">
        <v>30</v>
      </c>
      <c r="E747" s="59" t="s">
        <v>261</v>
      </c>
      <c r="F747" s="27">
        <v>9</v>
      </c>
      <c r="G747" s="34">
        <f t="shared" si="165"/>
        <v>37.800000000000004</v>
      </c>
      <c r="H747" s="33" t="s">
        <v>19</v>
      </c>
      <c r="I747" s="33" t="s">
        <v>157</v>
      </c>
      <c r="J747" s="33" t="s">
        <v>27</v>
      </c>
      <c r="K747" s="29">
        <v>6.805555555555555E-2</v>
      </c>
      <c r="L747" s="29">
        <v>9.7916666666666666E-2</v>
      </c>
      <c r="M747" s="35">
        <f t="shared" ca="1" si="166"/>
        <v>2.9861111111111116E-2</v>
      </c>
      <c r="N747" s="46"/>
      <c r="O747" s="47"/>
    </row>
    <row r="748" spans="1:15" ht="15" customHeight="1">
      <c r="A748" s="68">
        <v>46231</v>
      </c>
      <c r="B748" s="25">
        <f t="shared" si="167"/>
        <v>0.99999999999999956</v>
      </c>
      <c r="C748" s="26" t="s">
        <v>21</v>
      </c>
      <c r="D748" s="59" t="s">
        <v>30</v>
      </c>
      <c r="E748" s="59" t="s">
        <v>261</v>
      </c>
      <c r="F748" s="27">
        <v>14</v>
      </c>
      <c r="G748" s="28">
        <f t="shared" si="165"/>
        <v>58.800000000000004</v>
      </c>
      <c r="H748" s="26" t="s">
        <v>17</v>
      </c>
      <c r="I748" s="26"/>
      <c r="J748" s="26" t="s">
        <v>25</v>
      </c>
      <c r="K748" s="29">
        <v>0.11805555555555555</v>
      </c>
      <c r="L748" s="29">
        <v>0.1388888888888889</v>
      </c>
      <c r="M748" s="30">
        <f t="shared" ca="1" si="166"/>
        <v>2.0833333333333343E-2</v>
      </c>
      <c r="N748" s="46"/>
      <c r="O748" s="47"/>
    </row>
    <row r="749" spans="1:15" ht="15" customHeight="1">
      <c r="A749" s="69">
        <v>46231</v>
      </c>
      <c r="B749" s="32">
        <f t="shared" si="167"/>
        <v>1.0416666666666663</v>
      </c>
      <c r="C749" s="26" t="s">
        <v>21</v>
      </c>
      <c r="D749" s="59" t="s">
        <v>30</v>
      </c>
      <c r="E749" s="59" t="s">
        <v>261</v>
      </c>
      <c r="F749" s="27">
        <v>21</v>
      </c>
      <c r="G749" s="34">
        <f t="shared" si="165"/>
        <v>88.2</v>
      </c>
      <c r="H749" s="33"/>
      <c r="I749" s="33"/>
      <c r="J749" s="33"/>
      <c r="K749" s="29"/>
      <c r="L749" s="29"/>
      <c r="M749" s="35" t="str">
        <f t="shared" ca="1" si="166"/>
        <v/>
      </c>
      <c r="N749" s="46"/>
      <c r="O749" s="47"/>
    </row>
    <row r="750" spans="1:15" ht="15" customHeight="1">
      <c r="A750" s="68">
        <v>46231</v>
      </c>
      <c r="B750" s="25">
        <f t="shared" si="167"/>
        <v>1.083333333333333</v>
      </c>
      <c r="C750" s="26" t="s">
        <v>21</v>
      </c>
      <c r="D750" s="59" t="s">
        <v>30</v>
      </c>
      <c r="E750" s="59" t="s">
        <v>261</v>
      </c>
      <c r="F750" s="27">
        <v>5</v>
      </c>
      <c r="G750" s="28">
        <f t="shared" si="165"/>
        <v>21</v>
      </c>
      <c r="H750" s="26"/>
      <c r="I750" s="26"/>
      <c r="J750" s="26"/>
      <c r="K750" s="29"/>
      <c r="L750" s="29"/>
      <c r="M750" s="30" t="str">
        <f t="shared" ca="1" si="166"/>
        <v/>
      </c>
      <c r="N750" s="46"/>
      <c r="O750" s="47"/>
    </row>
    <row r="751" spans="1:15" ht="15" customHeight="1">
      <c r="A751" s="69">
        <v>46231</v>
      </c>
      <c r="B751" s="32">
        <f t="shared" si="167"/>
        <v>1.1249999999999998</v>
      </c>
      <c r="C751" s="26" t="s">
        <v>21</v>
      </c>
      <c r="D751" s="59" t="s">
        <v>30</v>
      </c>
      <c r="E751" s="59" t="s">
        <v>261</v>
      </c>
      <c r="F751" s="27">
        <v>5</v>
      </c>
      <c r="G751" s="34">
        <f t="shared" si="165"/>
        <v>21</v>
      </c>
      <c r="H751" s="33"/>
      <c r="I751" s="33"/>
      <c r="J751" s="33"/>
      <c r="K751" s="29"/>
      <c r="L751" s="29"/>
      <c r="M751" s="35" t="str">
        <f t="shared" ca="1" si="166"/>
        <v/>
      </c>
      <c r="N751" s="46"/>
      <c r="O751" s="47"/>
    </row>
    <row r="752" spans="1:15" ht="15" customHeight="1">
      <c r="A752" s="68">
        <v>46231</v>
      </c>
      <c r="B752" s="25">
        <f t="shared" si="167"/>
        <v>1.1666666666666665</v>
      </c>
      <c r="C752" s="26" t="s">
        <v>21</v>
      </c>
      <c r="D752" s="59" t="s">
        <v>30</v>
      </c>
      <c r="E752" s="59" t="s">
        <v>261</v>
      </c>
      <c r="F752" s="27">
        <v>14</v>
      </c>
      <c r="G752" s="28">
        <f t="shared" si="165"/>
        <v>58.800000000000004</v>
      </c>
      <c r="H752" s="26"/>
      <c r="I752" s="26"/>
      <c r="J752" s="26"/>
      <c r="K752" s="29"/>
      <c r="L752" s="29"/>
      <c r="M752" s="30" t="str">
        <f t="shared" ca="1" si="166"/>
        <v/>
      </c>
      <c r="N752" s="46"/>
      <c r="O752" s="47"/>
    </row>
    <row r="753" spans="1:15" ht="15" customHeight="1">
      <c r="A753" s="69">
        <v>46231</v>
      </c>
      <c r="B753" s="32">
        <f t="shared" si="167"/>
        <v>1.2083333333333333</v>
      </c>
      <c r="C753" s="26" t="s">
        <v>21</v>
      </c>
      <c r="D753" s="59" t="s">
        <v>30</v>
      </c>
      <c r="E753" s="59" t="s">
        <v>261</v>
      </c>
      <c r="F753" s="27">
        <v>9</v>
      </c>
      <c r="G753" s="34">
        <f t="shared" si="165"/>
        <v>37.800000000000004</v>
      </c>
      <c r="H753" s="33"/>
      <c r="I753" s="33"/>
      <c r="J753" s="33"/>
      <c r="K753" s="29"/>
      <c r="L753" s="29"/>
      <c r="M753" s="35" t="str">
        <f t="shared" ca="1" si="166"/>
        <v/>
      </c>
      <c r="N753" s="46"/>
      <c r="O753" s="47"/>
    </row>
    <row r="754" spans="1:15" ht="15" customHeight="1">
      <c r="A754" s="68">
        <v>46231</v>
      </c>
      <c r="B754" s="25">
        <f t="shared" si="167"/>
        <v>1.25</v>
      </c>
      <c r="C754" s="26" t="s">
        <v>21</v>
      </c>
      <c r="D754" s="59" t="s">
        <v>30</v>
      </c>
      <c r="E754" s="59" t="s">
        <v>261</v>
      </c>
      <c r="F754" s="27">
        <v>11</v>
      </c>
      <c r="G754" s="28">
        <f t="shared" si="165"/>
        <v>46.2</v>
      </c>
      <c r="H754" s="26"/>
      <c r="I754" s="26"/>
      <c r="J754" s="26"/>
      <c r="K754" s="29"/>
      <c r="L754" s="29"/>
      <c r="M754" s="30" t="str">
        <f t="shared" ca="1" si="166"/>
        <v/>
      </c>
      <c r="N754" s="46"/>
      <c r="O754" s="47"/>
    </row>
    <row r="755" spans="1:15" ht="15" customHeight="1">
      <c r="A755" s="69">
        <v>46231</v>
      </c>
      <c r="B755" s="32">
        <f t="shared" si="167"/>
        <v>1.2916666666666667</v>
      </c>
      <c r="C755" s="26" t="s">
        <v>21</v>
      </c>
      <c r="D755" s="59" t="s">
        <v>30</v>
      </c>
      <c r="E755" s="59" t="s">
        <v>261</v>
      </c>
      <c r="F755" s="27">
        <v>4</v>
      </c>
      <c r="G755" s="34">
        <f t="shared" si="165"/>
        <v>16.8</v>
      </c>
      <c r="H755" s="33"/>
      <c r="I755" s="33"/>
      <c r="J755" s="33"/>
      <c r="K755" s="29"/>
      <c r="L755" s="29"/>
      <c r="M755" s="35" t="str">
        <f t="shared" ca="1" si="166"/>
        <v/>
      </c>
      <c r="N755" s="46"/>
      <c r="O755" s="47"/>
    </row>
    <row r="756" spans="1:15" ht="15.75" customHeight="1">
      <c r="A756" s="119" t="s">
        <v>238</v>
      </c>
      <c r="B756" s="120"/>
      <c r="C756" s="120"/>
      <c r="D756" s="120"/>
      <c r="E756" s="121">
        <f>SUM(E744:E755)</f>
        <v>0</v>
      </c>
      <c r="F756" s="36">
        <f>SUM(F744:F755)</f>
        <v>137</v>
      </c>
      <c r="G756" s="36">
        <f>SUM(G744:G755)</f>
        <v>575.4</v>
      </c>
      <c r="H756" s="37"/>
      <c r="I756" s="37"/>
      <c r="J756" s="37"/>
      <c r="K756" s="37"/>
      <c r="L756" s="37"/>
      <c r="M756" s="38">
        <f ca="1">IFERROR(SUM(M744:M755),"")</f>
        <v>9.7222222222222321E-2</v>
      </c>
      <c r="N756" s="36" t="s">
        <v>237</v>
      </c>
      <c r="O756" s="39">
        <v>605420</v>
      </c>
    </row>
    <row r="757" spans="1:15" ht="18" customHeight="1">
      <c r="A757" s="122" t="s">
        <v>239</v>
      </c>
      <c r="B757" s="123"/>
      <c r="C757" s="123"/>
      <c r="D757" s="123"/>
      <c r="E757" s="124">
        <f>E743+E756</f>
        <v>0</v>
      </c>
      <c r="F757" s="40">
        <f>F743+F756</f>
        <v>272</v>
      </c>
      <c r="G757" s="40">
        <f>G743+G756</f>
        <v>1142.4000000000001</v>
      </c>
      <c r="H757" s="41"/>
      <c r="I757" s="41"/>
      <c r="J757" s="41"/>
      <c r="K757" s="41"/>
      <c r="L757" s="41"/>
      <c r="M757" s="42">
        <f ca="1">IFERROR(M743+M756,"")</f>
        <v>0.16736111111111118</v>
      </c>
      <c r="N757" s="40" t="s">
        <v>240</v>
      </c>
      <c r="O757" s="83">
        <f>IFERROR(O743+O756,"")</f>
        <v>1264410</v>
      </c>
    </row>
    <row r="758" spans="1:15" ht="15" customHeight="1">
      <c r="A758" s="68">
        <v>46232</v>
      </c>
      <c r="B758" s="25">
        <v>0.33333333333333298</v>
      </c>
      <c r="C758" s="26" t="s">
        <v>29</v>
      </c>
      <c r="D758" s="59" t="s">
        <v>30</v>
      </c>
      <c r="E758" s="59" t="s">
        <v>261</v>
      </c>
      <c r="F758" s="27">
        <v>21</v>
      </c>
      <c r="G758" s="28">
        <f t="shared" ref="G758:G769" si="168">IF(F758="","",IF(E758="PC 17",F758*4.2,IF(E758="PC 19",F758*5,"")))</f>
        <v>88.2</v>
      </c>
      <c r="H758" s="26" t="s">
        <v>20</v>
      </c>
      <c r="I758" s="26" t="s">
        <v>155</v>
      </c>
      <c r="J758" s="26" t="s">
        <v>74</v>
      </c>
      <c r="K758" s="29">
        <v>0.37986111111111109</v>
      </c>
      <c r="L758" s="29" t="s">
        <v>342</v>
      </c>
      <c r="M758" s="30" t="str">
        <f t="shared" ref="M758:M769" ca="1" si="169">IFERROR(IF(K758="","",IF(L758="",MOD(NOW()-K758,1),IF(L758&gt;=K758,L758-K758,L758+1-K758))),"")</f>
        <v/>
      </c>
      <c r="N758" s="46"/>
      <c r="O758" s="47"/>
    </row>
    <row r="759" spans="1:15" ht="15" customHeight="1">
      <c r="A759" s="69">
        <v>46232</v>
      </c>
      <c r="B759" s="32">
        <f t="shared" ref="B759:B769" si="170">B758+TIME(0,60,0)</f>
        <v>0.37499999999999967</v>
      </c>
      <c r="C759" s="26" t="s">
        <v>29</v>
      </c>
      <c r="D759" s="59" t="s">
        <v>30</v>
      </c>
      <c r="E759" s="62" t="s">
        <v>261</v>
      </c>
      <c r="F759" s="27">
        <v>20</v>
      </c>
      <c r="G759" s="34">
        <f t="shared" si="168"/>
        <v>84</v>
      </c>
      <c r="H759" s="33" t="s">
        <v>19</v>
      </c>
      <c r="I759" s="33" t="s">
        <v>31</v>
      </c>
      <c r="J759" s="33" t="s">
        <v>50</v>
      </c>
      <c r="K759" s="29">
        <v>0.40902777777777777</v>
      </c>
      <c r="L759" s="29">
        <v>0.45347222222222222</v>
      </c>
      <c r="M759" s="35">
        <f t="shared" ca="1" si="169"/>
        <v>4.4444444444444453E-2</v>
      </c>
      <c r="N759" s="46"/>
      <c r="O759" s="47"/>
    </row>
    <row r="760" spans="1:15" ht="15" customHeight="1">
      <c r="A760" s="68">
        <v>46232</v>
      </c>
      <c r="B760" s="25">
        <f t="shared" si="170"/>
        <v>0.41666666666666635</v>
      </c>
      <c r="C760" s="26" t="s">
        <v>29</v>
      </c>
      <c r="D760" s="59" t="s">
        <v>30</v>
      </c>
      <c r="E760" s="59" t="s">
        <v>261</v>
      </c>
      <c r="F760" s="27">
        <v>8</v>
      </c>
      <c r="G760" s="28">
        <f t="shared" si="168"/>
        <v>33.6</v>
      </c>
      <c r="H760" s="26" t="s">
        <v>20</v>
      </c>
      <c r="I760" s="26" t="s">
        <v>155</v>
      </c>
      <c r="J760" s="26" t="s">
        <v>74</v>
      </c>
      <c r="K760" s="29">
        <v>0.52083333333333337</v>
      </c>
      <c r="L760" s="29">
        <v>0.52847222222222223</v>
      </c>
      <c r="M760" s="30">
        <f t="shared" ca="1" si="169"/>
        <v>7.6388888888888618E-3</v>
      </c>
      <c r="N760" s="46"/>
      <c r="O760" s="47"/>
    </row>
    <row r="761" spans="1:15" ht="15" customHeight="1">
      <c r="A761" s="69">
        <v>46232</v>
      </c>
      <c r="B761" s="32">
        <f t="shared" si="170"/>
        <v>0.45833333333333304</v>
      </c>
      <c r="C761" s="26" t="s">
        <v>29</v>
      </c>
      <c r="D761" s="59" t="s">
        <v>30</v>
      </c>
      <c r="E761" s="62" t="s">
        <v>261</v>
      </c>
      <c r="F761" s="27">
        <v>0</v>
      </c>
      <c r="G761" s="34">
        <f t="shared" si="168"/>
        <v>0</v>
      </c>
      <c r="H761" s="33" t="s">
        <v>19</v>
      </c>
      <c r="I761" s="33" t="s">
        <v>157</v>
      </c>
      <c r="J761" s="33" t="s">
        <v>27</v>
      </c>
      <c r="K761" s="29">
        <v>0.59097222222222223</v>
      </c>
      <c r="L761" s="29">
        <v>0.60416666666666663</v>
      </c>
      <c r="M761" s="35">
        <f t="shared" ca="1" si="169"/>
        <v>1.3194444444444398E-2</v>
      </c>
      <c r="N761" s="46" t="s">
        <v>343</v>
      </c>
      <c r="O761" s="47"/>
    </row>
    <row r="762" spans="1:15" ht="15" customHeight="1">
      <c r="A762" s="68">
        <v>46232</v>
      </c>
      <c r="B762" s="25">
        <f t="shared" si="170"/>
        <v>0.49999999999999972</v>
      </c>
      <c r="C762" s="26" t="s">
        <v>29</v>
      </c>
      <c r="D762" s="59" t="s">
        <v>30</v>
      </c>
      <c r="E762" s="59" t="s">
        <v>261</v>
      </c>
      <c r="F762" s="27">
        <v>13</v>
      </c>
      <c r="G762" s="28">
        <f t="shared" si="168"/>
        <v>54.6</v>
      </c>
      <c r="H762" s="26" t="s">
        <v>20</v>
      </c>
      <c r="I762" s="26" t="s">
        <v>155</v>
      </c>
      <c r="J762" s="26" t="s">
        <v>74</v>
      </c>
      <c r="K762" s="29">
        <v>0.65069444444444446</v>
      </c>
      <c r="L762" s="29">
        <v>0.65347222222222223</v>
      </c>
      <c r="M762" s="30">
        <f t="shared" ca="1" si="169"/>
        <v>2.7777777777777679E-3</v>
      </c>
      <c r="N762" s="46"/>
      <c r="O762" s="47"/>
    </row>
    <row r="763" spans="1:15" ht="15" customHeight="1">
      <c r="A763" s="69">
        <v>46232</v>
      </c>
      <c r="B763" s="32">
        <f t="shared" si="170"/>
        <v>0.54166666666666641</v>
      </c>
      <c r="C763" s="26" t="s">
        <v>29</v>
      </c>
      <c r="D763" s="59" t="s">
        <v>30</v>
      </c>
      <c r="E763" s="62" t="s">
        <v>234</v>
      </c>
      <c r="F763" s="27">
        <v>10</v>
      </c>
      <c r="G763" s="34">
        <f t="shared" si="168"/>
        <v>50</v>
      </c>
      <c r="H763" s="33" t="s">
        <v>17</v>
      </c>
      <c r="I763" s="33"/>
      <c r="J763" s="33" t="s">
        <v>86</v>
      </c>
      <c r="K763" s="29">
        <v>0.73541666666666672</v>
      </c>
      <c r="L763" s="29">
        <v>0.76041666666666663</v>
      </c>
      <c r="M763" s="35">
        <f t="shared" ca="1" si="169"/>
        <v>2.4999999999999911E-2</v>
      </c>
      <c r="N763" s="46" t="s">
        <v>344</v>
      </c>
      <c r="O763" s="47"/>
    </row>
    <row r="764" spans="1:15" ht="15" customHeight="1">
      <c r="A764" s="68">
        <v>46232</v>
      </c>
      <c r="B764" s="25">
        <f t="shared" si="170"/>
        <v>0.58333333333333304</v>
      </c>
      <c r="C764" s="26" t="s">
        <v>29</v>
      </c>
      <c r="D764" s="59" t="s">
        <v>22</v>
      </c>
      <c r="E764" s="59" t="s">
        <v>261</v>
      </c>
      <c r="F764" s="27">
        <v>9</v>
      </c>
      <c r="G764" s="28">
        <f t="shared" si="168"/>
        <v>37.800000000000004</v>
      </c>
      <c r="H764" s="26" t="s">
        <v>17</v>
      </c>
      <c r="I764" s="26"/>
      <c r="J764" s="26" t="s">
        <v>25</v>
      </c>
      <c r="K764" s="29">
        <v>0.76458333333333328</v>
      </c>
      <c r="L764" s="29">
        <v>0.76666666666666672</v>
      </c>
      <c r="M764" s="30">
        <f t="shared" ca="1" si="169"/>
        <v>2.083333333333437E-3</v>
      </c>
      <c r="N764" s="46"/>
      <c r="O764" s="47"/>
    </row>
    <row r="765" spans="1:15" ht="15" customHeight="1">
      <c r="A765" s="69">
        <v>46232</v>
      </c>
      <c r="B765" s="32">
        <f t="shared" si="170"/>
        <v>0.62499999999999967</v>
      </c>
      <c r="C765" s="26" t="s">
        <v>29</v>
      </c>
      <c r="D765" s="59" t="s">
        <v>22</v>
      </c>
      <c r="E765" s="62" t="s">
        <v>261</v>
      </c>
      <c r="F765" s="27">
        <v>15</v>
      </c>
      <c r="G765" s="34">
        <f t="shared" si="168"/>
        <v>63</v>
      </c>
      <c r="H765" s="33"/>
      <c r="I765" s="33"/>
      <c r="J765" s="33"/>
      <c r="K765" s="29"/>
      <c r="L765" s="29"/>
      <c r="M765" s="35" t="str">
        <f t="shared" ca="1" si="169"/>
        <v/>
      </c>
      <c r="N765" s="46"/>
      <c r="O765" s="47"/>
    </row>
    <row r="766" spans="1:15" ht="15" customHeight="1">
      <c r="A766" s="68">
        <v>46232</v>
      </c>
      <c r="B766" s="25">
        <f t="shared" si="170"/>
        <v>0.6666666666666663</v>
      </c>
      <c r="C766" s="26" t="s">
        <v>29</v>
      </c>
      <c r="D766" s="59" t="s">
        <v>22</v>
      </c>
      <c r="E766" s="59" t="s">
        <v>261</v>
      </c>
      <c r="F766" s="27">
        <v>12</v>
      </c>
      <c r="G766" s="28">
        <f t="shared" si="168"/>
        <v>50.400000000000006</v>
      </c>
      <c r="H766" s="26"/>
      <c r="I766" s="26"/>
      <c r="J766" s="26"/>
      <c r="K766" s="29"/>
      <c r="L766" s="29"/>
      <c r="M766" s="30" t="str">
        <f t="shared" ca="1" si="169"/>
        <v/>
      </c>
      <c r="N766" s="46"/>
      <c r="O766" s="47"/>
    </row>
    <row r="767" spans="1:15" ht="15" customHeight="1">
      <c r="A767" s="69">
        <v>46232</v>
      </c>
      <c r="B767" s="32">
        <f t="shared" si="170"/>
        <v>0.70833333333333293</v>
      </c>
      <c r="C767" s="26" t="s">
        <v>29</v>
      </c>
      <c r="D767" s="59" t="s">
        <v>22</v>
      </c>
      <c r="E767" s="62" t="s">
        <v>261</v>
      </c>
      <c r="F767" s="27">
        <v>15</v>
      </c>
      <c r="G767" s="34">
        <f t="shared" si="168"/>
        <v>63</v>
      </c>
      <c r="H767" s="33"/>
      <c r="I767" s="33"/>
      <c r="J767" s="33"/>
      <c r="K767" s="29"/>
      <c r="L767" s="29"/>
      <c r="M767" s="35" t="str">
        <f t="shared" ca="1" si="169"/>
        <v/>
      </c>
      <c r="N767" s="46"/>
      <c r="O767" s="47"/>
    </row>
    <row r="768" spans="1:15" ht="15" customHeight="1">
      <c r="A768" s="68">
        <v>46232</v>
      </c>
      <c r="B768" s="25">
        <f t="shared" si="170"/>
        <v>0.74999999999999956</v>
      </c>
      <c r="C768" s="26" t="s">
        <v>29</v>
      </c>
      <c r="D768" s="59" t="s">
        <v>22</v>
      </c>
      <c r="E768" s="59" t="s">
        <v>261</v>
      </c>
      <c r="F768" s="27">
        <v>10</v>
      </c>
      <c r="G768" s="28">
        <f t="shared" si="168"/>
        <v>42</v>
      </c>
      <c r="H768" s="26"/>
      <c r="I768" s="26"/>
      <c r="J768" s="26"/>
      <c r="K768" s="29"/>
      <c r="L768" s="29"/>
      <c r="M768" s="30" t="str">
        <f t="shared" ca="1" si="169"/>
        <v/>
      </c>
      <c r="N768" s="46"/>
      <c r="O768" s="47"/>
    </row>
    <row r="769" spans="1:15" ht="15" customHeight="1">
      <c r="A769" s="69">
        <v>46232</v>
      </c>
      <c r="B769" s="32">
        <f t="shared" si="170"/>
        <v>0.79166666666666619</v>
      </c>
      <c r="C769" s="26" t="s">
        <v>29</v>
      </c>
      <c r="D769" s="59" t="s">
        <v>22</v>
      </c>
      <c r="E769" s="62" t="s">
        <v>261</v>
      </c>
      <c r="F769" s="27">
        <v>1</v>
      </c>
      <c r="G769" s="34">
        <f t="shared" si="168"/>
        <v>4.2</v>
      </c>
      <c r="H769" s="33"/>
      <c r="I769" s="33"/>
      <c r="J769" s="33"/>
      <c r="K769" s="29"/>
      <c r="L769" s="29"/>
      <c r="M769" s="35" t="str">
        <f t="shared" ca="1" si="169"/>
        <v/>
      </c>
      <c r="N769" s="46"/>
      <c r="O769" s="47"/>
    </row>
    <row r="770" spans="1:15" ht="15.75" customHeight="1">
      <c r="A770" s="119" t="s">
        <v>236</v>
      </c>
      <c r="B770" s="120"/>
      <c r="C770" s="120"/>
      <c r="D770" s="120"/>
      <c r="E770" s="121">
        <f>SUM(E758:E769)</f>
        <v>0</v>
      </c>
      <c r="F770" s="36">
        <f>SUM(F758:F769)</f>
        <v>134</v>
      </c>
      <c r="G770" s="36">
        <f>SUM(G758:G769)</f>
        <v>570.80000000000007</v>
      </c>
      <c r="H770" s="37"/>
      <c r="I770" s="37"/>
      <c r="J770" s="37"/>
      <c r="K770" s="37"/>
      <c r="L770" s="37"/>
      <c r="M770" s="38">
        <f ca="1">IFERROR(SUM(M758:M769),"")</f>
        <v>9.5138888888888828E-2</v>
      </c>
      <c r="N770" s="36" t="s">
        <v>237</v>
      </c>
      <c r="O770" s="77">
        <v>610890</v>
      </c>
    </row>
    <row r="771" spans="1:15" ht="15" customHeight="1">
      <c r="A771" s="69">
        <v>46232</v>
      </c>
      <c r="B771" s="32">
        <v>0.83333333333333304</v>
      </c>
      <c r="C771" s="33" t="s">
        <v>21</v>
      </c>
      <c r="D771" s="62" t="s">
        <v>22</v>
      </c>
      <c r="E771" s="62" t="s">
        <v>261</v>
      </c>
      <c r="F771" s="27">
        <v>23</v>
      </c>
      <c r="G771" s="34">
        <f t="shared" ref="G771:G782" si="171">IF(F771="","",IF(E771="PC 17",F771*4.2,IF(E771="PC 19",F771*5,"")))</f>
        <v>96.600000000000009</v>
      </c>
      <c r="H771" s="33" t="s">
        <v>20</v>
      </c>
      <c r="I771" s="33" t="s">
        <v>39</v>
      </c>
      <c r="J771" s="33" t="s">
        <v>36</v>
      </c>
      <c r="K771" s="29">
        <v>0.84027777777777779</v>
      </c>
      <c r="L771" s="29">
        <v>0.85416666666666663</v>
      </c>
      <c r="M771" s="35">
        <f t="shared" ref="M771:M782" ca="1" si="172">IFERROR(IF(K771="","",IF(L771="",MOD(NOW()-K771,1),IF(L771&gt;=K771,L771-K771,L771+1-K771))),"")</f>
        <v>1.388888888888884E-2</v>
      </c>
      <c r="N771" s="46"/>
      <c r="O771" s="47"/>
    </row>
    <row r="772" spans="1:15" ht="15" customHeight="1">
      <c r="A772" s="68">
        <v>46232</v>
      </c>
      <c r="B772" s="25">
        <f t="shared" ref="B772:B782" si="173">B771+TIME(0,60,0)</f>
        <v>0.87499999999999967</v>
      </c>
      <c r="C772" s="33" t="s">
        <v>21</v>
      </c>
      <c r="D772" s="62" t="s">
        <v>22</v>
      </c>
      <c r="E772" s="62" t="s">
        <v>234</v>
      </c>
      <c r="F772" s="27">
        <v>11</v>
      </c>
      <c r="G772" s="28">
        <f t="shared" si="171"/>
        <v>55</v>
      </c>
      <c r="H772" s="26" t="s">
        <v>20</v>
      </c>
      <c r="I772" s="26" t="s">
        <v>121</v>
      </c>
      <c r="J772" s="26" t="s">
        <v>113</v>
      </c>
      <c r="K772" s="29">
        <v>0.91874999999999996</v>
      </c>
      <c r="L772" s="29">
        <v>0.93402777777777779</v>
      </c>
      <c r="M772" s="30">
        <f t="shared" ca="1" si="172"/>
        <v>1.5277777777777835E-2</v>
      </c>
      <c r="N772" s="46"/>
      <c r="O772" s="47"/>
    </row>
    <row r="773" spans="1:15" ht="15" customHeight="1">
      <c r="A773" s="69">
        <v>46232</v>
      </c>
      <c r="B773" s="32">
        <f t="shared" si="173"/>
        <v>0.9166666666666663</v>
      </c>
      <c r="C773" s="33" t="s">
        <v>21</v>
      </c>
      <c r="D773" s="62" t="s">
        <v>22</v>
      </c>
      <c r="E773" s="62" t="s">
        <v>261</v>
      </c>
      <c r="F773" s="27">
        <v>26</v>
      </c>
      <c r="G773" s="34">
        <f t="shared" si="171"/>
        <v>109.2</v>
      </c>
      <c r="H773" s="33" t="s">
        <v>19</v>
      </c>
      <c r="I773" s="33" t="s">
        <v>157</v>
      </c>
      <c r="J773" s="33" t="s">
        <v>27</v>
      </c>
      <c r="K773" s="29">
        <v>0.93472222222222223</v>
      </c>
      <c r="L773" s="29">
        <v>0.9458333333333333</v>
      </c>
      <c r="M773" s="35">
        <f t="shared" ca="1" si="172"/>
        <v>1.1111111111111072E-2</v>
      </c>
      <c r="N773" s="46"/>
      <c r="O773" s="47"/>
    </row>
    <row r="774" spans="1:15" ht="15" customHeight="1">
      <c r="A774" s="68">
        <v>46232</v>
      </c>
      <c r="B774" s="25">
        <f t="shared" si="173"/>
        <v>0.95833333333333293</v>
      </c>
      <c r="C774" s="33" t="s">
        <v>21</v>
      </c>
      <c r="D774" s="62" t="s">
        <v>22</v>
      </c>
      <c r="E774" s="62" t="s">
        <v>261</v>
      </c>
      <c r="F774" s="27">
        <v>11</v>
      </c>
      <c r="G774" s="28">
        <f t="shared" si="171"/>
        <v>46.2</v>
      </c>
      <c r="H774" s="26" t="s">
        <v>20</v>
      </c>
      <c r="I774" s="26" t="s">
        <v>121</v>
      </c>
      <c r="J774" s="26" t="s">
        <v>113</v>
      </c>
      <c r="K774" s="29">
        <v>0.97777777777777775</v>
      </c>
      <c r="L774" s="29">
        <v>0.98819444444444449</v>
      </c>
      <c r="M774" s="30">
        <f t="shared" ca="1" si="172"/>
        <v>1.0416666666666741E-2</v>
      </c>
      <c r="N774" s="46"/>
      <c r="O774" s="47"/>
    </row>
    <row r="775" spans="1:15" ht="15" customHeight="1">
      <c r="A775" s="69">
        <v>46232</v>
      </c>
      <c r="B775" s="32">
        <f t="shared" si="173"/>
        <v>0.99999999999999956</v>
      </c>
      <c r="C775" s="33" t="s">
        <v>21</v>
      </c>
      <c r="D775" s="62" t="s">
        <v>22</v>
      </c>
      <c r="E775" s="62" t="s">
        <v>261</v>
      </c>
      <c r="F775" s="27">
        <v>18</v>
      </c>
      <c r="G775" s="34">
        <f t="shared" si="171"/>
        <v>75.600000000000009</v>
      </c>
      <c r="H775" s="33" t="s">
        <v>20</v>
      </c>
      <c r="I775" s="33" t="s">
        <v>136</v>
      </c>
      <c r="J775" s="33" t="s">
        <v>74</v>
      </c>
      <c r="K775" s="29">
        <v>9.583333333333334E-2</v>
      </c>
      <c r="L775" s="29">
        <v>0.1388888888888889</v>
      </c>
      <c r="M775" s="35">
        <f t="shared" ca="1" si="172"/>
        <v>4.3055555555555555E-2</v>
      </c>
      <c r="N775" s="46" t="s">
        <v>345</v>
      </c>
      <c r="O775" s="47"/>
    </row>
    <row r="776" spans="1:15" ht="15" customHeight="1">
      <c r="A776" s="68">
        <v>46232</v>
      </c>
      <c r="B776" s="25">
        <f t="shared" si="173"/>
        <v>1.0416666666666663</v>
      </c>
      <c r="C776" s="33" t="s">
        <v>21</v>
      </c>
      <c r="D776" s="62" t="s">
        <v>22</v>
      </c>
      <c r="E776" s="62" t="s">
        <v>261</v>
      </c>
      <c r="F776" s="27">
        <v>16</v>
      </c>
      <c r="G776" s="28">
        <f t="shared" si="171"/>
        <v>67.2</v>
      </c>
      <c r="H776" s="26" t="s">
        <v>17</v>
      </c>
      <c r="I776" s="26"/>
      <c r="J776" s="26" t="s">
        <v>49</v>
      </c>
      <c r="K776" s="29">
        <v>0.2638888888888889</v>
      </c>
      <c r="L776" s="29">
        <v>0.28263888888888888</v>
      </c>
      <c r="M776" s="30">
        <f t="shared" ca="1" si="172"/>
        <v>1.8749999999999989E-2</v>
      </c>
      <c r="N776" s="46"/>
      <c r="O776" s="47"/>
    </row>
    <row r="777" spans="1:15" ht="15" customHeight="1">
      <c r="A777" s="69">
        <v>46232</v>
      </c>
      <c r="B777" s="32">
        <f t="shared" si="173"/>
        <v>1.083333333333333</v>
      </c>
      <c r="C777" s="33" t="s">
        <v>21</v>
      </c>
      <c r="D777" s="62" t="s">
        <v>22</v>
      </c>
      <c r="E777" s="62" t="s">
        <v>261</v>
      </c>
      <c r="F777" s="27">
        <v>15</v>
      </c>
      <c r="G777" s="34">
        <f t="shared" si="171"/>
        <v>63</v>
      </c>
      <c r="H777" s="33"/>
      <c r="I777" s="33"/>
      <c r="J777" s="33"/>
      <c r="K777" s="29"/>
      <c r="L777" s="29"/>
      <c r="M777" s="35" t="str">
        <f t="shared" ca="1" si="172"/>
        <v/>
      </c>
      <c r="N777" s="46"/>
      <c r="O777" s="47"/>
    </row>
    <row r="778" spans="1:15" ht="15" customHeight="1">
      <c r="A778" s="68">
        <v>46232</v>
      </c>
      <c r="B778" s="25">
        <f t="shared" si="173"/>
        <v>1.1249999999999998</v>
      </c>
      <c r="C778" s="33" t="s">
        <v>21</v>
      </c>
      <c r="D778" s="62" t="s">
        <v>22</v>
      </c>
      <c r="E778" s="62" t="s">
        <v>261</v>
      </c>
      <c r="F778" s="27">
        <v>12</v>
      </c>
      <c r="G778" s="28">
        <f t="shared" si="171"/>
        <v>50.400000000000006</v>
      </c>
      <c r="H778" s="26"/>
      <c r="I778" s="26"/>
      <c r="J778" s="26"/>
      <c r="K778" s="29"/>
      <c r="L778" s="29"/>
      <c r="M778" s="30" t="str">
        <f t="shared" ca="1" si="172"/>
        <v/>
      </c>
      <c r="N778" s="46"/>
      <c r="O778" s="47"/>
    </row>
    <row r="779" spans="1:15" ht="15" customHeight="1">
      <c r="A779" s="69">
        <v>46232</v>
      </c>
      <c r="B779" s="32">
        <f t="shared" si="173"/>
        <v>1.1666666666666665</v>
      </c>
      <c r="C779" s="33" t="s">
        <v>21</v>
      </c>
      <c r="D779" s="62" t="s">
        <v>22</v>
      </c>
      <c r="E779" s="62" t="s">
        <v>261</v>
      </c>
      <c r="F779" s="27">
        <v>11</v>
      </c>
      <c r="G779" s="34">
        <f t="shared" si="171"/>
        <v>46.2</v>
      </c>
      <c r="H779" s="33"/>
      <c r="I779" s="33"/>
      <c r="J779" s="33"/>
      <c r="K779" s="29"/>
      <c r="L779" s="29"/>
      <c r="M779" s="35" t="str">
        <f t="shared" ca="1" si="172"/>
        <v/>
      </c>
      <c r="N779" s="46"/>
      <c r="O779" s="47"/>
    </row>
    <row r="780" spans="1:15" ht="15" customHeight="1">
      <c r="A780" s="68">
        <v>46232</v>
      </c>
      <c r="B780" s="25">
        <f t="shared" si="173"/>
        <v>1.2083333333333333</v>
      </c>
      <c r="C780" s="33" t="s">
        <v>21</v>
      </c>
      <c r="D780" s="62" t="s">
        <v>22</v>
      </c>
      <c r="E780" s="62" t="s">
        <v>261</v>
      </c>
      <c r="F780" s="27">
        <v>18</v>
      </c>
      <c r="G780" s="28">
        <f t="shared" si="171"/>
        <v>75.600000000000009</v>
      </c>
      <c r="H780" s="26"/>
      <c r="I780" s="26"/>
      <c r="J780" s="26"/>
      <c r="K780" s="29"/>
      <c r="L780" s="29"/>
      <c r="M780" s="30" t="str">
        <f t="shared" ca="1" si="172"/>
        <v/>
      </c>
      <c r="N780" s="46"/>
      <c r="O780" s="47"/>
    </row>
    <row r="781" spans="1:15" ht="15" customHeight="1">
      <c r="A781" s="69">
        <v>46232</v>
      </c>
      <c r="B781" s="32">
        <f t="shared" si="173"/>
        <v>1.25</v>
      </c>
      <c r="C781" s="33" t="s">
        <v>21</v>
      </c>
      <c r="D781" s="62" t="s">
        <v>22</v>
      </c>
      <c r="E781" s="62" t="s">
        <v>261</v>
      </c>
      <c r="F781" s="27">
        <v>20</v>
      </c>
      <c r="G781" s="34">
        <f t="shared" si="171"/>
        <v>84</v>
      </c>
      <c r="H781" s="33"/>
      <c r="I781" s="33"/>
      <c r="J781" s="33"/>
      <c r="K781" s="29"/>
      <c r="L781" s="29"/>
      <c r="M781" s="35" t="str">
        <f t="shared" ca="1" si="172"/>
        <v/>
      </c>
      <c r="N781" s="46"/>
      <c r="O781" s="47"/>
    </row>
    <row r="782" spans="1:15" ht="15" customHeight="1">
      <c r="A782" s="68">
        <v>46232</v>
      </c>
      <c r="B782" s="25">
        <f t="shared" si="173"/>
        <v>1.2916666666666667</v>
      </c>
      <c r="C782" s="33" t="s">
        <v>21</v>
      </c>
      <c r="D782" s="62" t="s">
        <v>22</v>
      </c>
      <c r="E782" s="62" t="s">
        <v>261</v>
      </c>
      <c r="F782" s="27">
        <v>3</v>
      </c>
      <c r="G782" s="28">
        <f t="shared" si="171"/>
        <v>12.600000000000001</v>
      </c>
      <c r="H782" s="26"/>
      <c r="I782" s="26"/>
      <c r="J782" s="26"/>
      <c r="K782" s="29"/>
      <c r="L782" s="29"/>
      <c r="M782" s="30" t="str">
        <f t="shared" ca="1" si="172"/>
        <v/>
      </c>
      <c r="N782" s="46"/>
      <c r="O782" s="47"/>
    </row>
    <row r="783" spans="1:15" ht="15.75" customHeight="1">
      <c r="A783" s="119" t="s">
        <v>238</v>
      </c>
      <c r="B783" s="120"/>
      <c r="C783" s="120"/>
      <c r="D783" s="120"/>
      <c r="E783" s="121">
        <f>SUM(E771:E782)</f>
        <v>0</v>
      </c>
      <c r="F783" s="36">
        <f>SUM(F771:F782)</f>
        <v>184</v>
      </c>
      <c r="G783" s="36">
        <f>SUM(G771:G782)</f>
        <v>781.6</v>
      </c>
      <c r="H783" s="37"/>
      <c r="I783" s="37"/>
      <c r="J783" s="37"/>
      <c r="K783" s="37"/>
      <c r="L783" s="37"/>
      <c r="M783" s="38">
        <f ca="1">IFERROR(SUM(M771:M782),"")</f>
        <v>0.11250000000000003</v>
      </c>
      <c r="N783" s="36" t="s">
        <v>237</v>
      </c>
      <c r="O783" s="39">
        <v>882130</v>
      </c>
    </row>
    <row r="784" spans="1:15" ht="18" customHeight="1">
      <c r="A784" s="122" t="s">
        <v>239</v>
      </c>
      <c r="B784" s="123"/>
      <c r="C784" s="123"/>
      <c r="D784" s="123"/>
      <c r="E784" s="124">
        <f>E770+E783</f>
        <v>0</v>
      </c>
      <c r="F784" s="40">
        <f>F770+F783</f>
        <v>318</v>
      </c>
      <c r="G784" s="40">
        <f>G770+G783</f>
        <v>1352.4</v>
      </c>
      <c r="H784" s="41"/>
      <c r="I784" s="41"/>
      <c r="J784" s="41"/>
      <c r="K784" s="41"/>
      <c r="L784" s="41"/>
      <c r="M784" s="42">
        <f ca="1">IFERROR(M770+M783,"")</f>
        <v>0.20763888888888887</v>
      </c>
      <c r="N784" s="40" t="s">
        <v>240</v>
      </c>
      <c r="O784" s="83">
        <f>IFERROR(O770+O783,"")</f>
        <v>1493020</v>
      </c>
    </row>
    <row r="785" spans="1:15" ht="15" customHeight="1">
      <c r="A785" s="69">
        <v>46233</v>
      </c>
      <c r="B785" s="32">
        <v>0.33333333333333298</v>
      </c>
      <c r="C785" s="33" t="s">
        <v>29</v>
      </c>
      <c r="D785" s="62" t="s">
        <v>22</v>
      </c>
      <c r="E785" s="62" t="s">
        <v>261</v>
      </c>
      <c r="F785" s="27">
        <v>11</v>
      </c>
      <c r="G785" s="34">
        <f>IF(F785="","",IF(E785="PC 17",F785*4.2,IF(E785="PC 19",F785*5,"")))</f>
        <v>46.2</v>
      </c>
      <c r="H785" s="33" t="s">
        <v>18</v>
      </c>
      <c r="I785" s="33"/>
      <c r="J785" s="33" t="s">
        <v>219</v>
      </c>
      <c r="K785" s="29">
        <v>0.30763888888888891</v>
      </c>
      <c r="L785" s="29">
        <v>0.31666666666666665</v>
      </c>
      <c r="M785" s="35">
        <f t="shared" ref="M785:M796" ca="1" si="174">IFERROR(IF(K785="","",IF(L785="",MOD(NOW()-K785,1),IF(L785&gt;=K785,L785-K785,L785+1-K785))),"")</f>
        <v>9.0277777777777457E-3</v>
      </c>
      <c r="N785" s="46" t="s">
        <v>346</v>
      </c>
      <c r="O785" s="47"/>
    </row>
    <row r="786" spans="1:15" ht="15" customHeight="1">
      <c r="A786" s="68">
        <v>46233</v>
      </c>
      <c r="B786" s="25">
        <f t="shared" ref="B786:B796" si="175">B785+TIME(0,60,0)</f>
        <v>0.37499999999999967</v>
      </c>
      <c r="C786" s="33" t="s">
        <v>29</v>
      </c>
      <c r="D786" s="62" t="s">
        <v>22</v>
      </c>
      <c r="E786" s="59" t="s">
        <v>261</v>
      </c>
      <c r="F786" s="27">
        <v>9</v>
      </c>
      <c r="G786" s="34">
        <f t="shared" ref="G786:G809" si="176">IF(F786="","",IF(E786="PC 17",F786*4.2,IF(E786="PC 19",F786*5,"")))</f>
        <v>37.800000000000004</v>
      </c>
      <c r="H786" s="26" t="s">
        <v>19</v>
      </c>
      <c r="I786" s="26" t="s">
        <v>157</v>
      </c>
      <c r="J786" s="26" t="s">
        <v>27</v>
      </c>
      <c r="K786" s="29">
        <v>0.33680555555555558</v>
      </c>
      <c r="L786" s="29">
        <v>0.34652777777777777</v>
      </c>
      <c r="M786" s="30">
        <f t="shared" ca="1" si="174"/>
        <v>9.7222222222221877E-3</v>
      </c>
      <c r="N786" s="46"/>
      <c r="O786" s="47"/>
    </row>
    <row r="787" spans="1:15" ht="15" customHeight="1">
      <c r="A787" s="69">
        <v>46233</v>
      </c>
      <c r="B787" s="32">
        <f t="shared" si="175"/>
        <v>0.41666666666666635</v>
      </c>
      <c r="C787" s="33" t="s">
        <v>29</v>
      </c>
      <c r="D787" s="62" t="s">
        <v>22</v>
      </c>
      <c r="E787" s="62" t="s">
        <v>261</v>
      </c>
      <c r="F787" s="27">
        <v>27</v>
      </c>
      <c r="G787" s="34">
        <f t="shared" si="176"/>
        <v>113.4</v>
      </c>
      <c r="H787" s="33" t="s">
        <v>18</v>
      </c>
      <c r="I787" s="33"/>
      <c r="J787" s="33" t="s">
        <v>94</v>
      </c>
      <c r="K787" s="29">
        <v>0.45555555555555555</v>
      </c>
      <c r="L787" s="29">
        <v>0.47361111111111109</v>
      </c>
      <c r="M787" s="35">
        <f t="shared" ca="1" si="174"/>
        <v>1.8055555555555547E-2</v>
      </c>
      <c r="N787" s="46"/>
      <c r="O787" s="47"/>
    </row>
    <row r="788" spans="1:15" ht="15" customHeight="1">
      <c r="A788" s="68">
        <v>46233</v>
      </c>
      <c r="B788" s="25">
        <f t="shared" si="175"/>
        <v>0.45833333333333304</v>
      </c>
      <c r="C788" s="33" t="s">
        <v>29</v>
      </c>
      <c r="D788" s="62" t="s">
        <v>22</v>
      </c>
      <c r="E788" s="59" t="s">
        <v>261</v>
      </c>
      <c r="F788" s="27">
        <v>21</v>
      </c>
      <c r="G788" s="34">
        <f t="shared" si="176"/>
        <v>88.2</v>
      </c>
      <c r="H788" s="26" t="s">
        <v>19</v>
      </c>
      <c r="I788" s="26" t="s">
        <v>31</v>
      </c>
      <c r="J788" s="26" t="s">
        <v>50</v>
      </c>
      <c r="K788" s="29">
        <v>0.48680555555555555</v>
      </c>
      <c r="L788" s="29">
        <v>0.53194444444444444</v>
      </c>
      <c r="M788" s="30">
        <f t="shared" ca="1" si="174"/>
        <v>4.5138888888888895E-2</v>
      </c>
      <c r="N788" s="46" t="s">
        <v>347</v>
      </c>
      <c r="O788" s="47"/>
    </row>
    <row r="789" spans="1:15" ht="15" customHeight="1">
      <c r="A789" s="69">
        <v>46233</v>
      </c>
      <c r="B789" s="32">
        <f t="shared" si="175"/>
        <v>0.49999999999999972</v>
      </c>
      <c r="C789" s="33" t="s">
        <v>29</v>
      </c>
      <c r="D789" s="62" t="s">
        <v>22</v>
      </c>
      <c r="E789" s="62" t="s">
        <v>234</v>
      </c>
      <c r="F789" s="27">
        <v>7</v>
      </c>
      <c r="G789" s="34">
        <f t="shared" si="176"/>
        <v>35</v>
      </c>
      <c r="H789" s="33" t="s">
        <v>16</v>
      </c>
      <c r="I789" s="33"/>
      <c r="J789" s="33" t="s">
        <v>94</v>
      </c>
      <c r="K789" s="29">
        <v>0.68055555555555558</v>
      </c>
      <c r="L789" s="29">
        <v>0.70833333333333337</v>
      </c>
      <c r="M789" s="35">
        <f t="shared" ca="1" si="174"/>
        <v>2.777777777777779E-2</v>
      </c>
      <c r="N789" s="46"/>
      <c r="O789" s="47"/>
    </row>
    <row r="790" spans="1:15" ht="15" customHeight="1">
      <c r="A790" s="68">
        <v>46233</v>
      </c>
      <c r="B790" s="25">
        <f t="shared" si="175"/>
        <v>0.54166666666666641</v>
      </c>
      <c r="C790" s="33" t="s">
        <v>29</v>
      </c>
      <c r="D790" s="62" t="s">
        <v>22</v>
      </c>
      <c r="E790" s="59" t="s">
        <v>261</v>
      </c>
      <c r="F790" s="27">
        <v>5</v>
      </c>
      <c r="G790" s="34">
        <f t="shared" si="176"/>
        <v>21</v>
      </c>
      <c r="H790" s="26" t="s">
        <v>19</v>
      </c>
      <c r="I790" s="26" t="s">
        <v>157</v>
      </c>
      <c r="J790" s="26" t="s">
        <v>27</v>
      </c>
      <c r="K790" s="29">
        <v>0.70486111111111116</v>
      </c>
      <c r="L790" s="29">
        <v>0.71597222222222223</v>
      </c>
      <c r="M790" s="30">
        <f t="shared" ca="1" si="174"/>
        <v>1.1111111111111072E-2</v>
      </c>
      <c r="N790" s="46"/>
      <c r="O790" s="47"/>
    </row>
    <row r="791" spans="1:15" ht="15" customHeight="1">
      <c r="A791" s="69">
        <v>46233</v>
      </c>
      <c r="B791" s="32">
        <f t="shared" si="175"/>
        <v>0.58333333333333304</v>
      </c>
      <c r="C791" s="33" t="s">
        <v>29</v>
      </c>
      <c r="D791" s="62" t="s">
        <v>22</v>
      </c>
      <c r="E791" s="62" t="s">
        <v>261</v>
      </c>
      <c r="F791" s="27">
        <v>15</v>
      </c>
      <c r="G791" s="34">
        <f t="shared" si="176"/>
        <v>63</v>
      </c>
      <c r="H791" s="33"/>
      <c r="I791" s="33"/>
      <c r="J791" s="33"/>
      <c r="K791" s="29"/>
      <c r="L791" s="29"/>
      <c r="M791" s="35" t="str">
        <f t="shared" ca="1" si="174"/>
        <v/>
      </c>
      <c r="N791" s="46"/>
      <c r="O791" s="47"/>
    </row>
    <row r="792" spans="1:15" ht="15" customHeight="1">
      <c r="A792" s="68">
        <v>46233</v>
      </c>
      <c r="B792" s="25">
        <f t="shared" si="175"/>
        <v>0.62499999999999967</v>
      </c>
      <c r="C792" s="33" t="s">
        <v>29</v>
      </c>
      <c r="D792" s="62" t="s">
        <v>22</v>
      </c>
      <c r="E792" s="59" t="s">
        <v>261</v>
      </c>
      <c r="F792" s="27">
        <v>17</v>
      </c>
      <c r="G792" s="34">
        <f t="shared" si="176"/>
        <v>71.400000000000006</v>
      </c>
      <c r="H792" s="26"/>
      <c r="I792" s="26"/>
      <c r="J792" s="26"/>
      <c r="K792" s="29"/>
      <c r="L792" s="29"/>
      <c r="M792" s="30" t="str">
        <f t="shared" ca="1" si="174"/>
        <v/>
      </c>
      <c r="N792" s="46"/>
      <c r="O792" s="47"/>
    </row>
    <row r="793" spans="1:15" ht="15" customHeight="1">
      <c r="A793" s="69">
        <v>46233</v>
      </c>
      <c r="B793" s="32">
        <f t="shared" si="175"/>
        <v>0.6666666666666663</v>
      </c>
      <c r="C793" s="33" t="s">
        <v>29</v>
      </c>
      <c r="D793" s="62" t="s">
        <v>22</v>
      </c>
      <c r="E793" s="62" t="s">
        <v>261</v>
      </c>
      <c r="F793" s="27">
        <v>22</v>
      </c>
      <c r="G793" s="34">
        <f t="shared" si="176"/>
        <v>92.4</v>
      </c>
      <c r="H793" s="33"/>
      <c r="I793" s="33"/>
      <c r="J793" s="33"/>
      <c r="K793" s="29"/>
      <c r="L793" s="29"/>
      <c r="M793" s="35" t="str">
        <f t="shared" ca="1" si="174"/>
        <v/>
      </c>
      <c r="N793" s="46"/>
      <c r="O793" s="47"/>
    </row>
    <row r="794" spans="1:15" ht="15" customHeight="1">
      <c r="A794" s="68">
        <v>46233</v>
      </c>
      <c r="B794" s="25">
        <f t="shared" si="175"/>
        <v>0.70833333333333293</v>
      </c>
      <c r="C794" s="33" t="s">
        <v>29</v>
      </c>
      <c r="D794" s="62" t="s">
        <v>22</v>
      </c>
      <c r="E794" s="59" t="s">
        <v>261</v>
      </c>
      <c r="F794" s="27">
        <v>3</v>
      </c>
      <c r="G794" s="34">
        <f t="shared" si="176"/>
        <v>12.600000000000001</v>
      </c>
      <c r="H794" s="26"/>
      <c r="I794" s="26"/>
      <c r="J794" s="26"/>
      <c r="K794" s="29"/>
      <c r="L794" s="29"/>
      <c r="M794" s="30" t="str">
        <f t="shared" ca="1" si="174"/>
        <v/>
      </c>
      <c r="N794" s="46"/>
      <c r="O794" s="47"/>
    </row>
    <row r="795" spans="1:15" ht="15" customHeight="1">
      <c r="A795" s="69">
        <v>46233</v>
      </c>
      <c r="B795" s="32">
        <f t="shared" si="175"/>
        <v>0.74999999999999956</v>
      </c>
      <c r="C795" s="33" t="s">
        <v>29</v>
      </c>
      <c r="D795" s="62" t="s">
        <v>22</v>
      </c>
      <c r="E795" s="62" t="s">
        <v>261</v>
      </c>
      <c r="F795" s="27">
        <v>12</v>
      </c>
      <c r="G795" s="34">
        <f t="shared" si="176"/>
        <v>50.400000000000006</v>
      </c>
      <c r="H795" s="33"/>
      <c r="I795" s="33"/>
      <c r="J795" s="33"/>
      <c r="K795" s="29"/>
      <c r="L795" s="29"/>
      <c r="M795" s="35" t="str">
        <f t="shared" ca="1" si="174"/>
        <v/>
      </c>
      <c r="N795" s="46"/>
      <c r="O795" s="47"/>
    </row>
    <row r="796" spans="1:15" ht="15" customHeight="1">
      <c r="A796" s="68">
        <v>46233</v>
      </c>
      <c r="B796" s="25">
        <f t="shared" si="175"/>
        <v>0.79166666666666619</v>
      </c>
      <c r="C796" s="33" t="s">
        <v>29</v>
      </c>
      <c r="D796" s="62" t="s">
        <v>22</v>
      </c>
      <c r="E796" s="59" t="s">
        <v>261</v>
      </c>
      <c r="F796" s="27">
        <v>5</v>
      </c>
      <c r="G796" s="34">
        <f t="shared" si="176"/>
        <v>21</v>
      </c>
      <c r="H796" s="26"/>
      <c r="I796" s="26"/>
      <c r="J796" s="26"/>
      <c r="K796" s="29"/>
      <c r="L796" s="29"/>
      <c r="M796" s="30" t="str">
        <f t="shared" ca="1" si="174"/>
        <v/>
      </c>
      <c r="N796" s="46"/>
      <c r="O796" s="47"/>
    </row>
    <row r="797" spans="1:15" ht="15.75" customHeight="1">
      <c r="A797" s="119" t="s">
        <v>236</v>
      </c>
      <c r="B797" s="120"/>
      <c r="C797" s="120"/>
      <c r="D797" s="120"/>
      <c r="E797" s="121">
        <f>SUM(E785:E796)</f>
        <v>0</v>
      </c>
      <c r="F797" s="36">
        <f>SUM(F785:F796)</f>
        <v>154</v>
      </c>
      <c r="G797" s="36">
        <f>SUM(G785:G796)</f>
        <v>652.4</v>
      </c>
      <c r="H797" s="37"/>
      <c r="I797" s="37"/>
      <c r="J797" s="37"/>
      <c r="K797" s="37"/>
      <c r="L797" s="37"/>
      <c r="M797" s="38">
        <f ca="1">IFERROR(SUM(M785:M796),"")</f>
        <v>0.12083333333333324</v>
      </c>
      <c r="N797" s="36" t="s">
        <v>237</v>
      </c>
      <c r="O797" s="77">
        <v>648030</v>
      </c>
    </row>
    <row r="798" spans="1:15" ht="15" customHeight="1">
      <c r="A798" s="68">
        <v>46233</v>
      </c>
      <c r="B798" s="25">
        <v>0.83333333333333304</v>
      </c>
      <c r="C798" s="26" t="s">
        <v>21</v>
      </c>
      <c r="D798" s="59" t="s">
        <v>22</v>
      </c>
      <c r="E798" s="59" t="s">
        <v>261</v>
      </c>
      <c r="F798" s="27">
        <v>23</v>
      </c>
      <c r="G798" s="34">
        <f t="shared" si="176"/>
        <v>96.600000000000009</v>
      </c>
      <c r="H798" s="26" t="s">
        <v>19</v>
      </c>
      <c r="I798" s="26" t="s">
        <v>157</v>
      </c>
      <c r="J798" s="26" t="s">
        <v>27</v>
      </c>
      <c r="K798" s="29">
        <v>3.472222222222222E-3</v>
      </c>
      <c r="L798" s="29">
        <v>1.3888888888888888E-2</v>
      </c>
      <c r="M798" s="30">
        <f t="shared" ref="M798:M809" ca="1" si="177">IFERROR(IF(K798="","",IF(L798="",MOD(NOW()-K798,1),IF(L798&gt;=K798,L798-K798,L798+1-K798))),"")</f>
        <v>1.0416666666666666E-2</v>
      </c>
      <c r="N798" s="46" t="s">
        <v>348</v>
      </c>
      <c r="O798" s="47"/>
    </row>
    <row r="799" spans="1:15" ht="15" customHeight="1">
      <c r="A799" s="69">
        <v>46233</v>
      </c>
      <c r="B799" s="32">
        <f t="shared" ref="B799:B809" si="178">B798+TIME(0,60,0)</f>
        <v>0.87499999999999967</v>
      </c>
      <c r="C799" s="26" t="s">
        <v>21</v>
      </c>
      <c r="D799" s="59" t="s">
        <v>22</v>
      </c>
      <c r="E799" s="59" t="s">
        <v>261</v>
      </c>
      <c r="F799" s="27">
        <v>8</v>
      </c>
      <c r="G799" s="34">
        <f t="shared" si="176"/>
        <v>33.6</v>
      </c>
      <c r="H799" s="33" t="s">
        <v>18</v>
      </c>
      <c r="I799" s="33" t="s">
        <v>31</v>
      </c>
      <c r="J799" s="33" t="s">
        <v>154</v>
      </c>
      <c r="K799" s="29">
        <v>3.8194444444444448E-2</v>
      </c>
      <c r="L799" s="29">
        <v>6.458333333333334E-2</v>
      </c>
      <c r="M799" s="35">
        <f t="shared" ca="1" si="177"/>
        <v>2.6388888888888892E-2</v>
      </c>
      <c r="N799" s="46"/>
      <c r="O799" s="47"/>
    </row>
    <row r="800" spans="1:15" ht="15" customHeight="1">
      <c r="A800" s="68">
        <v>46233</v>
      </c>
      <c r="B800" s="25">
        <f t="shared" si="178"/>
        <v>0.9166666666666663</v>
      </c>
      <c r="C800" s="26" t="s">
        <v>21</v>
      </c>
      <c r="D800" s="59" t="s">
        <v>22</v>
      </c>
      <c r="E800" s="59" t="s">
        <v>261</v>
      </c>
      <c r="F800" s="27">
        <v>30</v>
      </c>
      <c r="G800" s="34">
        <f t="shared" si="176"/>
        <v>126</v>
      </c>
      <c r="H800" s="26" t="s">
        <v>20</v>
      </c>
      <c r="I800" s="26" t="s">
        <v>31</v>
      </c>
      <c r="J800" s="26" t="s">
        <v>62</v>
      </c>
      <c r="K800" s="29">
        <v>8.6805555555555552E-2</v>
      </c>
      <c r="L800" s="29">
        <v>0.10416666666666667</v>
      </c>
      <c r="M800" s="30">
        <f t="shared" ca="1" si="177"/>
        <v>1.7361111111111119E-2</v>
      </c>
      <c r="N800" s="46"/>
      <c r="O800" s="47"/>
    </row>
    <row r="801" spans="1:15" ht="15" customHeight="1">
      <c r="A801" s="69">
        <v>46233</v>
      </c>
      <c r="B801" s="32">
        <f t="shared" si="178"/>
        <v>0.95833333333333293</v>
      </c>
      <c r="C801" s="26" t="s">
        <v>21</v>
      </c>
      <c r="D801" s="59" t="s">
        <v>22</v>
      </c>
      <c r="E801" s="59" t="s">
        <v>261</v>
      </c>
      <c r="F801" s="27">
        <v>27</v>
      </c>
      <c r="G801" s="34">
        <f t="shared" si="176"/>
        <v>113.4</v>
      </c>
      <c r="H801" s="33" t="s">
        <v>18</v>
      </c>
      <c r="I801" s="33" t="s">
        <v>39</v>
      </c>
      <c r="J801" s="33" t="s">
        <v>154</v>
      </c>
      <c r="K801" s="29">
        <v>0.12847222222222221</v>
      </c>
      <c r="L801" s="29">
        <v>0.14861111111111111</v>
      </c>
      <c r="M801" s="35">
        <f t="shared" ca="1" si="177"/>
        <v>2.0138888888888901E-2</v>
      </c>
      <c r="N801" s="46"/>
      <c r="O801" s="47"/>
    </row>
    <row r="802" spans="1:15" ht="15" customHeight="1">
      <c r="A802" s="68">
        <v>46233</v>
      </c>
      <c r="B802" s="25">
        <f t="shared" si="178"/>
        <v>0.99999999999999956</v>
      </c>
      <c r="C802" s="26" t="s">
        <v>21</v>
      </c>
      <c r="D802" s="59" t="s">
        <v>22</v>
      </c>
      <c r="E802" s="59" t="s">
        <v>261</v>
      </c>
      <c r="F802" s="27">
        <v>6</v>
      </c>
      <c r="G802" s="34">
        <f t="shared" si="176"/>
        <v>25.200000000000003</v>
      </c>
      <c r="H802" s="26" t="s">
        <v>17</v>
      </c>
      <c r="I802" s="26"/>
      <c r="J802" s="26" t="s">
        <v>41</v>
      </c>
      <c r="K802" s="29">
        <v>0.22916666666666666</v>
      </c>
      <c r="L802" s="29">
        <v>0.2388888888888889</v>
      </c>
      <c r="M802" s="30">
        <f t="shared" ca="1" si="177"/>
        <v>9.7222222222222432E-3</v>
      </c>
      <c r="N802" s="46"/>
      <c r="O802" s="47"/>
    </row>
    <row r="803" spans="1:15" ht="15" customHeight="1">
      <c r="A803" s="69">
        <v>46233</v>
      </c>
      <c r="B803" s="32">
        <f t="shared" si="178"/>
        <v>1.0416666666666663</v>
      </c>
      <c r="C803" s="26" t="s">
        <v>21</v>
      </c>
      <c r="D803" s="59" t="s">
        <v>22</v>
      </c>
      <c r="E803" s="59" t="s">
        <v>261</v>
      </c>
      <c r="F803" s="27">
        <v>10</v>
      </c>
      <c r="G803" s="34">
        <f t="shared" si="176"/>
        <v>42</v>
      </c>
      <c r="H803" s="33"/>
      <c r="I803" s="33"/>
      <c r="J803" s="33"/>
      <c r="K803" s="29"/>
      <c r="L803" s="29"/>
      <c r="M803" s="35" t="str">
        <f t="shared" ca="1" si="177"/>
        <v/>
      </c>
      <c r="N803" s="46"/>
      <c r="O803" s="47"/>
    </row>
    <row r="804" spans="1:15" ht="15" customHeight="1">
      <c r="A804" s="68">
        <v>46233</v>
      </c>
      <c r="B804" s="25">
        <f t="shared" si="178"/>
        <v>1.083333333333333</v>
      </c>
      <c r="C804" s="26" t="s">
        <v>21</v>
      </c>
      <c r="D804" s="59" t="s">
        <v>22</v>
      </c>
      <c r="E804" s="59" t="s">
        <v>261</v>
      </c>
      <c r="F804" s="27">
        <v>10</v>
      </c>
      <c r="G804" s="34">
        <f t="shared" si="176"/>
        <v>42</v>
      </c>
      <c r="H804" s="26"/>
      <c r="I804" s="26"/>
      <c r="J804" s="26"/>
      <c r="K804" s="29"/>
      <c r="L804" s="29"/>
      <c r="M804" s="30" t="str">
        <f t="shared" ca="1" si="177"/>
        <v/>
      </c>
      <c r="N804" s="46"/>
      <c r="O804" s="47"/>
    </row>
    <row r="805" spans="1:15" ht="15" customHeight="1">
      <c r="A805" s="69">
        <v>46233</v>
      </c>
      <c r="B805" s="32">
        <f t="shared" si="178"/>
        <v>1.1249999999999998</v>
      </c>
      <c r="C805" s="26" t="s">
        <v>21</v>
      </c>
      <c r="D805" s="59" t="s">
        <v>22</v>
      </c>
      <c r="E805" s="59" t="s">
        <v>261</v>
      </c>
      <c r="F805" s="27">
        <v>12</v>
      </c>
      <c r="G805" s="34">
        <f t="shared" si="176"/>
        <v>50.400000000000006</v>
      </c>
      <c r="H805" s="33"/>
      <c r="I805" s="33"/>
      <c r="J805" s="33"/>
      <c r="K805" s="29"/>
      <c r="L805" s="29"/>
      <c r="M805" s="35" t="str">
        <f t="shared" ca="1" si="177"/>
        <v/>
      </c>
      <c r="N805" s="46"/>
      <c r="O805" s="47"/>
    </row>
    <row r="806" spans="1:15" ht="15" customHeight="1">
      <c r="A806" s="68">
        <v>46233</v>
      </c>
      <c r="B806" s="25">
        <f t="shared" si="178"/>
        <v>1.1666666666666665</v>
      </c>
      <c r="C806" s="26" t="s">
        <v>21</v>
      </c>
      <c r="D806" s="59" t="s">
        <v>22</v>
      </c>
      <c r="E806" s="59" t="s">
        <v>261</v>
      </c>
      <c r="F806" s="27">
        <v>10</v>
      </c>
      <c r="G806" s="34">
        <f t="shared" si="176"/>
        <v>42</v>
      </c>
      <c r="H806" s="26"/>
      <c r="I806" s="26"/>
      <c r="J806" s="26"/>
      <c r="K806" s="29"/>
      <c r="L806" s="29"/>
      <c r="M806" s="30" t="str">
        <f t="shared" ca="1" si="177"/>
        <v/>
      </c>
      <c r="N806" s="46"/>
      <c r="O806" s="47"/>
    </row>
    <row r="807" spans="1:15" ht="15" customHeight="1">
      <c r="A807" s="69">
        <v>46233</v>
      </c>
      <c r="B807" s="32">
        <f t="shared" si="178"/>
        <v>1.2083333333333333</v>
      </c>
      <c r="C807" s="26" t="s">
        <v>21</v>
      </c>
      <c r="D807" s="59" t="s">
        <v>22</v>
      </c>
      <c r="E807" s="59" t="s">
        <v>261</v>
      </c>
      <c r="F807" s="27">
        <v>21</v>
      </c>
      <c r="G807" s="34">
        <f t="shared" si="176"/>
        <v>88.2</v>
      </c>
      <c r="H807" s="33"/>
      <c r="I807" s="33"/>
      <c r="J807" s="33"/>
      <c r="K807" s="29"/>
      <c r="L807" s="29"/>
      <c r="M807" s="35" t="str">
        <f t="shared" ca="1" si="177"/>
        <v/>
      </c>
      <c r="N807" s="46"/>
      <c r="O807" s="47"/>
    </row>
    <row r="808" spans="1:15" ht="15" customHeight="1">
      <c r="A808" s="68">
        <v>46233</v>
      </c>
      <c r="B808" s="25">
        <f t="shared" si="178"/>
        <v>1.25</v>
      </c>
      <c r="C808" s="26" t="s">
        <v>21</v>
      </c>
      <c r="D808" s="59" t="s">
        <v>22</v>
      </c>
      <c r="E808" s="59" t="s">
        <v>261</v>
      </c>
      <c r="F808" s="27">
        <v>8</v>
      </c>
      <c r="G808" s="34">
        <f t="shared" si="176"/>
        <v>33.6</v>
      </c>
      <c r="H808" s="26"/>
      <c r="I808" s="26"/>
      <c r="J808" s="26"/>
      <c r="K808" s="29"/>
      <c r="L808" s="29"/>
      <c r="M808" s="30" t="str">
        <f t="shared" ca="1" si="177"/>
        <v/>
      </c>
      <c r="N808" s="46"/>
      <c r="O808" s="47"/>
    </row>
    <row r="809" spans="1:15" ht="15" customHeight="1">
      <c r="A809" s="69">
        <v>46233</v>
      </c>
      <c r="B809" s="32">
        <f t="shared" si="178"/>
        <v>1.2916666666666667</v>
      </c>
      <c r="C809" s="26" t="s">
        <v>21</v>
      </c>
      <c r="D809" s="59" t="s">
        <v>22</v>
      </c>
      <c r="E809" s="59" t="s">
        <v>261</v>
      </c>
      <c r="F809" s="27">
        <v>7</v>
      </c>
      <c r="G809" s="34">
        <f t="shared" si="176"/>
        <v>29.400000000000002</v>
      </c>
      <c r="H809" s="33"/>
      <c r="I809" s="33"/>
      <c r="J809" s="33"/>
      <c r="K809" s="29"/>
      <c r="L809" s="29"/>
      <c r="M809" s="35" t="str">
        <f t="shared" ca="1" si="177"/>
        <v/>
      </c>
      <c r="N809" s="46"/>
      <c r="O809" s="47"/>
    </row>
    <row r="810" spans="1:15" ht="15.75" customHeight="1">
      <c r="A810" s="119" t="s">
        <v>238</v>
      </c>
      <c r="B810" s="120"/>
      <c r="C810" s="120"/>
      <c r="D810" s="120"/>
      <c r="E810" s="121">
        <f>SUM(E798:E809)</f>
        <v>0</v>
      </c>
      <c r="F810" s="36">
        <f>SUM(F798:F809)</f>
        <v>172</v>
      </c>
      <c r="G810" s="36">
        <f>SUM(G798:G809)</f>
        <v>722.40000000000009</v>
      </c>
      <c r="H810" s="37"/>
      <c r="I810" s="37"/>
      <c r="J810" s="37"/>
      <c r="K810" s="37"/>
      <c r="L810" s="37"/>
      <c r="M810" s="38">
        <f ca="1">IFERROR(SUM(M798:M809),"")</f>
        <v>8.4027777777777812E-2</v>
      </c>
      <c r="N810" s="36" t="s">
        <v>237</v>
      </c>
      <c r="O810" s="39">
        <v>819240</v>
      </c>
    </row>
    <row r="811" spans="1:15" ht="18" customHeight="1">
      <c r="A811" s="122" t="s">
        <v>239</v>
      </c>
      <c r="B811" s="123"/>
      <c r="C811" s="123"/>
      <c r="D811" s="123"/>
      <c r="E811" s="124">
        <f>E797+E810</f>
        <v>0</v>
      </c>
      <c r="F811" s="40">
        <f>F797+F810</f>
        <v>326</v>
      </c>
      <c r="G811" s="40">
        <f>G797+G810</f>
        <v>1374.8000000000002</v>
      </c>
      <c r="H811" s="41"/>
      <c r="I811" s="41"/>
      <c r="J811" s="41"/>
      <c r="K811" s="41"/>
      <c r="L811" s="41"/>
      <c r="M811" s="42">
        <f ca="1">IFERROR(M797+M810,"")</f>
        <v>0.20486111111111105</v>
      </c>
      <c r="N811" s="40" t="s">
        <v>240</v>
      </c>
      <c r="O811" s="82">
        <f>IFERROR(O797+O810,"")</f>
        <v>1467270</v>
      </c>
    </row>
    <row r="812" spans="1:15" ht="15">
      <c r="A812" s="106">
        <v>46234</v>
      </c>
      <c r="B812" s="103">
        <v>0.33333333333333298</v>
      </c>
      <c r="C812" s="80" t="s">
        <v>45</v>
      </c>
      <c r="D812" s="99" t="s">
        <v>22</v>
      </c>
      <c r="E812" s="99" t="s">
        <v>261</v>
      </c>
      <c r="F812" s="100">
        <v>15</v>
      </c>
      <c r="G812" s="104">
        <f>IF(F812="","",IF(E812="PC 17",F812*4.2,IF(E812="PC 19",F812*5,"")))</f>
        <v>63</v>
      </c>
      <c r="H812" s="80" t="s">
        <v>19</v>
      </c>
      <c r="I812" s="80" t="s">
        <v>157</v>
      </c>
      <c r="J812" s="80" t="s">
        <v>27</v>
      </c>
      <c r="K812" s="98">
        <v>0.43333333333333335</v>
      </c>
      <c r="L812" s="98">
        <v>0.4513888888888889</v>
      </c>
      <c r="M812" s="78">
        <f ca="1">IFERROR(IF(K812="","",IF(L812="",MOD(NOW()-K812,1),IF(L812&gt;=K812,L812-K812,L812+1-K812))),"")</f>
        <v>1.8055555555555547E-2</v>
      </c>
      <c r="N812" s="105"/>
      <c r="O812" s="47"/>
    </row>
    <row r="813" spans="1:15" ht="15">
      <c r="A813" s="102">
        <v>46234</v>
      </c>
      <c r="B813" s="107">
        <f>B812+TIME(0,60,0)</f>
        <v>0.37499999999999967</v>
      </c>
      <c r="C813" s="80" t="s">
        <v>45</v>
      </c>
      <c r="D813" s="99" t="s">
        <v>22</v>
      </c>
      <c r="E813" s="108" t="s">
        <v>261</v>
      </c>
      <c r="F813" s="100">
        <v>26</v>
      </c>
      <c r="G813" s="104">
        <f>IF(F813="","",IF(E813="PC 17",F813*4.2,IF(E813="PC 19",F813*5,"")))</f>
        <v>109.2</v>
      </c>
      <c r="H813" s="81" t="s">
        <v>20</v>
      </c>
      <c r="I813" s="81" t="s">
        <v>31</v>
      </c>
      <c r="J813" s="81" t="s">
        <v>28</v>
      </c>
      <c r="K813" s="98">
        <v>0.51736111111111116</v>
      </c>
      <c r="L813" s="98">
        <v>0.55902777777777779</v>
      </c>
      <c r="M813" s="79">
        <f ca="1">IFERROR(IF(K813="","",IF(L813="",MOD(NOW()-K813,1),IF(L813&gt;=K813,L813-K813,L813+1-K813))),"")</f>
        <v>4.166666666666663E-2</v>
      </c>
      <c r="N813" s="105" t="s">
        <v>349</v>
      </c>
      <c r="O813" s="47"/>
    </row>
    <row r="814" spans="1:15" ht="15">
      <c r="A814" s="106">
        <v>46234</v>
      </c>
      <c r="B814" s="103">
        <f>B813+TIME(0,60,0)</f>
        <v>0.41666666666666635</v>
      </c>
      <c r="C814" s="80" t="s">
        <v>45</v>
      </c>
      <c r="D814" s="99" t="s">
        <v>22</v>
      </c>
      <c r="E814" s="99" t="s">
        <v>261</v>
      </c>
      <c r="F814" s="100">
        <v>18</v>
      </c>
      <c r="G814" s="104">
        <f>IF(F814="","",IF(E814="PC 17",F814*4.2,IF(E814="PC 19",F814*5,"")))</f>
        <v>75.600000000000009</v>
      </c>
      <c r="H814" s="80" t="s">
        <v>20</v>
      </c>
      <c r="I814" s="80" t="s">
        <v>39</v>
      </c>
      <c r="J814" s="80" t="s">
        <v>51</v>
      </c>
      <c r="K814" s="98">
        <v>0.64583333333333337</v>
      </c>
      <c r="L814" s="98">
        <v>0.65</v>
      </c>
      <c r="M814" s="78">
        <f ca="1">IFERROR(IF(K814="","",IF(L814="",MOD(NOW()-K814,1),IF(L814&gt;=K814,L814-K814,L814+1-K814))),"")</f>
        <v>4.1666666666666519E-3</v>
      </c>
      <c r="N814" s="105"/>
      <c r="O814" s="47"/>
    </row>
    <row r="815" spans="1:15" ht="15">
      <c r="A815" s="102">
        <v>46234</v>
      </c>
      <c r="B815" s="107">
        <f>B814+TIME(0,60,0)</f>
        <v>0.45833333333333304</v>
      </c>
      <c r="C815" s="80" t="s">
        <v>45</v>
      </c>
      <c r="D815" s="99" t="s">
        <v>22</v>
      </c>
      <c r="E815" s="108" t="s">
        <v>261</v>
      </c>
      <c r="F815" s="100">
        <v>16</v>
      </c>
      <c r="G815" s="104">
        <f>IF(F815="","",IF(E815="PC 17",F815*4.2,IF(E815="PC 19",F815*5,"")))</f>
        <v>67.2</v>
      </c>
      <c r="H815" s="81" t="s">
        <v>20</v>
      </c>
      <c r="I815" s="81" t="s">
        <v>39</v>
      </c>
      <c r="J815" s="81" t="s">
        <v>28</v>
      </c>
      <c r="K815" s="98">
        <v>0.69861111111111107</v>
      </c>
      <c r="L815" s="98">
        <v>0.70833333333333337</v>
      </c>
      <c r="M815" s="79">
        <f ca="1">IFERROR(IF(K815="","",IF(L815="",MOD(NOW()-K815,1),IF(L815&gt;=K815,L815-K815,L815+1-K815))),"")</f>
        <v>9.7222222222222987E-3</v>
      </c>
      <c r="N815" s="105"/>
      <c r="O815" s="47"/>
    </row>
    <row r="816" spans="1:15" ht="15">
      <c r="A816" s="106">
        <v>46234</v>
      </c>
      <c r="B816" s="103">
        <f>B815+TIME(0,60,0)</f>
        <v>0.49999999999999972</v>
      </c>
      <c r="C816" s="80" t="s">
        <v>45</v>
      </c>
      <c r="D816" s="99" t="s">
        <v>22</v>
      </c>
      <c r="E816" s="99" t="s">
        <v>261</v>
      </c>
      <c r="F816" s="100">
        <v>10</v>
      </c>
      <c r="G816" s="104">
        <f>IF(F816="","",IF(E816="PC 17",F816*4.2,IF(E816="PC 19",F816*5,"")))</f>
        <v>42</v>
      </c>
      <c r="H816" s="80" t="s">
        <v>18</v>
      </c>
      <c r="I816" s="80"/>
      <c r="J816" s="80" t="s">
        <v>128</v>
      </c>
      <c r="K816" s="98">
        <v>0.72986111111111107</v>
      </c>
      <c r="L816" s="98">
        <v>0.76111111111111107</v>
      </c>
      <c r="M816" s="78">
        <f ca="1">IFERROR(IF(K816="","",IF(L816="",MOD(NOW()-K816,1),IF(L816&gt;=K816,L816-K816,L816+1-K816))),"")</f>
        <v>3.125E-2</v>
      </c>
      <c r="N816" s="105"/>
      <c r="O816" s="47"/>
    </row>
    <row r="817" spans="1:15" ht="15">
      <c r="A817" s="102">
        <v>46234</v>
      </c>
      <c r="B817" s="107">
        <f>B816+TIME(0,60,0)</f>
        <v>0.54166666666666641</v>
      </c>
      <c r="C817" s="80" t="s">
        <v>45</v>
      </c>
      <c r="D817" s="99" t="s">
        <v>22</v>
      </c>
      <c r="E817" s="108" t="s">
        <v>261</v>
      </c>
      <c r="F817" s="100">
        <v>18</v>
      </c>
      <c r="G817" s="104">
        <f>IF(F817="","",IF(E817="PC 17",F817*4.2,IF(E817="PC 19",F817*5,"")))</f>
        <v>75.600000000000009</v>
      </c>
      <c r="H817" s="81"/>
      <c r="I817" s="81"/>
      <c r="J817" s="81"/>
      <c r="K817" s="98"/>
      <c r="L817" s="98"/>
      <c r="M817" s="79" t="str">
        <f ca="1">IFERROR(IF(K817="","",IF(L817="",MOD(NOW()-K817,1),IF(L817&gt;=K817,L817-K817,L817+1-K817))),"")</f>
        <v/>
      </c>
      <c r="N817" s="105"/>
      <c r="O817" s="47"/>
    </row>
    <row r="818" spans="1:15" ht="15">
      <c r="A818" s="106">
        <v>46234</v>
      </c>
      <c r="B818" s="103">
        <f>B817+TIME(0,60,0)</f>
        <v>0.58333333333333304</v>
      </c>
      <c r="C818" s="80" t="s">
        <v>45</v>
      </c>
      <c r="D818" s="99" t="s">
        <v>30</v>
      </c>
      <c r="E818" s="99" t="s">
        <v>261</v>
      </c>
      <c r="F818" s="100">
        <v>10</v>
      </c>
      <c r="G818" s="104">
        <f>IF(F818="","",IF(E818="PC 17",F818*4.2,IF(E818="PC 19",F818*5,"")))</f>
        <v>42</v>
      </c>
      <c r="H818" s="80"/>
      <c r="I818" s="80"/>
      <c r="J818" s="80"/>
      <c r="K818" s="98"/>
      <c r="L818" s="98"/>
      <c r="M818" s="78" t="str">
        <f ca="1">IFERROR(IF(K818="","",IF(L818="",MOD(NOW()-K818,1),IF(L818&gt;=K818,L818-K818,L818+1-K818))),"")</f>
        <v/>
      </c>
      <c r="N818" s="105"/>
      <c r="O818" s="47"/>
    </row>
    <row r="819" spans="1:15" ht="15">
      <c r="A819" s="102">
        <v>46234</v>
      </c>
      <c r="B819" s="107">
        <f>B818+TIME(0,60,0)</f>
        <v>0.62499999999999967</v>
      </c>
      <c r="C819" s="80" t="s">
        <v>45</v>
      </c>
      <c r="D819" s="99" t="s">
        <v>30</v>
      </c>
      <c r="E819" s="108" t="s">
        <v>261</v>
      </c>
      <c r="F819" s="100">
        <v>18</v>
      </c>
      <c r="G819" s="104">
        <f>IF(F819="","",IF(E819="PC 17",F819*4.2,IF(E819="PC 19",F819*5,"")))</f>
        <v>75.600000000000009</v>
      </c>
      <c r="H819" s="81"/>
      <c r="I819" s="81"/>
      <c r="J819" s="81"/>
      <c r="K819" s="98"/>
      <c r="L819" s="98"/>
      <c r="M819" s="79" t="str">
        <f ca="1">IFERROR(IF(K819="","",IF(L819="",MOD(NOW()-K819,1),IF(L819&gt;=K819,L819-K819,L819+1-K819))),"")</f>
        <v/>
      </c>
      <c r="N819" s="105"/>
      <c r="O819" s="47"/>
    </row>
    <row r="820" spans="1:15" ht="15">
      <c r="A820" s="106">
        <v>46234</v>
      </c>
      <c r="B820" s="103">
        <f>B819+TIME(0,60,0)</f>
        <v>0.6666666666666663</v>
      </c>
      <c r="C820" s="80" t="s">
        <v>45</v>
      </c>
      <c r="D820" s="99" t="s">
        <v>30</v>
      </c>
      <c r="E820" s="99" t="s">
        <v>261</v>
      </c>
      <c r="F820" s="100">
        <v>15</v>
      </c>
      <c r="G820" s="104">
        <f>IF(F820="","",IF(E820="PC 17",F820*4.2,IF(E820="PC 19",F820*5,"")))</f>
        <v>63</v>
      </c>
      <c r="H820" s="80"/>
      <c r="I820" s="80"/>
      <c r="J820" s="80"/>
      <c r="K820" s="98"/>
      <c r="L820" s="98"/>
      <c r="M820" s="78" t="str">
        <f ca="1">IFERROR(IF(K820="","",IF(L820="",MOD(NOW()-K820,1),IF(L820&gt;=K820,L820-K820,L820+1-K820))),"")</f>
        <v/>
      </c>
      <c r="N820" s="105"/>
      <c r="O820" s="47"/>
    </row>
    <row r="821" spans="1:15" ht="15">
      <c r="A821" s="102">
        <v>46234</v>
      </c>
      <c r="B821" s="107">
        <f>B820+TIME(0,60,0)</f>
        <v>0.70833333333333293</v>
      </c>
      <c r="C821" s="80" t="s">
        <v>45</v>
      </c>
      <c r="D821" s="99" t="s">
        <v>30</v>
      </c>
      <c r="E821" s="108" t="s">
        <v>261</v>
      </c>
      <c r="F821" s="100">
        <v>15</v>
      </c>
      <c r="G821" s="104">
        <f>IF(F821="","",IF(E821="PC 17",F821*4.2,IF(E821="PC 19",F821*5,"")))</f>
        <v>63</v>
      </c>
      <c r="H821" s="81"/>
      <c r="I821" s="81"/>
      <c r="J821" s="81"/>
      <c r="K821" s="98"/>
      <c r="L821" s="98"/>
      <c r="M821" s="79" t="str">
        <f ca="1">IFERROR(IF(K821="","",IF(L821="",MOD(NOW()-K821,1),IF(L821&gt;=K821,L821-K821,L821+1-K821))),"")</f>
        <v/>
      </c>
      <c r="N821" s="105"/>
      <c r="O821" s="47"/>
    </row>
    <row r="822" spans="1:15" ht="15">
      <c r="A822" s="106">
        <v>46234</v>
      </c>
      <c r="B822" s="103">
        <f>B821+TIME(0,60,0)</f>
        <v>0.74999999999999956</v>
      </c>
      <c r="C822" s="80" t="s">
        <v>45</v>
      </c>
      <c r="D822" s="99" t="s">
        <v>22</v>
      </c>
      <c r="E822" s="99" t="s">
        <v>261</v>
      </c>
      <c r="F822" s="100">
        <v>8</v>
      </c>
      <c r="G822" s="104">
        <f>IF(F822="","",IF(E822="PC 17",F822*4.2,IF(E822="PC 19",F822*5,"")))</f>
        <v>33.6</v>
      </c>
      <c r="H822" s="80"/>
      <c r="I822" s="80"/>
      <c r="J822" s="80"/>
      <c r="K822" s="98"/>
      <c r="L822" s="98"/>
      <c r="M822" s="78" t="str">
        <f ca="1">IFERROR(IF(K822="","",IF(L822="",MOD(NOW()-K822,1),IF(L822&gt;=K822,L822-K822,L822+1-K822))),"")</f>
        <v/>
      </c>
      <c r="N822" s="105"/>
      <c r="O822" s="47"/>
    </row>
    <row r="823" spans="1:15" ht="15">
      <c r="A823" s="102">
        <v>46234</v>
      </c>
      <c r="B823" s="107">
        <f>B822+TIME(0,60,0)</f>
        <v>0.79166666666666619</v>
      </c>
      <c r="C823" s="80" t="s">
        <v>45</v>
      </c>
      <c r="D823" s="99" t="s">
        <v>22</v>
      </c>
      <c r="E823" s="108" t="s">
        <v>261</v>
      </c>
      <c r="F823" s="100">
        <v>0</v>
      </c>
      <c r="G823" s="104">
        <f>IF(F823="","",IF(E823="PC 17",F823*4.2,IF(E823="PC 19",F823*5,"")))</f>
        <v>0</v>
      </c>
      <c r="H823" s="81"/>
      <c r="I823" s="81"/>
      <c r="J823" s="81"/>
      <c r="K823" s="98"/>
      <c r="L823" s="98"/>
      <c r="M823" s="79" t="str">
        <f ca="1">IFERROR(IF(K823="","",IF(L823="",MOD(NOW()-K823,1),IF(L823&gt;=K823,L823-K823,L823+1-K823))),"")</f>
        <v/>
      </c>
      <c r="N823" s="105"/>
      <c r="O823" s="47"/>
    </row>
    <row r="824" spans="1:15" ht="15">
      <c r="A824" s="113" t="s">
        <v>236</v>
      </c>
      <c r="B824" s="114"/>
      <c r="C824" s="114"/>
      <c r="D824" s="114"/>
      <c r="E824" s="115">
        <f>SUM(E812:E823)</f>
        <v>0</v>
      </c>
      <c r="F824" s="109">
        <f>SUM(F812:F823)</f>
        <v>169</v>
      </c>
      <c r="G824" s="109">
        <f>SUM(G812:G823)</f>
        <v>709.80000000000007</v>
      </c>
      <c r="H824" s="37"/>
      <c r="I824" s="37"/>
      <c r="J824" s="37"/>
      <c r="K824" s="37"/>
      <c r="L824" s="37"/>
      <c r="M824" s="110">
        <f ca="1">IFERROR(SUM(M812:M823),"")</f>
        <v>0.10486111111111113</v>
      </c>
      <c r="N824" s="109" t="s">
        <v>237</v>
      </c>
      <c r="O824" s="77">
        <v>741170</v>
      </c>
    </row>
    <row r="825" spans="1:15" ht="15">
      <c r="A825" s="106">
        <v>46234</v>
      </c>
      <c r="B825" s="107">
        <v>0.83333333333333304</v>
      </c>
      <c r="C825" s="81" t="s">
        <v>29</v>
      </c>
      <c r="D825" s="108" t="s">
        <v>22</v>
      </c>
      <c r="E825" s="108" t="s">
        <v>261</v>
      </c>
      <c r="F825" s="100"/>
      <c r="G825" s="104" t="str">
        <f>IF(F825="","",IF(E825="PC 17",F825*4.2,IF(E825="PC 19",F825*5,"")))</f>
        <v/>
      </c>
      <c r="H825" s="81"/>
      <c r="I825" s="81"/>
      <c r="J825" s="81"/>
      <c r="K825" s="98"/>
      <c r="L825" s="98"/>
      <c r="M825" s="79" t="str">
        <f ca="1">IFERROR(IF(K825="","",IF(L825="",MOD(NOW()-K825,1),IF(L825&gt;=K825,L825-K825,L825+1-K825))),"")</f>
        <v/>
      </c>
      <c r="N825" s="105"/>
      <c r="O825" s="47"/>
    </row>
    <row r="826" spans="1:15" ht="15">
      <c r="A826" s="102">
        <v>46234</v>
      </c>
      <c r="B826" s="103">
        <f>B825+TIME(0,60,0)</f>
        <v>0.87499999999999967</v>
      </c>
      <c r="C826" s="81" t="s">
        <v>29</v>
      </c>
      <c r="D826" s="108" t="s">
        <v>22</v>
      </c>
      <c r="E826" s="108"/>
      <c r="F826" s="100"/>
      <c r="G826" s="104" t="str">
        <f>IF(F826="","",IF(E826="PC 17",F826*4.2,IF(E826="PC 19",F826*5,"")))</f>
        <v/>
      </c>
      <c r="H826" s="80"/>
      <c r="I826" s="80"/>
      <c r="J826" s="80"/>
      <c r="K826" s="98"/>
      <c r="L826" s="98"/>
      <c r="M826" s="78" t="str">
        <f ca="1">IFERROR(IF(K826="","",IF(L826="",MOD(NOW()-K826,1),IF(L826&gt;=K826,L826-K826,L826+1-K826))),"")</f>
        <v/>
      </c>
      <c r="N826" s="105"/>
      <c r="O826" s="47"/>
    </row>
    <row r="827" spans="1:15" ht="15">
      <c r="A827" s="106">
        <v>46234</v>
      </c>
      <c r="B827" s="107">
        <f>B826+TIME(0,60,0)</f>
        <v>0.9166666666666663</v>
      </c>
      <c r="C827" s="81" t="s">
        <v>29</v>
      </c>
      <c r="D827" s="108" t="s">
        <v>22</v>
      </c>
      <c r="E827" s="108"/>
      <c r="F827" s="100"/>
      <c r="G827" s="104" t="str">
        <f>IF(F827="","",IF(E827="PC 17",F827*4.2,IF(E827="PC 19",F827*5,"")))</f>
        <v/>
      </c>
      <c r="H827" s="81"/>
      <c r="I827" s="81"/>
      <c r="J827" s="81"/>
      <c r="K827" s="98"/>
      <c r="L827" s="98"/>
      <c r="M827" s="79" t="str">
        <f ca="1">IFERROR(IF(K827="","",IF(L827="",MOD(NOW()-K827,1),IF(L827&gt;=K827,L827-K827,L827+1-K827))),"")</f>
        <v/>
      </c>
      <c r="N827" s="105"/>
      <c r="O827" s="47"/>
    </row>
    <row r="828" spans="1:15" ht="15">
      <c r="A828" s="102">
        <v>46234</v>
      </c>
      <c r="B828" s="103">
        <f>B827+TIME(0,60,0)</f>
        <v>0.95833333333333293</v>
      </c>
      <c r="C828" s="81" t="s">
        <v>29</v>
      </c>
      <c r="D828" s="108" t="s">
        <v>22</v>
      </c>
      <c r="E828" s="108"/>
      <c r="F828" s="100"/>
      <c r="G828" s="104" t="str">
        <f>IF(F828="","",IF(E828="PC 17",F828*4.2,IF(E828="PC 19",F828*5,"")))</f>
        <v/>
      </c>
      <c r="H828" s="80"/>
      <c r="I828" s="80"/>
      <c r="J828" s="80"/>
      <c r="K828" s="98"/>
      <c r="L828" s="98"/>
      <c r="M828" s="78" t="str">
        <f ca="1">IFERROR(IF(K828="","",IF(L828="",MOD(NOW()-K828,1),IF(L828&gt;=K828,L828-K828,L828+1-K828))),"")</f>
        <v/>
      </c>
      <c r="N828" s="105"/>
      <c r="O828" s="47"/>
    </row>
    <row r="829" spans="1:15" ht="15">
      <c r="A829" s="106">
        <v>46234</v>
      </c>
      <c r="B829" s="107">
        <f>B828+TIME(0,60,0)</f>
        <v>0.99999999999999956</v>
      </c>
      <c r="C829" s="81" t="s">
        <v>29</v>
      </c>
      <c r="D829" s="108" t="s">
        <v>22</v>
      </c>
      <c r="E829" s="108"/>
      <c r="F829" s="100"/>
      <c r="G829" s="104" t="str">
        <f>IF(F829="","",IF(E829="PC 17",F829*4.2,IF(E829="PC 19",F829*5,"")))</f>
        <v/>
      </c>
      <c r="H829" s="81"/>
      <c r="I829" s="81"/>
      <c r="J829" s="81"/>
      <c r="K829" s="98"/>
      <c r="L829" s="98"/>
      <c r="M829" s="79" t="str">
        <f ca="1">IFERROR(IF(K829="","",IF(L829="",MOD(NOW()-K829,1),IF(L829&gt;=K829,L829-K829,L829+1-K829))),"")</f>
        <v/>
      </c>
      <c r="N829" s="105"/>
      <c r="O829" s="47"/>
    </row>
    <row r="830" spans="1:15" ht="15">
      <c r="A830" s="102">
        <v>46234</v>
      </c>
      <c r="B830" s="103">
        <f>B829+TIME(0,60,0)</f>
        <v>1.0416666666666663</v>
      </c>
      <c r="C830" s="81" t="s">
        <v>29</v>
      </c>
      <c r="D830" s="108" t="s">
        <v>22</v>
      </c>
      <c r="E830" s="108"/>
      <c r="F830" s="100"/>
      <c r="G830" s="104" t="str">
        <f>IF(F830="","",IF(E830="PC 17",F830*4.2,IF(E830="PC 19",F830*5,"")))</f>
        <v/>
      </c>
      <c r="H830" s="80"/>
      <c r="I830" s="80"/>
      <c r="J830" s="80"/>
      <c r="K830" s="98"/>
      <c r="L830" s="98"/>
      <c r="M830" s="78" t="str">
        <f ca="1">IFERROR(IF(K830="","",IF(L830="",MOD(NOW()-K830,1),IF(L830&gt;=K830,L830-K830,L830+1-K830))),"")</f>
        <v/>
      </c>
      <c r="N830" s="105"/>
      <c r="O830" s="47"/>
    </row>
    <row r="831" spans="1:15" ht="15">
      <c r="A831" s="106">
        <v>46234</v>
      </c>
      <c r="B831" s="107">
        <f>B830+TIME(0,60,0)</f>
        <v>1.083333333333333</v>
      </c>
      <c r="C831" s="81" t="s">
        <v>29</v>
      </c>
      <c r="D831" s="108" t="s">
        <v>22</v>
      </c>
      <c r="E831" s="108"/>
      <c r="F831" s="100"/>
      <c r="G831" s="104" t="str">
        <f>IF(F831="","",IF(E831="PC 17",F831*4.2,IF(E831="PC 19",F831*5,"")))</f>
        <v/>
      </c>
      <c r="H831" s="81"/>
      <c r="I831" s="81"/>
      <c r="J831" s="81"/>
      <c r="K831" s="98"/>
      <c r="L831" s="98"/>
      <c r="M831" s="79" t="str">
        <f ca="1">IFERROR(IF(K831="","",IF(L831="",MOD(NOW()-K831,1),IF(L831&gt;=K831,L831-K831,L831+1-K831))),"")</f>
        <v/>
      </c>
      <c r="N831" s="105"/>
      <c r="O831" s="47"/>
    </row>
    <row r="832" spans="1:15" ht="15">
      <c r="A832" s="102">
        <v>46234</v>
      </c>
      <c r="B832" s="103">
        <f>B831+TIME(0,60,0)</f>
        <v>1.1249999999999998</v>
      </c>
      <c r="C832" s="81" t="s">
        <v>29</v>
      </c>
      <c r="D832" s="108" t="s">
        <v>22</v>
      </c>
      <c r="E832" s="108"/>
      <c r="F832" s="100"/>
      <c r="G832" s="104" t="str">
        <f>IF(F832="","",IF(E832="PC 17",F832*4.2,IF(E832="PC 19",F832*5,"")))</f>
        <v/>
      </c>
      <c r="H832" s="80"/>
      <c r="I832" s="80"/>
      <c r="J832" s="80"/>
      <c r="K832" s="98"/>
      <c r="L832" s="98"/>
      <c r="M832" s="78" t="str">
        <f ca="1">IFERROR(IF(K832="","",IF(L832="",MOD(NOW()-K832,1),IF(L832&gt;=K832,L832-K832,L832+1-K832))),"")</f>
        <v/>
      </c>
      <c r="N832" s="105"/>
      <c r="O832" s="47"/>
    </row>
    <row r="833" spans="1:15" ht="15">
      <c r="A833" s="106">
        <v>46234</v>
      </c>
      <c r="B833" s="107">
        <f>B832+TIME(0,60,0)</f>
        <v>1.1666666666666665</v>
      </c>
      <c r="C833" s="81" t="s">
        <v>29</v>
      </c>
      <c r="D833" s="108" t="s">
        <v>22</v>
      </c>
      <c r="E833" s="108"/>
      <c r="F833" s="100"/>
      <c r="G833" s="104" t="str">
        <f>IF(F833="","",IF(E833="PC 17",F833*4.2,IF(E833="PC 19",F833*5,"")))</f>
        <v/>
      </c>
      <c r="H833" s="81"/>
      <c r="I833" s="81"/>
      <c r="J833" s="81"/>
      <c r="K833" s="98"/>
      <c r="L833" s="98"/>
      <c r="M833" s="79" t="str">
        <f ca="1">IFERROR(IF(K833="","",IF(L833="",MOD(NOW()-K833,1),IF(L833&gt;=K833,L833-K833,L833+1-K833))),"")</f>
        <v/>
      </c>
      <c r="N833" s="105"/>
      <c r="O833" s="47"/>
    </row>
    <row r="834" spans="1:15" ht="15">
      <c r="A834" s="102">
        <v>46234</v>
      </c>
      <c r="B834" s="103">
        <f>B833+TIME(0,60,0)</f>
        <v>1.2083333333333333</v>
      </c>
      <c r="C834" s="81" t="s">
        <v>29</v>
      </c>
      <c r="D834" s="108" t="s">
        <v>22</v>
      </c>
      <c r="E834" s="108"/>
      <c r="F834" s="100"/>
      <c r="G834" s="104" t="str">
        <f>IF(F834="","",IF(E834="PC 17",F834*4.2,IF(E834="PC 19",F834*5,"")))</f>
        <v/>
      </c>
      <c r="H834" s="80"/>
      <c r="I834" s="80"/>
      <c r="J834" s="80"/>
      <c r="K834" s="98"/>
      <c r="L834" s="98"/>
      <c r="M834" s="78" t="str">
        <f ca="1">IFERROR(IF(K834="","",IF(L834="",MOD(NOW()-K834,1),IF(L834&gt;=K834,L834-K834,L834+1-K834))),"")</f>
        <v/>
      </c>
      <c r="N834" s="105"/>
      <c r="O834" s="47"/>
    </row>
    <row r="835" spans="1:15" ht="15">
      <c r="A835" s="106">
        <v>46234</v>
      </c>
      <c r="B835" s="107">
        <f>B834+TIME(0,60,0)</f>
        <v>1.25</v>
      </c>
      <c r="C835" s="81" t="s">
        <v>29</v>
      </c>
      <c r="D835" s="108" t="s">
        <v>22</v>
      </c>
      <c r="E835" s="108"/>
      <c r="F835" s="100"/>
      <c r="G835" s="104" t="str">
        <f>IF(F835="","",IF(E835="PC 17",F835*4.2,IF(E835="PC 19",F835*5,"")))</f>
        <v/>
      </c>
      <c r="H835" s="81"/>
      <c r="I835" s="81"/>
      <c r="J835" s="81"/>
      <c r="K835" s="98"/>
      <c r="L835" s="98"/>
      <c r="M835" s="79" t="str">
        <f ca="1">IFERROR(IF(K835="","",IF(L835="",MOD(NOW()-K835,1),IF(L835&gt;=K835,L835-K835,L835+1-K835))),"")</f>
        <v/>
      </c>
      <c r="N835" s="105"/>
      <c r="O835" s="47"/>
    </row>
    <row r="836" spans="1:15" ht="15">
      <c r="A836" s="102">
        <v>46234</v>
      </c>
      <c r="B836" s="103">
        <f>B835+TIME(0,60,0)</f>
        <v>1.2916666666666667</v>
      </c>
      <c r="C836" s="81" t="s">
        <v>29</v>
      </c>
      <c r="D836" s="108" t="s">
        <v>22</v>
      </c>
      <c r="E836" s="108"/>
      <c r="F836" s="100"/>
      <c r="G836" s="104" t="str">
        <f>IF(F836="","",IF(E836="PC 17",F836*4.2,IF(E836="PC 19",F836*5,"")))</f>
        <v/>
      </c>
      <c r="H836" s="80"/>
      <c r="I836" s="80"/>
      <c r="J836" s="80"/>
      <c r="K836" s="98"/>
      <c r="L836" s="98"/>
      <c r="M836" s="78" t="str">
        <f ca="1">IFERROR(IF(K836="","",IF(L836="",MOD(NOW()-K836,1),IF(L836&gt;=K836,L836-K836,L836+1-K836))),"")</f>
        <v/>
      </c>
      <c r="N836" s="105"/>
      <c r="O836" s="47"/>
    </row>
    <row r="837" spans="1:15" ht="15">
      <c r="A837" s="113" t="s">
        <v>238</v>
      </c>
      <c r="B837" s="114"/>
      <c r="C837" s="114"/>
      <c r="D837" s="114"/>
      <c r="E837" s="115">
        <f>SUM(E825:E836)</f>
        <v>0</v>
      </c>
      <c r="F837" s="109">
        <f>SUM(F825:F836)</f>
        <v>0</v>
      </c>
      <c r="G837" s="109">
        <f>SUM(G825:G836)</f>
        <v>0</v>
      </c>
      <c r="H837" s="37"/>
      <c r="I837" s="37"/>
      <c r="J837" s="37"/>
      <c r="K837" s="37"/>
      <c r="L837" s="37"/>
      <c r="M837" s="110">
        <f ca="1">IFERROR(SUM(M825:M836),"")</f>
        <v>0</v>
      </c>
      <c r="N837" s="109" t="s">
        <v>237</v>
      </c>
      <c r="O837" s="77"/>
    </row>
    <row r="838" spans="1:15" ht="15">
      <c r="A838" s="116" t="s">
        <v>239</v>
      </c>
      <c r="B838" s="117"/>
      <c r="C838" s="117"/>
      <c r="D838" s="117"/>
      <c r="E838" s="118">
        <f>E824+E837</f>
        <v>0</v>
      </c>
      <c r="F838" s="111">
        <f>F824+F837</f>
        <v>169</v>
      </c>
      <c r="G838" s="111">
        <f>G824+G837</f>
        <v>709.80000000000007</v>
      </c>
      <c r="H838" s="41"/>
      <c r="I838" s="41"/>
      <c r="J838" s="41"/>
      <c r="K838" s="41"/>
      <c r="L838" s="41"/>
      <c r="M838" s="112">
        <f ca="1">IFERROR(M824+M837,"")</f>
        <v>0.10486111111111113</v>
      </c>
      <c r="N838" s="111" t="s">
        <v>240</v>
      </c>
      <c r="O838" s="82">
        <f>IFERROR(O824+O837,"")</f>
        <v>741170</v>
      </c>
    </row>
  </sheetData>
  <mergeCells count="88"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11:E311"/>
    <mergeCell ref="A324:E324"/>
    <mergeCell ref="A325:E325"/>
    <mergeCell ref="A338:E338"/>
    <mergeCell ref="A351:E351"/>
    <mergeCell ref="A352:E352"/>
    <mergeCell ref="A365:E365"/>
    <mergeCell ref="A378:E378"/>
    <mergeCell ref="A379:E379"/>
    <mergeCell ref="A392:E392"/>
    <mergeCell ref="A405:E405"/>
    <mergeCell ref="A406:E406"/>
    <mergeCell ref="A486:E486"/>
    <mergeCell ref="A487:E487"/>
    <mergeCell ref="A500:E500"/>
    <mergeCell ref="A419:E419"/>
    <mergeCell ref="A446:E446"/>
    <mergeCell ref="A459:E459"/>
    <mergeCell ref="A460:E460"/>
    <mergeCell ref="A473:E473"/>
    <mergeCell ref="A527:E527"/>
    <mergeCell ref="A540:E540"/>
    <mergeCell ref="A541:E541"/>
    <mergeCell ref="A608:E608"/>
    <mergeCell ref="A621:E621"/>
    <mergeCell ref="A554:E554"/>
    <mergeCell ref="A567:E567"/>
    <mergeCell ref="A568:E568"/>
    <mergeCell ref="A581:E581"/>
    <mergeCell ref="A594:E594"/>
    <mergeCell ref="A810:E810"/>
    <mergeCell ref="A811:E811"/>
    <mergeCell ref="A730:E730"/>
    <mergeCell ref="A743:E743"/>
    <mergeCell ref="A756:E756"/>
    <mergeCell ref="A757:E757"/>
    <mergeCell ref="A770:E770"/>
    <mergeCell ref="A675:E675"/>
    <mergeCell ref="A676:E676"/>
    <mergeCell ref="A595:E595"/>
    <mergeCell ref="A784:E784"/>
    <mergeCell ref="A797:E797"/>
    <mergeCell ref="A622:E622"/>
    <mergeCell ref="A635:E635"/>
    <mergeCell ref="A824:E824"/>
    <mergeCell ref="A837:E837"/>
    <mergeCell ref="A838:E838"/>
    <mergeCell ref="A14:E14"/>
    <mergeCell ref="A27:E27"/>
    <mergeCell ref="A28:E28"/>
    <mergeCell ref="A41:E41"/>
    <mergeCell ref="A783:E783"/>
    <mergeCell ref="A689:E689"/>
    <mergeCell ref="A702:E702"/>
    <mergeCell ref="A703:E703"/>
    <mergeCell ref="A716:E716"/>
    <mergeCell ref="A729:E729"/>
    <mergeCell ref="A648:E648"/>
    <mergeCell ref="A649:E649"/>
    <mergeCell ref="A662:E662"/>
  </mergeCells>
  <dataValidations count="2">
    <dataValidation type="list" allowBlank="1" showErrorMessage="1" errorTitle="Valor inválido" error="Selecione PC 17 ou PC 19 da lista." sqref="E2:E13 E15:E26 E29:E431 E434:E512 E515:E610 E612:E838" xr:uid="{52C68A24-78CA-4DE2-A34C-BA733F92037A}">
      <formula1>"PC 17,PC 19"</formula1>
      <formula2>0</formula2>
    </dataValidation>
    <dataValidation type="list" showErrorMessage="1" errorTitle="Atenção" error="Selecione primeiro o Tipo de Parada (col G) e depois escolha a Descrição da lista." sqref="J2:J900" xr:uid="{00000000-0002-0000-03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300-000002000000}">
          <x14:formula1>
            <xm:f>Cadastro!$A$4:$A$50</xm:f>
          </x14:formula1>
          <x14:formula2>
            <xm:f>0</xm:f>
          </x14:formula2>
          <xm:sqref>C15:C26 C2:C13 C29:C900</xm:sqref>
        </x14:dataValidation>
        <x14:dataValidation type="list" allowBlank="1" showErrorMessage="1" errorTitle="Valor inválido" error="Selecione da lista." xr:uid="{00000000-0002-0000-0300-000003000000}">
          <x14:formula1>
            <xm:f>Cadastro!$C$4:$C$10</xm:f>
          </x14:formula1>
          <x14:formula2>
            <xm:f>0</xm:f>
          </x14:formula2>
          <xm:sqref>D15:D26 D2:D13 D29:D82 E432:E433 E513:E514 D84:D900</xm:sqref>
        </x14:dataValidation>
        <x14:dataValidation type="list" allowBlank="1" showErrorMessage="1" errorTitle="Valor inválido" error="Selecione da lista." xr:uid="{00000000-0002-0000-0300-000005000000}">
          <x14:formula1>
            <xm:f>Cadastro!$G$4:$G$40</xm:f>
          </x14:formula1>
          <x14:formula2>
            <xm:f>0</xm:f>
          </x14:formula2>
          <xm:sqref>H406 I2:I900</xm:sqref>
        </x14:dataValidation>
        <x14:dataValidation type="list" allowBlank="1" showErrorMessage="1" errorTitle="Valor inválido" error="Selecione da lista." xr:uid="{00000000-0002-0000-0300-000004000000}">
          <x14:formula1>
            <xm:f>Cadastro!$E$4:$E$10</xm:f>
          </x14:formula1>
          <x14:formula2>
            <xm:f>0</xm:f>
          </x14:formula2>
          <xm:sqref>H2:H405 H407:H900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>
    <tabColor rgb="FF9BBB59"/>
  </sheetPr>
  <dimension ref="A1:O838"/>
  <sheetViews>
    <sheetView showGridLines="0" topLeftCell="A808" zoomScale="50" zoomScaleNormal="50" workbookViewId="0">
      <selection activeCell="D831" sqref="D831"/>
    </sheetView>
  </sheetViews>
  <sheetFormatPr defaultColWidth="8.5703125" defaultRowHeight="14.45"/>
  <cols>
    <col min="1" max="1" width="13" style="74" customWidth="1"/>
    <col min="2" max="2" width="9" style="20" customWidth="1"/>
    <col min="3" max="3" width="14" style="20" customWidth="1"/>
    <col min="4" max="5" width="16" style="20" customWidth="1"/>
    <col min="6" max="6" width="13" style="20" customWidth="1"/>
    <col min="7" max="7" width="14" style="20" customWidth="1"/>
    <col min="8" max="8" width="27.5703125" style="20" customWidth="1"/>
    <col min="9" max="9" width="30.42578125" style="20" customWidth="1"/>
    <col min="10" max="10" width="46.42578125" style="20" customWidth="1"/>
    <col min="11" max="11" width="12" style="20" customWidth="1"/>
    <col min="12" max="12" width="16.42578125" style="21" customWidth="1"/>
    <col min="13" max="13" width="14" style="20" customWidth="1"/>
    <col min="14" max="14" width="64" style="20" customWidth="1"/>
    <col min="15" max="15" width="14" customWidth="1"/>
  </cols>
  <sheetData>
    <row r="1" spans="1:15" ht="37.5" customHeight="1">
      <c r="A1" s="67" t="s">
        <v>7</v>
      </c>
      <c r="B1" s="23" t="s">
        <v>223</v>
      </c>
      <c r="C1" s="23" t="s">
        <v>12</v>
      </c>
      <c r="D1" s="22" t="s">
        <v>13</v>
      </c>
      <c r="E1" s="22" t="s">
        <v>224</v>
      </c>
      <c r="F1" s="23" t="s">
        <v>225</v>
      </c>
      <c r="G1" s="23" t="s">
        <v>226</v>
      </c>
      <c r="H1" s="23" t="s">
        <v>14</v>
      </c>
      <c r="I1" s="23" t="s">
        <v>15</v>
      </c>
      <c r="J1" s="23" t="s">
        <v>227</v>
      </c>
      <c r="K1" s="23" t="s">
        <v>228</v>
      </c>
      <c r="L1" s="23" t="s">
        <v>229</v>
      </c>
      <c r="M1" s="24" t="s">
        <v>230</v>
      </c>
      <c r="N1" s="23" t="s">
        <v>231</v>
      </c>
      <c r="O1" s="23" t="s">
        <v>232</v>
      </c>
    </row>
    <row r="2" spans="1:15" ht="15" customHeight="1">
      <c r="A2" s="68">
        <v>46204</v>
      </c>
      <c r="B2" s="25">
        <v>0.33333333333333298</v>
      </c>
      <c r="C2" s="26" t="s">
        <v>29</v>
      </c>
      <c r="D2" s="59" t="s">
        <v>30</v>
      </c>
      <c r="E2" s="59" t="s">
        <v>261</v>
      </c>
      <c r="F2" s="27">
        <v>0</v>
      </c>
      <c r="G2" s="28">
        <f t="shared" ref="G2:G13" si="0">IF(F2="","",IF(E2="PC 17",F2*4.2,IF(E2="PC 19",F2*5,"")))</f>
        <v>0</v>
      </c>
      <c r="H2" s="26" t="s">
        <v>20</v>
      </c>
      <c r="I2" s="26"/>
      <c r="J2" s="26" t="s">
        <v>178</v>
      </c>
      <c r="K2" s="29">
        <v>0.29166666666666669</v>
      </c>
      <c r="L2" s="29">
        <v>0.33333333333333331</v>
      </c>
      <c r="M2" s="30">
        <f t="shared" ref="M2:M13" ca="1" si="1">IFERROR(IF(K2="","",IF(L2="",MOD(NOW()-K2,1),IF(L2&gt;=K2,L2-K2,L2+1-K2))),"")</f>
        <v>4.166666666666663E-2</v>
      </c>
      <c r="N2" s="27"/>
      <c r="O2" s="31"/>
    </row>
    <row r="3" spans="1:15" ht="15" customHeight="1">
      <c r="A3" s="69">
        <v>46204</v>
      </c>
      <c r="B3" s="32">
        <f t="shared" ref="B3:B13" si="2">B2+TIME(0,60,0)</f>
        <v>0.37499999999999967</v>
      </c>
      <c r="C3" s="26" t="s">
        <v>29</v>
      </c>
      <c r="D3" s="59" t="s">
        <v>30</v>
      </c>
      <c r="E3" s="59" t="s">
        <v>261</v>
      </c>
      <c r="F3" s="27">
        <v>5</v>
      </c>
      <c r="G3" s="34">
        <f t="shared" si="0"/>
        <v>21</v>
      </c>
      <c r="H3" s="33" t="s">
        <v>20</v>
      </c>
      <c r="I3" s="33"/>
      <c r="J3" s="33" t="s">
        <v>74</v>
      </c>
      <c r="K3" s="29">
        <v>0.40277777777777779</v>
      </c>
      <c r="L3" s="29">
        <v>0.40625</v>
      </c>
      <c r="M3" s="35">
        <f t="shared" ca="1" si="1"/>
        <v>3.4722222222222099E-3</v>
      </c>
      <c r="N3" s="27"/>
      <c r="O3" s="31"/>
    </row>
    <row r="4" spans="1:15" ht="15" customHeight="1">
      <c r="A4" s="68">
        <v>46204</v>
      </c>
      <c r="B4" s="25">
        <f t="shared" si="2"/>
        <v>0.41666666666666635</v>
      </c>
      <c r="C4" s="26" t="s">
        <v>29</v>
      </c>
      <c r="D4" s="59" t="s">
        <v>30</v>
      </c>
      <c r="E4" s="59" t="s">
        <v>261</v>
      </c>
      <c r="F4" s="27">
        <v>1</v>
      </c>
      <c r="G4" s="28">
        <f t="shared" si="0"/>
        <v>4.2</v>
      </c>
      <c r="H4" s="26" t="s">
        <v>19</v>
      </c>
      <c r="I4" s="26" t="s">
        <v>47</v>
      </c>
      <c r="J4" s="26" t="s">
        <v>78</v>
      </c>
      <c r="K4" s="29">
        <v>0.43125000000000002</v>
      </c>
      <c r="L4" s="29">
        <v>0.44930555555555557</v>
      </c>
      <c r="M4" s="30">
        <f t="shared" ca="1" si="1"/>
        <v>1.8055555555555547E-2</v>
      </c>
      <c r="N4" s="27" t="s">
        <v>329</v>
      </c>
      <c r="O4" s="31"/>
    </row>
    <row r="5" spans="1:15" ht="15" customHeight="1">
      <c r="A5" s="69">
        <v>46204</v>
      </c>
      <c r="B5" s="32">
        <f t="shared" si="2"/>
        <v>0.45833333333333304</v>
      </c>
      <c r="C5" s="26" t="s">
        <v>29</v>
      </c>
      <c r="D5" s="59" t="s">
        <v>30</v>
      </c>
      <c r="E5" s="59" t="s">
        <v>261</v>
      </c>
      <c r="F5" s="27">
        <v>6</v>
      </c>
      <c r="G5" s="34">
        <f t="shared" si="0"/>
        <v>25.200000000000003</v>
      </c>
      <c r="H5" s="33" t="s">
        <v>20</v>
      </c>
      <c r="I5" s="33"/>
      <c r="J5" s="33" t="s">
        <v>74</v>
      </c>
      <c r="K5" s="29">
        <v>0.58333333333333337</v>
      </c>
      <c r="L5" s="29">
        <v>0.5854166666666667</v>
      </c>
      <c r="M5" s="35">
        <f t="shared" ca="1" si="1"/>
        <v>2.0833333333333259E-3</v>
      </c>
      <c r="N5" s="27"/>
      <c r="O5" s="31"/>
    </row>
    <row r="6" spans="1:15" ht="15" customHeight="1">
      <c r="A6" s="68">
        <v>46204</v>
      </c>
      <c r="B6" s="25">
        <f t="shared" si="2"/>
        <v>0.49999999999999972</v>
      </c>
      <c r="C6" s="26" t="s">
        <v>29</v>
      </c>
      <c r="D6" s="59" t="s">
        <v>30</v>
      </c>
      <c r="E6" s="59" t="s">
        <v>261</v>
      </c>
      <c r="F6" s="27">
        <v>10</v>
      </c>
      <c r="G6" s="28">
        <f t="shared" si="0"/>
        <v>42</v>
      </c>
      <c r="H6" s="26" t="s">
        <v>19</v>
      </c>
      <c r="I6" s="26" t="s">
        <v>47</v>
      </c>
      <c r="J6" s="26" t="s">
        <v>27</v>
      </c>
      <c r="K6" s="29">
        <v>0.59791666666666665</v>
      </c>
      <c r="L6" s="29">
        <v>0.68611111111111112</v>
      </c>
      <c r="M6" s="30">
        <f t="shared" ca="1" si="1"/>
        <v>8.8194444444444464E-2</v>
      </c>
      <c r="N6" s="27" t="s">
        <v>350</v>
      </c>
      <c r="O6" s="31"/>
    </row>
    <row r="7" spans="1:15" ht="15" customHeight="1">
      <c r="A7" s="69">
        <v>46204</v>
      </c>
      <c r="B7" s="32">
        <f t="shared" si="2"/>
        <v>0.54166666666666641</v>
      </c>
      <c r="C7" s="26" t="s">
        <v>29</v>
      </c>
      <c r="D7" s="59" t="s">
        <v>30</v>
      </c>
      <c r="E7" s="59" t="s">
        <v>261</v>
      </c>
      <c r="F7" s="27">
        <v>4</v>
      </c>
      <c r="G7" s="34">
        <f t="shared" si="0"/>
        <v>16.8</v>
      </c>
      <c r="H7" s="33" t="s">
        <v>18</v>
      </c>
      <c r="I7" s="33" t="s">
        <v>47</v>
      </c>
      <c r="J7" s="33" t="s">
        <v>164</v>
      </c>
      <c r="K7" s="29">
        <v>0.70138888888888884</v>
      </c>
      <c r="L7" s="29">
        <v>0.71527777777777779</v>
      </c>
      <c r="M7" s="35">
        <f t="shared" ca="1" si="1"/>
        <v>1.3888888888888951E-2</v>
      </c>
      <c r="N7" s="27"/>
      <c r="O7" s="31"/>
    </row>
    <row r="8" spans="1:15" ht="15" customHeight="1">
      <c r="A8" s="68">
        <v>46204</v>
      </c>
      <c r="B8" s="25">
        <f t="shared" si="2"/>
        <v>0.58333333333333304</v>
      </c>
      <c r="C8" s="26" t="s">
        <v>29</v>
      </c>
      <c r="D8" s="59" t="s">
        <v>30</v>
      </c>
      <c r="E8" s="59" t="s">
        <v>261</v>
      </c>
      <c r="F8" s="27">
        <v>14</v>
      </c>
      <c r="G8" s="28">
        <f t="shared" si="0"/>
        <v>58.800000000000004</v>
      </c>
      <c r="H8" s="26"/>
      <c r="I8" s="26"/>
      <c r="J8" s="26"/>
      <c r="K8" s="29"/>
      <c r="L8" s="29"/>
      <c r="M8" s="30" t="str">
        <f t="shared" ca="1" si="1"/>
        <v/>
      </c>
      <c r="N8" s="27"/>
      <c r="O8" s="31"/>
    </row>
    <row r="9" spans="1:15" ht="15" customHeight="1">
      <c r="A9" s="69">
        <v>46204</v>
      </c>
      <c r="B9" s="32">
        <f t="shared" si="2"/>
        <v>0.62499999999999967</v>
      </c>
      <c r="C9" s="26" t="s">
        <v>29</v>
      </c>
      <c r="D9" s="59" t="s">
        <v>30</v>
      </c>
      <c r="E9" s="59" t="s">
        <v>261</v>
      </c>
      <c r="F9" s="27">
        <v>5</v>
      </c>
      <c r="G9" s="34">
        <f t="shared" si="0"/>
        <v>21</v>
      </c>
      <c r="H9" s="33"/>
      <c r="I9" s="33"/>
      <c r="J9" s="33"/>
      <c r="K9" s="29"/>
      <c r="L9" s="29"/>
      <c r="M9" s="35" t="str">
        <f t="shared" ca="1" si="1"/>
        <v/>
      </c>
      <c r="N9" s="27"/>
      <c r="O9" s="31"/>
    </row>
    <row r="10" spans="1:15" ht="15" customHeight="1">
      <c r="A10" s="68">
        <v>46204</v>
      </c>
      <c r="B10" s="25">
        <f t="shared" si="2"/>
        <v>0.6666666666666663</v>
      </c>
      <c r="C10" s="26" t="s">
        <v>29</v>
      </c>
      <c r="D10" s="59" t="s">
        <v>30</v>
      </c>
      <c r="E10" s="59" t="s">
        <v>261</v>
      </c>
      <c r="F10" s="27">
        <v>0</v>
      </c>
      <c r="G10" s="28">
        <f t="shared" si="0"/>
        <v>0</v>
      </c>
      <c r="H10" s="26"/>
      <c r="I10" s="26"/>
      <c r="J10" s="26"/>
      <c r="K10" s="29"/>
      <c r="L10" s="29"/>
      <c r="M10" s="30" t="str">
        <f t="shared" ca="1" si="1"/>
        <v/>
      </c>
      <c r="N10" s="27"/>
      <c r="O10" s="31"/>
    </row>
    <row r="11" spans="1:15" ht="15" customHeight="1">
      <c r="A11" s="69">
        <v>46204</v>
      </c>
      <c r="B11" s="32">
        <f t="shared" si="2"/>
        <v>0.70833333333333293</v>
      </c>
      <c r="C11" s="26" t="s">
        <v>29</v>
      </c>
      <c r="D11" s="59" t="s">
        <v>30</v>
      </c>
      <c r="E11" s="59" t="s">
        <v>261</v>
      </c>
      <c r="F11" s="27">
        <v>2</v>
      </c>
      <c r="G11" s="34">
        <f t="shared" si="0"/>
        <v>8.4</v>
      </c>
      <c r="H11" s="33"/>
      <c r="I11" s="33"/>
      <c r="J11" s="33"/>
      <c r="K11" s="29"/>
      <c r="L11" s="29"/>
      <c r="M11" s="35" t="str">
        <f t="shared" ca="1" si="1"/>
        <v/>
      </c>
      <c r="N11" s="27"/>
      <c r="O11" s="31"/>
    </row>
    <row r="12" spans="1:15" ht="15" customHeight="1">
      <c r="A12" s="68">
        <v>46204</v>
      </c>
      <c r="B12" s="25">
        <f t="shared" si="2"/>
        <v>0.74999999999999956</v>
      </c>
      <c r="C12" s="26" t="s">
        <v>29</v>
      </c>
      <c r="D12" s="59" t="s">
        <v>30</v>
      </c>
      <c r="E12" s="59" t="s">
        <v>261</v>
      </c>
      <c r="F12" s="27">
        <v>6</v>
      </c>
      <c r="G12" s="28">
        <f t="shared" si="0"/>
        <v>25.200000000000003</v>
      </c>
      <c r="H12" s="26"/>
      <c r="I12" s="26"/>
      <c r="J12" s="26"/>
      <c r="K12" s="29"/>
      <c r="L12" s="29"/>
      <c r="M12" s="30" t="str">
        <f t="shared" ca="1" si="1"/>
        <v/>
      </c>
      <c r="N12" s="27"/>
      <c r="O12" s="31"/>
    </row>
    <row r="13" spans="1:15" ht="15" customHeight="1">
      <c r="A13" s="69">
        <v>46204</v>
      </c>
      <c r="B13" s="32">
        <f t="shared" si="2"/>
        <v>0.79166666666666619</v>
      </c>
      <c r="C13" s="26" t="s">
        <v>29</v>
      </c>
      <c r="D13" s="59" t="s">
        <v>30</v>
      </c>
      <c r="E13" s="59" t="s">
        <v>261</v>
      </c>
      <c r="F13" s="27">
        <v>6</v>
      </c>
      <c r="G13" s="34">
        <f t="shared" si="0"/>
        <v>25.200000000000003</v>
      </c>
      <c r="H13" s="33"/>
      <c r="I13" s="33"/>
      <c r="J13" s="33"/>
      <c r="K13" s="29"/>
      <c r="L13" s="29"/>
      <c r="M13" s="35" t="str">
        <f t="shared" ca="1" si="1"/>
        <v/>
      </c>
      <c r="N13" s="27"/>
      <c r="O13" s="31"/>
    </row>
    <row r="14" spans="1:15" ht="15.75" customHeight="1">
      <c r="A14" s="119" t="s">
        <v>236</v>
      </c>
      <c r="B14" s="120"/>
      <c r="C14" s="120"/>
      <c r="D14" s="120"/>
      <c r="E14" s="121"/>
      <c r="F14" s="36">
        <f>SUM(F2:F13)</f>
        <v>59</v>
      </c>
      <c r="G14" s="36">
        <f>SUM(G2:G13)</f>
        <v>247.8</v>
      </c>
      <c r="H14" s="37"/>
      <c r="I14" s="37"/>
      <c r="J14" s="37"/>
      <c r="K14" s="37"/>
      <c r="L14" s="37"/>
      <c r="M14" s="38">
        <f ca="1">IFERROR(SUM(M2:M13),"")</f>
        <v>0.16736111111111113</v>
      </c>
      <c r="N14" s="36" t="s">
        <v>237</v>
      </c>
      <c r="O14" s="39">
        <v>292530</v>
      </c>
    </row>
    <row r="15" spans="1:15" ht="15" customHeight="1">
      <c r="A15" s="69">
        <v>46204</v>
      </c>
      <c r="B15" s="32">
        <v>0.83333333333333304</v>
      </c>
      <c r="C15" s="33" t="s">
        <v>45</v>
      </c>
      <c r="D15" s="62" t="s">
        <v>30</v>
      </c>
      <c r="E15" s="62" t="s">
        <v>261</v>
      </c>
      <c r="F15" s="27">
        <v>10</v>
      </c>
      <c r="G15" s="34">
        <f t="shared" ref="G15:G26" si="3">IF(F15="","",IF(E15="PC 17",F15*4.2,IF(E15="PC 19",F15*5,"")))</f>
        <v>42</v>
      </c>
      <c r="H15" s="33" t="s">
        <v>19</v>
      </c>
      <c r="I15" s="33" t="s">
        <v>47</v>
      </c>
      <c r="J15" s="33" t="s">
        <v>27</v>
      </c>
      <c r="K15" s="29">
        <v>0.25624999999999998</v>
      </c>
      <c r="L15" s="29">
        <v>0.29166666666666669</v>
      </c>
      <c r="M15" s="35">
        <f ca="1">IFERROR(IF(K15="","",IF(L15="",MOD(NOW()-K15,1),IF(L15&gt;=K15,L15-K15,L15+1-K15))),"")</f>
        <v>3.5416666666666707E-2</v>
      </c>
      <c r="N15" s="27"/>
      <c r="O15" s="31"/>
    </row>
    <row r="16" spans="1:15" ht="15" customHeight="1">
      <c r="A16" s="68">
        <v>46204</v>
      </c>
      <c r="B16" s="25">
        <f t="shared" ref="B16:B26" si="4">B15+TIME(0,60,0)</f>
        <v>0.87499999999999967</v>
      </c>
      <c r="C16" s="33" t="s">
        <v>45</v>
      </c>
      <c r="D16" s="62" t="s">
        <v>30</v>
      </c>
      <c r="E16" s="62" t="s">
        <v>261</v>
      </c>
      <c r="F16" s="27">
        <v>0</v>
      </c>
      <c r="G16" s="28">
        <f t="shared" si="3"/>
        <v>0</v>
      </c>
      <c r="H16" s="26"/>
      <c r="I16" s="26"/>
      <c r="J16" s="26"/>
      <c r="K16" s="29"/>
      <c r="L16" s="29"/>
      <c r="M16" s="35" t="str">
        <f t="shared" ref="M15:M26" ca="1" si="5">IFERROR(IF(K16="","",IF(L16="",MOD(NOW()-K16,1),IF(L16&gt;=K16,L16-K16,L16+1-K16))),"")</f>
        <v/>
      </c>
      <c r="N16" s="27"/>
      <c r="O16" s="31"/>
    </row>
    <row r="17" spans="1:15" ht="15" customHeight="1">
      <c r="A17" s="69">
        <v>46204</v>
      </c>
      <c r="B17" s="32">
        <f t="shared" si="4"/>
        <v>0.9166666666666663</v>
      </c>
      <c r="C17" s="33" t="s">
        <v>45</v>
      </c>
      <c r="D17" s="62" t="s">
        <v>30</v>
      </c>
      <c r="E17" s="62" t="s">
        <v>261</v>
      </c>
      <c r="F17" s="27">
        <v>9</v>
      </c>
      <c r="G17" s="34">
        <f t="shared" si="3"/>
        <v>37.800000000000004</v>
      </c>
      <c r="H17" s="33"/>
      <c r="I17" s="33"/>
      <c r="J17" s="33"/>
      <c r="K17" s="29"/>
      <c r="L17" s="29"/>
      <c r="M17" s="35" t="str">
        <f t="shared" ca="1" si="5"/>
        <v/>
      </c>
      <c r="N17" s="27"/>
      <c r="O17" s="31"/>
    </row>
    <row r="18" spans="1:15" ht="15" customHeight="1">
      <c r="A18" s="68">
        <v>46204</v>
      </c>
      <c r="B18" s="25">
        <f t="shared" si="4"/>
        <v>0.95833333333333293</v>
      </c>
      <c r="C18" s="33" t="s">
        <v>45</v>
      </c>
      <c r="D18" s="62" t="s">
        <v>30</v>
      </c>
      <c r="E18" s="62" t="s">
        <v>261</v>
      </c>
      <c r="F18" s="27">
        <v>6</v>
      </c>
      <c r="G18" s="28">
        <f t="shared" si="3"/>
        <v>25.200000000000003</v>
      </c>
      <c r="H18" s="26"/>
      <c r="I18" s="26"/>
      <c r="J18" s="26"/>
      <c r="K18" s="29"/>
      <c r="L18" s="29"/>
      <c r="M18" s="35" t="str">
        <f t="shared" ca="1" si="5"/>
        <v/>
      </c>
      <c r="N18" s="27"/>
      <c r="O18" s="31"/>
    </row>
    <row r="19" spans="1:15" ht="15" customHeight="1">
      <c r="A19" s="69">
        <v>46204</v>
      </c>
      <c r="B19" s="32">
        <f t="shared" si="4"/>
        <v>0.99999999999999956</v>
      </c>
      <c r="C19" s="33" t="s">
        <v>45</v>
      </c>
      <c r="D19" s="62" t="s">
        <v>30</v>
      </c>
      <c r="E19" s="62" t="s">
        <v>261</v>
      </c>
      <c r="F19" s="27">
        <v>3</v>
      </c>
      <c r="G19" s="34">
        <f t="shared" si="3"/>
        <v>12.600000000000001</v>
      </c>
      <c r="H19" s="33"/>
      <c r="I19" s="33"/>
      <c r="J19" s="33"/>
      <c r="K19" s="29"/>
      <c r="L19" s="29"/>
      <c r="M19" s="35" t="str">
        <f t="shared" ca="1" si="5"/>
        <v/>
      </c>
      <c r="N19" s="27"/>
      <c r="O19" s="31"/>
    </row>
    <row r="20" spans="1:15" ht="15" customHeight="1">
      <c r="A20" s="68">
        <v>46204</v>
      </c>
      <c r="B20" s="25">
        <f t="shared" si="4"/>
        <v>1.0416666666666663</v>
      </c>
      <c r="C20" s="33" t="s">
        <v>45</v>
      </c>
      <c r="D20" s="62" t="s">
        <v>30</v>
      </c>
      <c r="E20" s="62" t="s">
        <v>261</v>
      </c>
      <c r="F20" s="27">
        <v>8</v>
      </c>
      <c r="G20" s="28">
        <f t="shared" si="3"/>
        <v>33.6</v>
      </c>
      <c r="H20" s="26"/>
      <c r="I20" s="26"/>
      <c r="J20" s="26"/>
      <c r="K20" s="29"/>
      <c r="L20" s="29"/>
      <c r="M20" s="35" t="str">
        <f t="shared" ca="1" si="5"/>
        <v/>
      </c>
      <c r="N20" s="27"/>
      <c r="O20" s="31"/>
    </row>
    <row r="21" spans="1:15" ht="15" customHeight="1">
      <c r="A21" s="69">
        <v>46204</v>
      </c>
      <c r="B21" s="32">
        <f t="shared" si="4"/>
        <v>1.083333333333333</v>
      </c>
      <c r="C21" s="33" t="s">
        <v>45</v>
      </c>
      <c r="D21" s="62" t="s">
        <v>30</v>
      </c>
      <c r="E21" s="62" t="s">
        <v>261</v>
      </c>
      <c r="F21" s="27">
        <v>7</v>
      </c>
      <c r="G21" s="34">
        <f t="shared" si="3"/>
        <v>29.400000000000002</v>
      </c>
      <c r="H21" s="33"/>
      <c r="I21" s="33"/>
      <c r="J21" s="33"/>
      <c r="K21" s="29"/>
      <c r="L21" s="29"/>
      <c r="M21" s="35" t="str">
        <f t="shared" ca="1" si="5"/>
        <v/>
      </c>
      <c r="N21" s="27"/>
      <c r="O21" s="31"/>
    </row>
    <row r="22" spans="1:15" ht="15" customHeight="1">
      <c r="A22" s="68">
        <v>46204</v>
      </c>
      <c r="B22" s="25">
        <f t="shared" si="4"/>
        <v>1.1249999999999998</v>
      </c>
      <c r="C22" s="33" t="s">
        <v>45</v>
      </c>
      <c r="D22" s="62" t="s">
        <v>30</v>
      </c>
      <c r="E22" s="62" t="s">
        <v>261</v>
      </c>
      <c r="F22" s="27">
        <v>11</v>
      </c>
      <c r="G22" s="28">
        <f t="shared" si="3"/>
        <v>46.2</v>
      </c>
      <c r="H22" s="26"/>
      <c r="I22" s="26"/>
      <c r="J22" s="26"/>
      <c r="K22" s="29"/>
      <c r="L22" s="29"/>
      <c r="M22" s="35" t="str">
        <f t="shared" ca="1" si="5"/>
        <v/>
      </c>
      <c r="N22" s="27"/>
      <c r="O22" s="31"/>
    </row>
    <row r="23" spans="1:15" ht="15" customHeight="1">
      <c r="A23" s="69">
        <v>46204</v>
      </c>
      <c r="B23" s="32">
        <f t="shared" si="4"/>
        <v>1.1666666666666665</v>
      </c>
      <c r="C23" s="33" t="s">
        <v>45</v>
      </c>
      <c r="D23" s="62" t="s">
        <v>30</v>
      </c>
      <c r="E23" s="62" t="s">
        <v>261</v>
      </c>
      <c r="F23" s="27">
        <v>5</v>
      </c>
      <c r="G23" s="34">
        <f t="shared" si="3"/>
        <v>21</v>
      </c>
      <c r="H23" s="33"/>
      <c r="I23" s="33"/>
      <c r="J23" s="33"/>
      <c r="K23" s="29"/>
      <c r="L23" s="29"/>
      <c r="M23" s="35" t="str">
        <f t="shared" ca="1" si="5"/>
        <v/>
      </c>
      <c r="N23" s="27"/>
      <c r="O23" s="31"/>
    </row>
    <row r="24" spans="1:15" ht="15" customHeight="1">
      <c r="A24" s="68">
        <v>46204</v>
      </c>
      <c r="B24" s="25">
        <f t="shared" si="4"/>
        <v>1.2083333333333333</v>
      </c>
      <c r="C24" s="33" t="s">
        <v>45</v>
      </c>
      <c r="D24" s="62" t="s">
        <v>30</v>
      </c>
      <c r="E24" s="62" t="s">
        <v>261</v>
      </c>
      <c r="F24" s="27">
        <v>6</v>
      </c>
      <c r="G24" s="28">
        <f t="shared" si="3"/>
        <v>25.200000000000003</v>
      </c>
      <c r="H24" s="26"/>
      <c r="I24" s="26"/>
      <c r="J24" s="26"/>
      <c r="K24" s="29"/>
      <c r="L24" s="29"/>
      <c r="M24" s="35" t="str">
        <f t="shared" ca="1" si="5"/>
        <v/>
      </c>
      <c r="N24" s="27"/>
      <c r="O24" s="31"/>
    </row>
    <row r="25" spans="1:15" ht="15" customHeight="1">
      <c r="A25" s="69">
        <v>46204</v>
      </c>
      <c r="B25" s="32">
        <f t="shared" si="4"/>
        <v>1.25</v>
      </c>
      <c r="C25" s="33" t="s">
        <v>45</v>
      </c>
      <c r="D25" s="62" t="s">
        <v>30</v>
      </c>
      <c r="E25" s="62" t="s">
        <v>261</v>
      </c>
      <c r="F25" s="27">
        <v>6</v>
      </c>
      <c r="G25" s="34">
        <f t="shared" si="3"/>
        <v>25.200000000000003</v>
      </c>
      <c r="H25" s="33"/>
      <c r="I25" s="33"/>
      <c r="J25" s="33"/>
      <c r="K25" s="29"/>
      <c r="L25" s="29"/>
      <c r="M25" s="35" t="str">
        <f t="shared" ca="1" si="5"/>
        <v/>
      </c>
      <c r="N25" s="27"/>
      <c r="O25" s="31"/>
    </row>
    <row r="26" spans="1:15" ht="15" customHeight="1">
      <c r="A26" s="68">
        <v>46204</v>
      </c>
      <c r="B26" s="25">
        <f t="shared" si="4"/>
        <v>1.2916666666666667</v>
      </c>
      <c r="C26" s="33" t="s">
        <v>45</v>
      </c>
      <c r="D26" s="62" t="s">
        <v>30</v>
      </c>
      <c r="E26" s="62" t="s">
        <v>261</v>
      </c>
      <c r="F26" s="27">
        <v>0</v>
      </c>
      <c r="G26" s="28">
        <f t="shared" si="3"/>
        <v>0</v>
      </c>
      <c r="H26" s="26"/>
      <c r="I26" s="26"/>
      <c r="J26" s="26"/>
      <c r="K26" s="29"/>
      <c r="L26" s="29"/>
      <c r="M26" s="35" t="str">
        <f t="shared" ca="1" si="5"/>
        <v/>
      </c>
      <c r="N26" s="27"/>
      <c r="O26" s="31"/>
    </row>
    <row r="27" spans="1:15" ht="15.75" customHeight="1">
      <c r="A27" s="119" t="s">
        <v>238</v>
      </c>
      <c r="B27" s="120"/>
      <c r="C27" s="120"/>
      <c r="D27" s="120"/>
      <c r="E27" s="121"/>
      <c r="F27" s="36">
        <f>SUM(F15:F26)</f>
        <v>71</v>
      </c>
      <c r="G27" s="36">
        <f>SUM(G15:G26)</f>
        <v>298.2</v>
      </c>
      <c r="H27" s="37"/>
      <c r="I27" s="37"/>
      <c r="J27" s="37"/>
      <c r="K27" s="37"/>
      <c r="L27" s="37"/>
      <c r="M27" s="38">
        <f ca="1">IFERROR(SUM(M15:M26),"")</f>
        <v>3.5416666666666707E-2</v>
      </c>
      <c r="N27" s="36" t="s">
        <v>237</v>
      </c>
      <c r="O27" s="39">
        <v>308500</v>
      </c>
    </row>
    <row r="28" spans="1:15" ht="18" customHeight="1">
      <c r="A28" s="122" t="s">
        <v>239</v>
      </c>
      <c r="B28" s="123"/>
      <c r="C28" s="123"/>
      <c r="D28" s="123"/>
      <c r="E28" s="124"/>
      <c r="F28" s="40">
        <f>F14+F27</f>
        <v>130</v>
      </c>
      <c r="G28" s="40">
        <f>G14+G27</f>
        <v>546</v>
      </c>
      <c r="H28" s="41"/>
      <c r="I28" s="41"/>
      <c r="J28" s="41"/>
      <c r="K28" s="41"/>
      <c r="L28" s="41"/>
      <c r="M28" s="42">
        <f ca="1">IFERROR(M14+M27,"")</f>
        <v>0.20277777777777783</v>
      </c>
      <c r="N28" s="40" t="s">
        <v>240</v>
      </c>
      <c r="O28" s="43">
        <f>IFERROR(O14+O27,"")</f>
        <v>601030</v>
      </c>
    </row>
    <row r="29" spans="1:15" ht="15" customHeight="1">
      <c r="A29" s="68">
        <v>46205</v>
      </c>
      <c r="B29" s="25">
        <v>0.33333333333333298</v>
      </c>
      <c r="C29" s="26" t="s">
        <v>21</v>
      </c>
      <c r="D29" s="59" t="s">
        <v>30</v>
      </c>
      <c r="E29" s="59" t="s">
        <v>261</v>
      </c>
      <c r="F29" s="27">
        <v>0</v>
      </c>
      <c r="G29" s="28">
        <f t="shared" ref="G29:G40" si="6">IF(F29="","",IF(E29="PC 17",F29*4.2,IF(E29="PC 19",F29*5,"")))</f>
        <v>0</v>
      </c>
      <c r="H29" s="33" t="s">
        <v>20</v>
      </c>
      <c r="I29" s="33" t="s">
        <v>47</v>
      </c>
      <c r="J29" s="33" t="s">
        <v>165</v>
      </c>
      <c r="K29" s="29">
        <v>0.29166666666666669</v>
      </c>
      <c r="L29" s="29">
        <v>0.43819444444444444</v>
      </c>
      <c r="M29" s="35">
        <f t="shared" ref="M29:M40" ca="1" si="7">IFERROR(IF(K29="","",IF(L29="",MOD(NOW()-K29,1),IF(L29&gt;=K29,L29-K29,L29+1-K29))),"")</f>
        <v>0.14652777777777776</v>
      </c>
      <c r="N29" s="27" t="s">
        <v>351</v>
      </c>
      <c r="O29" s="31"/>
    </row>
    <row r="30" spans="1:15" ht="15" customHeight="1">
      <c r="A30" s="69">
        <v>46205</v>
      </c>
      <c r="B30" s="32">
        <f t="shared" ref="B30:B40" si="8">B29+TIME(0,60,0)</f>
        <v>0.37499999999999967</v>
      </c>
      <c r="C30" s="26" t="s">
        <v>21</v>
      </c>
      <c r="D30" s="59" t="s">
        <v>30</v>
      </c>
      <c r="E30" s="59" t="s">
        <v>261</v>
      </c>
      <c r="F30" s="27">
        <v>0</v>
      </c>
      <c r="G30" s="34">
        <f t="shared" si="6"/>
        <v>0</v>
      </c>
      <c r="H30" s="33" t="s">
        <v>17</v>
      </c>
      <c r="I30" s="26"/>
      <c r="J30" s="26" t="s">
        <v>25</v>
      </c>
      <c r="K30" s="29">
        <v>0.55138888888888893</v>
      </c>
      <c r="L30" s="29">
        <v>0.55972222222222223</v>
      </c>
      <c r="M30" s="30">
        <f t="shared" ca="1" si="7"/>
        <v>8.3333333333333037E-3</v>
      </c>
      <c r="N30" s="27"/>
      <c r="O30" s="31"/>
    </row>
    <row r="31" spans="1:15" ht="15" customHeight="1">
      <c r="A31" s="68">
        <v>46205</v>
      </c>
      <c r="B31" s="25">
        <f t="shared" si="8"/>
        <v>0.41666666666666635</v>
      </c>
      <c r="C31" s="26" t="s">
        <v>21</v>
      </c>
      <c r="D31" s="59" t="s">
        <v>30</v>
      </c>
      <c r="E31" s="59" t="s">
        <v>261</v>
      </c>
      <c r="F31" s="27">
        <v>0</v>
      </c>
      <c r="G31" s="28">
        <f t="shared" si="6"/>
        <v>0</v>
      </c>
      <c r="I31" s="33"/>
      <c r="J31" s="33"/>
      <c r="K31" s="29"/>
      <c r="L31" s="29"/>
      <c r="M31" s="35" t="str">
        <f t="shared" ca="1" si="7"/>
        <v/>
      </c>
      <c r="N31" s="27"/>
      <c r="O31" s="31"/>
    </row>
    <row r="32" spans="1:15" ht="15" customHeight="1">
      <c r="A32" s="69">
        <v>46205</v>
      </c>
      <c r="B32" s="32">
        <f t="shared" si="8"/>
        <v>0.45833333333333304</v>
      </c>
      <c r="C32" s="26" t="s">
        <v>21</v>
      </c>
      <c r="D32" s="59" t="s">
        <v>30</v>
      </c>
      <c r="E32" s="59" t="s">
        <v>261</v>
      </c>
      <c r="F32" s="27">
        <v>10</v>
      </c>
      <c r="G32" s="34">
        <f t="shared" si="6"/>
        <v>42</v>
      </c>
      <c r="H32" s="26"/>
      <c r="I32" s="26"/>
      <c r="J32" s="26"/>
      <c r="K32" s="29"/>
      <c r="L32" s="29"/>
      <c r="M32" s="30" t="str">
        <f t="shared" ca="1" si="7"/>
        <v/>
      </c>
      <c r="N32" s="27"/>
      <c r="O32" s="31"/>
    </row>
    <row r="33" spans="1:15" ht="15" customHeight="1">
      <c r="A33" s="68">
        <v>46205</v>
      </c>
      <c r="B33" s="25">
        <f t="shared" si="8"/>
        <v>0.49999999999999972</v>
      </c>
      <c r="C33" s="26" t="s">
        <v>21</v>
      </c>
      <c r="D33" s="59" t="s">
        <v>30</v>
      </c>
      <c r="E33" s="59" t="s">
        <v>261</v>
      </c>
      <c r="F33" s="27">
        <v>6</v>
      </c>
      <c r="G33" s="28">
        <f t="shared" si="6"/>
        <v>25.200000000000003</v>
      </c>
      <c r="H33" s="33"/>
      <c r="I33" s="33"/>
      <c r="J33" s="33"/>
      <c r="K33" s="29"/>
      <c r="L33" s="29"/>
      <c r="M33" s="35" t="str">
        <f t="shared" ca="1" si="7"/>
        <v/>
      </c>
      <c r="N33" s="27"/>
      <c r="O33" s="31"/>
    </row>
    <row r="34" spans="1:15" ht="15" customHeight="1">
      <c r="A34" s="69">
        <v>46205</v>
      </c>
      <c r="B34" s="32">
        <f t="shared" si="8"/>
        <v>0.54166666666666641</v>
      </c>
      <c r="C34" s="26" t="s">
        <v>21</v>
      </c>
      <c r="D34" s="59" t="s">
        <v>30</v>
      </c>
      <c r="E34" s="59" t="s">
        <v>261</v>
      </c>
      <c r="F34" s="27">
        <v>2</v>
      </c>
      <c r="G34" s="34">
        <f t="shared" si="6"/>
        <v>8.4</v>
      </c>
      <c r="H34" s="26"/>
      <c r="I34" s="26"/>
      <c r="J34" s="26"/>
      <c r="K34" s="29"/>
      <c r="L34" s="29"/>
      <c r="M34" s="30" t="str">
        <f t="shared" ca="1" si="7"/>
        <v/>
      </c>
      <c r="N34" s="27"/>
      <c r="O34" s="31"/>
    </row>
    <row r="35" spans="1:15" ht="15" customHeight="1">
      <c r="A35" s="68">
        <v>46205</v>
      </c>
      <c r="B35" s="25">
        <f t="shared" si="8"/>
        <v>0.58333333333333304</v>
      </c>
      <c r="C35" s="26" t="s">
        <v>21</v>
      </c>
      <c r="D35" s="59" t="s">
        <v>30</v>
      </c>
      <c r="E35" s="59" t="s">
        <v>261</v>
      </c>
      <c r="F35" s="27">
        <v>5</v>
      </c>
      <c r="G35" s="28">
        <f t="shared" si="6"/>
        <v>21</v>
      </c>
      <c r="H35" s="33"/>
      <c r="I35" s="33"/>
      <c r="J35" s="33"/>
      <c r="K35" s="29"/>
      <c r="L35" s="29"/>
      <c r="M35" s="35" t="str">
        <f t="shared" ca="1" si="7"/>
        <v/>
      </c>
      <c r="N35" s="27"/>
      <c r="O35" s="31"/>
    </row>
    <row r="36" spans="1:15" ht="15" customHeight="1">
      <c r="A36" s="69">
        <v>46205</v>
      </c>
      <c r="B36" s="32">
        <f t="shared" si="8"/>
        <v>0.62499999999999967</v>
      </c>
      <c r="C36" s="26" t="s">
        <v>21</v>
      </c>
      <c r="D36" s="59" t="s">
        <v>30</v>
      </c>
      <c r="E36" s="59" t="s">
        <v>261</v>
      </c>
      <c r="F36" s="27">
        <v>4</v>
      </c>
      <c r="G36" s="34">
        <f t="shared" si="6"/>
        <v>16.8</v>
      </c>
      <c r="H36" s="26"/>
      <c r="I36" s="26"/>
      <c r="J36" s="26"/>
      <c r="K36" s="29"/>
      <c r="L36" s="29"/>
      <c r="M36" s="30" t="str">
        <f t="shared" ca="1" si="7"/>
        <v/>
      </c>
      <c r="N36" s="27"/>
      <c r="O36" s="31"/>
    </row>
    <row r="37" spans="1:15" ht="15" customHeight="1">
      <c r="A37" s="68">
        <v>46205</v>
      </c>
      <c r="B37" s="25">
        <f t="shared" si="8"/>
        <v>0.6666666666666663</v>
      </c>
      <c r="C37" s="26" t="s">
        <v>21</v>
      </c>
      <c r="D37" s="59" t="s">
        <v>30</v>
      </c>
      <c r="E37" s="59" t="s">
        <v>261</v>
      </c>
      <c r="F37" s="27">
        <v>17</v>
      </c>
      <c r="G37" s="28">
        <f t="shared" si="6"/>
        <v>71.400000000000006</v>
      </c>
      <c r="H37" s="33"/>
      <c r="I37" s="33"/>
      <c r="J37" s="33"/>
      <c r="K37" s="29"/>
      <c r="L37" s="29"/>
      <c r="M37" s="35" t="str">
        <f t="shared" ca="1" si="7"/>
        <v/>
      </c>
      <c r="N37" s="27"/>
      <c r="O37" s="31"/>
    </row>
    <row r="38" spans="1:15" ht="15" customHeight="1">
      <c r="A38" s="69">
        <v>46205</v>
      </c>
      <c r="B38" s="32">
        <f t="shared" si="8"/>
        <v>0.70833333333333293</v>
      </c>
      <c r="C38" s="26" t="s">
        <v>21</v>
      </c>
      <c r="D38" s="59" t="s">
        <v>38</v>
      </c>
      <c r="E38" s="59" t="s">
        <v>261</v>
      </c>
      <c r="F38" s="27">
        <v>9</v>
      </c>
      <c r="G38" s="34">
        <f t="shared" si="6"/>
        <v>37.800000000000004</v>
      </c>
      <c r="H38" s="26"/>
      <c r="I38" s="26"/>
      <c r="J38" s="26"/>
      <c r="K38" s="29"/>
      <c r="L38" s="29"/>
      <c r="M38" s="30" t="str">
        <f t="shared" ca="1" si="7"/>
        <v/>
      </c>
      <c r="N38" s="27"/>
      <c r="O38" s="31"/>
    </row>
    <row r="39" spans="1:15" ht="15" customHeight="1">
      <c r="A39" s="68">
        <v>46205</v>
      </c>
      <c r="B39" s="25">
        <f t="shared" si="8"/>
        <v>0.74999999999999956</v>
      </c>
      <c r="C39" s="26" t="s">
        <v>21</v>
      </c>
      <c r="D39" s="59" t="s">
        <v>38</v>
      </c>
      <c r="E39" s="59" t="s">
        <v>261</v>
      </c>
      <c r="F39" s="27">
        <v>14</v>
      </c>
      <c r="G39" s="28">
        <f t="shared" si="6"/>
        <v>58.800000000000004</v>
      </c>
      <c r="H39" s="33"/>
      <c r="I39" s="33"/>
      <c r="J39" s="33"/>
      <c r="K39" s="29"/>
      <c r="L39" s="29"/>
      <c r="M39" s="35" t="str">
        <f t="shared" ca="1" si="7"/>
        <v/>
      </c>
      <c r="N39" s="27"/>
      <c r="O39" s="31"/>
    </row>
    <row r="40" spans="1:15" ht="15" customHeight="1">
      <c r="A40" s="69">
        <v>46205</v>
      </c>
      <c r="B40" s="32">
        <f t="shared" si="8"/>
        <v>0.79166666666666619</v>
      </c>
      <c r="C40" s="26" t="s">
        <v>21</v>
      </c>
      <c r="D40" s="59" t="s">
        <v>38</v>
      </c>
      <c r="E40" s="59" t="s">
        <v>261</v>
      </c>
      <c r="F40" s="27">
        <v>4</v>
      </c>
      <c r="G40" s="34">
        <f t="shared" si="6"/>
        <v>16.8</v>
      </c>
      <c r="H40" s="26"/>
      <c r="I40" s="26"/>
      <c r="J40" s="26"/>
      <c r="K40" s="29"/>
      <c r="L40" s="29"/>
      <c r="M40" s="30" t="str">
        <f t="shared" ca="1" si="7"/>
        <v/>
      </c>
      <c r="N40" s="27"/>
      <c r="O40" s="31"/>
    </row>
    <row r="41" spans="1:15" ht="15.75" customHeight="1">
      <c r="A41" s="119" t="s">
        <v>236</v>
      </c>
      <c r="B41" s="120"/>
      <c r="C41" s="120"/>
      <c r="D41" s="120"/>
      <c r="E41" s="121">
        <f>SUM(E29:E40)</f>
        <v>0</v>
      </c>
      <c r="F41" s="36">
        <f>SUM(F29:F40)</f>
        <v>71</v>
      </c>
      <c r="G41" s="36">
        <f>SUM(G29:G40)</f>
        <v>298.20000000000005</v>
      </c>
      <c r="H41" s="37"/>
      <c r="I41" s="37"/>
      <c r="J41" s="37"/>
      <c r="K41" s="37"/>
      <c r="L41" s="37"/>
      <c r="M41" s="38">
        <f ca="1">IFERROR(SUM(M29:M40),"")</f>
        <v>0.15486111111111106</v>
      </c>
      <c r="N41" s="36" t="s">
        <v>237</v>
      </c>
      <c r="O41" s="39">
        <v>205590</v>
      </c>
    </row>
    <row r="42" spans="1:15" ht="15" customHeight="1">
      <c r="A42" s="69">
        <v>46205</v>
      </c>
      <c r="B42" s="32">
        <v>0.83333333333333304</v>
      </c>
      <c r="C42" s="33" t="s">
        <v>45</v>
      </c>
      <c r="D42" s="62" t="s">
        <v>38</v>
      </c>
      <c r="E42" s="62" t="s">
        <v>261</v>
      </c>
      <c r="F42" s="27">
        <v>4</v>
      </c>
      <c r="G42" s="34">
        <f t="shared" ref="G42:G53" si="9">IF(F42="","",IF(E42="PC 17",F42*4.2,IF(E42="PC 19",F42*5,"")))</f>
        <v>16.8</v>
      </c>
      <c r="H42" s="26" t="s">
        <v>19</v>
      </c>
      <c r="I42" s="26" t="s">
        <v>47</v>
      </c>
      <c r="J42" s="26" t="s">
        <v>27</v>
      </c>
      <c r="K42" s="29">
        <v>0.88194444444444442</v>
      </c>
      <c r="L42" s="29">
        <v>0.97083333333333333</v>
      </c>
      <c r="M42" s="30">
        <f t="shared" ref="M42:M53" ca="1" si="10">IFERROR(IF(K42="","",IF(L42="",MOD(NOW()-K42,1),IF(L42&gt;=K42,L42-K42,L42+1-K42))),"")</f>
        <v>8.8888888888888906E-2</v>
      </c>
      <c r="N42" s="27"/>
      <c r="O42" s="31"/>
    </row>
    <row r="43" spans="1:15" ht="15" customHeight="1">
      <c r="A43" s="68">
        <v>46205</v>
      </c>
      <c r="B43" s="25">
        <f t="shared" ref="B43:B53" si="11">B42+TIME(0,60,0)</f>
        <v>0.87499999999999967</v>
      </c>
      <c r="C43" s="33" t="s">
        <v>45</v>
      </c>
      <c r="D43" s="62" t="s">
        <v>38</v>
      </c>
      <c r="E43" s="62" t="s">
        <v>261</v>
      </c>
      <c r="F43" s="27">
        <v>4</v>
      </c>
      <c r="G43" s="28">
        <f t="shared" si="9"/>
        <v>16.8</v>
      </c>
      <c r="H43" s="33" t="s">
        <v>19</v>
      </c>
      <c r="I43" s="33" t="s">
        <v>47</v>
      </c>
      <c r="J43" s="33" t="s">
        <v>50</v>
      </c>
      <c r="K43" s="29">
        <v>7.4305555555555555E-2</v>
      </c>
      <c r="L43" s="29">
        <v>0.15</v>
      </c>
      <c r="M43" s="35">
        <f t="shared" ca="1" si="10"/>
        <v>7.5694444444444439E-2</v>
      </c>
      <c r="N43" s="27"/>
      <c r="O43" s="31"/>
    </row>
    <row r="44" spans="1:15" ht="15" customHeight="1">
      <c r="A44" s="69">
        <v>46205</v>
      </c>
      <c r="B44" s="32">
        <f t="shared" si="11"/>
        <v>0.9166666666666663</v>
      </c>
      <c r="C44" s="33" t="s">
        <v>45</v>
      </c>
      <c r="D44" s="62" t="s">
        <v>38</v>
      </c>
      <c r="E44" s="62" t="s">
        <v>261</v>
      </c>
      <c r="F44" s="27">
        <v>6</v>
      </c>
      <c r="G44" s="34">
        <f t="shared" si="9"/>
        <v>25.200000000000003</v>
      </c>
      <c r="H44" s="26"/>
      <c r="I44" s="26"/>
      <c r="J44" s="26"/>
      <c r="K44" s="29"/>
      <c r="L44" s="29"/>
      <c r="M44" s="30" t="str">
        <f t="shared" ca="1" si="10"/>
        <v/>
      </c>
      <c r="N44" s="27"/>
      <c r="O44" s="31"/>
    </row>
    <row r="45" spans="1:15" ht="15" customHeight="1">
      <c r="A45" s="68">
        <v>46205</v>
      </c>
      <c r="B45" s="25">
        <f t="shared" si="11"/>
        <v>0.95833333333333293</v>
      </c>
      <c r="C45" s="33" t="s">
        <v>45</v>
      </c>
      <c r="D45" s="62" t="s">
        <v>38</v>
      </c>
      <c r="E45" s="62" t="s">
        <v>261</v>
      </c>
      <c r="F45" s="27">
        <v>0</v>
      </c>
      <c r="G45" s="28">
        <f t="shared" si="9"/>
        <v>0</v>
      </c>
      <c r="H45" s="33"/>
      <c r="I45" s="33"/>
      <c r="J45" s="33"/>
      <c r="K45" s="29"/>
      <c r="L45" s="29"/>
      <c r="M45" s="35" t="str">
        <f t="shared" ca="1" si="10"/>
        <v/>
      </c>
      <c r="N45" s="27"/>
      <c r="O45" s="31"/>
    </row>
    <row r="46" spans="1:15" ht="15" customHeight="1">
      <c r="A46" s="69">
        <v>46205</v>
      </c>
      <c r="B46" s="32">
        <f t="shared" si="11"/>
        <v>0.99999999999999956</v>
      </c>
      <c r="C46" s="33" t="s">
        <v>45</v>
      </c>
      <c r="D46" s="62" t="s">
        <v>38</v>
      </c>
      <c r="E46" s="62" t="s">
        <v>261</v>
      </c>
      <c r="F46" s="27">
        <v>1</v>
      </c>
      <c r="G46" s="34">
        <f t="shared" si="9"/>
        <v>4.2</v>
      </c>
      <c r="H46" s="26"/>
      <c r="I46" s="26"/>
      <c r="J46" s="26"/>
      <c r="K46" s="29"/>
      <c r="L46" s="29"/>
      <c r="M46" s="30" t="str">
        <f t="shared" ca="1" si="10"/>
        <v/>
      </c>
      <c r="N46" s="27"/>
      <c r="O46" s="31"/>
    </row>
    <row r="47" spans="1:15" ht="15" customHeight="1">
      <c r="A47" s="68">
        <v>46205</v>
      </c>
      <c r="B47" s="25">
        <f t="shared" si="11"/>
        <v>1.0416666666666663</v>
      </c>
      <c r="C47" s="33" t="s">
        <v>45</v>
      </c>
      <c r="D47" s="62" t="s">
        <v>38</v>
      </c>
      <c r="E47" s="62" t="s">
        <v>261</v>
      </c>
      <c r="F47" s="27">
        <v>3</v>
      </c>
      <c r="G47" s="28">
        <f t="shared" si="9"/>
        <v>12.600000000000001</v>
      </c>
      <c r="H47" s="33"/>
      <c r="I47" s="33"/>
      <c r="J47" s="33"/>
      <c r="K47" s="29"/>
      <c r="L47" s="29"/>
      <c r="M47" s="35" t="str">
        <f t="shared" ca="1" si="10"/>
        <v/>
      </c>
      <c r="N47" s="27"/>
      <c r="O47" s="31"/>
    </row>
    <row r="48" spans="1:15" ht="15" customHeight="1">
      <c r="A48" s="69">
        <v>46205</v>
      </c>
      <c r="B48" s="32">
        <f t="shared" si="11"/>
        <v>1.083333333333333</v>
      </c>
      <c r="C48" s="33" t="s">
        <v>45</v>
      </c>
      <c r="D48" s="62" t="s">
        <v>38</v>
      </c>
      <c r="E48" s="62" t="s">
        <v>261</v>
      </c>
      <c r="F48" s="27">
        <v>4</v>
      </c>
      <c r="G48" s="34">
        <f t="shared" si="9"/>
        <v>16.8</v>
      </c>
      <c r="H48" s="26"/>
      <c r="I48" s="26"/>
      <c r="J48" s="26"/>
      <c r="K48" s="29"/>
      <c r="L48" s="29"/>
      <c r="M48" s="30" t="str">
        <f t="shared" ca="1" si="10"/>
        <v/>
      </c>
      <c r="N48" s="27"/>
      <c r="O48" s="31"/>
    </row>
    <row r="49" spans="1:15" ht="15" customHeight="1">
      <c r="A49" s="68">
        <v>46205</v>
      </c>
      <c r="B49" s="25">
        <f t="shared" si="11"/>
        <v>1.1249999999999998</v>
      </c>
      <c r="C49" s="33" t="s">
        <v>45</v>
      </c>
      <c r="D49" s="62" t="s">
        <v>38</v>
      </c>
      <c r="E49" s="62" t="s">
        <v>261</v>
      </c>
      <c r="F49" s="27">
        <v>0</v>
      </c>
      <c r="G49" s="28">
        <f t="shared" si="9"/>
        <v>0</v>
      </c>
      <c r="H49" s="33"/>
      <c r="I49" s="33"/>
      <c r="J49" s="33"/>
      <c r="K49" s="29"/>
      <c r="L49" s="29"/>
      <c r="M49" s="35" t="str">
        <f t="shared" ca="1" si="10"/>
        <v/>
      </c>
      <c r="N49" s="27"/>
      <c r="O49" s="31"/>
    </row>
    <row r="50" spans="1:15" ht="15" customHeight="1">
      <c r="A50" s="69">
        <v>46205</v>
      </c>
      <c r="B50" s="32">
        <f t="shared" si="11"/>
        <v>1.1666666666666665</v>
      </c>
      <c r="C50" s="33" t="s">
        <v>45</v>
      </c>
      <c r="D50" s="62" t="s">
        <v>38</v>
      </c>
      <c r="E50" s="62" t="s">
        <v>261</v>
      </c>
      <c r="F50" s="27">
        <v>0</v>
      </c>
      <c r="G50" s="34">
        <f t="shared" si="9"/>
        <v>0</v>
      </c>
      <c r="H50" s="26"/>
      <c r="I50" s="26"/>
      <c r="J50" s="26"/>
      <c r="K50" s="29"/>
      <c r="L50" s="29"/>
      <c r="M50" s="30" t="str">
        <f t="shared" ca="1" si="10"/>
        <v/>
      </c>
      <c r="N50" s="27"/>
      <c r="O50" s="31"/>
    </row>
    <row r="51" spans="1:15" ht="15" customHeight="1">
      <c r="A51" s="68">
        <v>46205</v>
      </c>
      <c r="B51" s="25">
        <f t="shared" si="11"/>
        <v>1.2083333333333333</v>
      </c>
      <c r="C51" s="33" t="s">
        <v>45</v>
      </c>
      <c r="D51" s="62" t="s">
        <v>38</v>
      </c>
      <c r="E51" s="62" t="s">
        <v>261</v>
      </c>
      <c r="F51" s="27">
        <v>7</v>
      </c>
      <c r="G51" s="28">
        <f t="shared" si="9"/>
        <v>29.400000000000002</v>
      </c>
      <c r="H51" s="33"/>
      <c r="I51" s="33"/>
      <c r="J51" s="33"/>
      <c r="K51" s="29"/>
      <c r="L51" s="29"/>
      <c r="M51" s="35" t="str">
        <f t="shared" ca="1" si="10"/>
        <v/>
      </c>
      <c r="N51" s="27"/>
      <c r="O51" s="31"/>
    </row>
    <row r="52" spans="1:15" ht="15" customHeight="1">
      <c r="A52" s="69">
        <v>46205</v>
      </c>
      <c r="B52" s="32">
        <f t="shared" si="11"/>
        <v>1.25</v>
      </c>
      <c r="C52" s="33" t="s">
        <v>45</v>
      </c>
      <c r="D52" s="62" t="s">
        <v>38</v>
      </c>
      <c r="E52" s="62" t="s">
        <v>261</v>
      </c>
      <c r="F52" s="27">
        <v>1</v>
      </c>
      <c r="G52" s="34">
        <f t="shared" si="9"/>
        <v>4.2</v>
      </c>
      <c r="H52" s="26"/>
      <c r="I52" s="26"/>
      <c r="J52" s="26"/>
      <c r="K52" s="29"/>
      <c r="L52" s="29"/>
      <c r="M52" s="30" t="str">
        <f t="shared" ca="1" si="10"/>
        <v/>
      </c>
      <c r="N52" s="27"/>
      <c r="O52" s="31"/>
    </row>
    <row r="53" spans="1:15" ht="15" customHeight="1">
      <c r="A53" s="68">
        <v>46205</v>
      </c>
      <c r="B53" s="25">
        <f t="shared" si="11"/>
        <v>1.2916666666666667</v>
      </c>
      <c r="C53" s="33" t="s">
        <v>45</v>
      </c>
      <c r="D53" s="62" t="s">
        <v>38</v>
      </c>
      <c r="E53" s="62" t="s">
        <v>261</v>
      </c>
      <c r="F53" s="27">
        <v>2</v>
      </c>
      <c r="G53" s="28">
        <f t="shared" si="9"/>
        <v>8.4</v>
      </c>
      <c r="H53" s="33"/>
      <c r="I53" s="33"/>
      <c r="J53" s="33"/>
      <c r="K53" s="29"/>
      <c r="L53" s="29"/>
      <c r="M53" s="35" t="str">
        <f t="shared" ca="1" si="10"/>
        <v/>
      </c>
      <c r="N53" s="27"/>
      <c r="O53" s="31"/>
    </row>
    <row r="54" spans="1:15" ht="15.75" customHeight="1">
      <c r="A54" s="119" t="s">
        <v>238</v>
      </c>
      <c r="B54" s="120"/>
      <c r="C54" s="120"/>
      <c r="D54" s="120"/>
      <c r="E54" s="121">
        <f>SUM(E42:E53)</f>
        <v>0</v>
      </c>
      <c r="F54" s="36">
        <f>SUM(F42:F53)</f>
        <v>32</v>
      </c>
      <c r="G54" s="36">
        <f>SUM(G42:G53)</f>
        <v>134.4</v>
      </c>
      <c r="H54" s="37"/>
      <c r="I54" s="37"/>
      <c r="J54" s="37"/>
      <c r="K54" s="37"/>
      <c r="L54" s="37"/>
      <c r="M54" s="38">
        <f ca="1">IFERROR(SUM(M42:M53),"")</f>
        <v>0.16458333333333336</v>
      </c>
      <c r="N54" s="36" t="s">
        <v>237</v>
      </c>
      <c r="O54" s="39">
        <v>124290</v>
      </c>
    </row>
    <row r="55" spans="1:15" ht="18" customHeight="1">
      <c r="A55" s="122" t="s">
        <v>239</v>
      </c>
      <c r="B55" s="123"/>
      <c r="C55" s="123"/>
      <c r="D55" s="123"/>
      <c r="E55" s="124">
        <f>E41+E54</f>
        <v>0</v>
      </c>
      <c r="F55" s="40">
        <f>F41+F54</f>
        <v>103</v>
      </c>
      <c r="G55" s="40">
        <f>G41+G54</f>
        <v>432.6</v>
      </c>
      <c r="H55" s="41"/>
      <c r="I55" s="41"/>
      <c r="J55" s="41"/>
      <c r="K55" s="41"/>
      <c r="L55" s="41"/>
      <c r="M55" s="42">
        <f ca="1">IFERROR(M41+M54,"")</f>
        <v>0.31944444444444442</v>
      </c>
      <c r="N55" s="40" t="s">
        <v>240</v>
      </c>
      <c r="O55" s="43">
        <f>IFERROR(O41+O54,"")</f>
        <v>329880</v>
      </c>
    </row>
    <row r="56" spans="1:15" ht="15" customHeight="1">
      <c r="A56" s="68">
        <v>46206</v>
      </c>
      <c r="B56" s="25">
        <v>0.33333333333333298</v>
      </c>
      <c r="C56" s="26" t="s">
        <v>29</v>
      </c>
      <c r="D56" s="59" t="s">
        <v>30</v>
      </c>
      <c r="E56" s="59" t="s">
        <v>261</v>
      </c>
      <c r="F56" s="27">
        <v>10</v>
      </c>
      <c r="G56" s="28">
        <f t="shared" ref="G56:G67" si="12">IF(F56="","",IF(E56="PC 17",F56*4.2,IF(E56="PC 19",F56*5,"")))</f>
        <v>42</v>
      </c>
      <c r="H56" s="26" t="s">
        <v>20</v>
      </c>
      <c r="I56" s="26" t="s">
        <v>47</v>
      </c>
      <c r="J56" s="26" t="s">
        <v>28</v>
      </c>
      <c r="K56" s="29">
        <v>0.35972222222222222</v>
      </c>
      <c r="L56" s="29">
        <v>0.40902777777777777</v>
      </c>
      <c r="M56" s="30">
        <f t="shared" ref="M56:M67" ca="1" si="13">IFERROR(IF(K56="","",IF(L56="",MOD(NOW()-K56,1),IF(L56&gt;=K56,L56-K56,L56+1-K56))),"")</f>
        <v>4.9305555555555547E-2</v>
      </c>
      <c r="N56" s="27"/>
      <c r="O56" s="31"/>
    </row>
    <row r="57" spans="1:15" ht="15" customHeight="1">
      <c r="A57" s="69">
        <v>46206</v>
      </c>
      <c r="B57" s="32">
        <f t="shared" ref="B57:B67" si="14">B56+TIME(0,60,0)</f>
        <v>0.37499999999999967</v>
      </c>
      <c r="C57" s="26" t="s">
        <v>29</v>
      </c>
      <c r="D57" s="59" t="s">
        <v>30</v>
      </c>
      <c r="E57" s="59" t="s">
        <v>261</v>
      </c>
      <c r="F57" s="27">
        <v>6</v>
      </c>
      <c r="G57" s="34">
        <f t="shared" si="12"/>
        <v>25.200000000000003</v>
      </c>
      <c r="H57" s="33" t="s">
        <v>20</v>
      </c>
      <c r="I57" s="33" t="s">
        <v>47</v>
      </c>
      <c r="J57" s="33" t="s">
        <v>36</v>
      </c>
      <c r="K57" s="29">
        <v>0.58888888888888891</v>
      </c>
      <c r="L57" s="29">
        <v>0.60416666666666663</v>
      </c>
      <c r="M57" s="35">
        <f t="shared" ca="1" si="13"/>
        <v>1.5277777777777724E-2</v>
      </c>
      <c r="N57" s="27"/>
      <c r="O57" s="31"/>
    </row>
    <row r="58" spans="1:15" ht="15" customHeight="1">
      <c r="A58" s="68">
        <v>46206</v>
      </c>
      <c r="B58" s="25">
        <f t="shared" si="14"/>
        <v>0.41666666666666635</v>
      </c>
      <c r="C58" s="26" t="s">
        <v>29</v>
      </c>
      <c r="D58" s="59" t="s">
        <v>30</v>
      </c>
      <c r="E58" s="59" t="s">
        <v>261</v>
      </c>
      <c r="F58" s="27">
        <v>0</v>
      </c>
      <c r="G58" s="28">
        <f t="shared" si="12"/>
        <v>0</v>
      </c>
      <c r="H58" s="26" t="s">
        <v>20</v>
      </c>
      <c r="I58" s="26" t="s">
        <v>47</v>
      </c>
      <c r="J58" s="26" t="s">
        <v>51</v>
      </c>
      <c r="K58" s="29">
        <v>0.65625</v>
      </c>
      <c r="L58" s="29">
        <v>0.66388888888888886</v>
      </c>
      <c r="M58" s="30">
        <f t="shared" ca="1" si="13"/>
        <v>7.6388888888888618E-3</v>
      </c>
      <c r="N58" s="27"/>
      <c r="O58" s="31"/>
    </row>
    <row r="59" spans="1:15" ht="15" customHeight="1">
      <c r="A59" s="69">
        <v>46206</v>
      </c>
      <c r="B59" s="32">
        <f t="shared" si="14"/>
        <v>0.45833333333333304</v>
      </c>
      <c r="C59" s="26" t="s">
        <v>29</v>
      </c>
      <c r="D59" s="59" t="s">
        <v>30</v>
      </c>
      <c r="E59" s="59" t="s">
        <v>261</v>
      </c>
      <c r="F59" s="27">
        <v>9</v>
      </c>
      <c r="G59" s="34">
        <f t="shared" si="12"/>
        <v>37.800000000000004</v>
      </c>
      <c r="H59" s="33"/>
      <c r="I59" s="33"/>
      <c r="J59" s="33"/>
      <c r="K59" s="29"/>
      <c r="L59" s="29"/>
      <c r="M59" s="35" t="str">
        <f t="shared" ca="1" si="13"/>
        <v/>
      </c>
      <c r="N59" s="27" t="s">
        <v>352</v>
      </c>
      <c r="O59" s="31"/>
    </row>
    <row r="60" spans="1:15" ht="15" customHeight="1">
      <c r="A60" s="68">
        <v>46206</v>
      </c>
      <c r="B60" s="25">
        <f t="shared" si="14"/>
        <v>0.49999999999999972</v>
      </c>
      <c r="C60" s="26" t="s">
        <v>29</v>
      </c>
      <c r="D60" s="59" t="s">
        <v>38</v>
      </c>
      <c r="E60" s="59" t="s">
        <v>261</v>
      </c>
      <c r="F60" s="27">
        <v>10</v>
      </c>
      <c r="G60" s="28">
        <f t="shared" si="12"/>
        <v>42</v>
      </c>
      <c r="H60" s="26"/>
      <c r="I60" s="26"/>
      <c r="J60" s="26"/>
      <c r="K60" s="29"/>
      <c r="L60" s="29"/>
      <c r="M60" s="30" t="str">
        <f t="shared" ca="1" si="13"/>
        <v/>
      </c>
      <c r="N60" s="27"/>
      <c r="O60" s="31"/>
    </row>
    <row r="61" spans="1:15" ht="15" customHeight="1">
      <c r="A61" s="69">
        <v>46206</v>
      </c>
      <c r="B61" s="32">
        <f t="shared" si="14"/>
        <v>0.54166666666666641</v>
      </c>
      <c r="C61" s="26" t="s">
        <v>29</v>
      </c>
      <c r="D61" s="59" t="s">
        <v>38</v>
      </c>
      <c r="E61" s="59" t="s">
        <v>261</v>
      </c>
      <c r="F61" s="27">
        <v>11</v>
      </c>
      <c r="G61" s="34">
        <f t="shared" si="12"/>
        <v>46.2</v>
      </c>
      <c r="H61" s="33"/>
      <c r="I61" s="33"/>
      <c r="J61" s="33"/>
      <c r="K61" s="29"/>
      <c r="L61" s="29"/>
      <c r="M61" s="35" t="str">
        <f t="shared" ca="1" si="13"/>
        <v/>
      </c>
      <c r="N61" s="27"/>
      <c r="O61" s="31"/>
    </row>
    <row r="62" spans="1:15" ht="15" customHeight="1">
      <c r="A62" s="68">
        <v>46206</v>
      </c>
      <c r="B62" s="25">
        <f t="shared" si="14"/>
        <v>0.58333333333333304</v>
      </c>
      <c r="C62" s="26" t="s">
        <v>29</v>
      </c>
      <c r="D62" s="59" t="s">
        <v>38</v>
      </c>
      <c r="E62" s="59" t="s">
        <v>261</v>
      </c>
      <c r="F62" s="27">
        <v>0</v>
      </c>
      <c r="G62" s="28">
        <f t="shared" si="12"/>
        <v>0</v>
      </c>
      <c r="H62" s="26"/>
      <c r="I62" s="26"/>
      <c r="J62" s="26"/>
      <c r="K62" s="29"/>
      <c r="L62" s="29"/>
      <c r="M62" s="30" t="str">
        <f t="shared" ca="1" si="13"/>
        <v/>
      </c>
      <c r="N62" s="27"/>
      <c r="O62" s="31"/>
    </row>
    <row r="63" spans="1:15" ht="15" customHeight="1">
      <c r="A63" s="69">
        <v>46206</v>
      </c>
      <c r="B63" s="32">
        <f t="shared" si="14"/>
        <v>0.62499999999999967</v>
      </c>
      <c r="C63" s="26" t="s">
        <v>29</v>
      </c>
      <c r="D63" s="59" t="s">
        <v>38</v>
      </c>
      <c r="E63" s="59" t="s">
        <v>261</v>
      </c>
      <c r="F63" s="27">
        <v>14</v>
      </c>
      <c r="G63" s="34">
        <f t="shared" si="12"/>
        <v>58.800000000000004</v>
      </c>
      <c r="H63" s="33"/>
      <c r="I63" s="33"/>
      <c r="J63" s="33"/>
      <c r="K63" s="29"/>
      <c r="L63" s="29"/>
      <c r="M63" s="35" t="str">
        <f t="shared" ca="1" si="13"/>
        <v/>
      </c>
      <c r="N63" s="27"/>
      <c r="O63" s="31"/>
    </row>
    <row r="64" spans="1:15" ht="15" customHeight="1">
      <c r="A64" s="68">
        <v>46206</v>
      </c>
      <c r="B64" s="25">
        <f t="shared" si="14"/>
        <v>0.6666666666666663</v>
      </c>
      <c r="C64" s="26" t="s">
        <v>29</v>
      </c>
      <c r="D64" s="59" t="s">
        <v>38</v>
      </c>
      <c r="E64" s="59" t="s">
        <v>261</v>
      </c>
      <c r="F64" s="27">
        <v>5</v>
      </c>
      <c r="G64" s="28">
        <f t="shared" si="12"/>
        <v>21</v>
      </c>
      <c r="H64" s="26"/>
      <c r="I64" s="26"/>
      <c r="J64" s="26"/>
      <c r="K64" s="29"/>
      <c r="L64" s="29"/>
      <c r="M64" s="30" t="str">
        <f t="shared" ca="1" si="13"/>
        <v/>
      </c>
      <c r="N64" s="27"/>
      <c r="O64" s="31"/>
    </row>
    <row r="65" spans="1:15" ht="15" customHeight="1">
      <c r="A65" s="69">
        <v>46206</v>
      </c>
      <c r="B65" s="32">
        <f t="shared" si="14"/>
        <v>0.70833333333333293</v>
      </c>
      <c r="C65" s="26" t="s">
        <v>29</v>
      </c>
      <c r="D65" s="59" t="s">
        <v>38</v>
      </c>
      <c r="E65" s="59" t="s">
        <v>261</v>
      </c>
      <c r="F65" s="27">
        <v>15</v>
      </c>
      <c r="G65" s="34">
        <f t="shared" si="12"/>
        <v>63</v>
      </c>
      <c r="H65" s="33"/>
      <c r="I65" s="33"/>
      <c r="J65" s="33"/>
      <c r="K65" s="29"/>
      <c r="L65" s="29"/>
      <c r="M65" s="35" t="str">
        <f t="shared" ca="1" si="13"/>
        <v/>
      </c>
      <c r="N65" s="27"/>
      <c r="O65" s="31"/>
    </row>
    <row r="66" spans="1:15" ht="15" customHeight="1">
      <c r="A66" s="68">
        <v>46206</v>
      </c>
      <c r="B66" s="25">
        <f t="shared" si="14"/>
        <v>0.74999999999999956</v>
      </c>
      <c r="C66" s="26" t="s">
        <v>29</v>
      </c>
      <c r="D66" s="59" t="s">
        <v>38</v>
      </c>
      <c r="E66" s="59" t="s">
        <v>261</v>
      </c>
      <c r="F66" s="27">
        <v>24</v>
      </c>
      <c r="G66" s="28">
        <f t="shared" si="12"/>
        <v>100.80000000000001</v>
      </c>
      <c r="H66" s="26"/>
      <c r="I66" s="26"/>
      <c r="J66" s="26"/>
      <c r="K66" s="29"/>
      <c r="L66" s="29"/>
      <c r="M66" s="30" t="str">
        <f t="shared" ca="1" si="13"/>
        <v/>
      </c>
      <c r="N66" s="27"/>
      <c r="O66" s="31"/>
    </row>
    <row r="67" spans="1:15" ht="15" customHeight="1">
      <c r="A67" s="69">
        <v>46206</v>
      </c>
      <c r="B67" s="32">
        <f t="shared" si="14"/>
        <v>0.79166666666666619</v>
      </c>
      <c r="C67" s="26" t="s">
        <v>29</v>
      </c>
      <c r="D67" s="59" t="s">
        <v>38</v>
      </c>
      <c r="E67" s="59" t="s">
        <v>261</v>
      </c>
      <c r="F67" s="27">
        <v>0</v>
      </c>
      <c r="G67" s="34">
        <f t="shared" si="12"/>
        <v>0</v>
      </c>
      <c r="H67" s="33"/>
      <c r="I67" s="33"/>
      <c r="J67" s="33"/>
      <c r="K67" s="29"/>
      <c r="L67" s="29"/>
      <c r="M67" s="35" t="str">
        <f t="shared" ca="1" si="13"/>
        <v/>
      </c>
      <c r="N67" s="27"/>
      <c r="O67" s="31"/>
    </row>
    <row r="68" spans="1:15" ht="15.75" customHeight="1">
      <c r="A68" s="119" t="s">
        <v>236</v>
      </c>
      <c r="B68" s="120"/>
      <c r="C68" s="120"/>
      <c r="D68" s="120"/>
      <c r="E68" s="121">
        <f>SUM(E56:E67)</f>
        <v>0</v>
      </c>
      <c r="F68" s="36">
        <f>SUM(F56:F67)</f>
        <v>104</v>
      </c>
      <c r="G68" s="36">
        <f>SUM(G56:G67)</f>
        <v>436.8</v>
      </c>
      <c r="H68" s="37"/>
      <c r="I68" s="37"/>
      <c r="J68" s="37"/>
      <c r="K68" s="37"/>
      <c r="L68" s="37"/>
      <c r="M68" s="38">
        <f ca="1">IFERROR(SUM(M56:M67),"")</f>
        <v>7.2222222222222132E-2</v>
      </c>
      <c r="N68" s="36" t="s">
        <v>237</v>
      </c>
      <c r="O68" s="39">
        <v>441440</v>
      </c>
    </row>
    <row r="69" spans="1:15" ht="15" customHeight="1">
      <c r="A69" s="69">
        <v>46206</v>
      </c>
      <c r="B69" s="32">
        <v>0.83333333333333304</v>
      </c>
      <c r="C69" s="33" t="s">
        <v>21</v>
      </c>
      <c r="D69" s="62" t="s">
        <v>30</v>
      </c>
      <c r="E69" s="62" t="s">
        <v>261</v>
      </c>
      <c r="F69" s="27">
        <v>14</v>
      </c>
      <c r="G69" s="34">
        <f t="shared" ref="G69:G80" si="15">IF(F69="","",IF(E69="PC 17",F69*4.2,IF(E69="PC 19",F69*5,"")))</f>
        <v>58.800000000000004</v>
      </c>
      <c r="H69" s="33" t="s">
        <v>20</v>
      </c>
      <c r="I69" s="33" t="s">
        <v>47</v>
      </c>
      <c r="J69" s="33" t="s">
        <v>165</v>
      </c>
      <c r="K69" s="29">
        <v>0.99652777777777779</v>
      </c>
      <c r="L69" s="29">
        <v>1.5972222222222221E-2</v>
      </c>
      <c r="M69" s="35">
        <f t="shared" ref="M69:M80" ca="1" si="16">IFERROR(IF(K69="","",IF(L69="",MOD(NOW()-K69,1),IF(L69&gt;=K69,L69-K69,L69+1-K69))),"")</f>
        <v>1.9444444444444486E-2</v>
      </c>
      <c r="N69" s="27" t="s">
        <v>315</v>
      </c>
      <c r="O69" s="31"/>
    </row>
    <row r="70" spans="1:15" ht="15" customHeight="1">
      <c r="A70" s="68">
        <v>46206</v>
      </c>
      <c r="B70" s="25">
        <f t="shared" ref="B70:B80" si="17">B69+TIME(0,60,0)</f>
        <v>0.87499999999999967</v>
      </c>
      <c r="C70" s="33" t="s">
        <v>21</v>
      </c>
      <c r="D70" s="62" t="s">
        <v>30</v>
      </c>
      <c r="E70" s="62" t="s">
        <v>261</v>
      </c>
      <c r="F70" s="27">
        <v>11</v>
      </c>
      <c r="G70" s="28">
        <f t="shared" si="15"/>
        <v>46.2</v>
      </c>
      <c r="H70" s="26" t="s">
        <v>20</v>
      </c>
      <c r="I70" s="26" t="s">
        <v>47</v>
      </c>
      <c r="J70" s="26" t="s">
        <v>51</v>
      </c>
      <c r="K70" s="29">
        <v>0.24444444444444444</v>
      </c>
      <c r="L70" s="29">
        <v>0.29166666666666669</v>
      </c>
      <c r="M70" s="30">
        <f t="shared" ca="1" si="16"/>
        <v>4.7222222222222249E-2</v>
      </c>
      <c r="N70" s="27"/>
      <c r="O70" s="31"/>
    </row>
    <row r="71" spans="1:15" ht="15" customHeight="1">
      <c r="A71" s="69">
        <v>46206</v>
      </c>
      <c r="B71" s="32">
        <f t="shared" si="17"/>
        <v>0.9166666666666663</v>
      </c>
      <c r="C71" s="33" t="s">
        <v>21</v>
      </c>
      <c r="D71" s="62" t="s">
        <v>30</v>
      </c>
      <c r="E71" s="62" t="s">
        <v>261</v>
      </c>
      <c r="F71" s="27">
        <v>9</v>
      </c>
      <c r="G71" s="34">
        <f t="shared" si="15"/>
        <v>37.800000000000004</v>
      </c>
      <c r="H71" s="33"/>
      <c r="I71" s="33"/>
      <c r="J71" s="33"/>
      <c r="K71" s="29"/>
      <c r="L71" s="29"/>
      <c r="M71" s="35" t="str">
        <f t="shared" ca="1" si="16"/>
        <v/>
      </c>
      <c r="N71" s="27"/>
      <c r="O71" s="31"/>
    </row>
    <row r="72" spans="1:15" ht="15" customHeight="1">
      <c r="A72" s="68">
        <v>46206</v>
      </c>
      <c r="B72" s="25">
        <f t="shared" si="17"/>
        <v>0.95833333333333293</v>
      </c>
      <c r="C72" s="33" t="s">
        <v>21</v>
      </c>
      <c r="D72" s="62" t="s">
        <v>30</v>
      </c>
      <c r="E72" s="62" t="s">
        <v>261</v>
      </c>
      <c r="F72" s="27">
        <v>7</v>
      </c>
      <c r="G72" s="28">
        <f t="shared" si="15"/>
        <v>29.400000000000002</v>
      </c>
      <c r="H72" s="26"/>
      <c r="I72" s="26"/>
      <c r="J72" s="26"/>
      <c r="K72" s="29"/>
      <c r="L72" s="29"/>
      <c r="M72" s="30" t="str">
        <f t="shared" ca="1" si="16"/>
        <v/>
      </c>
      <c r="N72" s="27"/>
      <c r="O72" s="31"/>
    </row>
    <row r="73" spans="1:15" ht="15" customHeight="1">
      <c r="A73" s="69">
        <v>46206</v>
      </c>
      <c r="B73" s="32">
        <f t="shared" si="17"/>
        <v>0.99999999999999956</v>
      </c>
      <c r="C73" s="33" t="s">
        <v>21</v>
      </c>
      <c r="D73" s="62" t="s">
        <v>30</v>
      </c>
      <c r="E73" s="62" t="s">
        <v>261</v>
      </c>
      <c r="F73" s="27">
        <v>10</v>
      </c>
      <c r="G73" s="34">
        <f t="shared" si="15"/>
        <v>42</v>
      </c>
      <c r="H73" s="33"/>
      <c r="I73" s="33"/>
      <c r="J73" s="33"/>
      <c r="K73" s="29"/>
      <c r="L73" s="29"/>
      <c r="M73" s="35" t="str">
        <f t="shared" ca="1" si="16"/>
        <v/>
      </c>
      <c r="N73" s="27"/>
      <c r="O73" s="31"/>
    </row>
    <row r="74" spans="1:15" ht="15" customHeight="1">
      <c r="A74" s="68">
        <v>46206</v>
      </c>
      <c r="B74" s="25">
        <f t="shared" si="17"/>
        <v>1.0416666666666663</v>
      </c>
      <c r="C74" s="33" t="s">
        <v>21</v>
      </c>
      <c r="D74" s="62" t="s">
        <v>30</v>
      </c>
      <c r="E74" s="62" t="s">
        <v>261</v>
      </c>
      <c r="F74" s="27">
        <v>3</v>
      </c>
      <c r="G74" s="28">
        <f t="shared" si="15"/>
        <v>12.600000000000001</v>
      </c>
      <c r="H74" s="26"/>
      <c r="I74" s="26"/>
      <c r="J74" s="26"/>
      <c r="K74" s="29"/>
      <c r="L74" s="29"/>
      <c r="M74" s="30" t="str">
        <f t="shared" ca="1" si="16"/>
        <v/>
      </c>
      <c r="N74" s="27"/>
      <c r="O74" s="31"/>
    </row>
    <row r="75" spans="1:15" ht="15" customHeight="1">
      <c r="A75" s="69">
        <v>46206</v>
      </c>
      <c r="B75" s="32">
        <f t="shared" si="17"/>
        <v>1.083333333333333</v>
      </c>
      <c r="C75" s="33" t="s">
        <v>21</v>
      </c>
      <c r="D75" s="62" t="s">
        <v>30</v>
      </c>
      <c r="E75" s="62" t="s">
        <v>261</v>
      </c>
      <c r="F75" s="27">
        <v>9</v>
      </c>
      <c r="G75" s="34">
        <f t="shared" si="15"/>
        <v>37.800000000000004</v>
      </c>
      <c r="H75" s="33"/>
      <c r="I75" s="33"/>
      <c r="J75" s="33"/>
      <c r="K75" s="29"/>
      <c r="L75" s="29"/>
      <c r="M75" s="35" t="str">
        <f t="shared" ca="1" si="16"/>
        <v/>
      </c>
      <c r="N75" s="27"/>
      <c r="O75" s="31"/>
    </row>
    <row r="76" spans="1:15" ht="15" customHeight="1">
      <c r="A76" s="68">
        <v>46206</v>
      </c>
      <c r="B76" s="25">
        <f t="shared" si="17"/>
        <v>1.1249999999999998</v>
      </c>
      <c r="C76" s="33" t="s">
        <v>21</v>
      </c>
      <c r="D76" s="62" t="s">
        <v>30</v>
      </c>
      <c r="E76" s="62" t="s">
        <v>261</v>
      </c>
      <c r="F76" s="27">
        <v>5</v>
      </c>
      <c r="G76" s="28">
        <f t="shared" si="15"/>
        <v>21</v>
      </c>
      <c r="H76" s="26"/>
      <c r="I76" s="26"/>
      <c r="J76" s="26"/>
      <c r="K76" s="29"/>
      <c r="L76" s="29"/>
      <c r="M76" s="30" t="str">
        <f t="shared" ca="1" si="16"/>
        <v/>
      </c>
      <c r="N76" s="27"/>
      <c r="O76" s="31"/>
    </row>
    <row r="77" spans="1:15" ht="15" customHeight="1">
      <c r="A77" s="69">
        <v>46206</v>
      </c>
      <c r="B77" s="32">
        <f t="shared" si="17"/>
        <v>1.1666666666666665</v>
      </c>
      <c r="C77" s="33" t="s">
        <v>21</v>
      </c>
      <c r="D77" s="62" t="s">
        <v>30</v>
      </c>
      <c r="E77" s="62" t="s">
        <v>261</v>
      </c>
      <c r="F77" s="27">
        <v>2</v>
      </c>
      <c r="G77" s="34">
        <f t="shared" si="15"/>
        <v>8.4</v>
      </c>
      <c r="H77" s="33"/>
      <c r="I77" s="33"/>
      <c r="J77" s="33"/>
      <c r="K77" s="29"/>
      <c r="L77" s="29"/>
      <c r="M77" s="35" t="str">
        <f t="shared" ca="1" si="16"/>
        <v/>
      </c>
      <c r="N77" s="27"/>
      <c r="O77" s="31"/>
    </row>
    <row r="78" spans="1:15" ht="15" customHeight="1">
      <c r="A78" s="68">
        <v>46206</v>
      </c>
      <c r="B78" s="25">
        <f t="shared" si="17"/>
        <v>1.2083333333333333</v>
      </c>
      <c r="C78" s="33" t="s">
        <v>21</v>
      </c>
      <c r="D78" s="62" t="s">
        <v>30</v>
      </c>
      <c r="E78" s="62" t="s">
        <v>261</v>
      </c>
      <c r="F78" s="27">
        <v>15</v>
      </c>
      <c r="G78" s="28">
        <f t="shared" si="15"/>
        <v>63</v>
      </c>
      <c r="H78" s="26"/>
      <c r="I78" s="26"/>
      <c r="J78" s="26"/>
      <c r="K78" s="29"/>
      <c r="L78" s="29"/>
      <c r="M78" s="30" t="str">
        <f t="shared" ca="1" si="16"/>
        <v/>
      </c>
      <c r="N78" s="27"/>
      <c r="O78" s="31"/>
    </row>
    <row r="79" spans="1:15" ht="15" customHeight="1">
      <c r="A79" s="69">
        <v>46206</v>
      </c>
      <c r="B79" s="32">
        <f t="shared" si="17"/>
        <v>1.25</v>
      </c>
      <c r="C79" s="33" t="s">
        <v>21</v>
      </c>
      <c r="D79" s="62" t="s">
        <v>30</v>
      </c>
      <c r="E79" s="62" t="s">
        <v>261</v>
      </c>
      <c r="F79" s="27">
        <v>7</v>
      </c>
      <c r="G79" s="34">
        <f t="shared" si="15"/>
        <v>29.400000000000002</v>
      </c>
      <c r="H79" s="33"/>
      <c r="I79" s="33"/>
      <c r="J79" s="33"/>
      <c r="K79" s="29"/>
      <c r="L79" s="29"/>
      <c r="M79" s="35" t="str">
        <f t="shared" ca="1" si="16"/>
        <v/>
      </c>
      <c r="N79" s="27"/>
      <c r="O79" s="31"/>
    </row>
    <row r="80" spans="1:15" ht="15" customHeight="1">
      <c r="A80" s="68">
        <v>46206</v>
      </c>
      <c r="B80" s="25">
        <f t="shared" si="17"/>
        <v>1.2916666666666667</v>
      </c>
      <c r="C80" s="33" t="s">
        <v>21</v>
      </c>
      <c r="D80" s="62" t="s">
        <v>30</v>
      </c>
      <c r="E80" s="62" t="s">
        <v>261</v>
      </c>
      <c r="F80" s="27">
        <v>0</v>
      </c>
      <c r="G80" s="28">
        <f t="shared" si="15"/>
        <v>0</v>
      </c>
      <c r="H80" s="26"/>
      <c r="I80" s="26"/>
      <c r="J80" s="26"/>
      <c r="K80" s="29"/>
      <c r="L80" s="29"/>
      <c r="M80" s="30" t="str">
        <f t="shared" ca="1" si="16"/>
        <v/>
      </c>
      <c r="N80" s="27"/>
      <c r="O80" s="31"/>
    </row>
    <row r="81" spans="1:15" ht="15.75" customHeight="1">
      <c r="A81" s="119" t="s">
        <v>238</v>
      </c>
      <c r="B81" s="120"/>
      <c r="C81" s="120"/>
      <c r="D81" s="120"/>
      <c r="E81" s="121">
        <f>SUM(E69:E80)</f>
        <v>0</v>
      </c>
      <c r="F81" s="36">
        <f>SUM(F69:F80)</f>
        <v>92</v>
      </c>
      <c r="G81" s="36">
        <f>SUM(G69:G80)</f>
        <v>386.4</v>
      </c>
      <c r="H81" s="37"/>
      <c r="I81" s="37"/>
      <c r="J81" s="37"/>
      <c r="K81" s="37"/>
      <c r="L81" s="37"/>
      <c r="M81" s="38">
        <f ca="1">IFERROR(SUM(M69:M80),"")</f>
        <v>6.6666666666666735E-2</v>
      </c>
      <c r="N81" s="36" t="s">
        <v>237</v>
      </c>
      <c r="O81" s="39">
        <v>396340</v>
      </c>
    </row>
    <row r="82" spans="1:15" ht="18" customHeight="1">
      <c r="A82" s="122" t="s">
        <v>239</v>
      </c>
      <c r="B82" s="123"/>
      <c r="C82" s="123"/>
      <c r="D82" s="123"/>
      <c r="E82" s="124">
        <f>E68+E81</f>
        <v>0</v>
      </c>
      <c r="F82" s="40">
        <f>F68+F81</f>
        <v>196</v>
      </c>
      <c r="G82" s="40">
        <f>G68+G81</f>
        <v>823.2</v>
      </c>
      <c r="H82" s="41"/>
      <c r="I82" s="41"/>
      <c r="J82" s="41"/>
      <c r="K82" s="41"/>
      <c r="L82" s="41"/>
      <c r="M82" s="42">
        <f ca="1">IFERROR(M68+M81,"")</f>
        <v>0.13888888888888887</v>
      </c>
      <c r="N82" s="40" t="s">
        <v>240</v>
      </c>
      <c r="O82" s="43">
        <f>IFERROR(O68+O81,"")</f>
        <v>837780</v>
      </c>
    </row>
    <row r="83" spans="1:15" ht="15" customHeight="1">
      <c r="A83" s="68">
        <v>46207</v>
      </c>
      <c r="B83" s="25">
        <v>0.33333333333333298</v>
      </c>
      <c r="C83" s="26" t="s">
        <v>29</v>
      </c>
      <c r="D83" s="59" t="s">
        <v>22</v>
      </c>
      <c r="E83" s="59" t="s">
        <v>234</v>
      </c>
      <c r="F83" s="27">
        <v>0</v>
      </c>
      <c r="G83" s="28">
        <f t="shared" ref="G83:G94" si="18">IF(F83="","",IF(E83="PC 17",F83*4.2,IF(E83="PC 19",F83*5,"")))</f>
        <v>0</v>
      </c>
      <c r="H83" s="33" t="s">
        <v>19</v>
      </c>
      <c r="I83" s="33" t="s">
        <v>47</v>
      </c>
      <c r="J83" s="33" t="s">
        <v>43</v>
      </c>
      <c r="K83" s="29">
        <v>0.29166666666666669</v>
      </c>
      <c r="L83" s="29">
        <v>0.49305555555555558</v>
      </c>
      <c r="M83" s="35">
        <f t="shared" ref="M83:M94" ca="1" si="19">IFERROR(IF(K83="","",IF(L83="",MOD(NOW()-K83,1),IF(L83&gt;=K83,L83-K83,L83+1-K83))),"")</f>
        <v>0.2013888888888889</v>
      </c>
      <c r="N83" s="27"/>
      <c r="O83" s="31"/>
    </row>
    <row r="84" spans="1:15" ht="15" customHeight="1">
      <c r="A84" s="69">
        <v>46207</v>
      </c>
      <c r="B84" s="32">
        <f t="shared" ref="B84:B94" si="20">B83+TIME(0,60,0)</f>
        <v>0.37499999999999967</v>
      </c>
      <c r="C84" s="26" t="s">
        <v>29</v>
      </c>
      <c r="D84" s="59" t="s">
        <v>22</v>
      </c>
      <c r="E84" s="59" t="s">
        <v>234</v>
      </c>
      <c r="F84" s="27">
        <v>0</v>
      </c>
      <c r="G84" s="34">
        <f t="shared" si="18"/>
        <v>0</v>
      </c>
      <c r="H84" s="26"/>
      <c r="I84" s="26"/>
      <c r="J84" s="26"/>
      <c r="K84" s="29"/>
      <c r="L84" s="29"/>
      <c r="M84" s="30" t="str">
        <f t="shared" ca="1" si="19"/>
        <v/>
      </c>
      <c r="N84" s="27"/>
      <c r="O84" s="31"/>
    </row>
    <row r="85" spans="1:15" ht="15" customHeight="1">
      <c r="A85" s="68">
        <v>46207</v>
      </c>
      <c r="B85" s="25">
        <f t="shared" si="20"/>
        <v>0.41666666666666635</v>
      </c>
      <c r="C85" s="26" t="s">
        <v>29</v>
      </c>
      <c r="D85" s="59" t="s">
        <v>22</v>
      </c>
      <c r="E85" s="59" t="s">
        <v>234</v>
      </c>
      <c r="F85" s="27">
        <v>0</v>
      </c>
      <c r="G85" s="28">
        <f t="shared" si="18"/>
        <v>0</v>
      </c>
      <c r="H85" s="33"/>
      <c r="I85" s="33"/>
      <c r="J85" s="33"/>
      <c r="K85" s="29"/>
      <c r="L85" s="29"/>
      <c r="M85" s="35" t="str">
        <f t="shared" ca="1" si="19"/>
        <v/>
      </c>
      <c r="N85" s="27"/>
      <c r="O85" s="31"/>
    </row>
    <row r="86" spans="1:15" ht="15" customHeight="1">
      <c r="A86" s="69">
        <v>46207</v>
      </c>
      <c r="B86" s="32">
        <f t="shared" si="20"/>
        <v>0.45833333333333304</v>
      </c>
      <c r="C86" s="26" t="s">
        <v>29</v>
      </c>
      <c r="D86" s="59" t="s">
        <v>22</v>
      </c>
      <c r="E86" s="59" t="s">
        <v>234</v>
      </c>
      <c r="F86" s="27">
        <v>0</v>
      </c>
      <c r="G86" s="34">
        <f t="shared" si="18"/>
        <v>0</v>
      </c>
      <c r="H86" s="26"/>
      <c r="I86" s="26"/>
      <c r="J86" s="26"/>
      <c r="K86" s="29"/>
      <c r="L86" s="29"/>
      <c r="M86" s="30" t="str">
        <f t="shared" ca="1" si="19"/>
        <v/>
      </c>
      <c r="N86" s="27"/>
      <c r="O86" s="31"/>
    </row>
    <row r="87" spans="1:15" ht="15" customHeight="1">
      <c r="A87" s="68">
        <v>46207</v>
      </c>
      <c r="B87" s="25">
        <f t="shared" si="20"/>
        <v>0.49999999999999972</v>
      </c>
      <c r="C87" s="26" t="s">
        <v>29</v>
      </c>
      <c r="D87" s="59" t="s">
        <v>22</v>
      </c>
      <c r="E87" s="59" t="s">
        <v>234</v>
      </c>
      <c r="F87" s="27">
        <v>0</v>
      </c>
      <c r="G87" s="28">
        <f t="shared" si="18"/>
        <v>0</v>
      </c>
      <c r="H87" s="33"/>
      <c r="I87" s="33"/>
      <c r="J87" s="33"/>
      <c r="K87" s="29"/>
      <c r="L87" s="29"/>
      <c r="M87" s="35" t="str">
        <f t="shared" ca="1" si="19"/>
        <v/>
      </c>
      <c r="N87" s="27"/>
      <c r="O87" s="31"/>
    </row>
    <row r="88" spans="1:15" ht="15" customHeight="1">
      <c r="A88" s="69">
        <v>46207</v>
      </c>
      <c r="B88" s="32">
        <f t="shared" si="20"/>
        <v>0.54166666666666641</v>
      </c>
      <c r="C88" s="26" t="s">
        <v>29</v>
      </c>
      <c r="D88" s="59" t="s">
        <v>22</v>
      </c>
      <c r="E88" s="59" t="s">
        <v>234</v>
      </c>
      <c r="F88" s="27">
        <v>5</v>
      </c>
      <c r="G88" s="34">
        <f t="shared" si="18"/>
        <v>25</v>
      </c>
      <c r="H88" s="26"/>
      <c r="I88" s="26"/>
      <c r="J88" s="26"/>
      <c r="K88" s="29"/>
      <c r="L88" s="29"/>
      <c r="M88" s="30" t="str">
        <f t="shared" ca="1" si="19"/>
        <v/>
      </c>
      <c r="N88" s="27" t="s">
        <v>353</v>
      </c>
      <c r="O88" s="31"/>
    </row>
    <row r="89" spans="1:15" ht="15" customHeight="1">
      <c r="A89" s="68">
        <v>46207</v>
      </c>
      <c r="B89" s="25">
        <f t="shared" si="20"/>
        <v>0.58333333333333304</v>
      </c>
      <c r="C89" s="26" t="s">
        <v>29</v>
      </c>
      <c r="D89" s="59" t="s">
        <v>22</v>
      </c>
      <c r="E89" s="59" t="s">
        <v>234</v>
      </c>
      <c r="F89" s="27">
        <v>11</v>
      </c>
      <c r="G89" s="28">
        <f t="shared" si="18"/>
        <v>55</v>
      </c>
      <c r="H89" s="33"/>
      <c r="I89" s="33"/>
      <c r="J89" s="33"/>
      <c r="K89" s="29"/>
      <c r="L89" s="29"/>
      <c r="M89" s="35" t="str">
        <f t="shared" ca="1" si="19"/>
        <v/>
      </c>
      <c r="N89" s="27"/>
      <c r="O89" s="31"/>
    </row>
    <row r="90" spans="1:15" ht="15" customHeight="1">
      <c r="A90" s="69">
        <v>46207</v>
      </c>
      <c r="B90" s="32">
        <f t="shared" si="20"/>
        <v>0.62499999999999967</v>
      </c>
      <c r="C90" s="26" t="s">
        <v>29</v>
      </c>
      <c r="D90" s="59" t="s">
        <v>22</v>
      </c>
      <c r="E90" s="59" t="s">
        <v>234</v>
      </c>
      <c r="F90" s="27">
        <v>5</v>
      </c>
      <c r="G90" s="34">
        <f t="shared" si="18"/>
        <v>25</v>
      </c>
      <c r="H90" s="26"/>
      <c r="I90" s="26"/>
      <c r="J90" s="26"/>
      <c r="K90" s="29"/>
      <c r="L90" s="29"/>
      <c r="M90" s="30" t="str">
        <f t="shared" ca="1" si="19"/>
        <v/>
      </c>
      <c r="N90" s="27"/>
      <c r="O90" s="31"/>
    </row>
    <row r="91" spans="1:15" ht="15" customHeight="1">
      <c r="A91" s="68">
        <v>46207</v>
      </c>
      <c r="B91" s="25">
        <f t="shared" si="20"/>
        <v>0.6666666666666663</v>
      </c>
      <c r="C91" s="26" t="s">
        <v>29</v>
      </c>
      <c r="D91" s="59" t="s">
        <v>22</v>
      </c>
      <c r="E91" s="59" t="s">
        <v>234</v>
      </c>
      <c r="F91" s="27">
        <v>12</v>
      </c>
      <c r="G91" s="28">
        <f t="shared" si="18"/>
        <v>60</v>
      </c>
      <c r="H91" s="33"/>
      <c r="I91" s="33"/>
      <c r="J91" s="33"/>
      <c r="K91" s="29"/>
      <c r="L91" s="29"/>
      <c r="M91" s="35" t="str">
        <f t="shared" ca="1" si="19"/>
        <v/>
      </c>
      <c r="N91" s="27"/>
      <c r="O91" s="31"/>
    </row>
    <row r="92" spans="1:15" ht="15" customHeight="1">
      <c r="A92" s="69">
        <v>46207</v>
      </c>
      <c r="B92" s="32">
        <f t="shared" si="20"/>
        <v>0.70833333333333293</v>
      </c>
      <c r="C92" s="26" t="s">
        <v>29</v>
      </c>
      <c r="D92" s="59" t="s">
        <v>30</v>
      </c>
      <c r="E92" s="59" t="s">
        <v>234</v>
      </c>
      <c r="F92" s="27">
        <v>33</v>
      </c>
      <c r="G92" s="34">
        <f t="shared" si="18"/>
        <v>165</v>
      </c>
      <c r="H92" s="26"/>
      <c r="I92" s="26"/>
      <c r="J92" s="26"/>
      <c r="K92" s="29"/>
      <c r="L92" s="29"/>
      <c r="M92" s="30" t="str">
        <f t="shared" ca="1" si="19"/>
        <v/>
      </c>
      <c r="N92" s="27"/>
      <c r="O92" s="31"/>
    </row>
    <row r="93" spans="1:15" ht="15" customHeight="1">
      <c r="A93" s="68">
        <v>46207</v>
      </c>
      <c r="B93" s="25">
        <f t="shared" si="20"/>
        <v>0.74999999999999956</v>
      </c>
      <c r="C93" s="26" t="s">
        <v>29</v>
      </c>
      <c r="D93" s="59" t="s">
        <v>30</v>
      </c>
      <c r="E93" s="59" t="s">
        <v>234</v>
      </c>
      <c r="F93" s="27">
        <v>15</v>
      </c>
      <c r="G93" s="28">
        <f t="shared" si="18"/>
        <v>75</v>
      </c>
      <c r="H93" s="33"/>
      <c r="I93" s="33"/>
      <c r="J93" s="33"/>
      <c r="K93" s="29"/>
      <c r="L93" s="29"/>
      <c r="M93" s="35" t="str">
        <f t="shared" ca="1" si="19"/>
        <v/>
      </c>
      <c r="N93" s="27"/>
      <c r="O93" s="31"/>
    </row>
    <row r="94" spans="1:15" ht="15" customHeight="1">
      <c r="A94" s="69">
        <v>46207</v>
      </c>
      <c r="B94" s="32">
        <f t="shared" si="20"/>
        <v>0.79166666666666619</v>
      </c>
      <c r="C94" s="26" t="s">
        <v>29</v>
      </c>
      <c r="D94" s="59" t="s">
        <v>30</v>
      </c>
      <c r="E94" s="59" t="s">
        <v>234</v>
      </c>
      <c r="F94" s="27">
        <v>8</v>
      </c>
      <c r="G94" s="34">
        <f t="shared" si="18"/>
        <v>40</v>
      </c>
      <c r="H94" s="26"/>
      <c r="I94" s="26"/>
      <c r="J94" s="26"/>
      <c r="K94" s="29"/>
      <c r="L94" s="29"/>
      <c r="M94" s="30" t="str">
        <f t="shared" ca="1" si="19"/>
        <v/>
      </c>
      <c r="N94" s="27"/>
      <c r="O94" s="31"/>
    </row>
    <row r="95" spans="1:15" ht="15.75" customHeight="1">
      <c r="A95" s="119" t="s">
        <v>236</v>
      </c>
      <c r="B95" s="120"/>
      <c r="C95" s="120"/>
      <c r="D95" s="120"/>
      <c r="E95" s="121">
        <f>SUM(E83:E94)</f>
        <v>0</v>
      </c>
      <c r="F95" s="36">
        <f>SUM(F83:F94)</f>
        <v>89</v>
      </c>
      <c r="G95" s="36">
        <f>SUM(G83:G94)</f>
        <v>445</v>
      </c>
      <c r="H95" s="37"/>
      <c r="I95" s="37"/>
      <c r="J95" s="37"/>
      <c r="K95" s="37"/>
      <c r="L95" s="37"/>
      <c r="M95" s="38">
        <f ca="1">IFERROR(SUM(M83:M94),"")</f>
        <v>0.2013888888888889</v>
      </c>
      <c r="N95" s="36" t="s">
        <v>237</v>
      </c>
      <c r="O95" s="39">
        <v>536290</v>
      </c>
    </row>
    <row r="96" spans="1:15" ht="15" customHeight="1">
      <c r="A96" s="69">
        <v>46207</v>
      </c>
      <c r="B96" s="32">
        <v>0.83333333333333304</v>
      </c>
      <c r="C96" s="33" t="s">
        <v>21</v>
      </c>
      <c r="D96" s="62" t="s">
        <v>30</v>
      </c>
      <c r="E96" s="62" t="s">
        <v>261</v>
      </c>
      <c r="F96" s="27">
        <v>3</v>
      </c>
      <c r="G96" s="34">
        <f t="shared" ref="G96:G107" si="21">IF(F96="","",IF(E96="PC 17",F96*4.2,IF(E96="PC 19",F96*5,"")))</f>
        <v>12.600000000000001</v>
      </c>
      <c r="H96" s="26" t="s">
        <v>18</v>
      </c>
      <c r="I96" s="26" t="s">
        <v>47</v>
      </c>
      <c r="J96" s="26" t="s">
        <v>34</v>
      </c>
      <c r="K96" s="29">
        <v>0.87569444444444444</v>
      </c>
      <c r="L96" s="29">
        <v>0.29166666666666669</v>
      </c>
      <c r="M96" s="30">
        <f t="shared" ref="M96:M107" ca="1" si="22">IFERROR(IF(K96="","",IF(L96="",MOD(NOW()-K96,1),IF(L96&gt;=K96,L96-K96,L96+1-K96))),"")</f>
        <v>0.4159722222222223</v>
      </c>
      <c r="N96" s="27"/>
      <c r="O96" s="31"/>
    </row>
    <row r="97" spans="1:15" ht="15" customHeight="1">
      <c r="A97" s="68">
        <v>46207</v>
      </c>
      <c r="B97" s="25">
        <f t="shared" ref="B97:B107" si="23">B96+TIME(0,60,0)</f>
        <v>0.87499999999999967</v>
      </c>
      <c r="C97" s="33" t="s">
        <v>21</v>
      </c>
      <c r="D97" s="62" t="s">
        <v>30</v>
      </c>
      <c r="E97" s="62" t="s">
        <v>261</v>
      </c>
      <c r="F97" s="27">
        <v>2</v>
      </c>
      <c r="G97" s="28">
        <f t="shared" si="21"/>
        <v>8.4</v>
      </c>
      <c r="H97" s="33"/>
      <c r="I97" s="33"/>
      <c r="J97" s="33"/>
      <c r="K97" s="29"/>
      <c r="L97" s="29"/>
      <c r="M97" s="35" t="str">
        <f t="shared" ca="1" si="22"/>
        <v/>
      </c>
      <c r="N97" s="27"/>
      <c r="O97" s="31"/>
    </row>
    <row r="98" spans="1:15" ht="15" customHeight="1">
      <c r="A98" s="69">
        <v>46207</v>
      </c>
      <c r="B98" s="32">
        <f t="shared" si="23"/>
        <v>0.9166666666666663</v>
      </c>
      <c r="C98" s="33" t="s">
        <v>21</v>
      </c>
      <c r="D98" s="62" t="s">
        <v>30</v>
      </c>
      <c r="E98" s="62" t="s">
        <v>261</v>
      </c>
      <c r="F98" s="27">
        <v>4</v>
      </c>
      <c r="G98" s="34">
        <f t="shared" si="21"/>
        <v>16.8</v>
      </c>
      <c r="H98" s="26"/>
      <c r="I98" s="26"/>
      <c r="J98" s="26"/>
      <c r="K98" s="29"/>
      <c r="L98" s="29"/>
      <c r="M98" s="30" t="str">
        <f t="shared" ca="1" si="22"/>
        <v/>
      </c>
      <c r="N98" s="27"/>
      <c r="O98" s="31"/>
    </row>
    <row r="99" spans="1:15" ht="15" customHeight="1">
      <c r="A99" s="68">
        <v>46207</v>
      </c>
      <c r="B99" s="25">
        <f t="shared" si="23"/>
        <v>0.95833333333333293</v>
      </c>
      <c r="C99" s="33" t="s">
        <v>21</v>
      </c>
      <c r="D99" s="62" t="s">
        <v>30</v>
      </c>
      <c r="E99" s="62" t="s">
        <v>261</v>
      </c>
      <c r="F99" s="27">
        <v>0</v>
      </c>
      <c r="G99" s="28">
        <f t="shared" si="21"/>
        <v>0</v>
      </c>
      <c r="H99" s="33"/>
      <c r="I99" s="33"/>
      <c r="J99" s="33"/>
      <c r="K99" s="29"/>
      <c r="L99" s="29"/>
      <c r="M99" s="35" t="str">
        <f t="shared" ca="1" si="22"/>
        <v/>
      </c>
      <c r="N99" s="27"/>
      <c r="O99" s="31"/>
    </row>
    <row r="100" spans="1:15" ht="15" customHeight="1">
      <c r="A100" s="69">
        <v>46207</v>
      </c>
      <c r="B100" s="32">
        <f t="shared" si="23"/>
        <v>0.99999999999999956</v>
      </c>
      <c r="C100" s="33" t="s">
        <v>21</v>
      </c>
      <c r="D100" s="62" t="s">
        <v>30</v>
      </c>
      <c r="E100" s="62" t="s">
        <v>261</v>
      </c>
      <c r="F100" s="27">
        <v>0</v>
      </c>
      <c r="G100" s="34">
        <f t="shared" si="21"/>
        <v>0</v>
      </c>
      <c r="H100" s="26"/>
      <c r="I100" s="26"/>
      <c r="J100" s="26"/>
      <c r="K100" s="29"/>
      <c r="L100" s="29"/>
      <c r="M100" s="30" t="str">
        <f t="shared" ca="1" si="22"/>
        <v/>
      </c>
      <c r="N100" s="27"/>
      <c r="O100" s="31"/>
    </row>
    <row r="101" spans="1:15" ht="15" customHeight="1">
      <c r="A101" s="68">
        <v>46207</v>
      </c>
      <c r="B101" s="25">
        <f t="shared" si="23"/>
        <v>1.0416666666666663</v>
      </c>
      <c r="C101" s="33" t="s">
        <v>21</v>
      </c>
      <c r="D101" s="62" t="s">
        <v>30</v>
      </c>
      <c r="E101" s="62" t="s">
        <v>261</v>
      </c>
      <c r="F101" s="27">
        <v>0</v>
      </c>
      <c r="G101" s="28">
        <f t="shared" si="21"/>
        <v>0</v>
      </c>
      <c r="H101" s="33"/>
      <c r="I101" s="33"/>
      <c r="J101" s="33"/>
      <c r="K101" s="29"/>
      <c r="L101" s="29"/>
      <c r="M101" s="35" t="str">
        <f t="shared" ca="1" si="22"/>
        <v/>
      </c>
      <c r="N101" s="27"/>
      <c r="O101" s="31"/>
    </row>
    <row r="102" spans="1:15" ht="15" customHeight="1">
      <c r="A102" s="69">
        <v>46207</v>
      </c>
      <c r="B102" s="32">
        <f t="shared" si="23"/>
        <v>1.083333333333333</v>
      </c>
      <c r="C102" s="33" t="s">
        <v>21</v>
      </c>
      <c r="D102" s="62" t="s">
        <v>30</v>
      </c>
      <c r="E102" s="62" t="s">
        <v>261</v>
      </c>
      <c r="F102" s="27">
        <v>0</v>
      </c>
      <c r="G102" s="34">
        <f t="shared" si="21"/>
        <v>0</v>
      </c>
      <c r="H102" s="26"/>
      <c r="I102" s="26"/>
      <c r="J102" s="26"/>
      <c r="K102" s="29"/>
      <c r="L102" s="29"/>
      <c r="M102" s="30" t="str">
        <f t="shared" ca="1" si="22"/>
        <v/>
      </c>
      <c r="N102" s="27"/>
      <c r="O102" s="31"/>
    </row>
    <row r="103" spans="1:15" ht="15" customHeight="1">
      <c r="A103" s="68">
        <v>46207</v>
      </c>
      <c r="B103" s="25">
        <f t="shared" si="23"/>
        <v>1.1249999999999998</v>
      </c>
      <c r="C103" s="33" t="s">
        <v>21</v>
      </c>
      <c r="D103" s="62" t="s">
        <v>30</v>
      </c>
      <c r="E103" s="62" t="s">
        <v>261</v>
      </c>
      <c r="F103" s="27">
        <v>0</v>
      </c>
      <c r="G103" s="28">
        <f t="shared" si="21"/>
        <v>0</v>
      </c>
      <c r="H103" s="33"/>
      <c r="I103" s="33"/>
      <c r="J103" s="33"/>
      <c r="K103" s="29"/>
      <c r="L103" s="29"/>
      <c r="M103" s="35" t="str">
        <f t="shared" ca="1" si="22"/>
        <v/>
      </c>
      <c r="N103" s="27"/>
      <c r="O103" s="31"/>
    </row>
    <row r="104" spans="1:15" ht="15" customHeight="1">
      <c r="A104" s="69">
        <v>46207</v>
      </c>
      <c r="B104" s="32">
        <f t="shared" si="23"/>
        <v>1.1666666666666665</v>
      </c>
      <c r="C104" s="33" t="s">
        <v>21</v>
      </c>
      <c r="D104" s="62" t="s">
        <v>30</v>
      </c>
      <c r="E104" s="62" t="s">
        <v>261</v>
      </c>
      <c r="F104" s="27">
        <v>0</v>
      </c>
      <c r="G104" s="34">
        <f t="shared" si="21"/>
        <v>0</v>
      </c>
      <c r="H104" s="26"/>
      <c r="I104" s="26"/>
      <c r="J104" s="26"/>
      <c r="K104" s="29"/>
      <c r="L104" s="29"/>
      <c r="M104" s="30" t="str">
        <f t="shared" ca="1" si="22"/>
        <v/>
      </c>
      <c r="N104" s="27"/>
      <c r="O104" s="31"/>
    </row>
    <row r="105" spans="1:15" ht="15" customHeight="1">
      <c r="A105" s="68">
        <v>46207</v>
      </c>
      <c r="B105" s="25">
        <f t="shared" si="23"/>
        <v>1.2083333333333333</v>
      </c>
      <c r="C105" s="33" t="s">
        <v>21</v>
      </c>
      <c r="D105" s="62" t="s">
        <v>30</v>
      </c>
      <c r="E105" s="62" t="s">
        <v>261</v>
      </c>
      <c r="F105" s="27">
        <v>0</v>
      </c>
      <c r="G105" s="28">
        <f t="shared" si="21"/>
        <v>0</v>
      </c>
      <c r="H105" s="33"/>
      <c r="I105" s="33"/>
      <c r="J105" s="33"/>
      <c r="K105" s="29"/>
      <c r="L105" s="29"/>
      <c r="M105" s="35" t="str">
        <f t="shared" ca="1" si="22"/>
        <v/>
      </c>
      <c r="N105" s="27"/>
      <c r="O105" s="31"/>
    </row>
    <row r="106" spans="1:15" ht="15" customHeight="1">
      <c r="A106" s="69">
        <v>46207</v>
      </c>
      <c r="B106" s="32">
        <f t="shared" si="23"/>
        <v>1.25</v>
      </c>
      <c r="C106" s="33" t="s">
        <v>21</v>
      </c>
      <c r="D106" s="62" t="s">
        <v>30</v>
      </c>
      <c r="E106" s="62" t="s">
        <v>261</v>
      </c>
      <c r="F106" s="27">
        <v>0</v>
      </c>
      <c r="G106" s="34">
        <f t="shared" si="21"/>
        <v>0</v>
      </c>
      <c r="H106" s="26"/>
      <c r="I106" s="26"/>
      <c r="J106" s="26"/>
      <c r="K106" s="29"/>
      <c r="L106" s="29"/>
      <c r="M106" s="30" t="str">
        <f t="shared" ca="1" si="22"/>
        <v/>
      </c>
      <c r="N106" s="27"/>
      <c r="O106" s="31"/>
    </row>
    <row r="107" spans="1:15" ht="15" customHeight="1">
      <c r="A107" s="68">
        <v>46207</v>
      </c>
      <c r="B107" s="25">
        <f t="shared" si="23"/>
        <v>1.2916666666666667</v>
      </c>
      <c r="C107" s="33" t="s">
        <v>21</v>
      </c>
      <c r="D107" s="62" t="s">
        <v>30</v>
      </c>
      <c r="E107" s="62" t="s">
        <v>261</v>
      </c>
      <c r="F107" s="27">
        <v>0</v>
      </c>
      <c r="G107" s="28">
        <f t="shared" si="21"/>
        <v>0</v>
      </c>
      <c r="H107" s="33"/>
      <c r="I107" s="33"/>
      <c r="J107" s="33"/>
      <c r="K107" s="29"/>
      <c r="L107" s="29"/>
      <c r="M107" s="35" t="str">
        <f t="shared" ca="1" si="22"/>
        <v/>
      </c>
      <c r="N107" s="27"/>
      <c r="O107" s="31"/>
    </row>
    <row r="108" spans="1:15" ht="15.75" customHeight="1">
      <c r="A108" s="119" t="s">
        <v>238</v>
      </c>
      <c r="B108" s="120"/>
      <c r="C108" s="120"/>
      <c r="D108" s="120"/>
      <c r="E108" s="121">
        <f>SUM(E96:E107)</f>
        <v>0</v>
      </c>
      <c r="F108" s="36">
        <f>SUM(F96:F107)</f>
        <v>9</v>
      </c>
      <c r="G108" s="36">
        <f>SUM(G96:G107)</f>
        <v>37.799999999999997</v>
      </c>
      <c r="H108" s="37"/>
      <c r="I108" s="37"/>
      <c r="J108" s="37"/>
      <c r="K108" s="37"/>
      <c r="L108" s="37"/>
      <c r="M108" s="38">
        <f ca="1">IFERROR(SUM(M96:M107),"")</f>
        <v>0.4159722222222223</v>
      </c>
      <c r="N108" s="36" t="s">
        <v>237</v>
      </c>
      <c r="O108" s="39">
        <v>41230</v>
      </c>
    </row>
    <row r="109" spans="1:15" ht="18" customHeight="1">
      <c r="A109" s="122" t="s">
        <v>239</v>
      </c>
      <c r="B109" s="123"/>
      <c r="C109" s="123"/>
      <c r="D109" s="123"/>
      <c r="E109" s="124">
        <f>E95+E108</f>
        <v>0</v>
      </c>
      <c r="F109" s="40">
        <f>F95+F108</f>
        <v>98</v>
      </c>
      <c r="G109" s="40">
        <f>G95+G108</f>
        <v>482.8</v>
      </c>
      <c r="H109" s="41"/>
      <c r="I109" s="41"/>
      <c r="J109" s="41"/>
      <c r="K109" s="41"/>
      <c r="L109" s="41"/>
      <c r="M109" s="42">
        <f ca="1">IFERROR(M95+M108,"")</f>
        <v>0.61736111111111125</v>
      </c>
      <c r="N109" s="40" t="s">
        <v>240</v>
      </c>
      <c r="O109" s="43">
        <f>IFERROR(O95+O108,"")</f>
        <v>577520</v>
      </c>
    </row>
    <row r="110" spans="1:15" ht="15" customHeight="1">
      <c r="A110" s="68">
        <v>46208</v>
      </c>
      <c r="B110" s="25">
        <v>0.33333333333333298</v>
      </c>
      <c r="C110" s="26" t="s">
        <v>29</v>
      </c>
      <c r="D110" s="59" t="s">
        <v>30</v>
      </c>
      <c r="E110" s="59" t="s">
        <v>261</v>
      </c>
      <c r="F110" s="27">
        <v>0</v>
      </c>
      <c r="G110" s="28">
        <f t="shared" ref="G110:G121" si="24">IF(F110="","",IF(E110="PC 17",F110*4.2,IF(E110="PC 19",F110*5,"")))</f>
        <v>0</v>
      </c>
      <c r="H110" s="26" t="s">
        <v>18</v>
      </c>
      <c r="I110" s="26" t="s">
        <v>47</v>
      </c>
      <c r="J110" s="26" t="s">
        <v>34</v>
      </c>
      <c r="K110" s="29">
        <v>0.29166666666666669</v>
      </c>
      <c r="L110" s="29">
        <v>0.74305555555555558</v>
      </c>
      <c r="M110" s="30">
        <f t="shared" ref="M110:M121" ca="1" si="25">IFERROR(IF(K110="","",IF(L110="",MOD(NOW()-K110,1),IF(L110&gt;=K110,L110-K110,L110+1-K110))),"")</f>
        <v>0.4513888888888889</v>
      </c>
      <c r="N110" s="27"/>
      <c r="O110" s="31"/>
    </row>
    <row r="111" spans="1:15" ht="15" customHeight="1">
      <c r="A111" s="69">
        <v>46208</v>
      </c>
      <c r="B111" s="32">
        <f t="shared" ref="B111:B121" si="26">B110+TIME(0,60,0)</f>
        <v>0.37499999999999967</v>
      </c>
      <c r="C111" s="26" t="s">
        <v>29</v>
      </c>
      <c r="D111" s="59" t="s">
        <v>30</v>
      </c>
      <c r="E111" s="59" t="s">
        <v>261</v>
      </c>
      <c r="F111" s="27">
        <v>0</v>
      </c>
      <c r="G111" s="34">
        <f t="shared" si="24"/>
        <v>0</v>
      </c>
      <c r="H111" s="33"/>
      <c r="I111" s="33"/>
      <c r="J111" s="33"/>
      <c r="K111" s="29"/>
      <c r="L111" s="29"/>
      <c r="M111" s="35" t="str">
        <f t="shared" ca="1" si="25"/>
        <v/>
      </c>
      <c r="N111" s="27"/>
      <c r="O111" s="31"/>
    </row>
    <row r="112" spans="1:15" ht="15" customHeight="1">
      <c r="A112" s="68">
        <v>46208</v>
      </c>
      <c r="B112" s="25">
        <f t="shared" si="26"/>
        <v>0.41666666666666635</v>
      </c>
      <c r="C112" s="26" t="s">
        <v>29</v>
      </c>
      <c r="D112" s="59" t="s">
        <v>30</v>
      </c>
      <c r="E112" s="59" t="s">
        <v>261</v>
      </c>
      <c r="F112" s="27">
        <v>0</v>
      </c>
      <c r="G112" s="28">
        <f t="shared" si="24"/>
        <v>0</v>
      </c>
      <c r="H112" s="26"/>
      <c r="I112" s="26"/>
      <c r="J112" s="26"/>
      <c r="K112" s="29"/>
      <c r="L112" s="29"/>
      <c r="M112" s="30" t="str">
        <f t="shared" ca="1" si="25"/>
        <v/>
      </c>
      <c r="N112" s="27"/>
      <c r="O112" s="31"/>
    </row>
    <row r="113" spans="1:15" ht="15" customHeight="1">
      <c r="A113" s="69">
        <v>46208</v>
      </c>
      <c r="B113" s="32">
        <f t="shared" si="26"/>
        <v>0.45833333333333304</v>
      </c>
      <c r="C113" s="26" t="s">
        <v>29</v>
      </c>
      <c r="D113" s="59" t="s">
        <v>30</v>
      </c>
      <c r="E113" s="59" t="s">
        <v>261</v>
      </c>
      <c r="F113" s="27">
        <v>0</v>
      </c>
      <c r="G113" s="34">
        <f t="shared" si="24"/>
        <v>0</v>
      </c>
      <c r="H113" s="33"/>
      <c r="I113" s="33"/>
      <c r="J113" s="33"/>
      <c r="K113" s="29"/>
      <c r="L113" s="29"/>
      <c r="M113" s="35" t="str">
        <f t="shared" ca="1" si="25"/>
        <v/>
      </c>
      <c r="N113" s="27"/>
      <c r="O113" s="31"/>
    </row>
    <row r="114" spans="1:15" ht="15" customHeight="1">
      <c r="A114" s="68">
        <v>46208</v>
      </c>
      <c r="B114" s="25">
        <f t="shared" si="26"/>
        <v>0.49999999999999972</v>
      </c>
      <c r="C114" s="26" t="s">
        <v>29</v>
      </c>
      <c r="D114" s="59" t="s">
        <v>30</v>
      </c>
      <c r="E114" s="59" t="s">
        <v>261</v>
      </c>
      <c r="F114" s="27">
        <v>0</v>
      </c>
      <c r="G114" s="28">
        <f t="shared" si="24"/>
        <v>0</v>
      </c>
      <c r="H114" s="26"/>
      <c r="I114" s="26"/>
      <c r="J114" s="26"/>
      <c r="K114" s="29"/>
      <c r="L114" s="29"/>
      <c r="M114" s="30" t="str">
        <f t="shared" ca="1" si="25"/>
        <v/>
      </c>
      <c r="N114" s="27"/>
      <c r="O114" s="31"/>
    </row>
    <row r="115" spans="1:15" ht="15" customHeight="1">
      <c r="A115" s="69">
        <v>46208</v>
      </c>
      <c r="B115" s="32">
        <f t="shared" si="26"/>
        <v>0.54166666666666641</v>
      </c>
      <c r="C115" s="26" t="s">
        <v>29</v>
      </c>
      <c r="D115" s="59" t="s">
        <v>30</v>
      </c>
      <c r="E115" s="59" t="s">
        <v>261</v>
      </c>
      <c r="F115" s="27">
        <v>0</v>
      </c>
      <c r="G115" s="34">
        <f t="shared" si="24"/>
        <v>0</v>
      </c>
      <c r="H115" s="33"/>
      <c r="I115" s="33"/>
      <c r="J115" s="33"/>
      <c r="K115" s="29"/>
      <c r="L115" s="29"/>
      <c r="M115" s="35" t="str">
        <f t="shared" ca="1" si="25"/>
        <v/>
      </c>
      <c r="N115" s="27"/>
      <c r="O115" s="31"/>
    </row>
    <row r="116" spans="1:15" ht="15" customHeight="1">
      <c r="A116" s="68">
        <v>46208</v>
      </c>
      <c r="B116" s="25">
        <f t="shared" si="26"/>
        <v>0.58333333333333304</v>
      </c>
      <c r="C116" s="26" t="s">
        <v>29</v>
      </c>
      <c r="D116" s="59" t="s">
        <v>30</v>
      </c>
      <c r="E116" s="59" t="s">
        <v>261</v>
      </c>
      <c r="F116" s="27">
        <v>0</v>
      </c>
      <c r="G116" s="28">
        <f t="shared" si="24"/>
        <v>0</v>
      </c>
      <c r="H116" s="26"/>
      <c r="I116" s="26"/>
      <c r="J116" s="26"/>
      <c r="K116" s="29"/>
      <c r="L116" s="29"/>
      <c r="M116" s="30" t="str">
        <f t="shared" ca="1" si="25"/>
        <v/>
      </c>
      <c r="N116" s="27"/>
      <c r="O116" s="31"/>
    </row>
    <row r="117" spans="1:15" ht="15" customHeight="1">
      <c r="A117" s="69">
        <v>46208</v>
      </c>
      <c r="B117" s="32">
        <f t="shared" si="26"/>
        <v>0.62499999999999967</v>
      </c>
      <c r="C117" s="26" t="s">
        <v>29</v>
      </c>
      <c r="D117" s="59" t="s">
        <v>30</v>
      </c>
      <c r="E117" s="59" t="s">
        <v>261</v>
      </c>
      <c r="F117" s="27">
        <v>0</v>
      </c>
      <c r="G117" s="34">
        <f t="shared" si="24"/>
        <v>0</v>
      </c>
      <c r="H117" s="33"/>
      <c r="I117" s="33"/>
      <c r="J117" s="33"/>
      <c r="K117" s="29"/>
      <c r="L117" s="29"/>
      <c r="M117" s="35" t="str">
        <f t="shared" ca="1" si="25"/>
        <v/>
      </c>
      <c r="N117" s="27"/>
      <c r="O117" s="31"/>
    </row>
    <row r="118" spans="1:15" ht="15" customHeight="1">
      <c r="A118" s="68">
        <v>46208</v>
      </c>
      <c r="B118" s="25">
        <f t="shared" si="26"/>
        <v>0.6666666666666663</v>
      </c>
      <c r="C118" s="26" t="s">
        <v>29</v>
      </c>
      <c r="D118" s="59" t="s">
        <v>30</v>
      </c>
      <c r="E118" s="59" t="s">
        <v>261</v>
      </c>
      <c r="F118" s="27">
        <v>0</v>
      </c>
      <c r="G118" s="28">
        <f t="shared" si="24"/>
        <v>0</v>
      </c>
      <c r="H118" s="26"/>
      <c r="I118" s="26"/>
      <c r="J118" s="26"/>
      <c r="K118" s="29"/>
      <c r="L118" s="29"/>
      <c r="M118" s="30" t="str">
        <f t="shared" ca="1" si="25"/>
        <v/>
      </c>
      <c r="N118" s="27"/>
      <c r="O118" s="31"/>
    </row>
    <row r="119" spans="1:15" ht="15" customHeight="1">
      <c r="A119" s="69">
        <v>46208</v>
      </c>
      <c r="B119" s="32">
        <f t="shared" si="26"/>
        <v>0.70833333333333293</v>
      </c>
      <c r="C119" s="26" t="s">
        <v>29</v>
      </c>
      <c r="D119" s="59" t="s">
        <v>30</v>
      </c>
      <c r="E119" s="59" t="s">
        <v>261</v>
      </c>
      <c r="F119" s="27">
        <v>0</v>
      </c>
      <c r="G119" s="34">
        <f t="shared" si="24"/>
        <v>0</v>
      </c>
      <c r="H119" s="33"/>
      <c r="I119" s="33"/>
      <c r="J119" s="33"/>
      <c r="K119" s="29"/>
      <c r="L119" s="29"/>
      <c r="M119" s="35" t="str">
        <f t="shared" ca="1" si="25"/>
        <v/>
      </c>
      <c r="N119" s="27"/>
      <c r="O119" s="31"/>
    </row>
    <row r="120" spans="1:15" ht="15" customHeight="1">
      <c r="A120" s="68">
        <v>46208</v>
      </c>
      <c r="B120" s="25">
        <f t="shared" si="26"/>
        <v>0.74999999999999956</v>
      </c>
      <c r="C120" s="26" t="s">
        <v>29</v>
      </c>
      <c r="D120" s="59" t="s">
        <v>30</v>
      </c>
      <c r="E120" s="59" t="s">
        <v>261</v>
      </c>
      <c r="F120" s="27">
        <v>5</v>
      </c>
      <c r="G120" s="28">
        <f t="shared" si="24"/>
        <v>21</v>
      </c>
      <c r="H120" s="26"/>
      <c r="I120" s="26"/>
      <c r="J120" s="26"/>
      <c r="K120" s="29"/>
      <c r="L120" s="29"/>
      <c r="M120" s="30" t="str">
        <f t="shared" ca="1" si="25"/>
        <v/>
      </c>
      <c r="N120" s="27"/>
      <c r="O120" s="31"/>
    </row>
    <row r="121" spans="1:15" ht="15" customHeight="1">
      <c r="A121" s="69">
        <v>46208</v>
      </c>
      <c r="B121" s="32">
        <f t="shared" si="26"/>
        <v>0.79166666666666619</v>
      </c>
      <c r="C121" s="26" t="s">
        <v>29</v>
      </c>
      <c r="D121" s="59" t="s">
        <v>30</v>
      </c>
      <c r="E121" s="59" t="s">
        <v>261</v>
      </c>
      <c r="F121" s="27">
        <v>2</v>
      </c>
      <c r="G121" s="34">
        <f t="shared" si="24"/>
        <v>8.4</v>
      </c>
      <c r="H121" s="33"/>
      <c r="I121" s="33"/>
      <c r="J121" s="33"/>
      <c r="K121" s="29"/>
      <c r="L121" s="29"/>
      <c r="M121" s="35" t="str">
        <f t="shared" ca="1" si="25"/>
        <v/>
      </c>
      <c r="N121" s="27"/>
      <c r="O121" s="31"/>
    </row>
    <row r="122" spans="1:15" ht="15.75" customHeight="1">
      <c r="A122" s="119" t="s">
        <v>236</v>
      </c>
      <c r="B122" s="120"/>
      <c r="C122" s="120"/>
      <c r="D122" s="120"/>
      <c r="E122" s="121">
        <f>SUM(E110:E121)</f>
        <v>0</v>
      </c>
      <c r="F122" s="36">
        <f>SUM(F110:F121)</f>
        <v>7</v>
      </c>
      <c r="G122" s="36">
        <f>SUM(G110:G121)</f>
        <v>29.4</v>
      </c>
      <c r="H122" s="37"/>
      <c r="I122" s="37"/>
      <c r="J122" s="37"/>
      <c r="K122" s="37"/>
      <c r="L122" s="37"/>
      <c r="M122" s="38">
        <f ca="1">IFERROR(SUM(M110:M121),"")</f>
        <v>0.4513888888888889</v>
      </c>
      <c r="N122" s="36" t="s">
        <v>237</v>
      </c>
      <c r="O122" s="39">
        <v>51130</v>
      </c>
    </row>
    <row r="123" spans="1:15" ht="15" customHeight="1">
      <c r="A123" s="69">
        <v>46208</v>
      </c>
      <c r="B123" s="32">
        <v>0.83333333333333304</v>
      </c>
      <c r="C123" s="33" t="s">
        <v>21</v>
      </c>
      <c r="D123" s="62" t="s">
        <v>30</v>
      </c>
      <c r="E123" s="62" t="s">
        <v>234</v>
      </c>
      <c r="F123" s="27">
        <v>12</v>
      </c>
      <c r="G123" s="34">
        <f t="shared" ref="G123:G134" si="27">IF(F123="","",IF(E123="PC 17",F123*4.2,IF(E123="PC 19",F123*5,"")))</f>
        <v>60</v>
      </c>
      <c r="H123" s="33" t="s">
        <v>20</v>
      </c>
      <c r="I123" s="33" t="s">
        <v>47</v>
      </c>
      <c r="J123" s="33" t="s">
        <v>36</v>
      </c>
      <c r="K123" s="29">
        <v>6.1111111111111109E-2</v>
      </c>
      <c r="L123" s="29">
        <v>7.3611111111111113E-2</v>
      </c>
      <c r="M123" s="35">
        <f t="shared" ref="M123:M134" ca="1" si="28">IFERROR(IF(K123="","",IF(L123="",MOD(NOW()-K123,1),IF(L123&gt;=K123,L123-K123,L123+1-K123))),"")</f>
        <v>1.2500000000000004E-2</v>
      </c>
      <c r="N123" s="27"/>
      <c r="O123" s="31"/>
    </row>
    <row r="124" spans="1:15" ht="15" customHeight="1">
      <c r="A124" s="68">
        <v>46208</v>
      </c>
      <c r="B124" s="25">
        <f t="shared" ref="B124:B134" si="29">B123+TIME(0,60,0)</f>
        <v>0.87499999999999967</v>
      </c>
      <c r="C124" s="33" t="s">
        <v>21</v>
      </c>
      <c r="D124" s="62" t="s">
        <v>30</v>
      </c>
      <c r="E124" s="62" t="s">
        <v>234</v>
      </c>
      <c r="F124" s="27">
        <v>8</v>
      </c>
      <c r="G124" s="28">
        <f t="shared" si="27"/>
        <v>40</v>
      </c>
      <c r="H124" s="26" t="s">
        <v>20</v>
      </c>
      <c r="I124" s="26"/>
      <c r="J124" s="26" t="s">
        <v>192</v>
      </c>
      <c r="K124" s="29">
        <v>8.3333333333333329E-2</v>
      </c>
      <c r="L124" s="29">
        <v>0.1388888888888889</v>
      </c>
      <c r="M124" s="30">
        <f t="shared" ca="1" si="28"/>
        <v>5.5555555555555566E-2</v>
      </c>
      <c r="N124" s="27"/>
      <c r="O124" s="31"/>
    </row>
    <row r="125" spans="1:15" ht="15" customHeight="1">
      <c r="A125" s="69">
        <v>46208</v>
      </c>
      <c r="B125" s="32">
        <f t="shared" si="29"/>
        <v>0.9166666666666663</v>
      </c>
      <c r="C125" s="33" t="s">
        <v>21</v>
      </c>
      <c r="D125" s="62" t="s">
        <v>30</v>
      </c>
      <c r="E125" s="62" t="s">
        <v>234</v>
      </c>
      <c r="F125" s="27">
        <v>11</v>
      </c>
      <c r="G125" s="34">
        <f t="shared" si="27"/>
        <v>55</v>
      </c>
      <c r="H125" s="33"/>
      <c r="I125" s="33"/>
      <c r="J125" s="33"/>
      <c r="K125" s="29"/>
      <c r="L125" s="29"/>
      <c r="M125" s="35" t="str">
        <f t="shared" ca="1" si="28"/>
        <v/>
      </c>
      <c r="N125" s="27"/>
      <c r="O125" s="31"/>
    </row>
    <row r="126" spans="1:15" ht="15" customHeight="1">
      <c r="A126" s="68">
        <v>46208</v>
      </c>
      <c r="B126" s="25">
        <f t="shared" si="29"/>
        <v>0.95833333333333293</v>
      </c>
      <c r="C126" s="33" t="s">
        <v>21</v>
      </c>
      <c r="D126" s="62" t="s">
        <v>30</v>
      </c>
      <c r="E126" s="62" t="s">
        <v>234</v>
      </c>
      <c r="F126" s="27">
        <v>5</v>
      </c>
      <c r="G126" s="28">
        <f t="shared" si="27"/>
        <v>25</v>
      </c>
      <c r="H126" s="26"/>
      <c r="I126" s="26"/>
      <c r="J126" s="26"/>
      <c r="K126" s="29"/>
      <c r="L126" s="29"/>
      <c r="M126" s="30" t="str">
        <f t="shared" ca="1" si="28"/>
        <v/>
      </c>
      <c r="N126" s="27"/>
      <c r="O126" s="31"/>
    </row>
    <row r="127" spans="1:15" ht="15" customHeight="1">
      <c r="A127" s="69">
        <v>46208</v>
      </c>
      <c r="B127" s="32">
        <f t="shared" si="29"/>
        <v>0.99999999999999956</v>
      </c>
      <c r="C127" s="33" t="s">
        <v>21</v>
      </c>
      <c r="D127" s="62" t="s">
        <v>30</v>
      </c>
      <c r="E127" s="62" t="s">
        <v>234</v>
      </c>
      <c r="F127" s="27">
        <v>4</v>
      </c>
      <c r="G127" s="34">
        <f t="shared" si="27"/>
        <v>20</v>
      </c>
      <c r="H127" s="33"/>
      <c r="I127" s="33"/>
      <c r="J127" s="33"/>
      <c r="K127" s="29"/>
      <c r="L127" s="29"/>
      <c r="M127" s="35" t="str">
        <f t="shared" ca="1" si="28"/>
        <v/>
      </c>
      <c r="N127" s="27"/>
      <c r="O127" s="31"/>
    </row>
    <row r="128" spans="1:15" ht="15" customHeight="1">
      <c r="A128" s="68">
        <v>46208</v>
      </c>
      <c r="B128" s="25">
        <f t="shared" si="29"/>
        <v>1.0416666666666663</v>
      </c>
      <c r="C128" s="33" t="s">
        <v>21</v>
      </c>
      <c r="D128" s="62" t="s">
        <v>30</v>
      </c>
      <c r="E128" s="62" t="s">
        <v>234</v>
      </c>
      <c r="F128" s="27">
        <v>4</v>
      </c>
      <c r="G128" s="28">
        <f t="shared" si="27"/>
        <v>20</v>
      </c>
      <c r="H128" s="26"/>
      <c r="I128" s="26"/>
      <c r="J128" s="26"/>
      <c r="K128" s="29"/>
      <c r="L128" s="29"/>
      <c r="M128" s="30" t="str">
        <f t="shared" ca="1" si="28"/>
        <v/>
      </c>
      <c r="N128" s="27"/>
      <c r="O128" s="31"/>
    </row>
    <row r="129" spans="1:15" ht="15" customHeight="1">
      <c r="A129" s="69">
        <v>46208</v>
      </c>
      <c r="B129" s="32">
        <f t="shared" si="29"/>
        <v>1.083333333333333</v>
      </c>
      <c r="C129" s="33" t="s">
        <v>21</v>
      </c>
      <c r="D129" s="62" t="s">
        <v>30</v>
      </c>
      <c r="E129" s="62" t="s">
        <v>234</v>
      </c>
      <c r="F129" s="27">
        <v>1</v>
      </c>
      <c r="G129" s="34">
        <f t="shared" si="27"/>
        <v>5</v>
      </c>
      <c r="H129" s="33"/>
      <c r="I129" s="33"/>
      <c r="J129" s="33"/>
      <c r="K129" s="29"/>
      <c r="L129" s="29"/>
      <c r="M129" s="35" t="str">
        <f t="shared" ca="1" si="28"/>
        <v/>
      </c>
      <c r="N129" s="27" t="s">
        <v>290</v>
      </c>
      <c r="O129" s="31"/>
    </row>
    <row r="130" spans="1:15" ht="15" customHeight="1">
      <c r="A130" s="68">
        <v>46208</v>
      </c>
      <c r="B130" s="25">
        <f t="shared" si="29"/>
        <v>1.1249999999999998</v>
      </c>
      <c r="C130" s="33" t="s">
        <v>21</v>
      </c>
      <c r="D130" s="62" t="s">
        <v>30</v>
      </c>
      <c r="E130" s="62" t="s">
        <v>234</v>
      </c>
      <c r="F130" s="27"/>
      <c r="G130" s="28" t="str">
        <f t="shared" si="27"/>
        <v/>
      </c>
      <c r="H130" s="26"/>
      <c r="I130" s="26"/>
      <c r="J130" s="26"/>
      <c r="K130" s="29"/>
      <c r="L130" s="29"/>
      <c r="M130" s="30" t="str">
        <f t="shared" ca="1" si="28"/>
        <v/>
      </c>
      <c r="N130" s="27"/>
      <c r="O130" s="31"/>
    </row>
    <row r="131" spans="1:15" ht="15" customHeight="1">
      <c r="A131" s="69">
        <v>46208</v>
      </c>
      <c r="B131" s="32">
        <f t="shared" si="29"/>
        <v>1.1666666666666665</v>
      </c>
      <c r="C131" s="33" t="s">
        <v>21</v>
      </c>
      <c r="D131" s="62" t="s">
        <v>30</v>
      </c>
      <c r="E131" s="62" t="s">
        <v>234</v>
      </c>
      <c r="F131" s="27"/>
      <c r="G131" s="34" t="str">
        <f t="shared" si="27"/>
        <v/>
      </c>
      <c r="H131" s="33"/>
      <c r="I131" s="33"/>
      <c r="J131" s="33"/>
      <c r="K131" s="29"/>
      <c r="L131" s="29"/>
      <c r="M131" s="35" t="str">
        <f t="shared" ca="1" si="28"/>
        <v/>
      </c>
      <c r="N131" s="27"/>
      <c r="O131" s="31"/>
    </row>
    <row r="132" spans="1:15" ht="15" customHeight="1">
      <c r="A132" s="68">
        <v>46208</v>
      </c>
      <c r="B132" s="25">
        <f t="shared" si="29"/>
        <v>1.2083333333333333</v>
      </c>
      <c r="C132" s="33" t="s">
        <v>21</v>
      </c>
      <c r="D132" s="62" t="s">
        <v>30</v>
      </c>
      <c r="E132" s="62" t="s">
        <v>234</v>
      </c>
      <c r="F132" s="27"/>
      <c r="G132" s="28" t="str">
        <f t="shared" si="27"/>
        <v/>
      </c>
      <c r="H132" s="26"/>
      <c r="I132" s="26"/>
      <c r="J132" s="26"/>
      <c r="K132" s="29"/>
      <c r="L132" s="29"/>
      <c r="M132" s="30" t="str">
        <f t="shared" ca="1" si="28"/>
        <v/>
      </c>
      <c r="N132" s="27"/>
      <c r="O132" s="31"/>
    </row>
    <row r="133" spans="1:15" ht="15" customHeight="1">
      <c r="A133" s="69">
        <v>46208</v>
      </c>
      <c r="B133" s="32">
        <f t="shared" si="29"/>
        <v>1.25</v>
      </c>
      <c r="C133" s="33" t="s">
        <v>21</v>
      </c>
      <c r="D133" s="62" t="s">
        <v>30</v>
      </c>
      <c r="E133" s="62" t="s">
        <v>234</v>
      </c>
      <c r="F133" s="27"/>
      <c r="G133" s="34" t="str">
        <f t="shared" si="27"/>
        <v/>
      </c>
      <c r="H133" s="33"/>
      <c r="I133" s="33"/>
      <c r="J133" s="33"/>
      <c r="K133" s="29"/>
      <c r="L133" s="29"/>
      <c r="M133" s="35" t="str">
        <f t="shared" ca="1" si="28"/>
        <v/>
      </c>
      <c r="N133" s="27"/>
      <c r="O133" s="31"/>
    </row>
    <row r="134" spans="1:15" ht="15" customHeight="1">
      <c r="A134" s="68">
        <v>46208</v>
      </c>
      <c r="B134" s="25">
        <f t="shared" si="29"/>
        <v>1.2916666666666667</v>
      </c>
      <c r="C134" s="33" t="s">
        <v>21</v>
      </c>
      <c r="D134" s="62" t="s">
        <v>30</v>
      </c>
      <c r="E134" s="62" t="s">
        <v>234</v>
      </c>
      <c r="F134" s="27"/>
      <c r="G134" s="28" t="str">
        <f t="shared" si="27"/>
        <v/>
      </c>
      <c r="H134" s="26"/>
      <c r="I134" s="26"/>
      <c r="J134" s="26"/>
      <c r="K134" s="29"/>
      <c r="L134" s="29"/>
      <c r="M134" s="30" t="str">
        <f t="shared" ca="1" si="28"/>
        <v/>
      </c>
      <c r="N134" s="27"/>
      <c r="O134" s="31"/>
    </row>
    <row r="135" spans="1:15" ht="15.75" customHeight="1">
      <c r="A135" s="119" t="s">
        <v>238</v>
      </c>
      <c r="B135" s="120"/>
      <c r="C135" s="120"/>
      <c r="D135" s="120"/>
      <c r="E135" s="121">
        <f>SUM(E123:E134)</f>
        <v>0</v>
      </c>
      <c r="F135" s="36">
        <f>SUM(F123:F134)</f>
        <v>45</v>
      </c>
      <c r="G135" s="36">
        <f>SUM(G123:G134)</f>
        <v>225</v>
      </c>
      <c r="H135" s="37"/>
      <c r="I135" s="37"/>
      <c r="J135" s="37"/>
      <c r="K135" s="37"/>
      <c r="L135" s="37"/>
      <c r="M135" s="38">
        <f ca="1">IFERROR(SUM(M123:M134),"")</f>
        <v>6.8055555555555564E-2</v>
      </c>
      <c r="N135" s="36" t="s">
        <v>237</v>
      </c>
      <c r="O135" s="39">
        <v>381250</v>
      </c>
    </row>
    <row r="136" spans="1:15" ht="18" customHeight="1">
      <c r="A136" s="122" t="s">
        <v>239</v>
      </c>
      <c r="B136" s="123"/>
      <c r="C136" s="123"/>
      <c r="D136" s="123"/>
      <c r="E136" s="124">
        <f>E122+E135</f>
        <v>0</v>
      </c>
      <c r="F136" s="40">
        <f>F122+F135</f>
        <v>52</v>
      </c>
      <c r="G136" s="40">
        <f>G122+G135</f>
        <v>254.4</v>
      </c>
      <c r="H136" s="41"/>
      <c r="I136" s="41"/>
      <c r="J136" s="41"/>
      <c r="K136" s="41"/>
      <c r="L136" s="41"/>
      <c r="M136" s="42">
        <f ca="1">IFERROR(M122+M135,"")</f>
        <v>0.51944444444444449</v>
      </c>
      <c r="N136" s="40" t="s">
        <v>240</v>
      </c>
      <c r="O136" s="43">
        <f>IFERROR(O122+O135,"")</f>
        <v>432380</v>
      </c>
    </row>
    <row r="137" spans="1:15" ht="15" customHeight="1">
      <c r="A137" s="69">
        <v>46209</v>
      </c>
      <c r="B137" s="32">
        <v>0.33333333333333298</v>
      </c>
      <c r="C137" s="33" t="s">
        <v>29</v>
      </c>
      <c r="D137" s="62" t="s">
        <v>30</v>
      </c>
      <c r="E137" s="62" t="s">
        <v>234</v>
      </c>
      <c r="F137" s="27">
        <v>18</v>
      </c>
      <c r="G137" s="34">
        <f t="shared" ref="G137:G148" si="30">IF(F137="","",IF(E137="PC 17",F137*4.2,IF(E137="PC 19",F137*5,"")))</f>
        <v>90</v>
      </c>
      <c r="H137" s="33" t="s">
        <v>20</v>
      </c>
      <c r="I137" s="33" t="s">
        <v>47</v>
      </c>
      <c r="J137" s="33" t="s">
        <v>28</v>
      </c>
      <c r="K137" s="29">
        <v>0.3298611111111111</v>
      </c>
      <c r="L137" s="29">
        <v>0.33194444444444443</v>
      </c>
      <c r="M137" s="35">
        <f t="shared" ref="M137:M148" ca="1" si="31">IFERROR(IF(K137="","",IF(L137="",MOD(NOW()-K137,1),IF(L137&gt;=K137,L137-K137,L137+1-K137))),"")</f>
        <v>2.0833333333333259E-3</v>
      </c>
      <c r="N137" s="27"/>
      <c r="O137" s="31"/>
    </row>
    <row r="138" spans="1:15" ht="15" customHeight="1">
      <c r="A138" s="68">
        <v>46209</v>
      </c>
      <c r="B138" s="25">
        <f t="shared" ref="B138:B148" si="32">B137+TIME(0,60,0)</f>
        <v>0.37499999999999967</v>
      </c>
      <c r="C138" s="33" t="s">
        <v>29</v>
      </c>
      <c r="D138" s="62" t="s">
        <v>30</v>
      </c>
      <c r="E138" s="62" t="s">
        <v>234</v>
      </c>
      <c r="F138" s="27">
        <v>18</v>
      </c>
      <c r="G138" s="28">
        <f t="shared" si="30"/>
        <v>90</v>
      </c>
      <c r="H138" s="26" t="s">
        <v>20</v>
      </c>
      <c r="I138" s="26" t="s">
        <v>47</v>
      </c>
      <c r="J138" s="26" t="s">
        <v>354</v>
      </c>
      <c r="K138" s="29">
        <v>0.44166666666666665</v>
      </c>
      <c r="L138" s="29">
        <v>0.45624999999999999</v>
      </c>
      <c r="M138" s="30">
        <f t="shared" ca="1" si="31"/>
        <v>1.4583333333333337E-2</v>
      </c>
      <c r="N138" s="27"/>
      <c r="O138" s="31"/>
    </row>
    <row r="139" spans="1:15" ht="15" customHeight="1">
      <c r="A139" s="69">
        <v>46209</v>
      </c>
      <c r="B139" s="32">
        <f t="shared" si="32"/>
        <v>0.41666666666666635</v>
      </c>
      <c r="C139" s="33" t="s">
        <v>29</v>
      </c>
      <c r="D139" s="62" t="s">
        <v>30</v>
      </c>
      <c r="E139" s="62" t="s">
        <v>234</v>
      </c>
      <c r="F139" s="27">
        <v>20</v>
      </c>
      <c r="G139" s="34">
        <f t="shared" si="30"/>
        <v>100</v>
      </c>
      <c r="H139" s="33" t="s">
        <v>20</v>
      </c>
      <c r="I139" s="33" t="s">
        <v>47</v>
      </c>
      <c r="J139" s="33" t="s">
        <v>28</v>
      </c>
      <c r="K139" s="29">
        <v>0.47499999999999998</v>
      </c>
      <c r="L139" s="29">
        <v>0.49375000000000002</v>
      </c>
      <c r="M139" s="35">
        <f t="shared" ca="1" si="31"/>
        <v>1.8750000000000044E-2</v>
      </c>
      <c r="N139" s="27"/>
      <c r="O139" s="31"/>
    </row>
    <row r="140" spans="1:15" ht="15" customHeight="1">
      <c r="A140" s="68">
        <v>46209</v>
      </c>
      <c r="B140" s="25">
        <f t="shared" si="32"/>
        <v>0.45833333333333304</v>
      </c>
      <c r="C140" s="33" t="s">
        <v>29</v>
      </c>
      <c r="D140" s="62" t="s">
        <v>30</v>
      </c>
      <c r="E140" s="62" t="s">
        <v>234</v>
      </c>
      <c r="F140" s="27">
        <v>12</v>
      </c>
      <c r="G140" s="28">
        <f t="shared" si="30"/>
        <v>60</v>
      </c>
      <c r="H140" s="26" t="s">
        <v>19</v>
      </c>
      <c r="I140" s="26" t="s">
        <v>47</v>
      </c>
      <c r="J140" s="26" t="s">
        <v>27</v>
      </c>
      <c r="K140" s="29">
        <v>0.71597222222222223</v>
      </c>
      <c r="L140" s="29">
        <v>0.73611111111111116</v>
      </c>
      <c r="M140" s="30">
        <f t="shared" ca="1" si="31"/>
        <v>2.0138888888888928E-2</v>
      </c>
      <c r="N140" s="27"/>
      <c r="O140" s="31"/>
    </row>
    <row r="141" spans="1:15" ht="15" customHeight="1">
      <c r="A141" s="69">
        <v>46209</v>
      </c>
      <c r="B141" s="32">
        <f t="shared" si="32"/>
        <v>0.49999999999999972</v>
      </c>
      <c r="C141" s="33" t="s">
        <v>29</v>
      </c>
      <c r="D141" s="62" t="s">
        <v>30</v>
      </c>
      <c r="E141" s="62" t="s">
        <v>234</v>
      </c>
      <c r="F141" s="27">
        <v>6</v>
      </c>
      <c r="G141" s="34">
        <f t="shared" si="30"/>
        <v>30</v>
      </c>
      <c r="H141" s="33" t="s">
        <v>16</v>
      </c>
      <c r="I141" s="33"/>
      <c r="J141" s="33" t="s">
        <v>292</v>
      </c>
      <c r="K141" s="29">
        <v>0.71597222222222223</v>
      </c>
      <c r="L141" s="29" t="s">
        <v>355</v>
      </c>
      <c r="M141" s="35" t="str">
        <f t="shared" ca="1" si="31"/>
        <v/>
      </c>
      <c r="N141" s="27"/>
      <c r="O141" s="31"/>
    </row>
    <row r="142" spans="1:15" ht="15" customHeight="1">
      <c r="A142" s="68">
        <v>46209</v>
      </c>
      <c r="B142" s="25">
        <f t="shared" si="32"/>
        <v>0.54166666666666641</v>
      </c>
      <c r="C142" s="33" t="s">
        <v>29</v>
      </c>
      <c r="D142" s="62" t="s">
        <v>30</v>
      </c>
      <c r="E142" s="62" t="s">
        <v>234</v>
      </c>
      <c r="F142" s="27">
        <v>7</v>
      </c>
      <c r="G142" s="28">
        <f t="shared" si="30"/>
        <v>35</v>
      </c>
      <c r="H142" s="26"/>
      <c r="I142" s="26"/>
      <c r="J142" s="26"/>
      <c r="K142" s="29"/>
      <c r="L142" s="29"/>
      <c r="M142" s="30" t="str">
        <f t="shared" ca="1" si="31"/>
        <v/>
      </c>
      <c r="N142" s="27"/>
      <c r="O142" s="31"/>
    </row>
    <row r="143" spans="1:15" ht="15" customHeight="1">
      <c r="A143" s="69">
        <v>46209</v>
      </c>
      <c r="B143" s="32">
        <f t="shared" si="32"/>
        <v>0.58333333333333304</v>
      </c>
      <c r="C143" s="33" t="s">
        <v>29</v>
      </c>
      <c r="D143" s="62" t="s">
        <v>30</v>
      </c>
      <c r="E143" s="62" t="s">
        <v>234</v>
      </c>
      <c r="F143" s="27">
        <v>10</v>
      </c>
      <c r="G143" s="34">
        <f t="shared" si="30"/>
        <v>50</v>
      </c>
      <c r="H143" s="33"/>
      <c r="I143" s="33"/>
      <c r="J143" s="33"/>
      <c r="K143" s="29"/>
      <c r="L143" s="29"/>
      <c r="M143" s="35" t="str">
        <f t="shared" ca="1" si="31"/>
        <v/>
      </c>
      <c r="N143" s="27"/>
      <c r="O143" s="31"/>
    </row>
    <row r="144" spans="1:15" ht="15" customHeight="1">
      <c r="A144" s="68">
        <v>46209</v>
      </c>
      <c r="B144" s="25">
        <f t="shared" si="32"/>
        <v>0.62499999999999967</v>
      </c>
      <c r="C144" s="33" t="s">
        <v>29</v>
      </c>
      <c r="D144" s="62" t="s">
        <v>38</v>
      </c>
      <c r="E144" s="62" t="s">
        <v>234</v>
      </c>
      <c r="F144" s="27">
        <v>10</v>
      </c>
      <c r="G144" s="28">
        <f t="shared" si="30"/>
        <v>50</v>
      </c>
      <c r="H144" s="26"/>
      <c r="I144" s="26"/>
      <c r="J144" s="26"/>
      <c r="K144" s="29"/>
      <c r="L144" s="29"/>
      <c r="M144" s="30" t="str">
        <f t="shared" ca="1" si="31"/>
        <v/>
      </c>
      <c r="N144" s="27"/>
      <c r="O144" s="31"/>
    </row>
    <row r="145" spans="1:15" ht="15" customHeight="1">
      <c r="A145" s="69">
        <v>46209</v>
      </c>
      <c r="B145" s="32">
        <f t="shared" si="32"/>
        <v>0.6666666666666663</v>
      </c>
      <c r="C145" s="33" t="s">
        <v>29</v>
      </c>
      <c r="D145" s="62" t="s">
        <v>38</v>
      </c>
      <c r="E145" s="62" t="s">
        <v>234</v>
      </c>
      <c r="F145" s="27">
        <v>2</v>
      </c>
      <c r="G145" s="34">
        <f t="shared" si="30"/>
        <v>10</v>
      </c>
      <c r="H145" s="33"/>
      <c r="I145" s="33"/>
      <c r="J145" s="33"/>
      <c r="K145" s="29"/>
      <c r="L145" s="29"/>
      <c r="M145" s="35" t="str">
        <f t="shared" ca="1" si="31"/>
        <v/>
      </c>
      <c r="N145" s="27"/>
      <c r="O145" s="31"/>
    </row>
    <row r="146" spans="1:15" ht="15" customHeight="1">
      <c r="A146" s="68">
        <v>46209</v>
      </c>
      <c r="B146" s="25">
        <f t="shared" si="32"/>
        <v>0.70833333333333293</v>
      </c>
      <c r="C146" s="33" t="s">
        <v>29</v>
      </c>
      <c r="D146" s="62" t="s">
        <v>38</v>
      </c>
      <c r="E146" s="62" t="s">
        <v>234</v>
      </c>
      <c r="F146" s="27">
        <v>10</v>
      </c>
      <c r="G146" s="28">
        <f t="shared" si="30"/>
        <v>50</v>
      </c>
      <c r="H146" s="26"/>
      <c r="I146" s="26"/>
      <c r="J146" s="26"/>
      <c r="K146" s="29"/>
      <c r="L146" s="29"/>
      <c r="M146" s="30" t="str">
        <f t="shared" ca="1" si="31"/>
        <v/>
      </c>
      <c r="N146" s="27"/>
      <c r="O146" s="31"/>
    </row>
    <row r="147" spans="1:15" ht="15" customHeight="1">
      <c r="A147" s="69">
        <v>46209</v>
      </c>
      <c r="B147" s="32">
        <f t="shared" si="32"/>
        <v>0.74999999999999956</v>
      </c>
      <c r="C147" s="33" t="s">
        <v>29</v>
      </c>
      <c r="D147" s="62" t="s">
        <v>38</v>
      </c>
      <c r="E147" s="62" t="s">
        <v>234</v>
      </c>
      <c r="F147" s="27">
        <v>0</v>
      </c>
      <c r="G147" s="34">
        <f t="shared" si="30"/>
        <v>0</v>
      </c>
      <c r="H147" s="33"/>
      <c r="I147" s="33"/>
      <c r="J147" s="33"/>
      <c r="K147" s="29"/>
      <c r="L147" s="29"/>
      <c r="M147" s="35" t="str">
        <f t="shared" ca="1" si="31"/>
        <v/>
      </c>
      <c r="N147" s="27"/>
      <c r="O147" s="31"/>
    </row>
    <row r="148" spans="1:15" ht="15" customHeight="1">
      <c r="A148" s="68">
        <v>46209</v>
      </c>
      <c r="B148" s="25">
        <f t="shared" si="32"/>
        <v>0.79166666666666619</v>
      </c>
      <c r="C148" s="33" t="s">
        <v>29</v>
      </c>
      <c r="D148" s="62" t="s">
        <v>38</v>
      </c>
      <c r="E148" s="62" t="s">
        <v>234</v>
      </c>
      <c r="F148" s="27">
        <v>5</v>
      </c>
      <c r="G148" s="28">
        <f t="shared" si="30"/>
        <v>25</v>
      </c>
      <c r="H148" s="26"/>
      <c r="I148" s="26"/>
      <c r="J148" s="26"/>
      <c r="K148" s="29"/>
      <c r="L148" s="29"/>
      <c r="M148" s="30" t="str">
        <f t="shared" ca="1" si="31"/>
        <v/>
      </c>
      <c r="N148" s="27"/>
      <c r="O148" s="31"/>
    </row>
    <row r="149" spans="1:15" ht="15.75" customHeight="1">
      <c r="A149" s="119" t="s">
        <v>236</v>
      </c>
      <c r="B149" s="120"/>
      <c r="C149" s="120"/>
      <c r="D149" s="120"/>
      <c r="E149" s="121">
        <f>SUM(E137:E148)</f>
        <v>0</v>
      </c>
      <c r="F149" s="36">
        <f>SUM(F137:F148)</f>
        <v>118</v>
      </c>
      <c r="G149" s="36">
        <f>SUM(G137:G148)</f>
        <v>590</v>
      </c>
      <c r="H149" s="37"/>
      <c r="I149" s="37"/>
      <c r="J149" s="37"/>
      <c r="K149" s="37"/>
      <c r="L149" s="37"/>
      <c r="M149" s="38">
        <f ca="1">IFERROR(SUM(M137:M148),"")</f>
        <v>5.5555555555555636E-2</v>
      </c>
      <c r="N149" s="36" t="s">
        <v>237</v>
      </c>
      <c r="O149" s="39">
        <v>584680</v>
      </c>
    </row>
    <row r="150" spans="1:15" ht="15" customHeight="1">
      <c r="A150" s="68">
        <v>46209</v>
      </c>
      <c r="B150" s="25">
        <v>0.83333333333333304</v>
      </c>
      <c r="C150" s="26" t="s">
        <v>21</v>
      </c>
      <c r="D150" s="59" t="s">
        <v>30</v>
      </c>
      <c r="E150" s="59" t="s">
        <v>234</v>
      </c>
      <c r="F150" s="27">
        <v>8</v>
      </c>
      <c r="G150" s="28">
        <f t="shared" ref="G150:G161" si="33">IF(F150="","",IF(E150="PC 17",F150*4.2,IF(E150="PC 19",F150*5,"")))</f>
        <v>40</v>
      </c>
      <c r="H150" s="26" t="s">
        <v>20</v>
      </c>
      <c r="I150" s="26" t="s">
        <v>47</v>
      </c>
      <c r="J150" s="26" t="s">
        <v>56</v>
      </c>
      <c r="K150" s="29">
        <v>6.25E-2</v>
      </c>
      <c r="L150" s="29">
        <v>7.6388888888888895E-2</v>
      </c>
      <c r="M150" s="30">
        <f t="shared" ref="M150:M161" ca="1" si="34">IFERROR(IF(K150="","",IF(L150="",MOD(NOW()-K150,1),IF(L150&gt;=K150,L150-K150,L150+1-K150))),"")</f>
        <v>1.3888888888888895E-2</v>
      </c>
      <c r="N150" s="27" t="s">
        <v>356</v>
      </c>
      <c r="O150" s="31"/>
    </row>
    <row r="151" spans="1:15" ht="15" customHeight="1">
      <c r="A151" s="69">
        <v>46209</v>
      </c>
      <c r="B151" s="32">
        <f t="shared" ref="B151:B161" si="35">B150+TIME(0,60,0)</f>
        <v>0.87499999999999967</v>
      </c>
      <c r="C151" s="26" t="s">
        <v>21</v>
      </c>
      <c r="D151" s="59" t="s">
        <v>30</v>
      </c>
      <c r="E151" s="59" t="s">
        <v>234</v>
      </c>
      <c r="F151" s="27">
        <v>10</v>
      </c>
      <c r="G151" s="34">
        <f t="shared" si="33"/>
        <v>50</v>
      </c>
      <c r="H151" s="33"/>
      <c r="I151" s="33"/>
      <c r="J151" s="33"/>
      <c r="K151" s="29"/>
      <c r="L151" s="29"/>
      <c r="M151" s="35" t="str">
        <f t="shared" ca="1" si="34"/>
        <v/>
      </c>
      <c r="N151" s="27"/>
      <c r="O151" s="31"/>
    </row>
    <row r="152" spans="1:15" ht="15" customHeight="1">
      <c r="A152" s="68">
        <v>46209</v>
      </c>
      <c r="B152" s="25">
        <f t="shared" si="35"/>
        <v>0.9166666666666663</v>
      </c>
      <c r="C152" s="26" t="s">
        <v>21</v>
      </c>
      <c r="D152" s="59" t="s">
        <v>30</v>
      </c>
      <c r="E152" s="59" t="s">
        <v>261</v>
      </c>
      <c r="F152" s="27">
        <v>8</v>
      </c>
      <c r="G152" s="28">
        <f t="shared" si="33"/>
        <v>33.6</v>
      </c>
      <c r="H152" s="26"/>
      <c r="I152" s="26"/>
      <c r="J152" s="26"/>
      <c r="K152" s="29"/>
      <c r="L152" s="29"/>
      <c r="M152" s="30" t="str">
        <f t="shared" ca="1" si="34"/>
        <v/>
      </c>
      <c r="N152" s="46" t="s">
        <v>294</v>
      </c>
      <c r="O152" s="31"/>
    </row>
    <row r="153" spans="1:15" ht="15" customHeight="1">
      <c r="A153" s="69">
        <v>46209</v>
      </c>
      <c r="B153" s="32">
        <f t="shared" si="35"/>
        <v>0.95833333333333293</v>
      </c>
      <c r="C153" s="26" t="s">
        <v>21</v>
      </c>
      <c r="D153" s="59" t="s">
        <v>30</v>
      </c>
      <c r="E153" s="59" t="s">
        <v>261</v>
      </c>
      <c r="F153" s="27">
        <v>17</v>
      </c>
      <c r="G153" s="34">
        <f t="shared" si="33"/>
        <v>71.400000000000006</v>
      </c>
      <c r="H153" s="33"/>
      <c r="I153" s="33"/>
      <c r="J153" s="33"/>
      <c r="K153" s="29"/>
      <c r="L153" s="29"/>
      <c r="M153" s="35" t="str">
        <f t="shared" ca="1" si="34"/>
        <v/>
      </c>
      <c r="N153" s="27"/>
      <c r="O153" s="31"/>
    </row>
    <row r="154" spans="1:15" ht="15" customHeight="1">
      <c r="A154" s="68">
        <v>46209</v>
      </c>
      <c r="B154" s="25">
        <f t="shared" si="35"/>
        <v>0.99999999999999956</v>
      </c>
      <c r="C154" s="26" t="s">
        <v>21</v>
      </c>
      <c r="D154" s="59" t="s">
        <v>30</v>
      </c>
      <c r="E154" s="59" t="s">
        <v>261</v>
      </c>
      <c r="F154" s="27">
        <v>4</v>
      </c>
      <c r="G154" s="28">
        <f t="shared" si="33"/>
        <v>16.8</v>
      </c>
      <c r="H154" s="26"/>
      <c r="I154" s="26"/>
      <c r="J154" s="26"/>
      <c r="K154" s="29"/>
      <c r="L154" s="29"/>
      <c r="M154" s="30" t="str">
        <f t="shared" ca="1" si="34"/>
        <v/>
      </c>
      <c r="N154" s="27"/>
      <c r="O154" s="31"/>
    </row>
    <row r="155" spans="1:15" ht="15" customHeight="1">
      <c r="A155" s="69">
        <v>46209</v>
      </c>
      <c r="B155" s="32">
        <f t="shared" si="35"/>
        <v>1.0416666666666663</v>
      </c>
      <c r="C155" s="26" t="s">
        <v>21</v>
      </c>
      <c r="D155" s="59" t="s">
        <v>30</v>
      </c>
      <c r="E155" s="59" t="s">
        <v>261</v>
      </c>
      <c r="F155" s="27">
        <v>9</v>
      </c>
      <c r="G155" s="34">
        <f t="shared" si="33"/>
        <v>37.800000000000004</v>
      </c>
      <c r="H155" s="33"/>
      <c r="I155" s="33"/>
      <c r="J155" s="33"/>
      <c r="K155" s="29"/>
      <c r="L155" s="29"/>
      <c r="M155" s="35" t="str">
        <f t="shared" ca="1" si="34"/>
        <v/>
      </c>
      <c r="N155" s="27"/>
      <c r="O155" s="31"/>
    </row>
    <row r="156" spans="1:15" ht="15" customHeight="1">
      <c r="A156" s="68">
        <v>46209</v>
      </c>
      <c r="B156" s="25">
        <f t="shared" si="35"/>
        <v>1.083333333333333</v>
      </c>
      <c r="C156" s="26" t="s">
        <v>21</v>
      </c>
      <c r="D156" s="59" t="s">
        <v>30</v>
      </c>
      <c r="E156" s="59" t="s">
        <v>261</v>
      </c>
      <c r="F156" s="27">
        <v>12</v>
      </c>
      <c r="G156" s="28">
        <f t="shared" si="33"/>
        <v>50.400000000000006</v>
      </c>
      <c r="H156" s="26"/>
      <c r="I156" s="26"/>
      <c r="J156" s="26"/>
      <c r="K156" s="29"/>
      <c r="L156" s="29"/>
      <c r="M156" s="30" t="str">
        <f t="shared" ca="1" si="34"/>
        <v/>
      </c>
      <c r="N156" s="27"/>
      <c r="O156" s="31"/>
    </row>
    <row r="157" spans="1:15" ht="15" customHeight="1">
      <c r="A157" s="69">
        <v>46209</v>
      </c>
      <c r="B157" s="32">
        <f t="shared" si="35"/>
        <v>1.1249999999999998</v>
      </c>
      <c r="C157" s="26" t="s">
        <v>21</v>
      </c>
      <c r="D157" s="59" t="s">
        <v>30</v>
      </c>
      <c r="E157" s="59" t="s">
        <v>261</v>
      </c>
      <c r="F157" s="27">
        <v>6</v>
      </c>
      <c r="G157" s="34">
        <f t="shared" si="33"/>
        <v>25.200000000000003</v>
      </c>
      <c r="H157" s="33"/>
      <c r="I157" s="33"/>
      <c r="J157" s="33"/>
      <c r="K157" s="29"/>
      <c r="L157" s="29"/>
      <c r="M157" s="35" t="str">
        <f t="shared" ca="1" si="34"/>
        <v/>
      </c>
      <c r="N157" s="27"/>
      <c r="O157" s="31"/>
    </row>
    <row r="158" spans="1:15" ht="15" customHeight="1">
      <c r="A158" s="68">
        <v>46209</v>
      </c>
      <c r="B158" s="25">
        <f t="shared" si="35"/>
        <v>1.1666666666666665</v>
      </c>
      <c r="C158" s="26" t="s">
        <v>21</v>
      </c>
      <c r="D158" s="59" t="s">
        <v>30</v>
      </c>
      <c r="E158" s="59" t="s">
        <v>261</v>
      </c>
      <c r="F158" s="27">
        <v>0</v>
      </c>
      <c r="G158" s="28">
        <f t="shared" si="33"/>
        <v>0</v>
      </c>
      <c r="H158" s="26"/>
      <c r="I158" s="26"/>
      <c r="J158" s="26"/>
      <c r="K158" s="29"/>
      <c r="L158" s="29"/>
      <c r="M158" s="30" t="str">
        <f t="shared" ca="1" si="34"/>
        <v/>
      </c>
      <c r="N158" s="27"/>
      <c r="O158" s="31"/>
    </row>
    <row r="159" spans="1:15" ht="15" customHeight="1">
      <c r="A159" s="69">
        <v>46209</v>
      </c>
      <c r="B159" s="32">
        <f t="shared" si="35"/>
        <v>1.2083333333333333</v>
      </c>
      <c r="C159" s="26" t="s">
        <v>21</v>
      </c>
      <c r="D159" s="59" t="s">
        <v>30</v>
      </c>
      <c r="E159" s="59" t="s">
        <v>261</v>
      </c>
      <c r="F159" s="27">
        <v>6</v>
      </c>
      <c r="G159" s="34">
        <f t="shared" si="33"/>
        <v>25.200000000000003</v>
      </c>
      <c r="H159" s="33"/>
      <c r="I159" s="33"/>
      <c r="J159" s="33"/>
      <c r="K159" s="29"/>
      <c r="L159" s="29"/>
      <c r="M159" s="35" t="str">
        <f t="shared" ca="1" si="34"/>
        <v/>
      </c>
      <c r="N159" s="27"/>
      <c r="O159" s="31"/>
    </row>
    <row r="160" spans="1:15" ht="15" customHeight="1">
      <c r="A160" s="68">
        <v>46209</v>
      </c>
      <c r="B160" s="25">
        <f t="shared" si="35"/>
        <v>1.25</v>
      </c>
      <c r="C160" s="26" t="s">
        <v>21</v>
      </c>
      <c r="D160" s="59" t="s">
        <v>30</v>
      </c>
      <c r="E160" s="59" t="s">
        <v>261</v>
      </c>
      <c r="F160" s="27">
        <v>9</v>
      </c>
      <c r="G160" s="28">
        <f t="shared" si="33"/>
        <v>37.800000000000004</v>
      </c>
      <c r="H160" s="26"/>
      <c r="I160" s="26"/>
      <c r="J160" s="26"/>
      <c r="K160" s="29"/>
      <c r="L160" s="29"/>
      <c r="M160" s="30" t="str">
        <f t="shared" ca="1" si="34"/>
        <v/>
      </c>
      <c r="N160" s="27"/>
      <c r="O160" s="31"/>
    </row>
    <row r="161" spans="1:15" ht="15" customHeight="1">
      <c r="A161" s="69">
        <v>46209</v>
      </c>
      <c r="B161" s="32">
        <f t="shared" si="35"/>
        <v>1.2916666666666667</v>
      </c>
      <c r="C161" s="26" t="s">
        <v>21</v>
      </c>
      <c r="D161" s="59" t="s">
        <v>22</v>
      </c>
      <c r="E161" s="59" t="s">
        <v>261</v>
      </c>
      <c r="F161" s="27">
        <v>0</v>
      </c>
      <c r="G161" s="34">
        <f t="shared" si="33"/>
        <v>0</v>
      </c>
      <c r="H161" s="33"/>
      <c r="I161" s="33"/>
      <c r="J161" s="33"/>
      <c r="K161" s="29"/>
      <c r="L161" s="29"/>
      <c r="M161" s="35" t="str">
        <f t="shared" ca="1" si="34"/>
        <v/>
      </c>
      <c r="N161" s="27"/>
      <c r="O161" s="31"/>
    </row>
    <row r="162" spans="1:15" ht="15.75" customHeight="1">
      <c r="A162" s="119" t="s">
        <v>238</v>
      </c>
      <c r="B162" s="120"/>
      <c r="C162" s="120"/>
      <c r="D162" s="120"/>
      <c r="E162" s="121">
        <f>SUM(E150:E161)</f>
        <v>0</v>
      </c>
      <c r="F162" s="36">
        <f>SUM(F150:F161)</f>
        <v>89</v>
      </c>
      <c r="G162" s="36">
        <f>SUM(G150:G161)</f>
        <v>388.2</v>
      </c>
      <c r="H162" s="37"/>
      <c r="I162" s="37"/>
      <c r="J162" s="37"/>
      <c r="K162" s="37"/>
      <c r="L162" s="37"/>
      <c r="M162" s="38">
        <f ca="1">IFERROR(SUM(M150:M161),"")</f>
        <v>1.3888888888888895E-2</v>
      </c>
      <c r="N162" s="36" t="s">
        <v>237</v>
      </c>
      <c r="O162" s="39">
        <v>337120</v>
      </c>
    </row>
    <row r="163" spans="1:15" ht="18" customHeight="1">
      <c r="A163" s="122" t="s">
        <v>239</v>
      </c>
      <c r="B163" s="123"/>
      <c r="C163" s="123"/>
      <c r="D163" s="123"/>
      <c r="E163" s="124">
        <f>E149+E162</f>
        <v>0</v>
      </c>
      <c r="F163" s="40">
        <f>F149+F162</f>
        <v>207</v>
      </c>
      <c r="G163" s="40">
        <f>G149+G162</f>
        <v>978.2</v>
      </c>
      <c r="H163" s="41"/>
      <c r="I163" s="41"/>
      <c r="J163" s="41"/>
      <c r="K163" s="41"/>
      <c r="L163" s="41"/>
      <c r="M163" s="42">
        <f ca="1">IFERROR(M149+M162,"")</f>
        <v>6.9444444444444531E-2</v>
      </c>
      <c r="N163" s="40" t="s">
        <v>240</v>
      </c>
      <c r="O163" s="43">
        <f>IFERROR(O149+O162,"")</f>
        <v>921800</v>
      </c>
    </row>
    <row r="164" spans="1:15" ht="15" customHeight="1">
      <c r="A164" s="68">
        <v>46210</v>
      </c>
      <c r="B164" s="25">
        <v>0.33333333333333298</v>
      </c>
      <c r="C164" s="26" t="s">
        <v>29</v>
      </c>
      <c r="D164" s="59" t="s">
        <v>38</v>
      </c>
      <c r="E164" s="59" t="s">
        <v>234</v>
      </c>
      <c r="F164" s="27">
        <v>3</v>
      </c>
      <c r="G164" s="28">
        <f t="shared" ref="G164:G175" si="36">IF(F164="","",IF(E164="PC 17",F164*4.2,IF(E164="PC 19",F164*5,"")))</f>
        <v>15</v>
      </c>
      <c r="H164" s="26" t="s">
        <v>20</v>
      </c>
      <c r="I164" s="26" t="s">
        <v>47</v>
      </c>
      <c r="J164" s="26" t="s">
        <v>51</v>
      </c>
      <c r="K164" s="29">
        <v>0.42916666666666664</v>
      </c>
      <c r="L164" s="29">
        <v>0.43333333333333335</v>
      </c>
      <c r="M164" s="30">
        <f t="shared" ref="M164:M175" ca="1" si="37">IFERROR(IF(K164="","",IF(L164="",MOD(NOW()-K164,1),IF(L164&gt;=K164,L164-K164,L164+1-K164))),"")</f>
        <v>4.1666666666667074E-3</v>
      </c>
      <c r="N164" s="27"/>
      <c r="O164" s="31"/>
    </row>
    <row r="165" spans="1:15" ht="15" customHeight="1">
      <c r="A165" s="69">
        <v>46210</v>
      </c>
      <c r="B165" s="32">
        <f t="shared" ref="B165:B175" si="38">B164+TIME(0,60,0)</f>
        <v>0.37499999999999967</v>
      </c>
      <c r="C165" s="26" t="s">
        <v>29</v>
      </c>
      <c r="D165" s="59" t="s">
        <v>38</v>
      </c>
      <c r="E165" s="59" t="s">
        <v>261</v>
      </c>
      <c r="F165" s="27">
        <v>6</v>
      </c>
      <c r="G165" s="34">
        <f t="shared" si="36"/>
        <v>25.200000000000003</v>
      </c>
      <c r="H165" s="33" t="s">
        <v>20</v>
      </c>
      <c r="I165" s="33" t="s">
        <v>47</v>
      </c>
      <c r="J165" s="33" t="s">
        <v>51</v>
      </c>
      <c r="K165" s="29">
        <v>0.4513888888888889</v>
      </c>
      <c r="L165" s="29">
        <v>0.4548611111111111</v>
      </c>
      <c r="M165" s="35">
        <f t="shared" ca="1" si="37"/>
        <v>3.4722222222222099E-3</v>
      </c>
      <c r="N165" s="27"/>
      <c r="O165" s="31"/>
    </row>
    <row r="166" spans="1:15" ht="15" customHeight="1">
      <c r="A166" s="68">
        <v>46210</v>
      </c>
      <c r="B166" s="25">
        <f t="shared" si="38"/>
        <v>0.41666666666666635</v>
      </c>
      <c r="C166" s="26" t="s">
        <v>29</v>
      </c>
      <c r="D166" s="59" t="s">
        <v>38</v>
      </c>
      <c r="E166" s="59" t="s">
        <v>261</v>
      </c>
      <c r="F166" s="27">
        <v>10</v>
      </c>
      <c r="G166" s="28">
        <f t="shared" si="36"/>
        <v>42</v>
      </c>
      <c r="H166" s="26" t="s">
        <v>18</v>
      </c>
      <c r="I166" s="26" t="s">
        <v>47</v>
      </c>
      <c r="J166" s="26" t="s">
        <v>128</v>
      </c>
      <c r="K166" s="29">
        <v>0.45694444444444443</v>
      </c>
      <c r="L166" s="29">
        <v>0.47222222222222221</v>
      </c>
      <c r="M166" s="30" t="s">
        <v>357</v>
      </c>
      <c r="N166" s="27" t="s">
        <v>358</v>
      </c>
      <c r="O166" s="31"/>
    </row>
    <row r="167" spans="1:15" ht="15" customHeight="1">
      <c r="A167" s="69">
        <v>46210</v>
      </c>
      <c r="B167" s="32">
        <f t="shared" si="38"/>
        <v>0.45833333333333304</v>
      </c>
      <c r="C167" s="26" t="s">
        <v>29</v>
      </c>
      <c r="D167" s="59" t="s">
        <v>38</v>
      </c>
      <c r="E167" s="59" t="s">
        <v>261</v>
      </c>
      <c r="F167" s="27">
        <v>6</v>
      </c>
      <c r="G167" s="34">
        <f t="shared" si="36"/>
        <v>25.200000000000003</v>
      </c>
      <c r="H167" s="33" t="s">
        <v>20</v>
      </c>
      <c r="I167" s="33" t="s">
        <v>47</v>
      </c>
      <c r="J167" s="33" t="s">
        <v>51</v>
      </c>
      <c r="K167" s="29">
        <v>0.50138888888888888</v>
      </c>
      <c r="L167" s="29">
        <v>0.50416666666666665</v>
      </c>
      <c r="M167" s="35">
        <f t="shared" ca="1" si="37"/>
        <v>2.7777777777777679E-3</v>
      </c>
      <c r="N167" s="27"/>
      <c r="O167" s="31"/>
    </row>
    <row r="168" spans="1:15" ht="15" customHeight="1">
      <c r="A168" s="68">
        <v>46210</v>
      </c>
      <c r="B168" s="25">
        <f t="shared" si="38"/>
        <v>0.49999999999999972</v>
      </c>
      <c r="C168" s="26" t="s">
        <v>29</v>
      </c>
      <c r="D168" s="59" t="s">
        <v>38</v>
      </c>
      <c r="E168" s="59" t="s">
        <v>261</v>
      </c>
      <c r="F168" s="27">
        <v>12</v>
      </c>
      <c r="G168" s="28">
        <f t="shared" si="36"/>
        <v>50.400000000000006</v>
      </c>
      <c r="H168" s="26" t="s">
        <v>20</v>
      </c>
      <c r="I168" s="26" t="s">
        <v>47</v>
      </c>
      <c r="J168" s="26" t="s">
        <v>51</v>
      </c>
      <c r="K168" s="29">
        <v>0.56805555555555554</v>
      </c>
      <c r="L168" s="29">
        <v>0.58125000000000004</v>
      </c>
      <c r="M168" s="30">
        <f t="shared" ca="1" si="37"/>
        <v>1.3194444444444509E-2</v>
      </c>
      <c r="N168" s="27"/>
      <c r="O168" s="31"/>
    </row>
    <row r="169" spans="1:15" ht="15" customHeight="1">
      <c r="A169" s="69">
        <v>46210</v>
      </c>
      <c r="B169" s="32">
        <f t="shared" si="38"/>
        <v>0.54166666666666641</v>
      </c>
      <c r="C169" s="26" t="s">
        <v>29</v>
      </c>
      <c r="D169" s="59" t="s">
        <v>38</v>
      </c>
      <c r="E169" s="59" t="s">
        <v>261</v>
      </c>
      <c r="F169" s="27">
        <v>5</v>
      </c>
      <c r="G169" s="34">
        <f t="shared" si="36"/>
        <v>21</v>
      </c>
      <c r="H169" s="33" t="s">
        <v>20</v>
      </c>
      <c r="I169" s="33" t="s">
        <v>47</v>
      </c>
      <c r="J169" s="33" t="s">
        <v>51</v>
      </c>
      <c r="K169" s="29">
        <v>0.61944444444444446</v>
      </c>
      <c r="L169" s="29">
        <v>0.62361111111111112</v>
      </c>
      <c r="M169" s="35">
        <f t="shared" ca="1" si="37"/>
        <v>4.1666666666666519E-3</v>
      </c>
      <c r="N169" s="27"/>
      <c r="O169" s="31"/>
    </row>
    <row r="170" spans="1:15" ht="15" customHeight="1">
      <c r="A170" s="68">
        <v>46210</v>
      </c>
      <c r="B170" s="25">
        <f t="shared" si="38"/>
        <v>0.58333333333333304</v>
      </c>
      <c r="C170" s="26" t="s">
        <v>29</v>
      </c>
      <c r="D170" s="59" t="s">
        <v>38</v>
      </c>
      <c r="E170" s="59" t="s">
        <v>261</v>
      </c>
      <c r="F170" s="27">
        <v>1</v>
      </c>
      <c r="G170" s="28">
        <f t="shared" si="36"/>
        <v>4.2</v>
      </c>
      <c r="H170" s="26" t="s">
        <v>20</v>
      </c>
      <c r="I170" s="26" t="s">
        <v>47</v>
      </c>
      <c r="J170" s="26" t="s">
        <v>51</v>
      </c>
      <c r="K170" s="29">
        <v>0.62638888888888888</v>
      </c>
      <c r="L170" s="29">
        <v>0.63124999999999998</v>
      </c>
      <c r="M170" s="30">
        <f t="shared" ca="1" si="37"/>
        <v>4.8611111111110938E-3</v>
      </c>
      <c r="N170" s="27"/>
      <c r="O170" s="31"/>
    </row>
    <row r="171" spans="1:15" ht="15" customHeight="1">
      <c r="A171" s="69">
        <v>46210</v>
      </c>
      <c r="B171" s="32">
        <f t="shared" si="38"/>
        <v>0.62499999999999967</v>
      </c>
      <c r="C171" s="26" t="s">
        <v>29</v>
      </c>
      <c r="D171" s="59" t="s">
        <v>38</v>
      </c>
      <c r="E171" s="59" t="s">
        <v>261</v>
      </c>
      <c r="F171" s="27">
        <v>5</v>
      </c>
      <c r="G171" s="34">
        <f t="shared" si="36"/>
        <v>21</v>
      </c>
      <c r="H171" s="33"/>
      <c r="I171" s="33"/>
      <c r="J171" s="33"/>
      <c r="K171" s="29"/>
      <c r="L171" s="29"/>
      <c r="M171" s="35" t="str">
        <f t="shared" ca="1" si="37"/>
        <v/>
      </c>
      <c r="N171" s="27"/>
      <c r="O171" s="31"/>
    </row>
    <row r="172" spans="1:15" ht="15" customHeight="1">
      <c r="A172" s="68">
        <v>46210</v>
      </c>
      <c r="B172" s="25">
        <f t="shared" si="38"/>
        <v>0.6666666666666663</v>
      </c>
      <c r="C172" s="26" t="s">
        <v>29</v>
      </c>
      <c r="D172" s="59" t="s">
        <v>38</v>
      </c>
      <c r="E172" s="59" t="s">
        <v>261</v>
      </c>
      <c r="F172" s="27">
        <v>10</v>
      </c>
      <c r="G172" s="28">
        <f t="shared" si="36"/>
        <v>42</v>
      </c>
      <c r="H172" s="26"/>
      <c r="I172" s="26"/>
      <c r="J172" s="26"/>
      <c r="K172" s="29"/>
      <c r="L172" s="29"/>
      <c r="M172" s="30" t="str">
        <f t="shared" ca="1" si="37"/>
        <v/>
      </c>
      <c r="N172" s="27"/>
      <c r="O172" s="31"/>
    </row>
    <row r="173" spans="1:15" ht="15" customHeight="1">
      <c r="A173" s="69">
        <v>46210</v>
      </c>
      <c r="B173" s="32">
        <f t="shared" si="38"/>
        <v>0.70833333333333293</v>
      </c>
      <c r="C173" s="26" t="s">
        <v>29</v>
      </c>
      <c r="D173" s="59" t="s">
        <v>38</v>
      </c>
      <c r="E173" s="59" t="s">
        <v>261</v>
      </c>
      <c r="F173" s="27">
        <v>10</v>
      </c>
      <c r="G173" s="34">
        <f t="shared" si="36"/>
        <v>42</v>
      </c>
      <c r="H173" s="33"/>
      <c r="I173" s="33"/>
      <c r="J173" s="33"/>
      <c r="K173" s="29"/>
      <c r="L173" s="29"/>
      <c r="M173" s="35" t="str">
        <f t="shared" ca="1" si="37"/>
        <v/>
      </c>
      <c r="N173" s="27"/>
      <c r="O173" s="31"/>
    </row>
    <row r="174" spans="1:15" ht="15" customHeight="1">
      <c r="A174" s="68">
        <v>46210</v>
      </c>
      <c r="B174" s="25">
        <f t="shared" si="38"/>
        <v>0.74999999999999956</v>
      </c>
      <c r="C174" s="26" t="s">
        <v>29</v>
      </c>
      <c r="D174" s="59" t="s">
        <v>38</v>
      </c>
      <c r="E174" s="59" t="s">
        <v>261</v>
      </c>
      <c r="F174" s="27">
        <v>10</v>
      </c>
      <c r="G174" s="28">
        <f t="shared" si="36"/>
        <v>42</v>
      </c>
      <c r="H174" s="26"/>
      <c r="I174" s="26"/>
      <c r="J174" s="26"/>
      <c r="K174" s="29"/>
      <c r="L174" s="29"/>
      <c r="M174" s="30" t="str">
        <f t="shared" ca="1" si="37"/>
        <v/>
      </c>
      <c r="N174" s="27"/>
      <c r="O174" s="31"/>
    </row>
    <row r="175" spans="1:15" ht="15" customHeight="1">
      <c r="A175" s="69">
        <v>46210</v>
      </c>
      <c r="B175" s="32">
        <f t="shared" si="38"/>
        <v>0.79166666666666619</v>
      </c>
      <c r="C175" s="26" t="s">
        <v>29</v>
      </c>
      <c r="D175" s="59" t="s">
        <v>38</v>
      </c>
      <c r="E175" s="59" t="s">
        <v>261</v>
      </c>
      <c r="F175" s="27">
        <v>6</v>
      </c>
      <c r="G175" s="34">
        <f t="shared" si="36"/>
        <v>25.200000000000003</v>
      </c>
      <c r="H175" s="33"/>
      <c r="I175" s="33"/>
      <c r="J175" s="33"/>
      <c r="K175" s="29"/>
      <c r="L175" s="29"/>
      <c r="M175" s="35" t="str">
        <f t="shared" ca="1" si="37"/>
        <v/>
      </c>
      <c r="N175" s="27"/>
      <c r="O175" s="31"/>
    </row>
    <row r="176" spans="1:15" ht="15.75" customHeight="1">
      <c r="A176" s="119" t="s">
        <v>236</v>
      </c>
      <c r="B176" s="120"/>
      <c r="C176" s="120"/>
      <c r="D176" s="120"/>
      <c r="E176" s="121">
        <f>SUM(E164:E175)</f>
        <v>0</v>
      </c>
      <c r="F176" s="36">
        <f>SUM(F164:F175)</f>
        <v>84</v>
      </c>
      <c r="G176" s="36">
        <f>SUM(G164:G175)</f>
        <v>355.2</v>
      </c>
      <c r="H176" s="37"/>
      <c r="I176" s="37"/>
      <c r="J176" s="37"/>
      <c r="K176" s="37"/>
      <c r="L176" s="37"/>
      <c r="M176" s="38">
        <f ca="1">IFERROR(SUM(M164:M175),"")</f>
        <v>3.2638888888888939E-2</v>
      </c>
      <c r="N176" s="36" t="s">
        <v>237</v>
      </c>
      <c r="O176" s="39">
        <v>190950</v>
      </c>
    </row>
    <row r="177" spans="1:15" ht="15" customHeight="1">
      <c r="A177" s="69">
        <v>46210</v>
      </c>
      <c r="B177" s="32">
        <v>0.83333333333333304</v>
      </c>
      <c r="C177" s="33" t="s">
        <v>21</v>
      </c>
      <c r="D177" s="62" t="s">
        <v>22</v>
      </c>
      <c r="E177" s="62" t="s">
        <v>261</v>
      </c>
      <c r="F177" s="27">
        <v>18</v>
      </c>
      <c r="G177" s="34">
        <f t="shared" ref="G177:G188" si="39">IF(F177="","",IF(E177="PC 17",F177*4.2,IF(E177="PC 19",F177*5,"")))</f>
        <v>75.600000000000009</v>
      </c>
      <c r="H177" s="33" t="s">
        <v>20</v>
      </c>
      <c r="I177" s="33" t="s">
        <v>47</v>
      </c>
      <c r="J177" s="33" t="s">
        <v>51</v>
      </c>
      <c r="K177" s="29">
        <v>0.8125</v>
      </c>
      <c r="L177" s="29">
        <v>0.81597222222222221</v>
      </c>
      <c r="M177" s="35">
        <f t="shared" ref="M177:M188" ca="1" si="40">IFERROR(IF(K177="","",IF(L177="",MOD(NOW()-K177,1),IF(L177&gt;=K177,L177-K177,L177+1-K177))),"")</f>
        <v>3.4722222222222099E-3</v>
      </c>
      <c r="N177" s="27"/>
      <c r="O177" s="31"/>
    </row>
    <row r="178" spans="1:15" ht="15" customHeight="1">
      <c r="A178" s="68">
        <v>46210</v>
      </c>
      <c r="B178" s="25">
        <f t="shared" ref="B178:B188" si="41">B177+TIME(0,60,0)</f>
        <v>0.87499999999999967</v>
      </c>
      <c r="C178" s="33" t="s">
        <v>21</v>
      </c>
      <c r="D178" s="62" t="s">
        <v>22</v>
      </c>
      <c r="E178" s="62" t="s">
        <v>261</v>
      </c>
      <c r="F178" s="27">
        <v>3</v>
      </c>
      <c r="G178" s="28">
        <f t="shared" si="39"/>
        <v>12.600000000000001</v>
      </c>
      <c r="H178" s="26" t="s">
        <v>19</v>
      </c>
      <c r="I178" s="26" t="s">
        <v>47</v>
      </c>
      <c r="J178" s="26" t="s">
        <v>27</v>
      </c>
      <c r="K178" s="29">
        <v>0.21041666666666667</v>
      </c>
      <c r="L178" s="29">
        <v>0.22361111111111112</v>
      </c>
      <c r="M178" s="30">
        <f t="shared" ca="1" si="40"/>
        <v>1.3194444444444453E-2</v>
      </c>
      <c r="N178" s="27"/>
      <c r="O178" s="31"/>
    </row>
    <row r="179" spans="1:15" ht="15" customHeight="1">
      <c r="A179" s="69">
        <v>46210</v>
      </c>
      <c r="B179" s="32">
        <f t="shared" si="41"/>
        <v>0.9166666666666663</v>
      </c>
      <c r="C179" s="33" t="s">
        <v>21</v>
      </c>
      <c r="D179" s="62" t="s">
        <v>22</v>
      </c>
      <c r="E179" s="62" t="s">
        <v>261</v>
      </c>
      <c r="F179" s="27">
        <v>11</v>
      </c>
      <c r="G179" s="34">
        <f t="shared" si="39"/>
        <v>46.2</v>
      </c>
      <c r="H179" s="33"/>
      <c r="I179" s="33"/>
      <c r="J179" s="33"/>
      <c r="K179" s="29"/>
      <c r="L179" s="29"/>
      <c r="M179" s="35" t="str">
        <f t="shared" ca="1" si="40"/>
        <v/>
      </c>
      <c r="N179" s="27"/>
      <c r="O179" s="31"/>
    </row>
    <row r="180" spans="1:15" ht="15" customHeight="1">
      <c r="A180" s="68">
        <v>46210</v>
      </c>
      <c r="B180" s="25">
        <f t="shared" si="41"/>
        <v>0.95833333333333293</v>
      </c>
      <c r="C180" s="33" t="s">
        <v>21</v>
      </c>
      <c r="D180" s="62" t="s">
        <v>22</v>
      </c>
      <c r="E180" s="62" t="s">
        <v>261</v>
      </c>
      <c r="F180" s="27">
        <v>18</v>
      </c>
      <c r="G180" s="28">
        <f t="shared" si="39"/>
        <v>75.600000000000009</v>
      </c>
      <c r="H180" s="26"/>
      <c r="I180" s="26"/>
      <c r="J180" s="26"/>
      <c r="K180" s="29"/>
      <c r="L180" s="29"/>
      <c r="M180" s="30" t="str">
        <f t="shared" ca="1" si="40"/>
        <v/>
      </c>
      <c r="N180" s="27"/>
      <c r="O180" s="31"/>
    </row>
    <row r="181" spans="1:15" ht="15" customHeight="1">
      <c r="A181" s="69">
        <v>46210</v>
      </c>
      <c r="B181" s="32">
        <f t="shared" si="41"/>
        <v>0.99999999999999956</v>
      </c>
      <c r="C181" s="33" t="s">
        <v>21</v>
      </c>
      <c r="D181" s="62" t="s">
        <v>22</v>
      </c>
      <c r="E181" s="62" t="s">
        <v>261</v>
      </c>
      <c r="F181" s="27">
        <v>11</v>
      </c>
      <c r="G181" s="34">
        <f>IF(F181="","",IF(E181="PC 17",F181*4.2,IF(E181="PC 19",F181*5,"")))</f>
        <v>46.2</v>
      </c>
      <c r="H181" s="33"/>
      <c r="I181" s="33"/>
      <c r="J181" s="33"/>
      <c r="K181" s="29"/>
      <c r="L181" s="29"/>
      <c r="M181" s="35" t="str">
        <f t="shared" ca="1" si="40"/>
        <v/>
      </c>
      <c r="N181" s="27"/>
      <c r="O181" s="31"/>
    </row>
    <row r="182" spans="1:15" ht="15" customHeight="1">
      <c r="A182" s="68">
        <v>46210</v>
      </c>
      <c r="B182" s="25">
        <f t="shared" si="41"/>
        <v>1.0416666666666663</v>
      </c>
      <c r="C182" s="33" t="s">
        <v>21</v>
      </c>
      <c r="D182" s="62" t="s">
        <v>22</v>
      </c>
      <c r="E182" s="62" t="s">
        <v>261</v>
      </c>
      <c r="F182" s="27">
        <v>10</v>
      </c>
      <c r="G182" s="28">
        <f t="shared" si="39"/>
        <v>42</v>
      </c>
      <c r="H182" s="26"/>
      <c r="I182" s="26"/>
      <c r="J182" s="26"/>
      <c r="K182" s="29"/>
      <c r="L182" s="29"/>
      <c r="M182" s="30" t="str">
        <f t="shared" ca="1" si="40"/>
        <v/>
      </c>
      <c r="N182" s="27"/>
      <c r="O182" s="31"/>
    </row>
    <row r="183" spans="1:15" ht="15" customHeight="1">
      <c r="A183" s="69">
        <v>46210</v>
      </c>
      <c r="B183" s="32">
        <f t="shared" si="41"/>
        <v>1.083333333333333</v>
      </c>
      <c r="C183" s="33" t="s">
        <v>21</v>
      </c>
      <c r="D183" s="62" t="s">
        <v>22</v>
      </c>
      <c r="E183" s="62" t="s">
        <v>261</v>
      </c>
      <c r="F183" s="27">
        <v>11</v>
      </c>
      <c r="G183" s="34">
        <f t="shared" si="39"/>
        <v>46.2</v>
      </c>
      <c r="H183" s="33"/>
      <c r="I183" s="33"/>
      <c r="J183" s="33"/>
      <c r="K183" s="29"/>
      <c r="L183" s="29"/>
      <c r="M183" s="35" t="str">
        <f t="shared" ca="1" si="40"/>
        <v/>
      </c>
      <c r="N183" s="27"/>
      <c r="O183" s="31"/>
    </row>
    <row r="184" spans="1:15" ht="15" customHeight="1">
      <c r="A184" s="68">
        <v>46210</v>
      </c>
      <c r="B184" s="25">
        <f t="shared" si="41"/>
        <v>1.1249999999999998</v>
      </c>
      <c r="C184" s="33" t="s">
        <v>21</v>
      </c>
      <c r="D184" s="62" t="s">
        <v>22</v>
      </c>
      <c r="E184" s="62" t="s">
        <v>261</v>
      </c>
      <c r="F184" s="27">
        <v>16</v>
      </c>
      <c r="G184" s="28">
        <f t="shared" si="39"/>
        <v>67.2</v>
      </c>
      <c r="H184" s="26"/>
      <c r="I184" s="26"/>
      <c r="J184" s="26"/>
      <c r="K184" s="29"/>
      <c r="L184" s="29"/>
      <c r="M184" s="30" t="str">
        <f t="shared" ca="1" si="40"/>
        <v/>
      </c>
      <c r="N184" s="27"/>
      <c r="O184" s="31"/>
    </row>
    <row r="185" spans="1:15" ht="15" customHeight="1">
      <c r="A185" s="69">
        <v>46210</v>
      </c>
      <c r="B185" s="32">
        <f t="shared" si="41"/>
        <v>1.1666666666666665</v>
      </c>
      <c r="C185" s="33" t="s">
        <v>21</v>
      </c>
      <c r="D185" s="62" t="s">
        <v>22</v>
      </c>
      <c r="E185" s="62" t="s">
        <v>261</v>
      </c>
      <c r="F185" s="27">
        <v>13</v>
      </c>
      <c r="G185" s="34">
        <f t="shared" si="39"/>
        <v>54.6</v>
      </c>
      <c r="H185" s="33"/>
      <c r="I185" s="33"/>
      <c r="J185" s="33"/>
      <c r="K185" s="29"/>
      <c r="L185" s="29"/>
      <c r="M185" s="35" t="str">
        <f t="shared" ca="1" si="40"/>
        <v/>
      </c>
      <c r="N185" s="27"/>
      <c r="O185" s="31"/>
    </row>
    <row r="186" spans="1:15" ht="15" customHeight="1">
      <c r="A186" s="68">
        <v>46210</v>
      </c>
      <c r="B186" s="25">
        <f t="shared" si="41"/>
        <v>1.2083333333333333</v>
      </c>
      <c r="C186" s="33" t="s">
        <v>21</v>
      </c>
      <c r="D186" s="62" t="s">
        <v>22</v>
      </c>
      <c r="E186" s="62" t="s">
        <v>261</v>
      </c>
      <c r="F186" s="27">
        <v>13</v>
      </c>
      <c r="G186" s="28">
        <f t="shared" si="39"/>
        <v>54.6</v>
      </c>
      <c r="H186" s="26"/>
      <c r="I186" s="26"/>
      <c r="J186" s="26"/>
      <c r="K186" s="29"/>
      <c r="L186" s="29"/>
      <c r="M186" s="30" t="str">
        <f t="shared" ca="1" si="40"/>
        <v/>
      </c>
      <c r="N186" s="27"/>
      <c r="O186" s="31"/>
    </row>
    <row r="187" spans="1:15" ht="15" customHeight="1">
      <c r="A187" s="69">
        <v>46210</v>
      </c>
      <c r="B187" s="32">
        <f t="shared" si="41"/>
        <v>1.25</v>
      </c>
      <c r="C187" s="33" t="s">
        <v>21</v>
      </c>
      <c r="D187" s="62" t="s">
        <v>22</v>
      </c>
      <c r="E187" s="62" t="s">
        <v>261</v>
      </c>
      <c r="F187" s="27">
        <v>5</v>
      </c>
      <c r="G187" s="34">
        <f t="shared" si="39"/>
        <v>21</v>
      </c>
      <c r="H187" s="33"/>
      <c r="I187" s="33"/>
      <c r="J187" s="33"/>
      <c r="K187" s="29"/>
      <c r="L187" s="29"/>
      <c r="M187" s="35" t="str">
        <f t="shared" ca="1" si="40"/>
        <v/>
      </c>
      <c r="N187" s="27"/>
      <c r="O187" s="31"/>
    </row>
    <row r="188" spans="1:15" ht="15" customHeight="1">
      <c r="A188" s="68">
        <v>46210</v>
      </c>
      <c r="B188" s="25">
        <f t="shared" si="41"/>
        <v>1.2916666666666667</v>
      </c>
      <c r="C188" s="33" t="s">
        <v>21</v>
      </c>
      <c r="D188" s="62" t="s">
        <v>22</v>
      </c>
      <c r="E188" s="62" t="s">
        <v>261</v>
      </c>
      <c r="F188" s="27">
        <v>2</v>
      </c>
      <c r="G188" s="28">
        <f t="shared" si="39"/>
        <v>8.4</v>
      </c>
      <c r="H188" s="26"/>
      <c r="I188" s="26"/>
      <c r="J188" s="26"/>
      <c r="K188" s="29"/>
      <c r="L188" s="29"/>
      <c r="M188" s="30" t="str">
        <f t="shared" ca="1" si="40"/>
        <v/>
      </c>
      <c r="N188" s="27"/>
      <c r="O188" s="31"/>
    </row>
    <row r="189" spans="1:15" ht="15.75" customHeight="1">
      <c r="A189" s="119" t="s">
        <v>238</v>
      </c>
      <c r="B189" s="120"/>
      <c r="C189" s="120"/>
      <c r="D189" s="120"/>
      <c r="E189" s="121">
        <f>SUM(E177:E188)</f>
        <v>0</v>
      </c>
      <c r="F189" s="36">
        <f>SUM(F177:F188)</f>
        <v>131</v>
      </c>
      <c r="G189" s="36">
        <f>SUM(G177:G188)</f>
        <v>550.20000000000005</v>
      </c>
      <c r="H189" s="37"/>
      <c r="I189" s="37"/>
      <c r="J189" s="37"/>
      <c r="K189" s="37"/>
      <c r="L189" s="37"/>
      <c r="M189" s="38">
        <f ca="1">IFERROR(SUM(M177:M188),"")</f>
        <v>1.6666666666666663E-2</v>
      </c>
      <c r="N189" s="36" t="s">
        <v>237</v>
      </c>
      <c r="O189" s="39">
        <v>747210</v>
      </c>
    </row>
    <row r="190" spans="1:15" ht="18" customHeight="1">
      <c r="A190" s="122" t="s">
        <v>239</v>
      </c>
      <c r="B190" s="123"/>
      <c r="C190" s="123"/>
      <c r="D190" s="123"/>
      <c r="E190" s="124">
        <f>E176+E189</f>
        <v>0</v>
      </c>
      <c r="F190" s="40">
        <f>F176+F189</f>
        <v>215</v>
      </c>
      <c r="G190" s="40">
        <f>G176+G189</f>
        <v>905.40000000000009</v>
      </c>
      <c r="H190" s="41"/>
      <c r="I190" s="41"/>
      <c r="J190" s="41"/>
      <c r="K190" s="41"/>
      <c r="L190" s="41"/>
      <c r="M190" s="42">
        <f ca="1">IFERROR(M176+M189,"")</f>
        <v>4.9305555555555602E-2</v>
      </c>
      <c r="N190" s="40" t="s">
        <v>240</v>
      </c>
      <c r="O190" s="43">
        <f>IFERROR(O176+O189,"")</f>
        <v>938160</v>
      </c>
    </row>
    <row r="191" spans="1:15" ht="15" customHeight="1">
      <c r="A191" s="69">
        <v>46211</v>
      </c>
      <c r="B191" s="32">
        <v>0.33333333333333298</v>
      </c>
      <c r="C191" s="33" t="s">
        <v>29</v>
      </c>
      <c r="D191" s="62" t="s">
        <v>22</v>
      </c>
      <c r="E191" s="62" t="s">
        <v>261</v>
      </c>
      <c r="F191" s="27">
        <v>5</v>
      </c>
      <c r="G191" s="34">
        <f t="shared" ref="G191:G202" si="42">IF(F191="","",IF(E191="PC 17",F191*4.2,IF(E191="PC 19",F191*5,"")))</f>
        <v>21</v>
      </c>
      <c r="H191" s="33" t="s">
        <v>18</v>
      </c>
      <c r="I191" s="33" t="s">
        <v>136</v>
      </c>
      <c r="J191" s="33" t="s">
        <v>94</v>
      </c>
      <c r="K191" s="29">
        <v>0.33194444444444443</v>
      </c>
      <c r="L191" s="29">
        <v>0.35347222222222224</v>
      </c>
      <c r="M191" s="35">
        <f t="shared" ref="M191:M202" ca="1" si="43">IFERROR(IF(K191="","",IF(L191="",MOD(NOW()-K191,1),IF(L191&gt;=K191,L191-K191,L191+1-K191))),"")</f>
        <v>2.1527777777777812E-2</v>
      </c>
      <c r="N191" s="27"/>
      <c r="O191" s="31"/>
    </row>
    <row r="192" spans="1:15" ht="15" customHeight="1">
      <c r="A192" s="68">
        <v>46211</v>
      </c>
      <c r="B192" s="25">
        <f t="shared" ref="B192:B202" si="44">B191+TIME(0,60,0)</f>
        <v>0.37499999999999967</v>
      </c>
      <c r="C192" s="33" t="s">
        <v>29</v>
      </c>
      <c r="D192" s="62" t="s">
        <v>22</v>
      </c>
      <c r="E192" s="62" t="s">
        <v>261</v>
      </c>
      <c r="F192" s="27">
        <v>5</v>
      </c>
      <c r="G192" s="28">
        <f t="shared" si="42"/>
        <v>21</v>
      </c>
      <c r="H192" s="26" t="s">
        <v>20</v>
      </c>
      <c r="I192" s="26" t="s">
        <v>47</v>
      </c>
      <c r="J192" s="26" t="s">
        <v>170</v>
      </c>
      <c r="K192" s="29">
        <v>0.38263888888888886</v>
      </c>
      <c r="L192" s="29">
        <v>0.4826388888888889</v>
      </c>
      <c r="M192" s="30">
        <f t="shared" ca="1" si="43"/>
        <v>0.10000000000000003</v>
      </c>
      <c r="N192" s="27" t="s">
        <v>359</v>
      </c>
      <c r="O192" s="31"/>
    </row>
    <row r="193" spans="1:15" ht="15" customHeight="1">
      <c r="A193" s="69">
        <v>46211</v>
      </c>
      <c r="B193" s="32">
        <f t="shared" si="44"/>
        <v>0.41666666666666635</v>
      </c>
      <c r="C193" s="33" t="s">
        <v>29</v>
      </c>
      <c r="D193" s="62" t="s">
        <v>22</v>
      </c>
      <c r="E193" s="62" t="s">
        <v>261</v>
      </c>
      <c r="F193" s="27">
        <v>2</v>
      </c>
      <c r="G193" s="34">
        <f t="shared" si="42"/>
        <v>8.4</v>
      </c>
      <c r="H193" s="33" t="s">
        <v>20</v>
      </c>
      <c r="I193" s="33" t="s">
        <v>47</v>
      </c>
      <c r="J193" s="33" t="s">
        <v>56</v>
      </c>
      <c r="K193" s="29">
        <v>0.61388888888888893</v>
      </c>
      <c r="L193" s="29">
        <v>0.62569444444444444</v>
      </c>
      <c r="M193" s="35">
        <f t="shared" ca="1" si="43"/>
        <v>1.1805555555555514E-2</v>
      </c>
      <c r="N193" s="27"/>
      <c r="O193" s="31"/>
    </row>
    <row r="194" spans="1:15" ht="15" customHeight="1">
      <c r="A194" s="68">
        <v>46211</v>
      </c>
      <c r="B194" s="25">
        <f t="shared" si="44"/>
        <v>0.45833333333333304</v>
      </c>
      <c r="C194" s="33" t="s">
        <v>29</v>
      </c>
      <c r="D194" s="62" t="s">
        <v>22</v>
      </c>
      <c r="E194" s="62" t="s">
        <v>261</v>
      </c>
      <c r="F194" s="27">
        <v>0</v>
      </c>
      <c r="G194" s="28">
        <f t="shared" si="42"/>
        <v>0</v>
      </c>
      <c r="H194" s="26" t="s">
        <v>20</v>
      </c>
      <c r="I194" s="26" t="s">
        <v>47</v>
      </c>
      <c r="J194" s="26" t="s">
        <v>162</v>
      </c>
      <c r="K194" s="29">
        <v>0.75486111111111109</v>
      </c>
      <c r="L194" s="29">
        <v>0.77777777777777779</v>
      </c>
      <c r="M194" s="30">
        <f t="shared" ca="1" si="43"/>
        <v>2.2916666666666696E-2</v>
      </c>
      <c r="N194" s="27"/>
      <c r="O194" s="31"/>
    </row>
    <row r="195" spans="1:15" ht="15" customHeight="1">
      <c r="A195" s="69">
        <v>46211</v>
      </c>
      <c r="B195" s="32">
        <f t="shared" si="44"/>
        <v>0.49999999999999972</v>
      </c>
      <c r="C195" s="33" t="s">
        <v>29</v>
      </c>
      <c r="D195" s="62" t="s">
        <v>22</v>
      </c>
      <c r="E195" s="62" t="s">
        <v>261</v>
      </c>
      <c r="F195" s="27">
        <v>4</v>
      </c>
      <c r="G195" s="34">
        <f t="shared" si="42"/>
        <v>16.8</v>
      </c>
      <c r="H195" s="33"/>
      <c r="I195" s="33"/>
      <c r="J195" s="33"/>
      <c r="K195" s="29"/>
      <c r="L195" s="29"/>
      <c r="M195" s="35" t="str">
        <f t="shared" ca="1" si="43"/>
        <v/>
      </c>
      <c r="N195" s="27"/>
      <c r="O195" s="31"/>
    </row>
    <row r="196" spans="1:15" ht="15" customHeight="1">
      <c r="A196" s="68">
        <v>46211</v>
      </c>
      <c r="B196" s="25">
        <f t="shared" si="44"/>
        <v>0.54166666666666641</v>
      </c>
      <c r="C196" s="33" t="s">
        <v>29</v>
      </c>
      <c r="D196" s="62" t="s">
        <v>22</v>
      </c>
      <c r="E196" s="62" t="s">
        <v>261</v>
      </c>
      <c r="F196" s="27">
        <v>14</v>
      </c>
      <c r="G196" s="28">
        <f t="shared" si="42"/>
        <v>58.800000000000004</v>
      </c>
      <c r="H196" s="26"/>
      <c r="I196" s="26"/>
      <c r="J196" s="26"/>
      <c r="K196" s="29"/>
      <c r="L196" s="29"/>
      <c r="M196" s="30" t="str">
        <f t="shared" ca="1" si="43"/>
        <v/>
      </c>
      <c r="N196" s="27"/>
      <c r="O196" s="31"/>
    </row>
    <row r="197" spans="1:15" ht="15" customHeight="1">
      <c r="A197" s="69">
        <v>46211</v>
      </c>
      <c r="B197" s="32">
        <f t="shared" si="44"/>
        <v>0.58333333333333304</v>
      </c>
      <c r="C197" s="33" t="s">
        <v>29</v>
      </c>
      <c r="D197" s="62" t="s">
        <v>22</v>
      </c>
      <c r="E197" s="62" t="s">
        <v>261</v>
      </c>
      <c r="F197" s="27">
        <v>20</v>
      </c>
      <c r="G197" s="34">
        <f t="shared" si="42"/>
        <v>84</v>
      </c>
      <c r="H197" s="33"/>
      <c r="I197" s="33"/>
      <c r="J197" s="33"/>
      <c r="K197" s="29"/>
      <c r="L197" s="29"/>
      <c r="M197" s="35" t="str">
        <f t="shared" ca="1" si="43"/>
        <v/>
      </c>
      <c r="N197" s="27"/>
      <c r="O197" s="31"/>
    </row>
    <row r="198" spans="1:15" ht="15" customHeight="1">
      <c r="A198" s="68">
        <v>46211</v>
      </c>
      <c r="B198" s="25">
        <f t="shared" si="44"/>
        <v>0.62499999999999967</v>
      </c>
      <c r="C198" s="33" t="s">
        <v>29</v>
      </c>
      <c r="D198" s="62" t="s">
        <v>22</v>
      </c>
      <c r="E198" s="62" t="s">
        <v>261</v>
      </c>
      <c r="F198" s="27">
        <v>7</v>
      </c>
      <c r="G198" s="28">
        <f t="shared" si="42"/>
        <v>29.400000000000002</v>
      </c>
      <c r="H198" s="26"/>
      <c r="I198" s="26"/>
      <c r="J198" s="26"/>
      <c r="K198" s="29"/>
      <c r="L198" s="29"/>
      <c r="M198" s="30" t="str">
        <f t="shared" ca="1" si="43"/>
        <v/>
      </c>
      <c r="N198" s="27"/>
      <c r="O198" s="31"/>
    </row>
    <row r="199" spans="1:15" ht="15" customHeight="1">
      <c r="A199" s="69">
        <v>46211</v>
      </c>
      <c r="B199" s="32">
        <f t="shared" si="44"/>
        <v>0.6666666666666663</v>
      </c>
      <c r="C199" s="33" t="s">
        <v>29</v>
      </c>
      <c r="D199" s="62" t="s">
        <v>22</v>
      </c>
      <c r="E199" s="62" t="s">
        <v>261</v>
      </c>
      <c r="F199" s="27">
        <v>15</v>
      </c>
      <c r="G199" s="34">
        <f t="shared" si="42"/>
        <v>63</v>
      </c>
      <c r="H199" s="33"/>
      <c r="I199" s="33"/>
      <c r="J199" s="33"/>
      <c r="K199" s="29"/>
      <c r="L199" s="29"/>
      <c r="M199" s="35" t="str">
        <f t="shared" ca="1" si="43"/>
        <v/>
      </c>
      <c r="N199" s="27"/>
      <c r="O199" s="31"/>
    </row>
    <row r="200" spans="1:15" ht="15" customHeight="1">
      <c r="A200" s="68">
        <v>46211</v>
      </c>
      <c r="B200" s="25">
        <f t="shared" si="44"/>
        <v>0.70833333333333293</v>
      </c>
      <c r="C200" s="33" t="s">
        <v>29</v>
      </c>
      <c r="D200" s="62" t="s">
        <v>22</v>
      </c>
      <c r="E200" s="62" t="s">
        <v>261</v>
      </c>
      <c r="F200" s="27">
        <v>12</v>
      </c>
      <c r="G200" s="28">
        <f t="shared" si="42"/>
        <v>50.400000000000006</v>
      </c>
      <c r="H200" s="26"/>
      <c r="I200" s="26"/>
      <c r="J200" s="26"/>
      <c r="K200" s="29"/>
      <c r="L200" s="29"/>
      <c r="M200" s="30" t="str">
        <f t="shared" ca="1" si="43"/>
        <v/>
      </c>
      <c r="N200" s="27"/>
      <c r="O200" s="31"/>
    </row>
    <row r="201" spans="1:15" ht="15" customHeight="1">
      <c r="A201" s="69">
        <v>46211</v>
      </c>
      <c r="B201" s="32">
        <f t="shared" si="44"/>
        <v>0.74999999999999956</v>
      </c>
      <c r="C201" s="33" t="s">
        <v>29</v>
      </c>
      <c r="D201" s="62" t="s">
        <v>22</v>
      </c>
      <c r="E201" s="62" t="s">
        <v>261</v>
      </c>
      <c r="F201" s="27">
        <v>6</v>
      </c>
      <c r="G201" s="34">
        <f t="shared" si="42"/>
        <v>25.200000000000003</v>
      </c>
      <c r="H201" s="33"/>
      <c r="I201" s="33"/>
      <c r="J201" s="33"/>
      <c r="K201" s="29"/>
      <c r="L201" s="29"/>
      <c r="M201" s="35" t="str">
        <f t="shared" ca="1" si="43"/>
        <v/>
      </c>
      <c r="N201" s="27"/>
      <c r="O201" s="31"/>
    </row>
    <row r="202" spans="1:15" ht="15" customHeight="1">
      <c r="A202" s="68">
        <v>46211</v>
      </c>
      <c r="B202" s="25">
        <f t="shared" si="44"/>
        <v>0.79166666666666619</v>
      </c>
      <c r="C202" s="33" t="s">
        <v>29</v>
      </c>
      <c r="D202" s="62" t="s">
        <v>22</v>
      </c>
      <c r="E202" s="62" t="s">
        <v>261</v>
      </c>
      <c r="F202" s="27">
        <v>0</v>
      </c>
      <c r="G202" s="28">
        <f t="shared" si="42"/>
        <v>0</v>
      </c>
      <c r="H202" s="26"/>
      <c r="I202" s="26"/>
      <c r="J202" s="26"/>
      <c r="K202" s="29"/>
      <c r="L202" s="29"/>
      <c r="M202" s="30" t="str">
        <f t="shared" ca="1" si="43"/>
        <v/>
      </c>
      <c r="N202" s="27"/>
      <c r="O202" s="31"/>
    </row>
    <row r="203" spans="1:15" ht="15.75" customHeight="1">
      <c r="A203" s="119" t="s">
        <v>236</v>
      </c>
      <c r="B203" s="120"/>
      <c r="C203" s="120"/>
      <c r="D203" s="120"/>
      <c r="E203" s="121">
        <f>SUM(E191:E202)</f>
        <v>0</v>
      </c>
      <c r="F203" s="36">
        <f>SUM(F191:F202)</f>
        <v>90</v>
      </c>
      <c r="G203" s="36">
        <f>SUM(G191:G202)</f>
        <v>377.99999999999994</v>
      </c>
      <c r="H203" s="37"/>
      <c r="I203" s="37"/>
      <c r="J203" s="37"/>
      <c r="K203" s="37"/>
      <c r="L203" s="37"/>
      <c r="M203" s="38">
        <f ca="1">IFERROR(SUM(M191:M202),"")</f>
        <v>0.15625000000000006</v>
      </c>
      <c r="N203" s="36" t="s">
        <v>237</v>
      </c>
      <c r="O203" s="39">
        <v>324840</v>
      </c>
    </row>
    <row r="204" spans="1:15" ht="15" customHeight="1">
      <c r="A204" s="68">
        <v>46211</v>
      </c>
      <c r="B204" s="25">
        <v>0.83333333333333304</v>
      </c>
      <c r="C204" s="26" t="s">
        <v>21</v>
      </c>
      <c r="D204" s="59" t="s">
        <v>30</v>
      </c>
      <c r="E204" s="59" t="s">
        <v>261</v>
      </c>
      <c r="F204" s="27">
        <v>6</v>
      </c>
      <c r="G204" s="28">
        <f t="shared" ref="G204:G215" si="45">IF(F204="","",IF(E204="PC 17",F204*4.2,IF(E204="PC 19",F204*5,"")))</f>
        <v>25.200000000000003</v>
      </c>
      <c r="H204" s="26" t="s">
        <v>18</v>
      </c>
      <c r="I204" s="26"/>
      <c r="J204" s="26" t="s">
        <v>105</v>
      </c>
      <c r="K204" s="29">
        <v>0.79166666666666663</v>
      </c>
      <c r="L204" s="29">
        <v>0.82638888888888884</v>
      </c>
      <c r="M204" s="30">
        <f t="shared" ref="M204:M215" ca="1" si="46">IFERROR(IF(K204="","",IF(L204="",MOD(NOW()-K204,1),IF(L204&gt;=K204,L204-K204,L204+1-K204))),"")</f>
        <v>3.472222222222221E-2</v>
      </c>
      <c r="N204" s="27"/>
      <c r="O204" s="47"/>
    </row>
    <row r="205" spans="1:15" ht="15" customHeight="1">
      <c r="A205" s="69">
        <v>46211</v>
      </c>
      <c r="B205" s="32">
        <f t="shared" ref="B205:B215" si="47">B204+TIME(0,60,0)</f>
        <v>0.87499999999999967</v>
      </c>
      <c r="C205" s="26" t="s">
        <v>21</v>
      </c>
      <c r="D205" s="59" t="s">
        <v>30</v>
      </c>
      <c r="E205" s="59" t="s">
        <v>234</v>
      </c>
      <c r="F205" s="27">
        <v>13</v>
      </c>
      <c r="G205" s="34">
        <f t="shared" si="45"/>
        <v>65</v>
      </c>
      <c r="H205" s="33" t="s">
        <v>19</v>
      </c>
      <c r="I205" s="33" t="s">
        <v>47</v>
      </c>
      <c r="J205" s="33" t="s">
        <v>78</v>
      </c>
      <c r="K205" s="29">
        <v>9.0277777777777776E-2</v>
      </c>
      <c r="L205" s="29">
        <v>0.1111111111111111</v>
      </c>
      <c r="M205" s="35">
        <f t="shared" ca="1" si="46"/>
        <v>2.0833333333333329E-2</v>
      </c>
      <c r="N205" s="27"/>
      <c r="O205" s="47"/>
    </row>
    <row r="206" spans="1:15" ht="15" customHeight="1">
      <c r="A206" s="68">
        <v>46211</v>
      </c>
      <c r="B206" s="25">
        <f t="shared" si="47"/>
        <v>0.9166666666666663</v>
      </c>
      <c r="C206" s="26" t="s">
        <v>21</v>
      </c>
      <c r="D206" s="59" t="s">
        <v>30</v>
      </c>
      <c r="E206" s="59" t="s">
        <v>261</v>
      </c>
      <c r="F206" s="27">
        <v>15</v>
      </c>
      <c r="G206" s="28">
        <f t="shared" si="45"/>
        <v>63</v>
      </c>
      <c r="H206" s="26" t="s">
        <v>19</v>
      </c>
      <c r="I206" s="26" t="s">
        <v>47</v>
      </c>
      <c r="J206" s="26" t="s">
        <v>27</v>
      </c>
      <c r="K206" s="29">
        <v>0.24652777777777779</v>
      </c>
      <c r="L206" s="29">
        <v>0.25694444444444442</v>
      </c>
      <c r="M206" s="30">
        <f t="shared" ca="1" si="46"/>
        <v>1.041666666666663E-2</v>
      </c>
      <c r="N206" s="27"/>
      <c r="O206" s="47"/>
    </row>
    <row r="207" spans="1:15" ht="15" customHeight="1">
      <c r="A207" s="69">
        <v>46211</v>
      </c>
      <c r="B207" s="32">
        <f t="shared" si="47"/>
        <v>0.95833333333333293</v>
      </c>
      <c r="C207" s="26" t="s">
        <v>21</v>
      </c>
      <c r="D207" s="59" t="s">
        <v>30</v>
      </c>
      <c r="E207" s="59" t="s">
        <v>261</v>
      </c>
      <c r="F207" s="27">
        <v>9</v>
      </c>
      <c r="G207" s="34">
        <f t="shared" si="45"/>
        <v>37.800000000000004</v>
      </c>
      <c r="H207" s="33"/>
      <c r="I207" s="33"/>
      <c r="J207" s="33"/>
      <c r="K207" s="29"/>
      <c r="L207" s="29"/>
      <c r="M207" s="35" t="str">
        <f t="shared" ca="1" si="46"/>
        <v/>
      </c>
      <c r="N207" s="27"/>
      <c r="O207" s="47"/>
    </row>
    <row r="208" spans="1:15" ht="15" customHeight="1">
      <c r="A208" s="68">
        <v>46211</v>
      </c>
      <c r="B208" s="25">
        <f t="shared" si="47"/>
        <v>0.99999999999999956</v>
      </c>
      <c r="C208" s="26" t="s">
        <v>21</v>
      </c>
      <c r="D208" s="59" t="s">
        <v>30</v>
      </c>
      <c r="E208" s="59" t="s">
        <v>261</v>
      </c>
      <c r="F208" s="27">
        <v>7</v>
      </c>
      <c r="G208" s="28">
        <f t="shared" si="45"/>
        <v>29.400000000000002</v>
      </c>
      <c r="H208" s="26"/>
      <c r="I208" s="26"/>
      <c r="J208" s="26"/>
      <c r="K208" s="29"/>
      <c r="L208" s="29"/>
      <c r="M208" s="30" t="str">
        <f t="shared" ca="1" si="46"/>
        <v/>
      </c>
      <c r="N208" s="27"/>
      <c r="O208" s="47"/>
    </row>
    <row r="209" spans="1:15" ht="15" customHeight="1">
      <c r="A209" s="69">
        <v>46211</v>
      </c>
      <c r="B209" s="32">
        <f t="shared" si="47"/>
        <v>1.0416666666666663</v>
      </c>
      <c r="C209" s="26" t="s">
        <v>21</v>
      </c>
      <c r="D209" s="59" t="s">
        <v>30</v>
      </c>
      <c r="E209" s="59" t="s">
        <v>261</v>
      </c>
      <c r="F209" s="27">
        <v>8</v>
      </c>
      <c r="G209" s="34">
        <f t="shared" si="45"/>
        <v>33.6</v>
      </c>
      <c r="H209" s="33"/>
      <c r="I209" s="33"/>
      <c r="J209" s="33"/>
      <c r="K209" s="29"/>
      <c r="L209" s="29"/>
      <c r="M209" s="35" t="str">
        <f t="shared" ca="1" si="46"/>
        <v/>
      </c>
      <c r="N209" s="27"/>
      <c r="O209" s="47"/>
    </row>
    <row r="210" spans="1:15" ht="15" customHeight="1">
      <c r="A210" s="68">
        <v>46211</v>
      </c>
      <c r="B210" s="25">
        <f t="shared" si="47"/>
        <v>1.083333333333333</v>
      </c>
      <c r="C210" s="26" t="s">
        <v>21</v>
      </c>
      <c r="D210" s="59" t="s">
        <v>30</v>
      </c>
      <c r="E210" s="59" t="s">
        <v>261</v>
      </c>
      <c r="F210" s="27">
        <v>8</v>
      </c>
      <c r="G210" s="28">
        <f t="shared" si="45"/>
        <v>33.6</v>
      </c>
      <c r="H210" s="26"/>
      <c r="I210" s="26"/>
      <c r="J210" s="26"/>
      <c r="K210" s="29"/>
      <c r="L210" s="29"/>
      <c r="M210" s="30" t="str">
        <f t="shared" ca="1" si="46"/>
        <v/>
      </c>
      <c r="N210" s="27"/>
      <c r="O210" s="47"/>
    </row>
    <row r="211" spans="1:15" ht="15" customHeight="1">
      <c r="A211" s="69">
        <v>46211</v>
      </c>
      <c r="B211" s="32">
        <f t="shared" si="47"/>
        <v>1.1249999999999998</v>
      </c>
      <c r="C211" s="26" t="s">
        <v>21</v>
      </c>
      <c r="D211" s="59" t="s">
        <v>30</v>
      </c>
      <c r="E211" s="59" t="s">
        <v>261</v>
      </c>
      <c r="F211" s="27">
        <v>11</v>
      </c>
      <c r="G211" s="34">
        <f t="shared" si="45"/>
        <v>46.2</v>
      </c>
      <c r="H211" s="33"/>
      <c r="I211" s="33"/>
      <c r="J211" s="33"/>
      <c r="K211" s="29"/>
      <c r="L211" s="29"/>
      <c r="M211" s="35" t="str">
        <f t="shared" ca="1" si="46"/>
        <v/>
      </c>
      <c r="N211" s="27"/>
      <c r="O211" s="47"/>
    </row>
    <row r="212" spans="1:15" ht="15" customHeight="1">
      <c r="A212" s="68">
        <v>46211</v>
      </c>
      <c r="B212" s="25">
        <f t="shared" si="47"/>
        <v>1.1666666666666665</v>
      </c>
      <c r="C212" s="26" t="s">
        <v>21</v>
      </c>
      <c r="D212" s="59" t="s">
        <v>30</v>
      </c>
      <c r="E212" s="59" t="s">
        <v>261</v>
      </c>
      <c r="F212" s="27">
        <v>10</v>
      </c>
      <c r="G212" s="28">
        <f t="shared" si="45"/>
        <v>42</v>
      </c>
      <c r="H212" s="26"/>
      <c r="I212" s="26"/>
      <c r="J212" s="26"/>
      <c r="K212" s="29"/>
      <c r="L212" s="29"/>
      <c r="M212" s="30" t="str">
        <f t="shared" ca="1" si="46"/>
        <v/>
      </c>
      <c r="N212" s="27"/>
      <c r="O212" s="47"/>
    </row>
    <row r="213" spans="1:15" ht="15" customHeight="1">
      <c r="A213" s="69">
        <v>46211</v>
      </c>
      <c r="B213" s="32">
        <f t="shared" si="47"/>
        <v>1.2083333333333333</v>
      </c>
      <c r="C213" s="26" t="s">
        <v>21</v>
      </c>
      <c r="D213" s="59" t="s">
        <v>30</v>
      </c>
      <c r="E213" s="59" t="s">
        <v>261</v>
      </c>
      <c r="F213" s="27">
        <v>2</v>
      </c>
      <c r="G213" s="34">
        <f t="shared" si="45"/>
        <v>8.4</v>
      </c>
      <c r="H213" s="33"/>
      <c r="I213" s="33"/>
      <c r="J213" s="33"/>
      <c r="K213" s="29"/>
      <c r="L213" s="29"/>
      <c r="M213" s="35" t="str">
        <f t="shared" ca="1" si="46"/>
        <v/>
      </c>
      <c r="N213" s="27"/>
      <c r="O213" s="47"/>
    </row>
    <row r="214" spans="1:15" ht="15" customHeight="1">
      <c r="A214" s="68">
        <v>46211</v>
      </c>
      <c r="B214" s="25">
        <f t="shared" si="47"/>
        <v>1.25</v>
      </c>
      <c r="C214" s="26" t="s">
        <v>21</v>
      </c>
      <c r="D214" s="59" t="s">
        <v>30</v>
      </c>
      <c r="E214" s="59" t="s">
        <v>261</v>
      </c>
      <c r="F214" s="27">
        <v>10</v>
      </c>
      <c r="G214" s="28">
        <f t="shared" si="45"/>
        <v>42</v>
      </c>
      <c r="H214" s="26"/>
      <c r="I214" s="26"/>
      <c r="J214" s="26"/>
      <c r="K214" s="29"/>
      <c r="L214" s="29"/>
      <c r="M214" s="30" t="str">
        <f t="shared" ca="1" si="46"/>
        <v/>
      </c>
      <c r="N214" s="27"/>
      <c r="O214" s="47"/>
    </row>
    <row r="215" spans="1:15" ht="15" customHeight="1">
      <c r="A215" s="69">
        <v>46211</v>
      </c>
      <c r="B215" s="32">
        <f t="shared" si="47"/>
        <v>1.2916666666666667</v>
      </c>
      <c r="C215" s="26" t="s">
        <v>21</v>
      </c>
      <c r="D215" s="59" t="s">
        <v>30</v>
      </c>
      <c r="E215" s="59" t="s">
        <v>261</v>
      </c>
      <c r="F215" s="27">
        <v>0</v>
      </c>
      <c r="G215" s="34">
        <f t="shared" si="45"/>
        <v>0</v>
      </c>
      <c r="H215" s="33"/>
      <c r="I215" s="33"/>
      <c r="J215" s="33"/>
      <c r="K215" s="29"/>
      <c r="L215" s="29"/>
      <c r="M215" s="35" t="str">
        <f t="shared" ca="1" si="46"/>
        <v/>
      </c>
      <c r="N215" s="27"/>
      <c r="O215" s="47"/>
    </row>
    <row r="216" spans="1:15" ht="15.75" customHeight="1">
      <c r="A216" s="119" t="s">
        <v>238</v>
      </c>
      <c r="B216" s="120"/>
      <c r="C216" s="120"/>
      <c r="D216" s="120"/>
      <c r="E216" s="121">
        <f>SUM(E204:E215)</f>
        <v>0</v>
      </c>
      <c r="F216" s="36">
        <f>SUM(F204:F215)</f>
        <v>99</v>
      </c>
      <c r="G216" s="36">
        <f>SUM(G204:G215)</f>
        <v>426.2</v>
      </c>
      <c r="H216" s="37"/>
      <c r="I216" s="37"/>
      <c r="J216" s="37"/>
      <c r="K216" s="37"/>
      <c r="L216" s="37"/>
      <c r="M216" s="38">
        <f ca="1">IFERROR(SUM(M204:M215),"")</f>
        <v>6.5972222222222168E-2</v>
      </c>
      <c r="N216" s="36" t="s">
        <v>237</v>
      </c>
      <c r="O216" s="39">
        <v>468430</v>
      </c>
    </row>
    <row r="217" spans="1:15" ht="18" customHeight="1">
      <c r="A217" s="122" t="s">
        <v>239</v>
      </c>
      <c r="B217" s="123"/>
      <c r="C217" s="123"/>
      <c r="D217" s="123"/>
      <c r="E217" s="124">
        <f>E203+E216</f>
        <v>0</v>
      </c>
      <c r="F217" s="40">
        <f>F203+F216</f>
        <v>189</v>
      </c>
      <c r="G217" s="40">
        <f>G203+G216</f>
        <v>804.19999999999993</v>
      </c>
      <c r="H217" s="41"/>
      <c r="I217" s="41"/>
      <c r="J217" s="41"/>
      <c r="K217" s="41"/>
      <c r="L217" s="41"/>
      <c r="M217" s="42">
        <f ca="1">IFERROR(M203+M216,"")</f>
        <v>0.22222222222222221</v>
      </c>
      <c r="N217" s="40" t="s">
        <v>240</v>
      </c>
      <c r="O217" s="48">
        <f>IFERROR(O203+O216,"")</f>
        <v>793270</v>
      </c>
    </row>
    <row r="218" spans="1:15" ht="15" customHeight="1">
      <c r="A218" s="68">
        <v>46212</v>
      </c>
      <c r="B218" s="25">
        <v>0.33333333333333298</v>
      </c>
      <c r="C218" s="26" t="s">
        <v>29</v>
      </c>
      <c r="D218" s="59" t="s">
        <v>30</v>
      </c>
      <c r="E218" s="59" t="s">
        <v>261</v>
      </c>
      <c r="F218" s="27">
        <v>14</v>
      </c>
      <c r="G218" s="28">
        <f t="shared" ref="G218:G229" si="48">IF(F218="","",IF(E218="PC 17",F218*4.2,IF(E218="PC 19",F218*5,"")))</f>
        <v>58.800000000000004</v>
      </c>
      <c r="H218" s="26" t="s">
        <v>20</v>
      </c>
      <c r="I218" s="26" t="s">
        <v>47</v>
      </c>
      <c r="J218" s="26" t="s">
        <v>51</v>
      </c>
      <c r="K218" s="29">
        <v>0.63888888888888884</v>
      </c>
      <c r="L218" s="29">
        <v>0.66041666666666665</v>
      </c>
      <c r="M218" s="30">
        <f t="shared" ref="M218:M229" ca="1" si="49">IFERROR(IF(K218="","",IF(L218="",MOD(NOW()-K218,1),IF(L218&gt;=K218,L218-K218,L218+1-K218))),"")</f>
        <v>2.1527777777777812E-2</v>
      </c>
      <c r="N218" s="27"/>
      <c r="O218" s="47"/>
    </row>
    <row r="219" spans="1:15" ht="15" customHeight="1">
      <c r="A219" s="69">
        <v>46212</v>
      </c>
      <c r="B219" s="32">
        <f t="shared" ref="B219:B229" si="50">B218+TIME(0,60,0)</f>
        <v>0.37499999999999967</v>
      </c>
      <c r="C219" s="26" t="s">
        <v>29</v>
      </c>
      <c r="D219" s="59" t="s">
        <v>30</v>
      </c>
      <c r="E219" s="59" t="s">
        <v>261</v>
      </c>
      <c r="F219" s="27">
        <v>11</v>
      </c>
      <c r="G219" s="34">
        <f t="shared" si="48"/>
        <v>46.2</v>
      </c>
      <c r="H219" s="33" t="s">
        <v>20</v>
      </c>
      <c r="I219" s="33" t="s">
        <v>47</v>
      </c>
      <c r="J219" s="33" t="s">
        <v>51</v>
      </c>
      <c r="K219" s="29">
        <v>0.6694444444444444</v>
      </c>
      <c r="L219" s="29">
        <v>0.6743055555555556</v>
      </c>
      <c r="M219" s="35">
        <f t="shared" ca="1" si="49"/>
        <v>4.8611111111112049E-3</v>
      </c>
      <c r="N219" s="27"/>
      <c r="O219" s="47"/>
    </row>
    <row r="220" spans="1:15" ht="15" customHeight="1">
      <c r="A220" s="68">
        <v>46212</v>
      </c>
      <c r="B220" s="25">
        <f t="shared" si="50"/>
        <v>0.41666666666666635</v>
      </c>
      <c r="C220" s="26" t="s">
        <v>29</v>
      </c>
      <c r="D220" s="59" t="s">
        <v>30</v>
      </c>
      <c r="E220" s="59" t="s">
        <v>261</v>
      </c>
      <c r="F220" s="27">
        <v>4</v>
      </c>
      <c r="G220" s="28">
        <f t="shared" si="48"/>
        <v>16.8</v>
      </c>
      <c r="H220" s="26" t="s">
        <v>20</v>
      </c>
      <c r="I220" s="26" t="s">
        <v>47</v>
      </c>
      <c r="J220" s="26" t="s">
        <v>51</v>
      </c>
      <c r="K220" s="29">
        <v>0.67638888888888893</v>
      </c>
      <c r="L220" s="29">
        <v>0.68194444444444446</v>
      </c>
      <c r="M220" s="30">
        <f t="shared" ca="1" si="49"/>
        <v>5.5555555555555358E-3</v>
      </c>
      <c r="N220" s="27"/>
      <c r="O220" s="47"/>
    </row>
    <row r="221" spans="1:15" ht="15" customHeight="1">
      <c r="A221" s="69">
        <v>46212</v>
      </c>
      <c r="B221" s="32">
        <f t="shared" si="50"/>
        <v>0.45833333333333304</v>
      </c>
      <c r="C221" s="26" t="s">
        <v>29</v>
      </c>
      <c r="D221" s="59" t="s">
        <v>30</v>
      </c>
      <c r="E221" s="59" t="s">
        <v>261</v>
      </c>
      <c r="F221" s="27">
        <v>10</v>
      </c>
      <c r="G221" s="34">
        <f t="shared" si="48"/>
        <v>42</v>
      </c>
      <c r="H221" s="33" t="s">
        <v>20</v>
      </c>
      <c r="I221" s="33" t="s">
        <v>47</v>
      </c>
      <c r="J221" s="33" t="s">
        <v>51</v>
      </c>
      <c r="K221" s="29">
        <v>0.74930555555555556</v>
      </c>
      <c r="L221" s="29">
        <v>0.75277777777777777</v>
      </c>
      <c r="M221" s="35">
        <f t="shared" ca="1" si="49"/>
        <v>3.4722222222222099E-3</v>
      </c>
      <c r="N221" s="27"/>
      <c r="O221" s="47"/>
    </row>
    <row r="222" spans="1:15" ht="15" customHeight="1">
      <c r="A222" s="68">
        <v>46212</v>
      </c>
      <c r="B222" s="25">
        <f t="shared" si="50"/>
        <v>0.49999999999999972</v>
      </c>
      <c r="C222" s="26" t="s">
        <v>29</v>
      </c>
      <c r="D222" s="59" t="s">
        <v>30</v>
      </c>
      <c r="E222" s="59" t="s">
        <v>261</v>
      </c>
      <c r="F222" s="27">
        <v>5</v>
      </c>
      <c r="G222" s="28">
        <f t="shared" si="48"/>
        <v>21</v>
      </c>
      <c r="H222" s="26"/>
      <c r="I222" s="26"/>
      <c r="J222" s="26"/>
      <c r="K222" s="29"/>
      <c r="L222" s="29"/>
      <c r="M222" s="30" t="str">
        <f t="shared" ca="1" si="49"/>
        <v/>
      </c>
      <c r="N222" s="27"/>
      <c r="O222" s="47"/>
    </row>
    <row r="223" spans="1:15" ht="15" customHeight="1">
      <c r="A223" s="69">
        <v>46212</v>
      </c>
      <c r="B223" s="32">
        <f t="shared" si="50"/>
        <v>0.54166666666666641</v>
      </c>
      <c r="C223" s="26" t="s">
        <v>29</v>
      </c>
      <c r="D223" s="59" t="s">
        <v>30</v>
      </c>
      <c r="E223" s="59" t="s">
        <v>261</v>
      </c>
      <c r="F223" s="27">
        <v>11</v>
      </c>
      <c r="G223" s="34">
        <f t="shared" si="48"/>
        <v>46.2</v>
      </c>
      <c r="H223" s="33"/>
      <c r="I223" s="33"/>
      <c r="J223" s="33"/>
      <c r="K223" s="29"/>
      <c r="L223" s="29"/>
      <c r="M223" s="35" t="str">
        <f t="shared" ca="1" si="49"/>
        <v/>
      </c>
      <c r="N223" s="27"/>
      <c r="O223" s="47"/>
    </row>
    <row r="224" spans="1:15" ht="15" customHeight="1">
      <c r="A224" s="68">
        <v>46212</v>
      </c>
      <c r="B224" s="25">
        <f t="shared" si="50"/>
        <v>0.58333333333333304</v>
      </c>
      <c r="C224" s="26" t="s">
        <v>29</v>
      </c>
      <c r="D224" s="59" t="s">
        <v>38</v>
      </c>
      <c r="E224" s="59" t="s">
        <v>261</v>
      </c>
      <c r="F224" s="27">
        <v>15</v>
      </c>
      <c r="G224" s="28">
        <f t="shared" si="48"/>
        <v>63</v>
      </c>
      <c r="H224" s="26"/>
      <c r="I224" s="26"/>
      <c r="J224" s="26"/>
      <c r="K224" s="29"/>
      <c r="L224" s="29"/>
      <c r="M224" s="30" t="str">
        <f t="shared" ca="1" si="49"/>
        <v/>
      </c>
      <c r="N224" s="27"/>
      <c r="O224" s="47"/>
    </row>
    <row r="225" spans="1:15" ht="15" customHeight="1">
      <c r="A225" s="69">
        <v>46212</v>
      </c>
      <c r="B225" s="32">
        <f t="shared" si="50"/>
        <v>0.62499999999999967</v>
      </c>
      <c r="C225" s="26" t="s">
        <v>29</v>
      </c>
      <c r="D225" s="59" t="s">
        <v>38</v>
      </c>
      <c r="E225" s="59" t="s">
        <v>261</v>
      </c>
      <c r="F225" s="27">
        <v>10</v>
      </c>
      <c r="G225" s="34">
        <f t="shared" si="48"/>
        <v>42</v>
      </c>
      <c r="H225" s="33"/>
      <c r="I225" s="33"/>
      <c r="J225" s="33"/>
      <c r="K225" s="29"/>
      <c r="L225" s="29"/>
      <c r="M225" s="35" t="str">
        <f t="shared" ca="1" si="49"/>
        <v/>
      </c>
      <c r="N225" s="27"/>
      <c r="O225" s="47"/>
    </row>
    <row r="226" spans="1:15" ht="15" customHeight="1">
      <c r="A226" s="68">
        <v>46212</v>
      </c>
      <c r="B226" s="25">
        <f t="shared" si="50"/>
        <v>0.6666666666666663</v>
      </c>
      <c r="C226" s="26" t="s">
        <v>29</v>
      </c>
      <c r="D226" s="59" t="s">
        <v>38</v>
      </c>
      <c r="E226" s="59" t="s">
        <v>261</v>
      </c>
      <c r="F226" s="27">
        <v>0</v>
      </c>
      <c r="G226" s="28">
        <f t="shared" si="48"/>
        <v>0</v>
      </c>
      <c r="H226" s="26"/>
      <c r="I226" s="26"/>
      <c r="J226" s="26"/>
      <c r="K226" s="29"/>
      <c r="L226" s="29"/>
      <c r="M226" s="30" t="str">
        <f t="shared" ca="1" si="49"/>
        <v/>
      </c>
      <c r="N226" s="27"/>
      <c r="O226" s="47"/>
    </row>
    <row r="227" spans="1:15" ht="15" customHeight="1">
      <c r="A227" s="69">
        <v>46212</v>
      </c>
      <c r="B227" s="32">
        <f t="shared" si="50"/>
        <v>0.70833333333333293</v>
      </c>
      <c r="C227" s="26" t="s">
        <v>29</v>
      </c>
      <c r="D227" s="59" t="s">
        <v>38</v>
      </c>
      <c r="E227" s="59" t="s">
        <v>261</v>
      </c>
      <c r="F227" s="27">
        <v>0</v>
      </c>
      <c r="G227" s="34">
        <f t="shared" si="48"/>
        <v>0</v>
      </c>
      <c r="H227" s="33"/>
      <c r="I227" s="33"/>
      <c r="J227" s="33"/>
      <c r="K227" s="29"/>
      <c r="L227" s="29"/>
      <c r="M227" s="35" t="str">
        <f t="shared" ca="1" si="49"/>
        <v/>
      </c>
      <c r="N227" s="27"/>
      <c r="O227" s="47"/>
    </row>
    <row r="228" spans="1:15" ht="15" customHeight="1">
      <c r="A228" s="68">
        <v>46212</v>
      </c>
      <c r="B228" s="25">
        <f t="shared" si="50"/>
        <v>0.74999999999999956</v>
      </c>
      <c r="C228" s="26" t="s">
        <v>29</v>
      </c>
      <c r="D228" s="59" t="s">
        <v>38</v>
      </c>
      <c r="E228" s="59" t="s">
        <v>261</v>
      </c>
      <c r="F228" s="27">
        <v>10</v>
      </c>
      <c r="G228" s="28">
        <f t="shared" si="48"/>
        <v>42</v>
      </c>
      <c r="H228" s="26"/>
      <c r="I228" s="26"/>
      <c r="J228" s="26"/>
      <c r="K228" s="29"/>
      <c r="L228" s="29"/>
      <c r="M228" s="30" t="str">
        <f t="shared" ca="1" si="49"/>
        <v/>
      </c>
      <c r="N228" s="27"/>
      <c r="O228" s="47"/>
    </row>
    <row r="229" spans="1:15" ht="15" customHeight="1">
      <c r="A229" s="69">
        <v>46212</v>
      </c>
      <c r="B229" s="32">
        <f t="shared" si="50"/>
        <v>0.79166666666666619</v>
      </c>
      <c r="C229" s="26" t="s">
        <v>29</v>
      </c>
      <c r="D229" s="59" t="s">
        <v>38</v>
      </c>
      <c r="E229" s="59" t="s">
        <v>261</v>
      </c>
      <c r="F229" s="27">
        <v>12</v>
      </c>
      <c r="G229" s="34">
        <f t="shared" si="48"/>
        <v>50.400000000000006</v>
      </c>
      <c r="H229" s="33"/>
      <c r="I229" s="33"/>
      <c r="J229" s="33"/>
      <c r="K229" s="29"/>
      <c r="L229" s="29"/>
      <c r="M229" s="35" t="str">
        <f t="shared" ca="1" si="49"/>
        <v/>
      </c>
      <c r="N229" s="27"/>
      <c r="O229" s="47"/>
    </row>
    <row r="230" spans="1:15" ht="15.75" customHeight="1">
      <c r="A230" s="119" t="s">
        <v>236</v>
      </c>
      <c r="B230" s="120"/>
      <c r="C230" s="120"/>
      <c r="D230" s="120"/>
      <c r="E230" s="121">
        <f>SUM(E218:E229)</f>
        <v>0</v>
      </c>
      <c r="F230" s="36">
        <f>SUM(F218:F229)</f>
        <v>102</v>
      </c>
      <c r="G230" s="36">
        <f>SUM(G218:G229)</f>
        <v>428.4</v>
      </c>
      <c r="H230" s="37"/>
      <c r="I230" s="37"/>
      <c r="J230" s="37"/>
      <c r="K230" s="37"/>
      <c r="L230" s="37"/>
      <c r="M230" s="38">
        <f ca="1">IFERROR(SUM(M218:M229),"")</f>
        <v>3.5416666666666763E-2</v>
      </c>
      <c r="N230" s="36" t="s">
        <v>237</v>
      </c>
      <c r="O230" s="39">
        <v>469520</v>
      </c>
    </row>
    <row r="231" spans="1:15" ht="15" customHeight="1">
      <c r="A231" s="69">
        <v>46212</v>
      </c>
      <c r="B231" s="32">
        <v>0.83333333333333304</v>
      </c>
      <c r="C231" s="33" t="s">
        <v>21</v>
      </c>
      <c r="D231" s="62" t="s">
        <v>30</v>
      </c>
      <c r="E231" s="62" t="s">
        <v>261</v>
      </c>
      <c r="F231" s="27">
        <v>20</v>
      </c>
      <c r="G231" s="34">
        <f t="shared" ref="G231:G242" si="51">IF(F231="","",IF(E231="PC 17",F231*4.2,IF(E231="PC 19",F231*5,"")))</f>
        <v>84</v>
      </c>
      <c r="H231" s="33" t="s">
        <v>20</v>
      </c>
      <c r="I231" s="33" t="s">
        <v>147</v>
      </c>
      <c r="J231" s="33" t="s">
        <v>180</v>
      </c>
      <c r="K231" s="29">
        <v>0.9375</v>
      </c>
      <c r="L231" s="29">
        <v>0.95833333333333337</v>
      </c>
      <c r="M231" s="35">
        <f t="shared" ref="M231:M242" ca="1" si="52">IFERROR(IF(K231="","",IF(L231="",MOD(NOW()-K231,1),IF(L231&gt;=K231,L231-K231,L231+1-K231))),"")</f>
        <v>2.083333333333337E-2</v>
      </c>
      <c r="N231" s="27"/>
      <c r="O231" s="47"/>
    </row>
    <row r="232" spans="1:15" ht="15" customHeight="1">
      <c r="A232" s="68">
        <v>46212</v>
      </c>
      <c r="B232" s="25">
        <f t="shared" ref="B232:B242" si="53">B231+TIME(0,60,0)</f>
        <v>0.87499999999999967</v>
      </c>
      <c r="C232" s="33" t="s">
        <v>21</v>
      </c>
      <c r="D232" s="62" t="s">
        <v>30</v>
      </c>
      <c r="E232" s="62" t="s">
        <v>234</v>
      </c>
      <c r="F232" s="27">
        <v>7</v>
      </c>
      <c r="G232" s="28">
        <f t="shared" si="51"/>
        <v>35</v>
      </c>
      <c r="H232" s="26" t="s">
        <v>20</v>
      </c>
      <c r="I232" s="26" t="s">
        <v>147</v>
      </c>
      <c r="J232" s="26" t="s">
        <v>74</v>
      </c>
      <c r="K232" s="29">
        <v>0.96527777777777779</v>
      </c>
      <c r="L232" s="29">
        <v>0.97291666666666665</v>
      </c>
      <c r="M232" s="30">
        <f t="shared" ca="1" si="52"/>
        <v>7.6388888888888618E-3</v>
      </c>
      <c r="N232" s="27"/>
      <c r="O232" s="47"/>
    </row>
    <row r="233" spans="1:15" ht="15" customHeight="1">
      <c r="A233" s="69">
        <v>46212</v>
      </c>
      <c r="B233" s="32">
        <f t="shared" si="53"/>
        <v>0.9166666666666663</v>
      </c>
      <c r="C233" s="33" t="s">
        <v>21</v>
      </c>
      <c r="D233" s="62" t="s">
        <v>30</v>
      </c>
      <c r="E233" s="62" t="s">
        <v>261</v>
      </c>
      <c r="F233" s="27">
        <v>14</v>
      </c>
      <c r="G233" s="34">
        <f t="shared" si="51"/>
        <v>58.800000000000004</v>
      </c>
      <c r="H233" s="33" t="s">
        <v>18</v>
      </c>
      <c r="I233" s="33" t="s">
        <v>139</v>
      </c>
      <c r="J233" s="33" t="s">
        <v>100</v>
      </c>
      <c r="K233" s="29">
        <v>6.9444444444444448E-2</v>
      </c>
      <c r="L233" s="29">
        <v>8.3333333333333329E-2</v>
      </c>
      <c r="M233" s="35">
        <f t="shared" ca="1" si="52"/>
        <v>1.3888888888888881E-2</v>
      </c>
      <c r="N233" s="27"/>
      <c r="O233" s="47"/>
    </row>
    <row r="234" spans="1:15" ht="15" customHeight="1">
      <c r="A234" s="68">
        <v>46212</v>
      </c>
      <c r="B234" s="25">
        <f t="shared" si="53"/>
        <v>0.95833333333333293</v>
      </c>
      <c r="C234" s="33" t="s">
        <v>21</v>
      </c>
      <c r="D234" s="62" t="s">
        <v>30</v>
      </c>
      <c r="E234" s="62" t="s">
        <v>261</v>
      </c>
      <c r="F234" s="27">
        <v>4</v>
      </c>
      <c r="G234" s="28">
        <f t="shared" si="51"/>
        <v>16.8</v>
      </c>
      <c r="H234" s="26" t="s">
        <v>19</v>
      </c>
      <c r="I234" s="26" t="s">
        <v>47</v>
      </c>
      <c r="J234" s="26" t="s">
        <v>27</v>
      </c>
      <c r="K234" s="29">
        <v>0.23958333333333334</v>
      </c>
      <c r="L234" s="29">
        <v>0.25</v>
      </c>
      <c r="M234" s="30">
        <f t="shared" ca="1" si="52"/>
        <v>1.0416666666666657E-2</v>
      </c>
      <c r="N234" s="27"/>
      <c r="O234" s="47"/>
    </row>
    <row r="235" spans="1:15" ht="15" customHeight="1">
      <c r="A235" s="69">
        <v>46212</v>
      </c>
      <c r="B235" s="32">
        <f t="shared" si="53"/>
        <v>0.99999999999999956</v>
      </c>
      <c r="C235" s="33" t="s">
        <v>21</v>
      </c>
      <c r="D235" s="62" t="s">
        <v>30</v>
      </c>
      <c r="E235" s="62" t="s">
        <v>261</v>
      </c>
      <c r="F235" s="27">
        <v>8</v>
      </c>
      <c r="G235" s="34">
        <f t="shared" si="51"/>
        <v>33.6</v>
      </c>
      <c r="H235" s="33"/>
      <c r="I235" s="33"/>
      <c r="J235" s="33"/>
      <c r="K235" s="29"/>
      <c r="L235" s="29"/>
      <c r="M235" s="35" t="str">
        <f t="shared" ca="1" si="52"/>
        <v/>
      </c>
      <c r="N235" s="27"/>
      <c r="O235" s="47"/>
    </row>
    <row r="236" spans="1:15" ht="15" customHeight="1">
      <c r="A236" s="68">
        <v>46212</v>
      </c>
      <c r="B236" s="25">
        <f t="shared" si="53"/>
        <v>1.0416666666666663</v>
      </c>
      <c r="C236" s="33" t="s">
        <v>21</v>
      </c>
      <c r="D236" s="62" t="s">
        <v>30</v>
      </c>
      <c r="E236" s="62" t="s">
        <v>261</v>
      </c>
      <c r="F236" s="27">
        <v>16</v>
      </c>
      <c r="G236" s="28">
        <f t="shared" si="51"/>
        <v>67.2</v>
      </c>
      <c r="H236" s="50"/>
      <c r="I236" s="50"/>
      <c r="J236" s="50"/>
      <c r="K236" s="29"/>
      <c r="L236" s="29"/>
      <c r="M236" s="30" t="str">
        <f t="shared" ca="1" si="52"/>
        <v/>
      </c>
      <c r="N236" s="27"/>
      <c r="O236" s="47"/>
    </row>
    <row r="237" spans="1:15" ht="15" customHeight="1">
      <c r="A237" s="69">
        <v>46212</v>
      </c>
      <c r="B237" s="32">
        <f t="shared" si="53"/>
        <v>1.083333333333333</v>
      </c>
      <c r="C237" s="33" t="s">
        <v>21</v>
      </c>
      <c r="D237" s="62" t="s">
        <v>30</v>
      </c>
      <c r="E237" s="62" t="s">
        <v>261</v>
      </c>
      <c r="F237" s="27">
        <v>9</v>
      </c>
      <c r="G237" s="34">
        <f t="shared" si="51"/>
        <v>37.800000000000004</v>
      </c>
      <c r="H237" s="33"/>
      <c r="I237" s="33"/>
      <c r="J237" s="33"/>
      <c r="K237" s="29"/>
      <c r="L237" s="29"/>
      <c r="M237" s="35" t="str">
        <f t="shared" ca="1" si="52"/>
        <v/>
      </c>
      <c r="N237" s="27"/>
      <c r="O237" s="47"/>
    </row>
    <row r="238" spans="1:15" ht="15" customHeight="1">
      <c r="A238" s="68">
        <v>46212</v>
      </c>
      <c r="B238" s="25">
        <f t="shared" si="53"/>
        <v>1.1249999999999998</v>
      </c>
      <c r="C238" s="33" t="s">
        <v>21</v>
      </c>
      <c r="D238" s="62" t="s">
        <v>30</v>
      </c>
      <c r="E238" s="62" t="s">
        <v>261</v>
      </c>
      <c r="F238" s="27">
        <v>10</v>
      </c>
      <c r="G238" s="28">
        <f t="shared" si="51"/>
        <v>42</v>
      </c>
      <c r="H238" s="26"/>
      <c r="I238" s="26"/>
      <c r="J238" s="26"/>
      <c r="K238" s="29"/>
      <c r="L238" s="29"/>
      <c r="M238" s="30" t="str">
        <f t="shared" ca="1" si="52"/>
        <v/>
      </c>
      <c r="N238" s="27"/>
      <c r="O238" s="47"/>
    </row>
    <row r="239" spans="1:15" ht="15" customHeight="1">
      <c r="A239" s="69">
        <v>46212</v>
      </c>
      <c r="B239" s="32">
        <f t="shared" si="53"/>
        <v>1.1666666666666665</v>
      </c>
      <c r="C239" s="33" t="s">
        <v>21</v>
      </c>
      <c r="D239" s="62" t="s">
        <v>30</v>
      </c>
      <c r="E239" s="62" t="s">
        <v>261</v>
      </c>
      <c r="F239" s="27">
        <v>13</v>
      </c>
      <c r="G239" s="34">
        <f t="shared" si="51"/>
        <v>54.6</v>
      </c>
      <c r="H239" s="33"/>
      <c r="I239" s="33"/>
      <c r="J239" s="33"/>
      <c r="K239" s="29"/>
      <c r="L239" s="29"/>
      <c r="M239" s="35" t="str">
        <f t="shared" ca="1" si="52"/>
        <v/>
      </c>
      <c r="N239" s="27"/>
      <c r="O239" s="47"/>
    </row>
    <row r="240" spans="1:15" ht="15" customHeight="1">
      <c r="A240" s="68">
        <v>46212</v>
      </c>
      <c r="B240" s="25">
        <f t="shared" si="53"/>
        <v>1.2083333333333333</v>
      </c>
      <c r="C240" s="33" t="s">
        <v>21</v>
      </c>
      <c r="D240" s="62" t="s">
        <v>30</v>
      </c>
      <c r="E240" s="62" t="s">
        <v>261</v>
      </c>
      <c r="F240" s="27">
        <v>8</v>
      </c>
      <c r="G240" s="28">
        <f t="shared" si="51"/>
        <v>33.6</v>
      </c>
      <c r="H240" s="26"/>
      <c r="I240" s="26"/>
      <c r="J240" s="26"/>
      <c r="K240" s="29"/>
      <c r="L240" s="29"/>
      <c r="M240" s="30" t="str">
        <f t="shared" ca="1" si="52"/>
        <v/>
      </c>
      <c r="N240" s="27"/>
      <c r="O240" s="47"/>
    </row>
    <row r="241" spans="1:15" ht="15" customHeight="1">
      <c r="A241" s="69">
        <v>46212</v>
      </c>
      <c r="B241" s="32">
        <f t="shared" si="53"/>
        <v>1.25</v>
      </c>
      <c r="C241" s="33" t="s">
        <v>21</v>
      </c>
      <c r="D241" s="62" t="s">
        <v>30</v>
      </c>
      <c r="E241" s="62" t="s">
        <v>234</v>
      </c>
      <c r="F241" s="27">
        <v>8</v>
      </c>
      <c r="G241" s="34">
        <f t="shared" si="51"/>
        <v>40</v>
      </c>
      <c r="H241" s="33"/>
      <c r="I241" s="33"/>
      <c r="J241" s="33"/>
      <c r="K241" s="29"/>
      <c r="L241" s="29"/>
      <c r="M241" s="35" t="str">
        <f t="shared" ca="1" si="52"/>
        <v/>
      </c>
      <c r="N241" s="27"/>
      <c r="O241" s="47"/>
    </row>
    <row r="242" spans="1:15" ht="15" customHeight="1">
      <c r="A242" s="68">
        <v>46212</v>
      </c>
      <c r="B242" s="25">
        <f t="shared" si="53"/>
        <v>1.2916666666666667</v>
      </c>
      <c r="C242" s="33" t="s">
        <v>21</v>
      </c>
      <c r="D242" s="62" t="s">
        <v>30</v>
      </c>
      <c r="E242" s="62" t="s">
        <v>261</v>
      </c>
      <c r="F242" s="27">
        <v>3</v>
      </c>
      <c r="G242" s="28">
        <f t="shared" si="51"/>
        <v>12.600000000000001</v>
      </c>
      <c r="H242" s="26"/>
      <c r="I242" s="26"/>
      <c r="J242" s="26"/>
      <c r="K242" s="29"/>
      <c r="L242" s="29"/>
      <c r="M242" s="30" t="str">
        <f t="shared" ca="1" si="52"/>
        <v/>
      </c>
      <c r="N242" s="27"/>
      <c r="O242" s="47"/>
    </row>
    <row r="243" spans="1:15" ht="15.75" customHeight="1">
      <c r="A243" s="119" t="s">
        <v>238</v>
      </c>
      <c r="B243" s="120"/>
      <c r="C243" s="120"/>
      <c r="D243" s="120"/>
      <c r="E243" s="121">
        <f>SUM(E231:E242)</f>
        <v>0</v>
      </c>
      <c r="F243" s="36">
        <f>SUM(F231:F242)</f>
        <v>120</v>
      </c>
      <c r="G243" s="36">
        <f>SUM(G231:G242)</f>
        <v>516.00000000000011</v>
      </c>
      <c r="H243" s="37"/>
      <c r="I243" s="37"/>
      <c r="J243" s="37"/>
      <c r="K243" s="37"/>
      <c r="L243" s="37"/>
      <c r="M243" s="38">
        <f ca="1">IFERROR(SUM(M231:M242),"")</f>
        <v>5.2777777777777771E-2</v>
      </c>
      <c r="N243" s="36" t="s">
        <v>237</v>
      </c>
      <c r="O243" s="39">
        <v>575930</v>
      </c>
    </row>
    <row r="244" spans="1:15" ht="18" customHeight="1">
      <c r="A244" s="122" t="s">
        <v>239</v>
      </c>
      <c r="B244" s="123"/>
      <c r="C244" s="123"/>
      <c r="D244" s="123"/>
      <c r="E244" s="124">
        <f>E230+E243</f>
        <v>0</v>
      </c>
      <c r="F244" s="40">
        <f>F230+F243</f>
        <v>222</v>
      </c>
      <c r="G244" s="40">
        <f>G230+G243</f>
        <v>944.40000000000009</v>
      </c>
      <c r="H244" s="41"/>
      <c r="I244" s="41"/>
      <c r="J244" s="41"/>
      <c r="K244" s="41"/>
      <c r="L244" s="41"/>
      <c r="M244" s="42">
        <f ca="1">IFERROR(M230+M243,"")</f>
        <v>8.8194444444444534E-2</v>
      </c>
      <c r="N244" s="40" t="s">
        <v>240</v>
      </c>
      <c r="O244" s="48">
        <f>IFERROR(O230+O243,"")</f>
        <v>1045450</v>
      </c>
    </row>
    <row r="245" spans="1:15" ht="15" customHeight="1">
      <c r="A245" s="68">
        <v>46213</v>
      </c>
      <c r="B245" s="25">
        <v>0.33333333333333298</v>
      </c>
      <c r="C245" s="26" t="s">
        <v>45</v>
      </c>
      <c r="D245" s="59" t="s">
        <v>30</v>
      </c>
      <c r="E245" s="59" t="s">
        <v>261</v>
      </c>
      <c r="F245" s="27">
        <v>25</v>
      </c>
      <c r="G245" s="28">
        <f t="shared" ref="G245:G256" si="54">IF(F245="","",IF(E245="PC 17",F245*4.2,IF(E245="PC 19",F245*5,"")))</f>
        <v>105</v>
      </c>
      <c r="H245" s="33" t="s">
        <v>18</v>
      </c>
      <c r="I245" s="33" t="s">
        <v>47</v>
      </c>
      <c r="J245" s="33" t="s">
        <v>210</v>
      </c>
      <c r="K245" s="29">
        <v>0.54374999999999996</v>
      </c>
      <c r="L245" s="29">
        <v>0.55972222222222223</v>
      </c>
      <c r="M245" s="35">
        <f t="shared" ref="M245:M256" ca="1" si="55">IFERROR(IF(K245="","",IF(L245="",MOD(NOW()-K245,1),IF(L245&gt;=K245,L245-K245,L245+1-K245))),"")</f>
        <v>1.5972222222222276E-2</v>
      </c>
      <c r="N245" s="27"/>
      <c r="O245" s="47"/>
    </row>
    <row r="246" spans="1:15" ht="15" customHeight="1">
      <c r="A246" s="69">
        <v>46213</v>
      </c>
      <c r="B246" s="32">
        <f t="shared" ref="B246:B256" si="56">B245+TIME(0,60,0)</f>
        <v>0.37499999999999967</v>
      </c>
      <c r="C246" s="26" t="s">
        <v>45</v>
      </c>
      <c r="D246" s="59" t="s">
        <v>30</v>
      </c>
      <c r="E246" s="59" t="s">
        <v>261</v>
      </c>
      <c r="F246" s="27">
        <v>15</v>
      </c>
      <c r="G246" s="34">
        <f t="shared" si="54"/>
        <v>63</v>
      </c>
      <c r="H246" s="33" t="s">
        <v>20</v>
      </c>
      <c r="I246" s="26" t="s">
        <v>47</v>
      </c>
      <c r="J246" s="33" t="s">
        <v>51</v>
      </c>
      <c r="K246" s="29">
        <v>0.63958333333333328</v>
      </c>
      <c r="L246" s="29">
        <v>0.65138888888888891</v>
      </c>
      <c r="M246" s="30">
        <f t="shared" ca="1" si="55"/>
        <v>1.1805555555555625E-2</v>
      </c>
      <c r="N246" s="27"/>
      <c r="O246" s="47"/>
    </row>
    <row r="247" spans="1:15" ht="15" customHeight="1">
      <c r="A247" s="68">
        <v>46213</v>
      </c>
      <c r="B247" s="25">
        <f t="shared" si="56"/>
        <v>0.41666666666666635</v>
      </c>
      <c r="C247" s="26" t="s">
        <v>45</v>
      </c>
      <c r="D247" s="59" t="s">
        <v>30</v>
      </c>
      <c r="E247" s="59" t="s">
        <v>261</v>
      </c>
      <c r="F247" s="27">
        <v>12</v>
      </c>
      <c r="G247" s="28">
        <f t="shared" si="54"/>
        <v>50.400000000000006</v>
      </c>
      <c r="H247" s="33" t="s">
        <v>18</v>
      </c>
      <c r="I247" s="33" t="s">
        <v>47</v>
      </c>
      <c r="J247" s="33" t="s">
        <v>51</v>
      </c>
      <c r="K247" s="29">
        <v>0.70833333333333337</v>
      </c>
      <c r="L247" s="29">
        <v>0.74444444444444446</v>
      </c>
      <c r="M247" s="35">
        <f t="shared" ca="1" si="55"/>
        <v>3.6111111111111094E-2</v>
      </c>
      <c r="N247" s="27"/>
      <c r="O247" s="47"/>
    </row>
    <row r="248" spans="1:15" ht="15" customHeight="1">
      <c r="A248" s="69">
        <v>46213</v>
      </c>
      <c r="B248" s="32">
        <f t="shared" si="56"/>
        <v>0.45833333333333304</v>
      </c>
      <c r="C248" s="26" t="s">
        <v>45</v>
      </c>
      <c r="D248" s="59" t="s">
        <v>30</v>
      </c>
      <c r="E248" s="59" t="s">
        <v>261</v>
      </c>
      <c r="F248" s="27">
        <v>18</v>
      </c>
      <c r="G248" s="34">
        <f t="shared" si="54"/>
        <v>75.600000000000009</v>
      </c>
      <c r="H248" s="26" t="s">
        <v>20</v>
      </c>
      <c r="I248" s="26" t="s">
        <v>47</v>
      </c>
      <c r="J248" s="26" t="s">
        <v>51</v>
      </c>
      <c r="K248" s="29">
        <v>0.77013888888888893</v>
      </c>
      <c r="L248" s="29">
        <v>0.77361111111111114</v>
      </c>
      <c r="M248" s="30">
        <f t="shared" ca="1" si="55"/>
        <v>3.4722222222222099E-3</v>
      </c>
      <c r="N248" s="27"/>
      <c r="O248" s="47"/>
    </row>
    <row r="249" spans="1:15" ht="15" customHeight="1">
      <c r="A249" s="68">
        <v>46213</v>
      </c>
      <c r="B249" s="25">
        <f t="shared" si="56"/>
        <v>0.49999999999999972</v>
      </c>
      <c r="C249" s="26" t="s">
        <v>45</v>
      </c>
      <c r="D249" s="59" t="s">
        <v>30</v>
      </c>
      <c r="E249" s="59" t="s">
        <v>261</v>
      </c>
      <c r="F249" s="27">
        <v>8</v>
      </c>
      <c r="G249" s="28">
        <f t="shared" si="54"/>
        <v>33.6</v>
      </c>
      <c r="H249" s="33"/>
      <c r="I249" s="33"/>
      <c r="J249" s="33"/>
      <c r="K249" s="29"/>
      <c r="L249" s="29"/>
      <c r="M249" s="35" t="str">
        <f t="shared" ca="1" si="55"/>
        <v/>
      </c>
      <c r="N249" s="27"/>
      <c r="O249" s="47"/>
    </row>
    <row r="250" spans="1:15" ht="15" customHeight="1">
      <c r="A250" s="69">
        <v>46213</v>
      </c>
      <c r="B250" s="32">
        <f t="shared" si="56"/>
        <v>0.54166666666666641</v>
      </c>
      <c r="C250" s="26" t="s">
        <v>45</v>
      </c>
      <c r="D250" s="59" t="s">
        <v>38</v>
      </c>
      <c r="E250" s="59" t="s">
        <v>261</v>
      </c>
      <c r="F250" s="27">
        <v>0</v>
      </c>
      <c r="G250" s="34">
        <f t="shared" si="54"/>
        <v>0</v>
      </c>
      <c r="H250" s="26"/>
      <c r="I250" s="26"/>
      <c r="J250" s="26"/>
      <c r="K250" s="29"/>
      <c r="L250" s="29"/>
      <c r="M250" s="30" t="str">
        <f t="shared" ca="1" si="55"/>
        <v/>
      </c>
      <c r="N250" s="27"/>
      <c r="O250" s="47"/>
    </row>
    <row r="251" spans="1:15" ht="15" customHeight="1">
      <c r="A251" s="68">
        <v>46213</v>
      </c>
      <c r="B251" s="25">
        <f t="shared" si="56"/>
        <v>0.58333333333333304</v>
      </c>
      <c r="C251" s="26" t="s">
        <v>45</v>
      </c>
      <c r="D251" s="59" t="s">
        <v>38</v>
      </c>
      <c r="E251" s="59" t="s">
        <v>261</v>
      </c>
      <c r="F251" s="27">
        <v>12</v>
      </c>
      <c r="G251" s="28">
        <f t="shared" si="54"/>
        <v>50.400000000000006</v>
      </c>
      <c r="H251" s="33"/>
      <c r="I251" s="33"/>
      <c r="J251" s="33"/>
      <c r="K251" s="29"/>
      <c r="L251" s="29"/>
      <c r="M251" s="35" t="str">
        <f t="shared" ca="1" si="55"/>
        <v/>
      </c>
      <c r="N251" s="27"/>
      <c r="O251" s="47"/>
    </row>
    <row r="252" spans="1:15" ht="15" customHeight="1">
      <c r="A252" s="69">
        <v>46213</v>
      </c>
      <c r="B252" s="32">
        <f t="shared" si="56"/>
        <v>0.62499999999999967</v>
      </c>
      <c r="C252" s="26" t="s">
        <v>45</v>
      </c>
      <c r="D252" s="59" t="s">
        <v>38</v>
      </c>
      <c r="E252" s="59" t="s">
        <v>261</v>
      </c>
      <c r="F252" s="27">
        <v>25</v>
      </c>
      <c r="G252" s="34">
        <f t="shared" si="54"/>
        <v>105</v>
      </c>
      <c r="H252" s="26"/>
      <c r="I252" s="26"/>
      <c r="J252" s="26"/>
      <c r="K252" s="29"/>
      <c r="L252" s="29"/>
      <c r="M252" s="30" t="str">
        <f t="shared" ca="1" si="55"/>
        <v/>
      </c>
      <c r="N252" s="27"/>
      <c r="O252" s="47"/>
    </row>
    <row r="253" spans="1:15" ht="15" customHeight="1">
      <c r="A253" s="68">
        <v>46213</v>
      </c>
      <c r="B253" s="25">
        <f t="shared" si="56"/>
        <v>0.6666666666666663</v>
      </c>
      <c r="C253" s="26" t="s">
        <v>45</v>
      </c>
      <c r="D253" s="59" t="s">
        <v>38</v>
      </c>
      <c r="E253" s="59" t="s">
        <v>261</v>
      </c>
      <c r="F253" s="27">
        <v>5</v>
      </c>
      <c r="G253" s="28">
        <f t="shared" si="54"/>
        <v>21</v>
      </c>
      <c r="H253" s="33"/>
      <c r="I253" s="33"/>
      <c r="J253" s="33"/>
      <c r="K253" s="29"/>
      <c r="L253" s="29"/>
      <c r="M253" s="35" t="str">
        <f t="shared" ca="1" si="55"/>
        <v/>
      </c>
      <c r="N253" s="27"/>
      <c r="O253" s="47"/>
    </row>
    <row r="254" spans="1:15" ht="15" customHeight="1">
      <c r="A254" s="69">
        <v>46213</v>
      </c>
      <c r="B254" s="32">
        <f t="shared" si="56"/>
        <v>0.70833333333333293</v>
      </c>
      <c r="C254" s="26" t="s">
        <v>45</v>
      </c>
      <c r="D254" s="59" t="s">
        <v>38</v>
      </c>
      <c r="E254" s="59" t="s">
        <v>261</v>
      </c>
      <c r="F254" s="27">
        <v>10</v>
      </c>
      <c r="G254" s="34">
        <f t="shared" si="54"/>
        <v>42</v>
      </c>
      <c r="H254" s="26"/>
      <c r="I254" s="26"/>
      <c r="J254" s="26"/>
      <c r="K254" s="29"/>
      <c r="L254" s="29"/>
      <c r="M254" s="30" t="str">
        <f t="shared" ca="1" si="55"/>
        <v/>
      </c>
      <c r="N254" s="27"/>
      <c r="O254" s="47"/>
    </row>
    <row r="255" spans="1:15" ht="15" customHeight="1">
      <c r="A255" s="68">
        <v>46213</v>
      </c>
      <c r="B255" s="25">
        <f t="shared" si="56"/>
        <v>0.74999999999999956</v>
      </c>
      <c r="C255" s="26" t="s">
        <v>45</v>
      </c>
      <c r="D255" s="59" t="s">
        <v>38</v>
      </c>
      <c r="E255" s="59" t="s">
        <v>261</v>
      </c>
      <c r="F255" s="27">
        <v>2</v>
      </c>
      <c r="G255" s="28">
        <f t="shared" si="54"/>
        <v>8.4</v>
      </c>
      <c r="H255" s="33"/>
      <c r="I255" s="33"/>
      <c r="J255" s="33"/>
      <c r="K255" s="29"/>
      <c r="L255" s="29"/>
      <c r="M255" s="35" t="str">
        <f t="shared" ca="1" si="55"/>
        <v/>
      </c>
      <c r="N255" s="27"/>
      <c r="O255" s="47"/>
    </row>
    <row r="256" spans="1:15" ht="15" customHeight="1">
      <c r="A256" s="69">
        <v>46213</v>
      </c>
      <c r="B256" s="32">
        <f t="shared" si="56"/>
        <v>0.79166666666666619</v>
      </c>
      <c r="C256" s="26" t="s">
        <v>45</v>
      </c>
      <c r="D256" s="59" t="s">
        <v>30</v>
      </c>
      <c r="E256" s="59" t="s">
        <v>261</v>
      </c>
      <c r="F256" s="27">
        <v>7</v>
      </c>
      <c r="G256" s="34">
        <f t="shared" si="54"/>
        <v>29.400000000000002</v>
      </c>
      <c r="H256" s="26"/>
      <c r="I256" s="26"/>
      <c r="J256" s="26"/>
      <c r="K256" s="29"/>
      <c r="L256" s="29"/>
      <c r="M256" s="30" t="str">
        <f t="shared" ca="1" si="55"/>
        <v/>
      </c>
      <c r="N256" s="27"/>
      <c r="O256" s="47"/>
    </row>
    <row r="257" spans="1:15" ht="15.75" customHeight="1">
      <c r="A257" s="119" t="s">
        <v>236</v>
      </c>
      <c r="B257" s="120"/>
      <c r="C257" s="120"/>
      <c r="D257" s="120"/>
      <c r="E257" s="121">
        <f>SUM(E245:E256)</f>
        <v>0</v>
      </c>
      <c r="F257" s="36">
        <f>SUM(F245:F256)</f>
        <v>139</v>
      </c>
      <c r="G257" s="36">
        <f>SUM(G245:G256)</f>
        <v>583.79999999999995</v>
      </c>
      <c r="H257" s="37"/>
      <c r="I257" s="37"/>
      <c r="J257" s="37"/>
      <c r="K257" s="37"/>
      <c r="L257" s="37"/>
      <c r="M257" s="38">
        <f ca="1">IFERROR(SUM(M245:M256),"")</f>
        <v>6.7361111111111205E-2</v>
      </c>
      <c r="N257" s="36" t="s">
        <v>237</v>
      </c>
      <c r="O257" s="39">
        <v>456270</v>
      </c>
    </row>
    <row r="258" spans="1:15" ht="15" customHeight="1">
      <c r="A258" s="69">
        <v>46213</v>
      </c>
      <c r="B258" s="32">
        <v>0.83333333333333304</v>
      </c>
      <c r="C258" s="33" t="s">
        <v>29</v>
      </c>
      <c r="D258" s="62" t="s">
        <v>30</v>
      </c>
      <c r="E258" s="62" t="s">
        <v>261</v>
      </c>
      <c r="F258" s="27">
        <v>2</v>
      </c>
      <c r="G258" s="34">
        <f t="shared" ref="G258:G269" si="57">IF(F258="","",IF(E258="PC 17",F258*4.2,IF(E258="PC 19",F258*5,"")))</f>
        <v>8.4</v>
      </c>
      <c r="H258" s="26" t="s">
        <v>20</v>
      </c>
      <c r="I258" s="26" t="s">
        <v>47</v>
      </c>
      <c r="J258" s="26" t="s">
        <v>51</v>
      </c>
      <c r="K258" s="29">
        <v>0.79166666666666663</v>
      </c>
      <c r="L258" s="29">
        <v>0.80069444444444449</v>
      </c>
      <c r="M258" s="30">
        <f t="shared" ref="M258:M269" ca="1" si="58">IFERROR(IF(K258="","",IF(L258="",MOD(NOW()-K258,1),IF(L258&gt;=K258,L258-K258,L258+1-K258))),"")</f>
        <v>9.0277777777778567E-3</v>
      </c>
      <c r="N258" s="27"/>
      <c r="O258" s="47"/>
    </row>
    <row r="259" spans="1:15" ht="15" customHeight="1">
      <c r="A259" s="68">
        <v>46213</v>
      </c>
      <c r="B259" s="25">
        <f t="shared" ref="B259:B269" si="59">B258+TIME(0,60,0)</f>
        <v>0.87499999999999967</v>
      </c>
      <c r="C259" s="33" t="s">
        <v>29</v>
      </c>
      <c r="D259" s="62" t="s">
        <v>30</v>
      </c>
      <c r="E259" s="62" t="s">
        <v>261</v>
      </c>
      <c r="F259" s="27">
        <v>6</v>
      </c>
      <c r="G259" s="28">
        <f t="shared" si="57"/>
        <v>25.200000000000003</v>
      </c>
      <c r="H259" s="50" t="s">
        <v>20</v>
      </c>
      <c r="I259" s="50" t="s">
        <v>47</v>
      </c>
      <c r="J259" s="50" t="s">
        <v>196</v>
      </c>
      <c r="K259" s="29">
        <v>0.81736111111111109</v>
      </c>
      <c r="L259" s="29">
        <v>0.82013888888888886</v>
      </c>
      <c r="M259" s="35">
        <f t="shared" ca="1" si="58"/>
        <v>2.7777777777777679E-3</v>
      </c>
      <c r="N259" s="27" t="s">
        <v>360</v>
      </c>
      <c r="O259" s="47"/>
    </row>
    <row r="260" spans="1:15" ht="15" customHeight="1">
      <c r="A260" s="69">
        <v>46213</v>
      </c>
      <c r="B260" s="32">
        <f t="shared" si="59"/>
        <v>0.9166666666666663</v>
      </c>
      <c r="C260" s="33" t="s">
        <v>29</v>
      </c>
      <c r="D260" s="62" t="s">
        <v>30</v>
      </c>
      <c r="E260" s="62" t="s">
        <v>261</v>
      </c>
      <c r="F260" s="27">
        <v>8</v>
      </c>
      <c r="G260" s="34">
        <f t="shared" si="57"/>
        <v>33.6</v>
      </c>
      <c r="H260" s="33" t="s">
        <v>20</v>
      </c>
      <c r="I260" s="26" t="s">
        <v>47</v>
      </c>
      <c r="J260" s="33" t="s">
        <v>51</v>
      </c>
      <c r="K260" s="29">
        <v>9.5138888888888884E-2</v>
      </c>
      <c r="L260" s="29">
        <v>9.7222222222222224E-2</v>
      </c>
      <c r="M260" s="30">
        <f t="shared" ca="1" si="58"/>
        <v>2.0833333333333398E-3</v>
      </c>
      <c r="N260" s="27"/>
      <c r="O260" s="47"/>
    </row>
    <row r="261" spans="1:15" ht="15" customHeight="1">
      <c r="A261" s="68">
        <v>46213</v>
      </c>
      <c r="B261" s="25">
        <f t="shared" si="59"/>
        <v>0.95833333333333293</v>
      </c>
      <c r="C261" s="33" t="s">
        <v>29</v>
      </c>
      <c r="D261" s="62" t="s">
        <v>30</v>
      </c>
      <c r="E261" s="62" t="s">
        <v>261</v>
      </c>
      <c r="F261" s="27">
        <v>14</v>
      </c>
      <c r="G261" s="28">
        <f t="shared" si="57"/>
        <v>58.800000000000004</v>
      </c>
      <c r="H261" s="33" t="s">
        <v>16</v>
      </c>
      <c r="I261" s="33" t="s">
        <v>47</v>
      </c>
      <c r="J261" s="33" t="s">
        <v>32</v>
      </c>
      <c r="K261" s="29">
        <v>9.7222222222222224E-2</v>
      </c>
      <c r="L261" s="29">
        <v>0.10555555555555556</v>
      </c>
      <c r="M261" s="35">
        <f t="shared" ca="1" si="58"/>
        <v>8.3333333333333315E-3</v>
      </c>
      <c r="N261" s="27"/>
      <c r="O261" s="47"/>
    </row>
    <row r="262" spans="1:15" ht="15" customHeight="1">
      <c r="A262" s="69">
        <v>46213</v>
      </c>
      <c r="B262" s="32">
        <f t="shared" si="59"/>
        <v>0.99999999999999956</v>
      </c>
      <c r="C262" s="33" t="s">
        <v>29</v>
      </c>
      <c r="D262" s="62" t="s">
        <v>30</v>
      </c>
      <c r="E262" s="62" t="s">
        <v>261</v>
      </c>
      <c r="F262" s="27">
        <v>9</v>
      </c>
      <c r="G262" s="34">
        <f t="shared" si="57"/>
        <v>37.800000000000004</v>
      </c>
      <c r="H262" s="33" t="s">
        <v>18</v>
      </c>
      <c r="I262" s="26" t="s">
        <v>47</v>
      </c>
      <c r="J262" s="33" t="s">
        <v>122</v>
      </c>
      <c r="K262" s="29">
        <v>0.10555555555555556</v>
      </c>
      <c r="L262" s="29">
        <v>0.10902777777777778</v>
      </c>
      <c r="M262" s="30">
        <f t="shared" ca="1" si="58"/>
        <v>3.4722222222222238E-3</v>
      </c>
      <c r="N262" s="27"/>
      <c r="O262" s="47"/>
    </row>
    <row r="263" spans="1:15" ht="15" customHeight="1">
      <c r="A263" s="68">
        <v>46213</v>
      </c>
      <c r="B263" s="25">
        <f t="shared" si="59"/>
        <v>1.0416666666666663</v>
      </c>
      <c r="C263" s="33" t="s">
        <v>29</v>
      </c>
      <c r="D263" s="62" t="s">
        <v>30</v>
      </c>
      <c r="E263" s="62" t="s">
        <v>261</v>
      </c>
      <c r="F263" s="27">
        <v>16</v>
      </c>
      <c r="G263" s="28">
        <f t="shared" si="57"/>
        <v>67.2</v>
      </c>
      <c r="H263" s="33" t="s">
        <v>20</v>
      </c>
      <c r="I263" s="33" t="s">
        <v>47</v>
      </c>
      <c r="J263" s="33" t="s">
        <v>56</v>
      </c>
      <c r="K263" s="29">
        <v>0.13958333333333334</v>
      </c>
      <c r="L263" s="29">
        <v>0.16666666666666666</v>
      </c>
      <c r="M263" s="35">
        <f t="shared" ca="1" si="58"/>
        <v>2.708333333333332E-2</v>
      </c>
      <c r="N263" s="27" t="s">
        <v>361</v>
      </c>
      <c r="O263" s="47"/>
    </row>
    <row r="264" spans="1:15" ht="15" customHeight="1">
      <c r="A264" s="69">
        <v>46213</v>
      </c>
      <c r="B264" s="32">
        <f t="shared" si="59"/>
        <v>1.083333333333333</v>
      </c>
      <c r="C264" s="33" t="s">
        <v>29</v>
      </c>
      <c r="D264" s="62" t="s">
        <v>30</v>
      </c>
      <c r="E264" s="62" t="s">
        <v>261</v>
      </c>
      <c r="F264" s="27">
        <v>11</v>
      </c>
      <c r="G264" s="34">
        <f t="shared" si="57"/>
        <v>46.2</v>
      </c>
      <c r="H264" s="33" t="s">
        <v>19</v>
      </c>
      <c r="I264" s="26" t="s">
        <v>47</v>
      </c>
      <c r="J264" s="33" t="s">
        <v>27</v>
      </c>
      <c r="K264" s="29">
        <v>0.16666666666666666</v>
      </c>
      <c r="L264" s="29">
        <v>0.17430555555555555</v>
      </c>
      <c r="M264" s="30">
        <f t="shared" ca="1" si="58"/>
        <v>7.6388888888888895E-3</v>
      </c>
      <c r="N264" s="27"/>
      <c r="O264" s="47"/>
    </row>
    <row r="265" spans="1:15" ht="15" customHeight="1">
      <c r="A265" s="68">
        <v>46213</v>
      </c>
      <c r="B265" s="25">
        <f t="shared" si="59"/>
        <v>1.1249999999999998</v>
      </c>
      <c r="C265" s="33" t="s">
        <v>29</v>
      </c>
      <c r="D265" s="62" t="s">
        <v>30</v>
      </c>
      <c r="E265" s="62" t="s">
        <v>261</v>
      </c>
      <c r="F265" s="27">
        <v>13</v>
      </c>
      <c r="G265" s="28">
        <f t="shared" si="57"/>
        <v>54.6</v>
      </c>
      <c r="H265" s="33"/>
      <c r="I265" s="33"/>
      <c r="J265" s="33"/>
      <c r="K265" s="29"/>
      <c r="L265" s="29"/>
      <c r="M265" s="35" t="str">
        <f t="shared" ca="1" si="58"/>
        <v/>
      </c>
      <c r="N265" s="27"/>
      <c r="O265" s="47"/>
    </row>
    <row r="266" spans="1:15" ht="15" customHeight="1">
      <c r="A266" s="69">
        <v>46213</v>
      </c>
      <c r="B266" s="32">
        <f t="shared" si="59"/>
        <v>1.1666666666666665</v>
      </c>
      <c r="C266" s="33" t="s">
        <v>29</v>
      </c>
      <c r="D266" s="62" t="s">
        <v>30</v>
      </c>
      <c r="E266" s="62" t="s">
        <v>261</v>
      </c>
      <c r="F266" s="27">
        <v>11</v>
      </c>
      <c r="G266" s="34">
        <f t="shared" si="57"/>
        <v>46.2</v>
      </c>
      <c r="H266" s="26"/>
      <c r="I266" s="26"/>
      <c r="J266" s="26"/>
      <c r="K266" s="29"/>
      <c r="L266" s="29"/>
      <c r="M266" s="30" t="str">
        <f t="shared" ca="1" si="58"/>
        <v/>
      </c>
      <c r="N266" s="27"/>
      <c r="O266" s="47"/>
    </row>
    <row r="267" spans="1:15" ht="15" customHeight="1">
      <c r="A267" s="68">
        <v>46213</v>
      </c>
      <c r="B267" s="25">
        <f t="shared" si="59"/>
        <v>1.2083333333333333</v>
      </c>
      <c r="C267" s="33" t="s">
        <v>29</v>
      </c>
      <c r="D267" s="62" t="s">
        <v>30</v>
      </c>
      <c r="E267" s="62" t="s">
        <v>261</v>
      </c>
      <c r="F267" s="27">
        <v>4</v>
      </c>
      <c r="G267" s="28">
        <f t="shared" si="57"/>
        <v>16.8</v>
      </c>
      <c r="H267" s="33"/>
      <c r="I267" s="33"/>
      <c r="J267" s="33"/>
      <c r="K267" s="29"/>
      <c r="L267" s="29"/>
      <c r="M267" s="35" t="str">
        <f t="shared" ca="1" si="58"/>
        <v/>
      </c>
      <c r="N267" s="27"/>
      <c r="O267" s="47"/>
    </row>
    <row r="268" spans="1:15" ht="15" customHeight="1">
      <c r="A268" s="69">
        <v>46213</v>
      </c>
      <c r="B268" s="32">
        <f t="shared" si="59"/>
        <v>1.25</v>
      </c>
      <c r="C268" s="33" t="s">
        <v>29</v>
      </c>
      <c r="D268" s="62" t="s">
        <v>30</v>
      </c>
      <c r="E268" s="62" t="s">
        <v>261</v>
      </c>
      <c r="F268" s="27">
        <v>16</v>
      </c>
      <c r="G268" s="34">
        <f t="shared" si="57"/>
        <v>67.2</v>
      </c>
      <c r="H268" s="26"/>
      <c r="I268" s="26"/>
      <c r="J268" s="26"/>
      <c r="K268" s="29"/>
      <c r="L268" s="29"/>
      <c r="M268" s="30" t="str">
        <f t="shared" ca="1" si="58"/>
        <v/>
      </c>
      <c r="N268" s="27"/>
      <c r="O268" s="47"/>
    </row>
    <row r="269" spans="1:15" ht="15" customHeight="1">
      <c r="A269" s="68">
        <v>46213</v>
      </c>
      <c r="B269" s="25">
        <f t="shared" si="59"/>
        <v>1.2916666666666667</v>
      </c>
      <c r="C269" s="33" t="s">
        <v>29</v>
      </c>
      <c r="D269" s="62" t="s">
        <v>30</v>
      </c>
      <c r="E269" s="62" t="s">
        <v>261</v>
      </c>
      <c r="F269" s="27">
        <v>11</v>
      </c>
      <c r="G269" s="28">
        <f t="shared" si="57"/>
        <v>46.2</v>
      </c>
      <c r="H269" s="33"/>
      <c r="I269" s="33"/>
      <c r="J269" s="33"/>
      <c r="K269" s="29"/>
      <c r="L269" s="29"/>
      <c r="M269" s="35" t="str">
        <f t="shared" ca="1" si="58"/>
        <v/>
      </c>
      <c r="N269" s="27"/>
      <c r="O269" s="47"/>
    </row>
    <row r="270" spans="1:15" ht="15.75" customHeight="1">
      <c r="A270" s="119" t="s">
        <v>238</v>
      </c>
      <c r="B270" s="120"/>
      <c r="C270" s="120"/>
      <c r="D270" s="120"/>
      <c r="E270" s="121">
        <f>SUM(E258:E269)</f>
        <v>0</v>
      </c>
      <c r="F270" s="36">
        <f>SUM(F258:F269)</f>
        <v>121</v>
      </c>
      <c r="G270" s="36">
        <f>SUM(G258:G269)</f>
        <v>508.2</v>
      </c>
      <c r="H270" s="37"/>
      <c r="I270" s="37"/>
      <c r="J270" s="37"/>
      <c r="K270" s="37"/>
      <c r="L270" s="37"/>
      <c r="M270" s="38">
        <f ca="1">IFERROR(SUM(M258:M269),"")</f>
        <v>6.041666666666673E-2</v>
      </c>
      <c r="N270" s="36" t="s">
        <v>237</v>
      </c>
      <c r="O270" s="39">
        <v>483510</v>
      </c>
    </row>
    <row r="271" spans="1:15" ht="18" customHeight="1">
      <c r="A271" s="122" t="s">
        <v>239</v>
      </c>
      <c r="B271" s="123"/>
      <c r="C271" s="123"/>
      <c r="D271" s="123"/>
      <c r="E271" s="124">
        <f>E257+E270</f>
        <v>0</v>
      </c>
      <c r="F271" s="40">
        <f>F257+F270</f>
        <v>260</v>
      </c>
      <c r="G271" s="40">
        <f>G257+G270</f>
        <v>1092</v>
      </c>
      <c r="H271" s="41"/>
      <c r="I271" s="41"/>
      <c r="J271" s="41"/>
      <c r="K271" s="41"/>
      <c r="L271" s="41"/>
      <c r="M271" s="42">
        <f ca="1">IFERROR(M257+M270,"")</f>
        <v>0.12777777777777793</v>
      </c>
      <c r="N271" s="40" t="s">
        <v>240</v>
      </c>
      <c r="O271" s="48">
        <f>IFERROR(O257+O270,"")</f>
        <v>939780</v>
      </c>
    </row>
    <row r="272" spans="1:15" ht="15" customHeight="1">
      <c r="A272" s="68">
        <v>46214</v>
      </c>
      <c r="B272" s="25">
        <v>0.33333333333333298</v>
      </c>
      <c r="C272" s="26" t="s">
        <v>45</v>
      </c>
      <c r="D272" s="59" t="s">
        <v>30</v>
      </c>
      <c r="E272" s="59" t="s">
        <v>261</v>
      </c>
      <c r="F272" s="27">
        <v>0</v>
      </c>
      <c r="G272" s="28">
        <f t="shared" ref="G272:G283" si="60">IF(F272="","",IF(E272="PC 17",F272*4.2,IF(E272="PC 19",F272*5,"")))</f>
        <v>0</v>
      </c>
      <c r="H272" s="26" t="s">
        <v>20</v>
      </c>
      <c r="I272" s="26" t="s">
        <v>47</v>
      </c>
      <c r="J272" s="26" t="s">
        <v>51</v>
      </c>
      <c r="K272" s="29">
        <v>0.48055555555555557</v>
      </c>
      <c r="L272" s="29">
        <v>0.49305555555555558</v>
      </c>
      <c r="M272" s="30">
        <f t="shared" ref="M272:M283" ca="1" si="61">IFERROR(IF(K272="","",IF(L272="",MOD(NOW()-K272,1),IF(L272&gt;=K272,L272-K272,L272+1-K272))),"")</f>
        <v>1.2500000000000011E-2</v>
      </c>
      <c r="N272" s="27"/>
      <c r="O272" s="47"/>
    </row>
    <row r="273" spans="1:15" ht="15" customHeight="1">
      <c r="A273" s="69">
        <v>46214</v>
      </c>
      <c r="B273" s="32">
        <f t="shared" ref="B273:B283" si="62">B272+TIME(0,60,0)</f>
        <v>0.37499999999999967</v>
      </c>
      <c r="C273" s="26" t="s">
        <v>45</v>
      </c>
      <c r="D273" s="59" t="s">
        <v>30</v>
      </c>
      <c r="E273" s="59" t="s">
        <v>261</v>
      </c>
      <c r="F273" s="27">
        <v>10</v>
      </c>
      <c r="G273" s="34">
        <f t="shared" si="60"/>
        <v>42</v>
      </c>
      <c r="H273" s="33" t="s">
        <v>20</v>
      </c>
      <c r="I273" s="33" t="s">
        <v>47</v>
      </c>
      <c r="J273" s="33" t="s">
        <v>51</v>
      </c>
      <c r="K273" s="29">
        <v>0.51875000000000004</v>
      </c>
      <c r="L273" s="29">
        <v>0.52430555555555558</v>
      </c>
      <c r="M273" s="35">
        <f t="shared" ca="1" si="61"/>
        <v>5.5555555555555358E-3</v>
      </c>
      <c r="N273" s="27"/>
      <c r="O273" s="47"/>
    </row>
    <row r="274" spans="1:15" ht="15" customHeight="1">
      <c r="A274" s="68">
        <v>46214</v>
      </c>
      <c r="B274" s="25">
        <f t="shared" si="62"/>
        <v>0.41666666666666635</v>
      </c>
      <c r="C274" s="26" t="s">
        <v>45</v>
      </c>
      <c r="D274" s="59" t="s">
        <v>30</v>
      </c>
      <c r="E274" s="59" t="s">
        <v>261</v>
      </c>
      <c r="F274" s="27">
        <v>16</v>
      </c>
      <c r="G274" s="28">
        <f t="shared" si="60"/>
        <v>67.2</v>
      </c>
      <c r="H274" s="26" t="s">
        <v>20</v>
      </c>
      <c r="I274" s="26" t="s">
        <v>47</v>
      </c>
      <c r="J274" s="26" t="s">
        <v>51</v>
      </c>
      <c r="K274" s="29">
        <v>0.54652777777777772</v>
      </c>
      <c r="L274" s="29">
        <v>0.55347222222222225</v>
      </c>
      <c r="M274" s="30">
        <f t="shared" ca="1" si="61"/>
        <v>6.9444444444445308E-3</v>
      </c>
      <c r="N274" s="27"/>
      <c r="O274" s="47"/>
    </row>
    <row r="275" spans="1:15" ht="15" customHeight="1">
      <c r="A275" s="69">
        <v>46214</v>
      </c>
      <c r="B275" s="32">
        <f t="shared" si="62"/>
        <v>0.45833333333333304</v>
      </c>
      <c r="C275" s="26" t="s">
        <v>45</v>
      </c>
      <c r="D275" s="59" t="s">
        <v>30</v>
      </c>
      <c r="E275" s="59" t="s">
        <v>261</v>
      </c>
      <c r="F275" s="27">
        <v>10</v>
      </c>
      <c r="G275" s="34">
        <f t="shared" si="60"/>
        <v>42</v>
      </c>
      <c r="H275" s="33" t="s">
        <v>20</v>
      </c>
      <c r="I275" s="33" t="s">
        <v>47</v>
      </c>
      <c r="J275" s="33" t="s">
        <v>28</v>
      </c>
      <c r="K275" s="29">
        <v>0.5625</v>
      </c>
      <c r="L275" s="29">
        <v>0.57708333333333328</v>
      </c>
      <c r="M275" s="35">
        <f t="shared" ca="1" si="61"/>
        <v>1.4583333333333282E-2</v>
      </c>
      <c r="N275" s="27"/>
      <c r="O275" s="47"/>
    </row>
    <row r="276" spans="1:15" ht="15" customHeight="1">
      <c r="A276" s="68">
        <v>46214</v>
      </c>
      <c r="B276" s="25">
        <f t="shared" si="62"/>
        <v>0.49999999999999972</v>
      </c>
      <c r="C276" s="26" t="s">
        <v>45</v>
      </c>
      <c r="D276" s="59" t="s">
        <v>30</v>
      </c>
      <c r="E276" s="59" t="s">
        <v>261</v>
      </c>
      <c r="F276" s="27">
        <v>8</v>
      </c>
      <c r="G276" s="28">
        <f t="shared" si="60"/>
        <v>33.6</v>
      </c>
      <c r="H276" s="26" t="s">
        <v>20</v>
      </c>
      <c r="I276" s="26" t="s">
        <v>47</v>
      </c>
      <c r="J276" s="26" t="s">
        <v>51</v>
      </c>
      <c r="K276" s="29">
        <v>0.62291666666666667</v>
      </c>
      <c r="L276" s="29">
        <v>0.625</v>
      </c>
      <c r="M276" s="30">
        <f t="shared" ca="1" si="61"/>
        <v>2.0833333333333259E-3</v>
      </c>
      <c r="N276" s="27"/>
      <c r="O276" s="47"/>
    </row>
    <row r="277" spans="1:15" ht="15" customHeight="1">
      <c r="A277" s="69">
        <v>46214</v>
      </c>
      <c r="B277" s="32">
        <f t="shared" si="62"/>
        <v>0.54166666666666641</v>
      </c>
      <c r="C277" s="26" t="s">
        <v>45</v>
      </c>
      <c r="D277" s="59" t="s">
        <v>30</v>
      </c>
      <c r="E277" s="59" t="s">
        <v>261</v>
      </c>
      <c r="F277" s="27">
        <v>0</v>
      </c>
      <c r="G277" s="34">
        <f t="shared" si="60"/>
        <v>0</v>
      </c>
      <c r="H277" s="33" t="s">
        <v>20</v>
      </c>
      <c r="I277" s="33" t="s">
        <v>47</v>
      </c>
      <c r="J277" s="33" t="s">
        <v>51</v>
      </c>
      <c r="K277" s="29">
        <v>0.65486111111111112</v>
      </c>
      <c r="L277" s="29">
        <v>0.66666666666666663</v>
      </c>
      <c r="M277" s="35">
        <f t="shared" ca="1" si="61"/>
        <v>1.1805555555555514E-2</v>
      </c>
      <c r="N277" s="27"/>
      <c r="O277" s="47"/>
    </row>
    <row r="278" spans="1:15" ht="15" customHeight="1">
      <c r="A278" s="68">
        <v>46214</v>
      </c>
      <c r="B278" s="25">
        <f t="shared" si="62"/>
        <v>0.58333333333333304</v>
      </c>
      <c r="C278" s="26" t="s">
        <v>45</v>
      </c>
      <c r="D278" s="59" t="s">
        <v>30</v>
      </c>
      <c r="E278" s="59" t="s">
        <v>261</v>
      </c>
      <c r="F278" s="27">
        <v>7</v>
      </c>
      <c r="G278" s="28">
        <f t="shared" si="60"/>
        <v>29.400000000000002</v>
      </c>
      <c r="H278" s="26" t="s">
        <v>20</v>
      </c>
      <c r="I278" s="26" t="s">
        <v>47</v>
      </c>
      <c r="J278" s="26" t="s">
        <v>51</v>
      </c>
      <c r="K278" s="29">
        <v>0.74097222222222225</v>
      </c>
      <c r="L278" s="29">
        <v>0.74305555555555558</v>
      </c>
      <c r="M278" s="30">
        <f t="shared" ca="1" si="61"/>
        <v>2.0833333333333259E-3</v>
      </c>
      <c r="N278" s="27"/>
      <c r="O278" s="47"/>
    </row>
    <row r="279" spans="1:15" ht="15" customHeight="1">
      <c r="A279" s="69">
        <v>46214</v>
      </c>
      <c r="B279" s="32">
        <f t="shared" si="62"/>
        <v>0.62499999999999967</v>
      </c>
      <c r="C279" s="26" t="s">
        <v>45</v>
      </c>
      <c r="D279" s="59" t="s">
        <v>30</v>
      </c>
      <c r="E279" s="59" t="s">
        <v>261</v>
      </c>
      <c r="F279" s="27">
        <v>0</v>
      </c>
      <c r="G279" s="34">
        <f t="shared" si="60"/>
        <v>0</v>
      </c>
      <c r="H279" s="33"/>
      <c r="I279" s="33"/>
      <c r="J279" s="33"/>
      <c r="K279" s="29"/>
      <c r="L279" s="29"/>
      <c r="M279" s="35" t="str">
        <f t="shared" ca="1" si="61"/>
        <v/>
      </c>
      <c r="N279" s="27"/>
      <c r="O279" s="47"/>
    </row>
    <row r="280" spans="1:15" ht="15" customHeight="1">
      <c r="A280" s="68">
        <v>46214</v>
      </c>
      <c r="B280" s="25">
        <f t="shared" si="62"/>
        <v>0.6666666666666663</v>
      </c>
      <c r="C280" s="26" t="s">
        <v>45</v>
      </c>
      <c r="D280" s="59" t="s">
        <v>30</v>
      </c>
      <c r="E280" s="59" t="s">
        <v>261</v>
      </c>
      <c r="F280" s="27">
        <v>5</v>
      </c>
      <c r="G280" s="28">
        <f t="shared" si="60"/>
        <v>21</v>
      </c>
      <c r="H280" s="26"/>
      <c r="I280" s="26"/>
      <c r="J280" s="26"/>
      <c r="K280" s="29"/>
      <c r="L280" s="29"/>
      <c r="M280" s="30" t="str">
        <f t="shared" ca="1" si="61"/>
        <v/>
      </c>
      <c r="N280" s="27"/>
      <c r="O280" s="47"/>
    </row>
    <row r="281" spans="1:15" ht="15" customHeight="1">
      <c r="A281" s="69">
        <v>46214</v>
      </c>
      <c r="B281" s="32">
        <f t="shared" si="62"/>
        <v>0.70833333333333293</v>
      </c>
      <c r="C281" s="26" t="s">
        <v>45</v>
      </c>
      <c r="D281" s="59" t="s">
        <v>30</v>
      </c>
      <c r="E281" s="59" t="s">
        <v>261</v>
      </c>
      <c r="F281" s="27">
        <v>5</v>
      </c>
      <c r="G281" s="34">
        <f t="shared" si="60"/>
        <v>21</v>
      </c>
      <c r="H281" s="33"/>
      <c r="I281" s="33"/>
      <c r="J281" s="33"/>
      <c r="K281" s="29"/>
      <c r="L281" s="29"/>
      <c r="M281" s="35" t="str">
        <f t="shared" ca="1" si="61"/>
        <v/>
      </c>
      <c r="N281" s="27"/>
      <c r="O281" s="47"/>
    </row>
    <row r="282" spans="1:15" ht="15" customHeight="1">
      <c r="A282" s="68">
        <v>46214</v>
      </c>
      <c r="B282" s="25">
        <f t="shared" si="62"/>
        <v>0.74999999999999956</v>
      </c>
      <c r="C282" s="26" t="s">
        <v>45</v>
      </c>
      <c r="D282" s="59" t="s">
        <v>30</v>
      </c>
      <c r="E282" s="59" t="s">
        <v>261</v>
      </c>
      <c r="F282" s="27">
        <v>6</v>
      </c>
      <c r="G282" s="28">
        <f t="shared" si="60"/>
        <v>25.200000000000003</v>
      </c>
      <c r="H282" s="26"/>
      <c r="I282" s="26"/>
      <c r="J282" s="26"/>
      <c r="K282" s="29"/>
      <c r="L282" s="29"/>
      <c r="M282" s="30" t="str">
        <f t="shared" ca="1" si="61"/>
        <v/>
      </c>
      <c r="N282" s="27"/>
      <c r="O282" s="47"/>
    </row>
    <row r="283" spans="1:15" ht="15" customHeight="1">
      <c r="A283" s="69">
        <v>46214</v>
      </c>
      <c r="B283" s="32">
        <f t="shared" si="62"/>
        <v>0.79166666666666619</v>
      </c>
      <c r="C283" s="26" t="s">
        <v>45</v>
      </c>
      <c r="D283" s="59" t="s">
        <v>30</v>
      </c>
      <c r="E283" s="59" t="s">
        <v>261</v>
      </c>
      <c r="F283" s="27">
        <v>6</v>
      </c>
      <c r="G283" s="34">
        <f t="shared" si="60"/>
        <v>25.200000000000003</v>
      </c>
      <c r="H283" s="33"/>
      <c r="I283" s="33"/>
      <c r="J283" s="33"/>
      <c r="K283" s="29"/>
      <c r="L283" s="29"/>
      <c r="M283" s="35" t="str">
        <f t="shared" ca="1" si="61"/>
        <v/>
      </c>
      <c r="N283" s="27"/>
      <c r="O283" s="47"/>
    </row>
    <row r="284" spans="1:15" ht="15.75" customHeight="1">
      <c r="A284" s="119" t="s">
        <v>236</v>
      </c>
      <c r="B284" s="120"/>
      <c r="C284" s="120"/>
      <c r="D284" s="120"/>
      <c r="E284" s="121">
        <f>SUM(E272:E283)</f>
        <v>0</v>
      </c>
      <c r="F284" s="36">
        <f>SUM(F272:F283)</f>
        <v>73</v>
      </c>
      <c r="G284" s="36">
        <f>SUM(G272:G283)</f>
        <v>306.59999999999997</v>
      </c>
      <c r="H284" s="37"/>
      <c r="I284" s="37"/>
      <c r="J284" s="37"/>
      <c r="K284" s="37"/>
      <c r="L284" s="37"/>
      <c r="M284" s="38">
        <f ca="1">IFERROR(SUM(M272:M283),"")</f>
        <v>5.5555555555555525E-2</v>
      </c>
      <c r="N284" s="36" t="s">
        <v>237</v>
      </c>
      <c r="O284" s="39">
        <v>303720</v>
      </c>
    </row>
    <row r="285" spans="1:15" ht="15" customHeight="1">
      <c r="A285" s="69">
        <v>46214</v>
      </c>
      <c r="B285" s="32">
        <v>0.83333333333333304</v>
      </c>
      <c r="C285" s="33" t="s">
        <v>29</v>
      </c>
      <c r="D285" s="62" t="s">
        <v>30</v>
      </c>
      <c r="E285" s="62" t="s">
        <v>261</v>
      </c>
      <c r="F285" s="27">
        <v>0</v>
      </c>
      <c r="G285" s="34">
        <f t="shared" ref="G285:G296" si="63">IF(F285="","",IF(E285="PC 17",F285*4.2,IF(E285="PC 19",F285*5,"")))</f>
        <v>0</v>
      </c>
      <c r="H285" s="33" t="s">
        <v>20</v>
      </c>
      <c r="I285" s="33" t="s">
        <v>47</v>
      </c>
      <c r="J285" s="33" t="s">
        <v>51</v>
      </c>
      <c r="K285" s="29">
        <v>0.79166666666666663</v>
      </c>
      <c r="L285" s="29">
        <v>0.79513888888888884</v>
      </c>
      <c r="M285" s="35">
        <f t="shared" ref="M285:M296" ca="1" si="64">IFERROR(IF(K285="","",IF(L285="",MOD(NOW()-K285,1),IF(L285&gt;=K285,L285-K285,L285+1-K285))),"")</f>
        <v>3.4722222222222099E-3</v>
      </c>
      <c r="N285" s="27"/>
      <c r="O285" s="47"/>
    </row>
    <row r="286" spans="1:15" ht="15" customHeight="1">
      <c r="A286" s="68">
        <v>46214</v>
      </c>
      <c r="B286" s="25">
        <f t="shared" ref="B286:B296" si="65">B285+TIME(0,60,0)</f>
        <v>0.87499999999999967</v>
      </c>
      <c r="C286" s="33" t="s">
        <v>29</v>
      </c>
      <c r="D286" s="62" t="s">
        <v>30</v>
      </c>
      <c r="E286" s="62" t="s">
        <v>261</v>
      </c>
      <c r="F286" s="27">
        <v>5</v>
      </c>
      <c r="G286" s="28">
        <f t="shared" si="63"/>
        <v>21</v>
      </c>
      <c r="H286" s="49" t="s">
        <v>18</v>
      </c>
      <c r="I286" s="49" t="s">
        <v>47</v>
      </c>
      <c r="J286" s="49" t="s">
        <v>128</v>
      </c>
      <c r="K286" s="29">
        <v>0.79513888888888884</v>
      </c>
      <c r="L286" s="29">
        <v>0.83888888888888891</v>
      </c>
      <c r="M286" s="30">
        <f t="shared" ca="1" si="64"/>
        <v>4.3750000000000067E-2</v>
      </c>
      <c r="N286" s="27" t="s">
        <v>362</v>
      </c>
      <c r="O286" s="47"/>
    </row>
    <row r="287" spans="1:15" ht="15" customHeight="1">
      <c r="A287" s="69">
        <v>46214</v>
      </c>
      <c r="B287" s="32">
        <f t="shared" si="65"/>
        <v>0.9166666666666663</v>
      </c>
      <c r="C287" s="33" t="s">
        <v>29</v>
      </c>
      <c r="D287" s="62" t="s">
        <v>30</v>
      </c>
      <c r="E287" s="62" t="s">
        <v>261</v>
      </c>
      <c r="F287" s="27">
        <v>14</v>
      </c>
      <c r="G287" s="34">
        <f t="shared" si="63"/>
        <v>58.800000000000004</v>
      </c>
      <c r="H287" s="33" t="s">
        <v>20</v>
      </c>
      <c r="I287" s="33" t="s">
        <v>47</v>
      </c>
      <c r="J287" s="33" t="s">
        <v>51</v>
      </c>
      <c r="K287" s="29">
        <v>0.84375</v>
      </c>
      <c r="L287" s="29">
        <v>0.84861111111111109</v>
      </c>
      <c r="M287" s="35">
        <f t="shared" ca="1" si="64"/>
        <v>4.8611111111110938E-3</v>
      </c>
      <c r="N287" s="27"/>
      <c r="O287" s="47"/>
    </row>
    <row r="288" spans="1:15" ht="15" customHeight="1">
      <c r="A288" s="68">
        <v>46214</v>
      </c>
      <c r="B288" s="25">
        <f t="shared" si="65"/>
        <v>0.95833333333333293</v>
      </c>
      <c r="C288" s="33" t="s">
        <v>29</v>
      </c>
      <c r="D288" s="62" t="s">
        <v>30</v>
      </c>
      <c r="E288" s="62" t="s">
        <v>261</v>
      </c>
      <c r="F288" s="27">
        <v>6</v>
      </c>
      <c r="G288" s="28">
        <f t="shared" si="63"/>
        <v>25.200000000000003</v>
      </c>
      <c r="H288" s="26" t="s">
        <v>20</v>
      </c>
      <c r="I288" s="26" t="s">
        <v>47</v>
      </c>
      <c r="J288" s="26" t="s">
        <v>51</v>
      </c>
      <c r="K288" s="29">
        <v>0.85</v>
      </c>
      <c r="L288" s="29">
        <v>0.85555555555555551</v>
      </c>
      <c r="M288" s="30">
        <f t="shared" ca="1" si="64"/>
        <v>5.5555555555555358E-3</v>
      </c>
      <c r="N288" s="27"/>
      <c r="O288" s="47"/>
    </row>
    <row r="289" spans="1:15" ht="15" customHeight="1">
      <c r="A289" s="69">
        <v>46214</v>
      </c>
      <c r="B289" s="32">
        <f t="shared" si="65"/>
        <v>0.99999999999999956</v>
      </c>
      <c r="C289" s="33" t="s">
        <v>29</v>
      </c>
      <c r="D289" s="62" t="s">
        <v>30</v>
      </c>
      <c r="E289" s="62" t="s">
        <v>261</v>
      </c>
      <c r="F289" s="27">
        <v>6</v>
      </c>
      <c r="G289" s="34">
        <f t="shared" si="63"/>
        <v>25.200000000000003</v>
      </c>
      <c r="H289" s="33" t="s">
        <v>20</v>
      </c>
      <c r="I289" s="33" t="s">
        <v>47</v>
      </c>
      <c r="J289" s="33" t="s">
        <v>56</v>
      </c>
      <c r="K289" s="29">
        <v>0.87013888888888891</v>
      </c>
      <c r="L289" s="29">
        <v>0.89097222222222228</v>
      </c>
      <c r="M289" s="35">
        <f t="shared" ca="1" si="64"/>
        <v>2.083333333333337E-2</v>
      </c>
      <c r="N289" s="27" t="s">
        <v>363</v>
      </c>
      <c r="O289" s="47"/>
    </row>
    <row r="290" spans="1:15" ht="15" customHeight="1">
      <c r="A290" s="68">
        <v>46214</v>
      </c>
      <c r="B290" s="25">
        <f t="shared" si="65"/>
        <v>1.0416666666666663</v>
      </c>
      <c r="C290" s="33" t="s">
        <v>29</v>
      </c>
      <c r="D290" s="62" t="s">
        <v>30</v>
      </c>
      <c r="E290" s="62" t="s">
        <v>261</v>
      </c>
      <c r="F290" s="27">
        <v>30</v>
      </c>
      <c r="G290" s="28">
        <f t="shared" si="63"/>
        <v>126</v>
      </c>
      <c r="H290" s="26" t="s">
        <v>20</v>
      </c>
      <c r="I290" s="26" t="s">
        <v>47</v>
      </c>
      <c r="J290" s="26" t="s">
        <v>51</v>
      </c>
      <c r="K290" s="29">
        <v>6.9444444444444447E-4</v>
      </c>
      <c r="L290" s="29">
        <v>5.5555555555555558E-3</v>
      </c>
      <c r="M290" s="30">
        <f t="shared" ca="1" si="64"/>
        <v>4.8611111111111112E-3</v>
      </c>
      <c r="N290" s="27"/>
      <c r="O290" s="47"/>
    </row>
    <row r="291" spans="1:15" ht="15" customHeight="1">
      <c r="A291" s="69">
        <v>46214</v>
      </c>
      <c r="B291" s="32">
        <f t="shared" si="65"/>
        <v>1.083333333333333</v>
      </c>
      <c r="C291" s="33" t="s">
        <v>29</v>
      </c>
      <c r="D291" s="62" t="s">
        <v>30</v>
      </c>
      <c r="E291" s="62" t="s">
        <v>261</v>
      </c>
      <c r="F291" s="27">
        <v>11</v>
      </c>
      <c r="G291" s="34">
        <f t="shared" si="63"/>
        <v>46.2</v>
      </c>
      <c r="H291" s="33" t="s">
        <v>20</v>
      </c>
      <c r="I291" s="33"/>
      <c r="J291" s="33" t="s">
        <v>113</v>
      </c>
      <c r="K291" s="29">
        <v>0.2013888888888889</v>
      </c>
      <c r="L291" s="29">
        <v>0.21180555555555555</v>
      </c>
      <c r="M291" s="35">
        <f t="shared" ca="1" si="64"/>
        <v>1.0416666666666657E-2</v>
      </c>
      <c r="N291" s="27"/>
      <c r="O291" s="47"/>
    </row>
    <row r="292" spans="1:15" ht="15" customHeight="1">
      <c r="A292" s="68">
        <v>46214</v>
      </c>
      <c r="B292" s="25">
        <f t="shared" si="65"/>
        <v>1.1249999999999998</v>
      </c>
      <c r="C292" s="33" t="s">
        <v>29</v>
      </c>
      <c r="D292" s="62" t="s">
        <v>30</v>
      </c>
      <c r="E292" s="62" t="s">
        <v>261</v>
      </c>
      <c r="F292" s="27">
        <v>17</v>
      </c>
      <c r="G292" s="28">
        <f t="shared" si="63"/>
        <v>71.400000000000006</v>
      </c>
      <c r="H292" s="26"/>
      <c r="I292" s="26"/>
      <c r="J292" s="26"/>
      <c r="K292" s="29"/>
      <c r="L292" s="29"/>
      <c r="M292" s="30" t="str">
        <f t="shared" ca="1" si="64"/>
        <v/>
      </c>
      <c r="N292" s="27"/>
      <c r="O292" s="47"/>
    </row>
    <row r="293" spans="1:15" ht="15" customHeight="1">
      <c r="A293" s="69">
        <v>46214</v>
      </c>
      <c r="B293" s="32">
        <f t="shared" si="65"/>
        <v>1.1666666666666665</v>
      </c>
      <c r="C293" s="33" t="s">
        <v>29</v>
      </c>
      <c r="D293" s="62" t="s">
        <v>30</v>
      </c>
      <c r="E293" s="62" t="s">
        <v>261</v>
      </c>
      <c r="F293" s="27">
        <v>5</v>
      </c>
      <c r="G293" s="34">
        <f t="shared" si="63"/>
        <v>21</v>
      </c>
      <c r="H293" s="33"/>
      <c r="I293" s="33"/>
      <c r="J293" s="33"/>
      <c r="K293" s="29"/>
      <c r="L293" s="29"/>
      <c r="M293" s="35" t="str">
        <f t="shared" ca="1" si="64"/>
        <v/>
      </c>
      <c r="N293" s="27"/>
      <c r="O293" s="47"/>
    </row>
    <row r="294" spans="1:15" ht="15" customHeight="1">
      <c r="A294" s="68">
        <v>46214</v>
      </c>
      <c r="B294" s="25">
        <f t="shared" si="65"/>
        <v>1.2083333333333333</v>
      </c>
      <c r="C294" s="33" t="s">
        <v>29</v>
      </c>
      <c r="D294" s="62" t="s">
        <v>30</v>
      </c>
      <c r="E294" s="62" t="s">
        <v>261</v>
      </c>
      <c r="F294" s="27">
        <v>11</v>
      </c>
      <c r="G294" s="28">
        <f t="shared" si="63"/>
        <v>46.2</v>
      </c>
      <c r="H294" s="26"/>
      <c r="I294" s="26"/>
      <c r="J294" s="26"/>
      <c r="K294" s="29"/>
      <c r="L294" s="29"/>
      <c r="M294" s="30" t="str">
        <f t="shared" ca="1" si="64"/>
        <v/>
      </c>
      <c r="N294" s="27"/>
      <c r="O294" s="47"/>
    </row>
    <row r="295" spans="1:15" ht="15" customHeight="1">
      <c r="A295" s="69">
        <v>46214</v>
      </c>
      <c r="B295" s="32">
        <f t="shared" si="65"/>
        <v>1.25</v>
      </c>
      <c r="C295" s="33" t="s">
        <v>29</v>
      </c>
      <c r="D295" s="20" t="s">
        <v>30</v>
      </c>
      <c r="E295" s="62" t="s">
        <v>261</v>
      </c>
      <c r="F295" s="27">
        <v>11</v>
      </c>
      <c r="G295" s="34">
        <f t="shared" si="63"/>
        <v>46.2</v>
      </c>
      <c r="H295" s="33"/>
      <c r="I295" s="33"/>
      <c r="J295" s="33"/>
      <c r="K295" s="29"/>
      <c r="L295" s="29"/>
      <c r="M295" s="35" t="str">
        <f t="shared" ca="1" si="64"/>
        <v/>
      </c>
      <c r="N295" s="27"/>
      <c r="O295" s="47"/>
    </row>
    <row r="296" spans="1:15" ht="15" customHeight="1">
      <c r="A296" s="68">
        <v>46214</v>
      </c>
      <c r="B296" s="25">
        <f t="shared" si="65"/>
        <v>1.2916666666666667</v>
      </c>
      <c r="C296" s="33" t="s">
        <v>29</v>
      </c>
      <c r="D296" s="62" t="s">
        <v>30</v>
      </c>
      <c r="E296" s="62" t="s">
        <v>261</v>
      </c>
      <c r="F296" s="27">
        <v>2</v>
      </c>
      <c r="G296" s="28">
        <f t="shared" si="63"/>
        <v>8.4</v>
      </c>
      <c r="H296" s="26"/>
      <c r="I296" s="26"/>
      <c r="J296" s="26"/>
      <c r="K296" s="29"/>
      <c r="L296" s="29"/>
      <c r="M296" s="30" t="str">
        <f t="shared" ca="1" si="64"/>
        <v/>
      </c>
      <c r="N296" s="27"/>
      <c r="O296" s="47"/>
    </row>
    <row r="297" spans="1:15" ht="15.75" customHeight="1">
      <c r="A297" s="119" t="s">
        <v>238</v>
      </c>
      <c r="B297" s="120"/>
      <c r="C297" s="120"/>
      <c r="D297" s="120"/>
      <c r="E297" s="121">
        <f>SUM(E285:E296)</f>
        <v>0</v>
      </c>
      <c r="F297" s="36">
        <f>SUM(F285:F296)</f>
        <v>118</v>
      </c>
      <c r="G297" s="36">
        <f>SUM(G285:G296)</f>
        <v>495.6</v>
      </c>
      <c r="H297" s="37"/>
      <c r="I297" s="37"/>
      <c r="J297" s="37"/>
      <c r="K297" s="37"/>
      <c r="L297" s="37"/>
      <c r="M297" s="38">
        <f ca="1">IFERROR(SUM(M285:M296),"")</f>
        <v>9.3750000000000042E-2</v>
      </c>
      <c r="N297" s="36" t="s">
        <v>237</v>
      </c>
      <c r="O297" s="39">
        <v>487980</v>
      </c>
    </row>
    <row r="298" spans="1:15" ht="18" customHeight="1">
      <c r="A298" s="122" t="s">
        <v>239</v>
      </c>
      <c r="B298" s="123"/>
      <c r="C298" s="123"/>
      <c r="D298" s="123"/>
      <c r="E298" s="124">
        <f>E284+E297</f>
        <v>0</v>
      </c>
      <c r="F298" s="40">
        <f>F284+F297</f>
        <v>191</v>
      </c>
      <c r="G298" s="40">
        <f>G284+G297</f>
        <v>802.2</v>
      </c>
      <c r="H298" s="41"/>
      <c r="I298" s="41"/>
      <c r="J298" s="41"/>
      <c r="K298" s="41"/>
      <c r="L298" s="41"/>
      <c r="M298" s="42">
        <f ca="1">IFERROR(M284+M297,"")</f>
        <v>0.14930555555555558</v>
      </c>
      <c r="N298" s="40" t="s">
        <v>240</v>
      </c>
      <c r="O298" s="48">
        <f>IFERROR(O284+O297,"")</f>
        <v>791700</v>
      </c>
    </row>
    <row r="299" spans="1:15" ht="15" customHeight="1">
      <c r="A299" s="69">
        <v>46215</v>
      </c>
      <c r="B299" s="32">
        <v>0.33333333333333298</v>
      </c>
      <c r="C299" s="33" t="s">
        <v>45</v>
      </c>
      <c r="D299" s="62" t="s">
        <v>30</v>
      </c>
      <c r="E299" s="62" t="s">
        <v>261</v>
      </c>
      <c r="F299" s="27">
        <v>0</v>
      </c>
      <c r="G299" s="34">
        <f t="shared" ref="G299:G310" si="66">IF(F299="","",IF(E299="PC 17",F299*4.2,IF(E299="PC 19",F299*5,"")))</f>
        <v>0</v>
      </c>
      <c r="H299" s="33" t="s">
        <v>20</v>
      </c>
      <c r="I299" s="33" t="s">
        <v>133</v>
      </c>
      <c r="J299" s="33" t="s">
        <v>74</v>
      </c>
      <c r="K299" s="29">
        <v>0.32916666666666666</v>
      </c>
      <c r="L299" s="29">
        <v>0.33333333333333331</v>
      </c>
      <c r="M299" s="35">
        <f t="shared" ref="M299:M310" ca="1" si="67">IFERROR(IF(K299="","",IF(L299="",MOD(NOW()-K299,1),IF(L299&gt;=K299,L299-K299,L299+1-K299))),"")</f>
        <v>4.1666666666666519E-3</v>
      </c>
      <c r="N299" s="27"/>
      <c r="O299" s="47"/>
    </row>
    <row r="300" spans="1:15" ht="15" customHeight="1">
      <c r="A300" s="68">
        <v>46215</v>
      </c>
      <c r="B300" s="25">
        <f t="shared" ref="B300:B310" si="68">B299+TIME(0,60,0)</f>
        <v>0.37499999999999967</v>
      </c>
      <c r="C300" s="33" t="s">
        <v>45</v>
      </c>
      <c r="D300" s="62" t="s">
        <v>30</v>
      </c>
      <c r="E300" s="62" t="s">
        <v>261</v>
      </c>
      <c r="F300" s="27">
        <v>7</v>
      </c>
      <c r="G300" s="28">
        <f t="shared" si="66"/>
        <v>29.400000000000002</v>
      </c>
      <c r="H300" s="26" t="s">
        <v>20</v>
      </c>
      <c r="I300" s="26" t="s">
        <v>133</v>
      </c>
      <c r="J300" s="26" t="s">
        <v>74</v>
      </c>
      <c r="K300" s="29">
        <v>0.35416666666666669</v>
      </c>
      <c r="L300" s="29">
        <v>0.3840277777777778</v>
      </c>
      <c r="M300" s="30">
        <f t="shared" ca="1" si="67"/>
        <v>2.9861111111111116E-2</v>
      </c>
      <c r="N300" s="27"/>
      <c r="O300" s="47"/>
    </row>
    <row r="301" spans="1:15" ht="15" customHeight="1">
      <c r="A301" s="69">
        <v>46215</v>
      </c>
      <c r="B301" s="32">
        <f t="shared" si="68"/>
        <v>0.41666666666666635</v>
      </c>
      <c r="C301" s="33" t="s">
        <v>45</v>
      </c>
      <c r="D301" s="62" t="s">
        <v>30</v>
      </c>
      <c r="E301" s="62" t="s">
        <v>261</v>
      </c>
      <c r="F301" s="27">
        <v>5</v>
      </c>
      <c r="G301" s="34">
        <f t="shared" si="66"/>
        <v>21</v>
      </c>
      <c r="H301" s="33" t="s">
        <v>20</v>
      </c>
      <c r="I301" s="33"/>
      <c r="J301" s="33" t="s">
        <v>113</v>
      </c>
      <c r="K301" s="29">
        <v>0.56041666666666667</v>
      </c>
      <c r="L301" s="29">
        <v>0.56597222222222221</v>
      </c>
      <c r="M301" s="35">
        <f t="shared" ca="1" si="67"/>
        <v>5.5555555555555358E-3</v>
      </c>
      <c r="N301" s="27"/>
      <c r="O301" s="47"/>
    </row>
    <row r="302" spans="1:15" ht="15" customHeight="1">
      <c r="A302" s="68">
        <v>46215</v>
      </c>
      <c r="B302" s="25">
        <f t="shared" si="68"/>
        <v>0.45833333333333304</v>
      </c>
      <c r="C302" s="33" t="s">
        <v>45</v>
      </c>
      <c r="D302" s="62" t="s">
        <v>30</v>
      </c>
      <c r="E302" s="62" t="s">
        <v>261</v>
      </c>
      <c r="F302" s="27">
        <v>11</v>
      </c>
      <c r="G302" s="28">
        <f t="shared" si="66"/>
        <v>46.2</v>
      </c>
      <c r="H302" s="26" t="s">
        <v>20</v>
      </c>
      <c r="I302" s="26" t="s">
        <v>47</v>
      </c>
      <c r="J302" s="26" t="s">
        <v>56</v>
      </c>
      <c r="K302" s="29">
        <v>0.61250000000000004</v>
      </c>
      <c r="L302" s="29">
        <v>0.66666666666666663</v>
      </c>
      <c r="M302" s="30">
        <f t="shared" ca="1" si="67"/>
        <v>5.4166666666666585E-2</v>
      </c>
      <c r="N302" s="27" t="s">
        <v>364</v>
      </c>
      <c r="O302" s="47"/>
    </row>
    <row r="303" spans="1:15" ht="15" customHeight="1">
      <c r="A303" s="69">
        <v>46215</v>
      </c>
      <c r="B303" s="32">
        <f t="shared" si="68"/>
        <v>0.49999999999999972</v>
      </c>
      <c r="C303" s="33" t="s">
        <v>45</v>
      </c>
      <c r="D303" s="62" t="s">
        <v>30</v>
      </c>
      <c r="E303" s="62" t="s">
        <v>261</v>
      </c>
      <c r="F303" s="27">
        <v>3</v>
      </c>
      <c r="G303" s="34">
        <f t="shared" si="66"/>
        <v>12.600000000000001</v>
      </c>
      <c r="H303" s="33" t="s">
        <v>20</v>
      </c>
      <c r="I303" s="33" t="s">
        <v>47</v>
      </c>
      <c r="J303" s="33" t="s">
        <v>51</v>
      </c>
      <c r="K303" s="29">
        <v>0.73611111111111116</v>
      </c>
      <c r="L303" s="29">
        <v>0.73958333333333337</v>
      </c>
      <c r="M303" s="35">
        <v>5.5555555555555558E-3</v>
      </c>
      <c r="N303" s="27"/>
      <c r="O303" s="47"/>
    </row>
    <row r="304" spans="1:15" ht="15" customHeight="1">
      <c r="A304" s="68">
        <v>46215</v>
      </c>
      <c r="B304" s="25">
        <f t="shared" si="68"/>
        <v>0.54166666666666641</v>
      </c>
      <c r="C304" s="33" t="s">
        <v>45</v>
      </c>
      <c r="D304" s="62" t="s">
        <v>30</v>
      </c>
      <c r="E304" s="62" t="s">
        <v>261</v>
      </c>
      <c r="F304" s="27">
        <v>5</v>
      </c>
      <c r="G304" s="28">
        <f t="shared" si="66"/>
        <v>21</v>
      </c>
      <c r="H304" s="26"/>
      <c r="I304" s="26"/>
      <c r="J304" s="26"/>
      <c r="K304" s="29"/>
      <c r="L304" s="29"/>
      <c r="M304" s="30" t="str">
        <f t="shared" ca="1" si="67"/>
        <v/>
      </c>
      <c r="N304" s="27"/>
      <c r="O304" s="47"/>
    </row>
    <row r="305" spans="1:15" ht="15" customHeight="1">
      <c r="A305" s="69">
        <v>46215</v>
      </c>
      <c r="B305" s="32">
        <f t="shared" si="68"/>
        <v>0.58333333333333304</v>
      </c>
      <c r="C305" s="33" t="s">
        <v>45</v>
      </c>
      <c r="D305" s="62" t="s">
        <v>30</v>
      </c>
      <c r="E305" s="62" t="s">
        <v>261</v>
      </c>
      <c r="F305" s="27">
        <v>5</v>
      </c>
      <c r="G305" s="34">
        <f t="shared" si="66"/>
        <v>21</v>
      </c>
      <c r="H305" s="33"/>
      <c r="I305" s="33"/>
      <c r="J305" s="33"/>
      <c r="K305" s="29"/>
      <c r="L305" s="29"/>
      <c r="M305" s="35" t="str">
        <f t="shared" ca="1" si="67"/>
        <v/>
      </c>
      <c r="N305" s="27"/>
      <c r="O305" s="47"/>
    </row>
    <row r="306" spans="1:15" ht="15" customHeight="1">
      <c r="A306" s="68">
        <v>46215</v>
      </c>
      <c r="B306" s="25">
        <f t="shared" si="68"/>
        <v>0.62499999999999967</v>
      </c>
      <c r="C306" s="33" t="s">
        <v>45</v>
      </c>
      <c r="D306" s="62" t="s">
        <v>30</v>
      </c>
      <c r="E306" s="62" t="s">
        <v>261</v>
      </c>
      <c r="F306" s="27">
        <v>5</v>
      </c>
      <c r="G306" s="28">
        <f t="shared" si="66"/>
        <v>21</v>
      </c>
      <c r="H306" s="26"/>
      <c r="I306" s="26"/>
      <c r="J306" s="26"/>
      <c r="K306" s="29"/>
      <c r="L306" s="29"/>
      <c r="M306" s="30" t="str">
        <f t="shared" ca="1" si="67"/>
        <v/>
      </c>
      <c r="N306" s="27"/>
      <c r="O306" s="47"/>
    </row>
    <row r="307" spans="1:15" ht="15" customHeight="1">
      <c r="A307" s="69">
        <v>46215</v>
      </c>
      <c r="B307" s="32">
        <f t="shared" si="68"/>
        <v>0.6666666666666663</v>
      </c>
      <c r="C307" s="33" t="s">
        <v>45</v>
      </c>
      <c r="D307" s="62" t="s">
        <v>30</v>
      </c>
      <c r="E307" s="62" t="s">
        <v>261</v>
      </c>
      <c r="F307" s="27">
        <v>12</v>
      </c>
      <c r="G307" s="34">
        <f t="shared" si="66"/>
        <v>50.400000000000006</v>
      </c>
      <c r="H307" s="33"/>
      <c r="I307" s="33"/>
      <c r="J307" s="33"/>
      <c r="K307" s="29"/>
      <c r="L307" s="29"/>
      <c r="M307" s="35" t="str">
        <f t="shared" ca="1" si="67"/>
        <v/>
      </c>
      <c r="N307" s="27"/>
      <c r="O307" s="47"/>
    </row>
    <row r="308" spans="1:15" ht="15" customHeight="1">
      <c r="A308" s="68">
        <v>46215</v>
      </c>
      <c r="B308" s="25">
        <f t="shared" si="68"/>
        <v>0.70833333333333293</v>
      </c>
      <c r="C308" s="33" t="s">
        <v>45</v>
      </c>
      <c r="D308" s="62" t="s">
        <v>30</v>
      </c>
      <c r="E308" s="62" t="s">
        <v>261</v>
      </c>
      <c r="F308" s="27">
        <v>0</v>
      </c>
      <c r="G308" s="28">
        <f t="shared" si="66"/>
        <v>0</v>
      </c>
      <c r="H308" s="26"/>
      <c r="I308" s="26"/>
      <c r="J308" s="26"/>
      <c r="K308" s="29"/>
      <c r="L308" s="29"/>
      <c r="M308" s="30" t="str">
        <f t="shared" ca="1" si="67"/>
        <v/>
      </c>
      <c r="N308" s="27"/>
      <c r="O308" s="47"/>
    </row>
    <row r="309" spans="1:15" ht="15" customHeight="1">
      <c r="A309" s="69">
        <v>46215</v>
      </c>
      <c r="B309" s="32">
        <f t="shared" si="68"/>
        <v>0.74999999999999956</v>
      </c>
      <c r="C309" s="33" t="s">
        <v>45</v>
      </c>
      <c r="D309" s="62" t="s">
        <v>30</v>
      </c>
      <c r="E309" s="62" t="s">
        <v>261</v>
      </c>
      <c r="F309" s="27">
        <v>10</v>
      </c>
      <c r="G309" s="34">
        <f t="shared" si="66"/>
        <v>42</v>
      </c>
      <c r="H309" s="33"/>
      <c r="I309" s="33"/>
      <c r="J309" s="33"/>
      <c r="K309" s="29"/>
      <c r="L309" s="29"/>
      <c r="M309" s="35" t="str">
        <f t="shared" ca="1" si="67"/>
        <v/>
      </c>
      <c r="N309" s="27"/>
      <c r="O309" s="47"/>
    </row>
    <row r="310" spans="1:15" ht="15" customHeight="1">
      <c r="A310" s="68">
        <v>46215</v>
      </c>
      <c r="B310" s="25">
        <f t="shared" si="68"/>
        <v>0.79166666666666619</v>
      </c>
      <c r="C310" s="33" t="s">
        <v>45</v>
      </c>
      <c r="D310" s="62" t="s">
        <v>30</v>
      </c>
      <c r="E310" s="62" t="s">
        <v>234</v>
      </c>
      <c r="F310" s="27">
        <v>6</v>
      </c>
      <c r="G310" s="28">
        <f t="shared" si="66"/>
        <v>30</v>
      </c>
      <c r="H310" s="26"/>
      <c r="I310" s="26"/>
      <c r="J310" s="26"/>
      <c r="K310" s="29"/>
      <c r="L310" s="29"/>
      <c r="M310" s="30" t="str">
        <f t="shared" ca="1" si="67"/>
        <v/>
      </c>
      <c r="N310" s="27"/>
      <c r="O310" s="47"/>
    </row>
    <row r="311" spans="1:15" ht="15.75" customHeight="1">
      <c r="A311" s="119" t="s">
        <v>236</v>
      </c>
      <c r="B311" s="120"/>
      <c r="C311" s="120"/>
      <c r="D311" s="120"/>
      <c r="E311" s="121">
        <f>SUM(E299:E310)</f>
        <v>0</v>
      </c>
      <c r="F311" s="36">
        <f>SUM(F299:F310)</f>
        <v>69</v>
      </c>
      <c r="G311" s="36">
        <f>SUM(G299:G310)</f>
        <v>294.60000000000002</v>
      </c>
      <c r="H311" s="37"/>
      <c r="I311" s="37"/>
      <c r="J311" s="37"/>
      <c r="K311" s="37"/>
      <c r="L311" s="37"/>
      <c r="M311" s="38">
        <f ca="1">IFERROR(SUM(M299:M310),"")</f>
        <v>9.9305555555555439E-2</v>
      </c>
      <c r="N311" s="36" t="s">
        <v>237</v>
      </c>
      <c r="O311" s="39">
        <v>373300</v>
      </c>
    </row>
    <row r="312" spans="1:15" ht="15" customHeight="1">
      <c r="A312" s="68">
        <v>46215</v>
      </c>
      <c r="B312" s="25">
        <v>0.83333333333333304</v>
      </c>
      <c r="C312" s="26" t="s">
        <v>29</v>
      </c>
      <c r="D312" s="59" t="s">
        <v>30</v>
      </c>
      <c r="E312" s="59" t="s">
        <v>261</v>
      </c>
      <c r="F312" s="27">
        <v>16</v>
      </c>
      <c r="G312" s="28">
        <f t="shared" ref="G312:G323" si="69">IF(F312="","",IF(E312="PC 17",F312*4.2,IF(E312="PC 19",F312*5,"")))</f>
        <v>67.2</v>
      </c>
      <c r="H312" s="26" t="s">
        <v>20</v>
      </c>
      <c r="I312" s="26" t="s">
        <v>47</v>
      </c>
      <c r="J312" s="26" t="s">
        <v>56</v>
      </c>
      <c r="K312" s="29">
        <v>0.9458333333333333</v>
      </c>
      <c r="L312" s="29">
        <v>0.96180555555555558</v>
      </c>
      <c r="M312" s="30">
        <f t="shared" ref="M312:M323" ca="1" si="70">IFERROR(IF(K312="","",IF(L312="",MOD(NOW()-K312,1),IF(L312&gt;=K312,L312-K312,L312+1-K312))),"")</f>
        <v>1.5972222222222276E-2</v>
      </c>
      <c r="N312" s="27" t="s">
        <v>365</v>
      </c>
      <c r="O312" s="47"/>
    </row>
    <row r="313" spans="1:15" ht="15" customHeight="1">
      <c r="A313" s="69">
        <v>46215</v>
      </c>
      <c r="B313" s="32">
        <f t="shared" ref="B313:B323" si="71">B312+TIME(0,60,0)</f>
        <v>0.87499999999999967</v>
      </c>
      <c r="C313" s="26" t="s">
        <v>29</v>
      </c>
      <c r="D313" s="59" t="s">
        <v>30</v>
      </c>
      <c r="E313" s="59" t="s">
        <v>261</v>
      </c>
      <c r="F313" s="27">
        <v>3</v>
      </c>
      <c r="G313" s="34">
        <f t="shared" si="69"/>
        <v>12.600000000000001</v>
      </c>
      <c r="H313" s="33" t="s">
        <v>20</v>
      </c>
      <c r="I313" s="33" t="s">
        <v>47</v>
      </c>
      <c r="J313" s="33" t="s">
        <v>36</v>
      </c>
      <c r="K313" s="29">
        <v>0.18194444444444444</v>
      </c>
      <c r="L313" s="29">
        <v>0.19722222222222222</v>
      </c>
      <c r="M313" s="35">
        <f t="shared" ca="1" si="70"/>
        <v>1.5277777777777779E-2</v>
      </c>
      <c r="N313" s="27"/>
      <c r="O313" s="47"/>
    </row>
    <row r="314" spans="1:15" ht="15" customHeight="1">
      <c r="A314" s="68">
        <v>46215</v>
      </c>
      <c r="B314" s="25">
        <f t="shared" si="71"/>
        <v>0.9166666666666663</v>
      </c>
      <c r="C314" s="26" t="s">
        <v>29</v>
      </c>
      <c r="D314" s="59" t="s">
        <v>30</v>
      </c>
      <c r="E314" s="59" t="s">
        <v>261</v>
      </c>
      <c r="F314" s="27">
        <v>9</v>
      </c>
      <c r="G314" s="28">
        <f t="shared" si="69"/>
        <v>37.800000000000004</v>
      </c>
      <c r="H314" s="26" t="s">
        <v>19</v>
      </c>
      <c r="I314" s="26" t="s">
        <v>47</v>
      </c>
      <c r="J314" s="26" t="s">
        <v>27</v>
      </c>
      <c r="K314" s="29">
        <v>0.19722222222222222</v>
      </c>
      <c r="L314" s="29">
        <v>0.20694444444444443</v>
      </c>
      <c r="M314" s="30">
        <f t="shared" ca="1" si="70"/>
        <v>9.7222222222222154E-3</v>
      </c>
      <c r="N314" s="27"/>
      <c r="O314" s="47"/>
    </row>
    <row r="315" spans="1:15" ht="15" customHeight="1">
      <c r="A315" s="69">
        <v>46215</v>
      </c>
      <c r="B315" s="32">
        <f t="shared" si="71"/>
        <v>0.95833333333333293</v>
      </c>
      <c r="C315" s="26" t="s">
        <v>29</v>
      </c>
      <c r="D315" s="59" t="s">
        <v>30</v>
      </c>
      <c r="E315" s="59" t="s">
        <v>261</v>
      </c>
      <c r="F315" s="27">
        <v>11</v>
      </c>
      <c r="G315" s="34">
        <f t="shared" si="69"/>
        <v>46.2</v>
      </c>
      <c r="H315" s="33" t="s">
        <v>16</v>
      </c>
      <c r="I315" s="33" t="s">
        <v>47</v>
      </c>
      <c r="J315" s="33"/>
      <c r="K315" s="29" t="s">
        <v>366</v>
      </c>
      <c r="L315" s="29">
        <v>0.25416666666666665</v>
      </c>
      <c r="M315" s="35" t="str">
        <f t="shared" ca="1" si="70"/>
        <v/>
      </c>
      <c r="N315" s="27"/>
      <c r="O315" s="47"/>
    </row>
    <row r="316" spans="1:15" ht="15" customHeight="1">
      <c r="A316" s="68">
        <v>46215</v>
      </c>
      <c r="B316" s="25">
        <f t="shared" si="71"/>
        <v>0.99999999999999956</v>
      </c>
      <c r="C316" s="26" t="s">
        <v>29</v>
      </c>
      <c r="D316" s="59" t="s">
        <v>30</v>
      </c>
      <c r="E316" s="59" t="s">
        <v>261</v>
      </c>
      <c r="F316" s="27">
        <v>7</v>
      </c>
      <c r="G316" s="28">
        <f t="shared" si="69"/>
        <v>29.400000000000002</v>
      </c>
      <c r="H316" s="26"/>
      <c r="I316" s="26"/>
      <c r="J316" s="26"/>
      <c r="K316" s="29"/>
      <c r="L316" s="29"/>
      <c r="M316" s="30" t="str">
        <f t="shared" ca="1" si="70"/>
        <v/>
      </c>
      <c r="N316" s="27"/>
      <c r="O316" s="47"/>
    </row>
    <row r="317" spans="1:15" ht="15" customHeight="1">
      <c r="A317" s="69">
        <v>46215</v>
      </c>
      <c r="B317" s="32">
        <f t="shared" si="71"/>
        <v>1.0416666666666663</v>
      </c>
      <c r="C317" s="26" t="s">
        <v>29</v>
      </c>
      <c r="D317" s="59" t="s">
        <v>30</v>
      </c>
      <c r="E317" s="59" t="s">
        <v>261</v>
      </c>
      <c r="F317" s="27">
        <v>11</v>
      </c>
      <c r="G317" s="34">
        <f t="shared" si="69"/>
        <v>46.2</v>
      </c>
      <c r="H317" s="33"/>
      <c r="I317" s="33"/>
      <c r="J317" s="33"/>
      <c r="K317" s="29"/>
      <c r="L317" s="29"/>
      <c r="M317" s="35" t="str">
        <f t="shared" ca="1" si="70"/>
        <v/>
      </c>
      <c r="N317" s="27"/>
      <c r="O317" s="47"/>
    </row>
    <row r="318" spans="1:15" ht="15" customHeight="1">
      <c r="A318" s="68">
        <v>46215</v>
      </c>
      <c r="B318" s="25">
        <f t="shared" si="71"/>
        <v>1.083333333333333</v>
      </c>
      <c r="C318" s="26" t="s">
        <v>29</v>
      </c>
      <c r="D318" s="59" t="s">
        <v>30</v>
      </c>
      <c r="E318" s="59" t="s">
        <v>261</v>
      </c>
      <c r="F318" s="27">
        <v>9</v>
      </c>
      <c r="G318" s="28">
        <f t="shared" si="69"/>
        <v>37.800000000000004</v>
      </c>
      <c r="H318" s="26"/>
      <c r="I318" s="26"/>
      <c r="J318" s="26"/>
      <c r="K318" s="29"/>
      <c r="L318" s="29"/>
      <c r="M318" s="30" t="str">
        <f t="shared" ca="1" si="70"/>
        <v/>
      </c>
      <c r="N318" s="27"/>
      <c r="O318" s="47"/>
    </row>
    <row r="319" spans="1:15" ht="15" customHeight="1">
      <c r="A319" s="69">
        <v>46215</v>
      </c>
      <c r="B319" s="32">
        <f t="shared" si="71"/>
        <v>1.1249999999999998</v>
      </c>
      <c r="C319" s="26" t="s">
        <v>29</v>
      </c>
      <c r="D319" s="59" t="s">
        <v>30</v>
      </c>
      <c r="E319" s="59" t="s">
        <v>261</v>
      </c>
      <c r="F319" s="27">
        <v>10</v>
      </c>
      <c r="G319" s="34">
        <f t="shared" si="69"/>
        <v>42</v>
      </c>
      <c r="H319" s="33"/>
      <c r="I319" s="33"/>
      <c r="J319" s="33"/>
      <c r="K319" s="29"/>
      <c r="L319" s="29"/>
      <c r="M319" s="35" t="str">
        <f t="shared" ca="1" si="70"/>
        <v/>
      </c>
      <c r="N319" s="27"/>
      <c r="O319" s="47"/>
    </row>
    <row r="320" spans="1:15" ht="15" customHeight="1">
      <c r="A320" s="68">
        <v>46215</v>
      </c>
      <c r="B320" s="25">
        <f t="shared" si="71"/>
        <v>1.1666666666666665</v>
      </c>
      <c r="C320" s="26" t="s">
        <v>29</v>
      </c>
      <c r="D320" s="59" t="s">
        <v>30</v>
      </c>
      <c r="E320" s="59" t="s">
        <v>261</v>
      </c>
      <c r="F320" s="27">
        <v>8</v>
      </c>
      <c r="G320" s="28">
        <f t="shared" si="69"/>
        <v>33.6</v>
      </c>
      <c r="H320" s="26"/>
      <c r="I320" s="26"/>
      <c r="J320" s="26"/>
      <c r="K320" s="29"/>
      <c r="L320" s="29"/>
      <c r="M320" s="30" t="str">
        <f t="shared" ca="1" si="70"/>
        <v/>
      </c>
      <c r="N320" s="27"/>
      <c r="O320" s="47"/>
    </row>
    <row r="321" spans="1:15" ht="15" customHeight="1">
      <c r="A321" s="69">
        <v>46215</v>
      </c>
      <c r="B321" s="32">
        <f t="shared" si="71"/>
        <v>1.2083333333333333</v>
      </c>
      <c r="C321" s="26" t="s">
        <v>29</v>
      </c>
      <c r="D321" s="59" t="s">
        <v>30</v>
      </c>
      <c r="E321" s="59" t="s">
        <v>261</v>
      </c>
      <c r="F321" s="27">
        <v>19</v>
      </c>
      <c r="G321" s="34">
        <f t="shared" si="69"/>
        <v>79.8</v>
      </c>
      <c r="H321" s="33"/>
      <c r="I321" s="33"/>
      <c r="J321" s="33"/>
      <c r="K321" s="29"/>
      <c r="L321" s="29"/>
      <c r="M321" s="35" t="str">
        <f t="shared" ca="1" si="70"/>
        <v/>
      </c>
      <c r="N321" s="27"/>
      <c r="O321" s="47"/>
    </row>
    <row r="322" spans="1:15" ht="15" customHeight="1">
      <c r="A322" s="68">
        <v>46215</v>
      </c>
      <c r="B322" s="25">
        <f t="shared" si="71"/>
        <v>1.25</v>
      </c>
      <c r="C322" s="26" t="s">
        <v>29</v>
      </c>
      <c r="D322" s="59" t="s">
        <v>30</v>
      </c>
      <c r="E322" s="59" t="s">
        <v>261</v>
      </c>
      <c r="F322" s="27">
        <v>9</v>
      </c>
      <c r="G322" s="28">
        <f t="shared" si="69"/>
        <v>37.800000000000004</v>
      </c>
      <c r="H322" s="26"/>
      <c r="I322" s="26"/>
      <c r="J322" s="26"/>
      <c r="K322" s="29"/>
      <c r="L322" s="29"/>
      <c r="M322" s="30" t="str">
        <f t="shared" ca="1" si="70"/>
        <v/>
      </c>
      <c r="N322" s="27"/>
      <c r="O322" s="47"/>
    </row>
    <row r="323" spans="1:15" ht="15" customHeight="1">
      <c r="A323" s="69">
        <v>46215</v>
      </c>
      <c r="B323" s="32">
        <f t="shared" si="71"/>
        <v>1.2916666666666667</v>
      </c>
      <c r="C323" s="26" t="s">
        <v>29</v>
      </c>
      <c r="D323" s="59" t="s">
        <v>30</v>
      </c>
      <c r="E323" s="59" t="s">
        <v>234</v>
      </c>
      <c r="F323" s="27">
        <v>12</v>
      </c>
      <c r="G323" s="34">
        <f t="shared" si="69"/>
        <v>60</v>
      </c>
      <c r="H323" s="33"/>
      <c r="I323" s="33"/>
      <c r="J323" s="33"/>
      <c r="K323" s="29"/>
      <c r="L323" s="29"/>
      <c r="M323" s="35" t="str">
        <f t="shared" ca="1" si="70"/>
        <v/>
      </c>
      <c r="N323" s="27"/>
      <c r="O323" s="47"/>
    </row>
    <row r="324" spans="1:15" ht="15.75" customHeight="1">
      <c r="A324" s="119" t="s">
        <v>238</v>
      </c>
      <c r="B324" s="120"/>
      <c r="C324" s="120"/>
      <c r="D324" s="120"/>
      <c r="E324" s="121">
        <f>SUM(E312:E323)</f>
        <v>0</v>
      </c>
      <c r="F324" s="36">
        <f>SUM(F312:F323)</f>
        <v>124</v>
      </c>
      <c r="G324" s="36">
        <f>SUM(G312:G323)</f>
        <v>530.40000000000009</v>
      </c>
      <c r="H324" s="37"/>
      <c r="I324" s="37"/>
      <c r="J324" s="37"/>
      <c r="K324" s="37"/>
      <c r="L324" s="37"/>
      <c r="M324" s="38">
        <f ca="1">IFERROR(SUM(M312:M323),"")</f>
        <v>4.0972222222222271E-2</v>
      </c>
      <c r="N324" s="36" t="s">
        <v>237</v>
      </c>
      <c r="O324" s="39">
        <v>609460</v>
      </c>
    </row>
    <row r="325" spans="1:15" ht="18" customHeight="1">
      <c r="A325" s="122" t="s">
        <v>239</v>
      </c>
      <c r="B325" s="123"/>
      <c r="C325" s="123"/>
      <c r="D325" s="123"/>
      <c r="E325" s="124">
        <f>E311+E324</f>
        <v>0</v>
      </c>
      <c r="F325" s="40">
        <f>F311+F324</f>
        <v>193</v>
      </c>
      <c r="G325" s="40">
        <f>G311+G324</f>
        <v>825.00000000000011</v>
      </c>
      <c r="H325" s="41"/>
      <c r="I325" s="41"/>
      <c r="J325" s="41"/>
      <c r="K325" s="41"/>
      <c r="L325" s="41"/>
      <c r="M325" s="42">
        <f ca="1">IFERROR(M311+M324,"")</f>
        <v>0.14027777777777772</v>
      </c>
      <c r="N325" s="40" t="s">
        <v>240</v>
      </c>
      <c r="O325" s="48">
        <f>IFERROR(O311+O324,"")</f>
        <v>982760</v>
      </c>
    </row>
    <row r="326" spans="1:15" ht="15" customHeight="1">
      <c r="A326" s="68">
        <v>46216</v>
      </c>
      <c r="B326" s="25">
        <v>0.33333333333333298</v>
      </c>
      <c r="C326" s="26" t="s">
        <v>45</v>
      </c>
      <c r="D326" s="59" t="s">
        <v>38</v>
      </c>
      <c r="E326" s="59" t="s">
        <v>261</v>
      </c>
      <c r="F326" s="27">
        <v>0</v>
      </c>
      <c r="G326" s="28">
        <f t="shared" ref="G326:G337" si="72">IF(F326="","",IF(E326="PC 17",F326*4.2,IF(E326="PC 19",F326*5,"")))</f>
        <v>0</v>
      </c>
      <c r="H326" s="26" t="s">
        <v>20</v>
      </c>
      <c r="I326" s="26" t="s">
        <v>47</v>
      </c>
      <c r="J326" s="26" t="s">
        <v>51</v>
      </c>
      <c r="K326" s="29">
        <v>0.35069444444444442</v>
      </c>
      <c r="L326" s="29">
        <v>0.39791666666666664</v>
      </c>
      <c r="M326" s="30">
        <f t="shared" ref="M326:M337" ca="1" si="73">IFERROR(IF(K326="","",IF(L326="",MOD(NOW()-K326,1),IF(L326&gt;=K326,L326-K326,L326+1-K326))),"")</f>
        <v>4.7222222222222221E-2</v>
      </c>
      <c r="N326" s="27" t="s">
        <v>367</v>
      </c>
      <c r="O326" s="47"/>
    </row>
    <row r="327" spans="1:15" ht="15" customHeight="1">
      <c r="A327" s="69">
        <v>46216</v>
      </c>
      <c r="B327" s="32">
        <f t="shared" ref="B327:B337" si="74">B326+TIME(0,60,0)</f>
        <v>0.37499999999999967</v>
      </c>
      <c r="C327" s="26" t="s">
        <v>45</v>
      </c>
      <c r="D327" s="59" t="s">
        <v>38</v>
      </c>
      <c r="E327" s="59" t="s">
        <v>261</v>
      </c>
      <c r="F327" s="27">
        <v>7</v>
      </c>
      <c r="G327" s="34">
        <f t="shared" si="72"/>
        <v>29.400000000000002</v>
      </c>
      <c r="H327" s="26" t="s">
        <v>20</v>
      </c>
      <c r="I327" s="26" t="s">
        <v>47</v>
      </c>
      <c r="J327" s="26" t="s">
        <v>51</v>
      </c>
      <c r="K327" s="29">
        <v>0.40555555555555556</v>
      </c>
      <c r="L327" s="29">
        <v>0.41041666666666665</v>
      </c>
      <c r="M327" s="35">
        <f t="shared" ca="1" si="73"/>
        <v>4.8611111111110938E-3</v>
      </c>
      <c r="N327" s="27"/>
      <c r="O327" s="47"/>
    </row>
    <row r="328" spans="1:15" ht="15" customHeight="1">
      <c r="A328" s="68">
        <v>46216</v>
      </c>
      <c r="B328" s="25">
        <f t="shared" si="74"/>
        <v>0.41666666666666635</v>
      </c>
      <c r="C328" s="26" t="s">
        <v>45</v>
      </c>
      <c r="D328" s="59" t="s">
        <v>30</v>
      </c>
      <c r="E328" s="59" t="s">
        <v>261</v>
      </c>
      <c r="F328" s="27">
        <v>0</v>
      </c>
      <c r="G328" s="28">
        <f t="shared" si="72"/>
        <v>0</v>
      </c>
      <c r="H328" s="26" t="s">
        <v>20</v>
      </c>
      <c r="I328" s="26" t="s">
        <v>47</v>
      </c>
      <c r="J328" s="26" t="s">
        <v>51</v>
      </c>
      <c r="K328" s="29">
        <v>0.42916666666666664</v>
      </c>
      <c r="L328" s="29">
        <v>0.43402777777777779</v>
      </c>
      <c r="M328" s="30">
        <f t="shared" ca="1" si="73"/>
        <v>4.8611111111111494E-3</v>
      </c>
      <c r="N328" s="27"/>
      <c r="O328" s="47"/>
    </row>
    <row r="329" spans="1:15" ht="15" customHeight="1">
      <c r="A329" s="69">
        <v>46216</v>
      </c>
      <c r="B329" s="32">
        <f t="shared" si="74"/>
        <v>0.45833333333333304</v>
      </c>
      <c r="C329" s="26" t="s">
        <v>45</v>
      </c>
      <c r="D329" s="59" t="s">
        <v>30</v>
      </c>
      <c r="E329" s="59" t="s">
        <v>261</v>
      </c>
      <c r="F329" s="27">
        <v>5</v>
      </c>
      <c r="G329" s="34">
        <f t="shared" si="72"/>
        <v>21</v>
      </c>
      <c r="H329" s="33" t="s">
        <v>20</v>
      </c>
      <c r="I329" s="33" t="s">
        <v>47</v>
      </c>
      <c r="J329" s="33" t="s">
        <v>198</v>
      </c>
      <c r="K329" s="29">
        <v>0.45833333333333331</v>
      </c>
      <c r="L329" s="29">
        <v>0.61111111111111116</v>
      </c>
      <c r="M329" s="35">
        <f t="shared" ca="1" si="73"/>
        <v>0.15277777777777785</v>
      </c>
      <c r="N329" s="27" t="s">
        <v>315</v>
      </c>
      <c r="O329" s="47"/>
    </row>
    <row r="330" spans="1:15" ht="15" customHeight="1">
      <c r="A330" s="68">
        <v>46216</v>
      </c>
      <c r="B330" s="25">
        <f t="shared" si="74"/>
        <v>0.49999999999999972</v>
      </c>
      <c r="C330" s="26" t="s">
        <v>45</v>
      </c>
      <c r="D330" s="59" t="s">
        <v>38</v>
      </c>
      <c r="E330" s="59" t="s">
        <v>234</v>
      </c>
      <c r="F330" s="27">
        <v>0</v>
      </c>
      <c r="G330" s="28">
        <f t="shared" si="72"/>
        <v>0</v>
      </c>
      <c r="H330" s="26" t="s">
        <v>20</v>
      </c>
      <c r="I330" s="26" t="s">
        <v>47</v>
      </c>
      <c r="J330" s="26" t="s">
        <v>51</v>
      </c>
      <c r="K330" s="29">
        <v>0.64444444444444449</v>
      </c>
      <c r="L330" s="29">
        <v>0.64652777777777781</v>
      </c>
      <c r="M330" s="30">
        <f t="shared" ca="1" si="73"/>
        <v>2.0833333333333259E-3</v>
      </c>
      <c r="N330" s="27"/>
      <c r="O330" s="47"/>
    </row>
    <row r="331" spans="1:15" ht="15" customHeight="1">
      <c r="A331" s="69">
        <v>46216</v>
      </c>
      <c r="B331" s="32">
        <f t="shared" si="74"/>
        <v>0.54166666666666641</v>
      </c>
      <c r="C331" s="26" t="s">
        <v>45</v>
      </c>
      <c r="D331" s="59" t="s">
        <v>38</v>
      </c>
      <c r="E331" s="59" t="s">
        <v>261</v>
      </c>
      <c r="F331" s="27">
        <v>0</v>
      </c>
      <c r="G331" s="34">
        <f t="shared" si="72"/>
        <v>0</v>
      </c>
      <c r="H331" s="33" t="s">
        <v>20</v>
      </c>
      <c r="I331" s="33" t="s">
        <v>47</v>
      </c>
      <c r="J331" s="33" t="s">
        <v>354</v>
      </c>
      <c r="K331" s="29">
        <v>0.65972222222222221</v>
      </c>
      <c r="L331" s="29">
        <v>0.66666666666666663</v>
      </c>
      <c r="M331" s="35">
        <f t="shared" ca="1" si="73"/>
        <v>6.9444444444444198E-3</v>
      </c>
      <c r="N331" s="27"/>
      <c r="O331" s="47"/>
    </row>
    <row r="332" spans="1:15" ht="15" customHeight="1">
      <c r="A332" s="68">
        <v>46216</v>
      </c>
      <c r="B332" s="25">
        <f t="shared" si="74"/>
        <v>0.58333333333333304</v>
      </c>
      <c r="C332" s="26" t="s">
        <v>45</v>
      </c>
      <c r="D332" s="59" t="s">
        <v>38</v>
      </c>
      <c r="E332" s="59" t="s">
        <v>261</v>
      </c>
      <c r="F332" s="27">
        <v>0</v>
      </c>
      <c r="G332" s="28">
        <f t="shared" si="72"/>
        <v>0</v>
      </c>
      <c r="H332" s="26" t="s">
        <v>18</v>
      </c>
      <c r="I332" s="26" t="s">
        <v>47</v>
      </c>
      <c r="J332" s="26" t="s">
        <v>128</v>
      </c>
      <c r="K332" s="29">
        <v>0.70277777777777772</v>
      </c>
      <c r="L332" s="29">
        <v>0.71805555555555556</v>
      </c>
      <c r="M332" s="30">
        <f t="shared" ca="1" si="73"/>
        <v>1.5277777777777835E-2</v>
      </c>
      <c r="N332" s="27"/>
      <c r="O332" s="47"/>
    </row>
    <row r="333" spans="1:15" ht="15" customHeight="1">
      <c r="A333" s="69">
        <v>46216</v>
      </c>
      <c r="B333" s="32">
        <f t="shared" si="74"/>
        <v>0.62499999999999967</v>
      </c>
      <c r="C333" s="26" t="s">
        <v>45</v>
      </c>
      <c r="D333" s="59" t="s">
        <v>38</v>
      </c>
      <c r="E333" s="59" t="s">
        <v>261</v>
      </c>
      <c r="F333" s="27">
        <v>3</v>
      </c>
      <c r="G333" s="34">
        <f t="shared" si="72"/>
        <v>12.600000000000001</v>
      </c>
      <c r="H333" s="33"/>
      <c r="I333" s="33"/>
      <c r="J333" s="33"/>
      <c r="K333" s="29"/>
      <c r="L333" s="29"/>
      <c r="M333" s="35" t="str">
        <f t="shared" ca="1" si="73"/>
        <v/>
      </c>
      <c r="N333" s="27"/>
      <c r="O333" s="47"/>
    </row>
    <row r="334" spans="1:15" ht="15" customHeight="1">
      <c r="A334" s="68">
        <v>46216</v>
      </c>
      <c r="B334" s="25">
        <f t="shared" si="74"/>
        <v>0.6666666666666663</v>
      </c>
      <c r="C334" s="26" t="s">
        <v>45</v>
      </c>
      <c r="D334" s="59" t="s">
        <v>38</v>
      </c>
      <c r="E334" s="59" t="s">
        <v>261</v>
      </c>
      <c r="F334" s="27">
        <v>18</v>
      </c>
      <c r="G334" s="28">
        <f t="shared" si="72"/>
        <v>75.600000000000009</v>
      </c>
      <c r="H334" s="26"/>
      <c r="I334" s="26"/>
      <c r="J334" s="26"/>
      <c r="K334" s="29"/>
      <c r="L334" s="29"/>
      <c r="M334" s="30" t="str">
        <f t="shared" ca="1" si="73"/>
        <v/>
      </c>
      <c r="N334" s="27"/>
      <c r="O334" s="47"/>
    </row>
    <row r="335" spans="1:15" ht="15" customHeight="1">
      <c r="A335" s="69">
        <v>46216</v>
      </c>
      <c r="B335" s="32">
        <f t="shared" si="74"/>
        <v>0.70833333333333293</v>
      </c>
      <c r="C335" s="26" t="s">
        <v>45</v>
      </c>
      <c r="D335" s="59" t="s">
        <v>38</v>
      </c>
      <c r="E335" s="59" t="s">
        <v>261</v>
      </c>
      <c r="F335" s="27">
        <v>0</v>
      </c>
      <c r="G335" s="34">
        <f t="shared" si="72"/>
        <v>0</v>
      </c>
      <c r="H335" s="33"/>
      <c r="I335" s="33"/>
      <c r="J335" s="33"/>
      <c r="K335" s="29"/>
      <c r="L335" s="29"/>
      <c r="M335" s="35" t="str">
        <f t="shared" ca="1" si="73"/>
        <v/>
      </c>
      <c r="N335" s="27"/>
      <c r="O335" s="47"/>
    </row>
    <row r="336" spans="1:15" ht="15" customHeight="1">
      <c r="A336" s="68">
        <v>46216</v>
      </c>
      <c r="B336" s="25">
        <f t="shared" si="74"/>
        <v>0.74999999999999956</v>
      </c>
      <c r="C336" s="26" t="s">
        <v>45</v>
      </c>
      <c r="D336" s="59" t="s">
        <v>38</v>
      </c>
      <c r="E336" s="59" t="s">
        <v>261</v>
      </c>
      <c r="F336" s="27">
        <v>7</v>
      </c>
      <c r="G336" s="28">
        <f t="shared" si="72"/>
        <v>29.400000000000002</v>
      </c>
      <c r="H336" s="26"/>
      <c r="I336" s="26"/>
      <c r="J336" s="26"/>
      <c r="K336" s="29"/>
      <c r="L336" s="29"/>
      <c r="M336" s="30" t="str">
        <f t="shared" ca="1" si="73"/>
        <v/>
      </c>
      <c r="N336" s="27"/>
      <c r="O336" s="47"/>
    </row>
    <row r="337" spans="1:15" ht="15" customHeight="1">
      <c r="A337" s="69">
        <v>46216</v>
      </c>
      <c r="B337" s="32">
        <f t="shared" si="74"/>
        <v>0.79166666666666619</v>
      </c>
      <c r="C337" s="26" t="s">
        <v>45</v>
      </c>
      <c r="D337" s="59" t="s">
        <v>38</v>
      </c>
      <c r="E337" s="59" t="s">
        <v>261</v>
      </c>
      <c r="F337" s="27">
        <v>0</v>
      </c>
      <c r="G337" s="34">
        <f t="shared" si="72"/>
        <v>0</v>
      </c>
      <c r="H337" s="33"/>
      <c r="I337" s="33"/>
      <c r="J337" s="33"/>
      <c r="K337" s="29"/>
      <c r="L337" s="29"/>
      <c r="M337" s="35" t="str">
        <f t="shared" ca="1" si="73"/>
        <v/>
      </c>
      <c r="N337" s="27"/>
      <c r="O337" s="47"/>
    </row>
    <row r="338" spans="1:15" ht="15.75" customHeight="1">
      <c r="A338" s="119" t="s">
        <v>236</v>
      </c>
      <c r="B338" s="120"/>
      <c r="C338" s="120"/>
      <c r="D338" s="120"/>
      <c r="E338" s="121">
        <f>SUM(E326:E337)</f>
        <v>0</v>
      </c>
      <c r="F338" s="36">
        <f>SUM(F326:F337)</f>
        <v>40</v>
      </c>
      <c r="G338" s="36">
        <f>SUM(G326:G337)</f>
        <v>168.00000000000003</v>
      </c>
      <c r="H338" s="37"/>
      <c r="I338" s="37"/>
      <c r="J338" s="37"/>
      <c r="K338" s="37"/>
      <c r="L338" s="37"/>
      <c r="M338" s="38">
        <f ca="1">IFERROR(SUM(M326:M337),"")</f>
        <v>0.23402777777777789</v>
      </c>
      <c r="N338" s="36" t="s">
        <v>237</v>
      </c>
      <c r="O338" s="39">
        <v>168000</v>
      </c>
    </row>
    <row r="339" spans="1:15" ht="15" customHeight="1">
      <c r="A339" s="69">
        <v>46216</v>
      </c>
      <c r="B339" s="32">
        <v>0.83333333333333304</v>
      </c>
      <c r="C339" s="33" t="s">
        <v>29</v>
      </c>
      <c r="D339" s="62" t="s">
        <v>30</v>
      </c>
      <c r="E339" s="62" t="s">
        <v>261</v>
      </c>
      <c r="F339" s="27">
        <v>17</v>
      </c>
      <c r="G339" s="34">
        <f t="shared" ref="G339:G350" si="75">IF(F339="","",IF(E339="PC 17",F339*4.2,IF(E339="PC 19",F339*5,"")))</f>
        <v>71.400000000000006</v>
      </c>
      <c r="H339" s="33" t="s">
        <v>20</v>
      </c>
      <c r="I339" s="33" t="s">
        <v>47</v>
      </c>
      <c r="J339" s="33" t="s">
        <v>56</v>
      </c>
      <c r="K339" s="29">
        <v>0.8666666666666667</v>
      </c>
      <c r="L339" s="29">
        <v>0.87569444444444444</v>
      </c>
      <c r="M339" s="35">
        <f t="shared" ref="M339:M350" ca="1" si="76">IFERROR(IF(K339="","",IF(L339="",MOD(NOW()-K339,1),IF(L339&gt;=K339,L339-K339,L339+1-K339))),"")</f>
        <v>9.0277777777777457E-3</v>
      </c>
      <c r="N339" s="27"/>
      <c r="O339" s="47"/>
    </row>
    <row r="340" spans="1:15" ht="15" customHeight="1">
      <c r="A340" s="68">
        <v>46216</v>
      </c>
      <c r="B340" s="25">
        <f t="shared" ref="B340:B350" si="77">B339+TIME(0,60,0)</f>
        <v>0.87499999999999967</v>
      </c>
      <c r="C340" s="33" t="s">
        <v>29</v>
      </c>
      <c r="D340" s="62" t="s">
        <v>30</v>
      </c>
      <c r="E340" s="62" t="s">
        <v>261</v>
      </c>
      <c r="F340" s="27">
        <v>8</v>
      </c>
      <c r="G340" s="28">
        <f t="shared" si="75"/>
        <v>33.6</v>
      </c>
      <c r="H340" s="26" t="s">
        <v>20</v>
      </c>
      <c r="I340" s="26" t="s">
        <v>121</v>
      </c>
      <c r="J340" s="26" t="s">
        <v>113</v>
      </c>
      <c r="K340" s="29">
        <v>0.90416666666666667</v>
      </c>
      <c r="L340" s="29">
        <v>0.90972222222222221</v>
      </c>
      <c r="M340" s="30">
        <f t="shared" ca="1" si="76"/>
        <v>5.5555555555555358E-3</v>
      </c>
      <c r="N340" s="27"/>
      <c r="O340" s="47"/>
    </row>
    <row r="341" spans="1:15" ht="15" customHeight="1">
      <c r="A341" s="69">
        <v>46216</v>
      </c>
      <c r="B341" s="32">
        <f t="shared" si="77"/>
        <v>0.9166666666666663</v>
      </c>
      <c r="C341" s="33" t="s">
        <v>29</v>
      </c>
      <c r="D341" s="62" t="s">
        <v>30</v>
      </c>
      <c r="E341" s="62" t="s">
        <v>261</v>
      </c>
      <c r="F341" s="27">
        <v>9</v>
      </c>
      <c r="G341" s="34">
        <f t="shared" si="75"/>
        <v>37.800000000000004</v>
      </c>
      <c r="H341" s="33" t="s">
        <v>19</v>
      </c>
      <c r="I341" s="33" t="s">
        <v>47</v>
      </c>
      <c r="J341" s="33" t="s">
        <v>27</v>
      </c>
      <c r="K341" s="29">
        <v>0.23333333333333334</v>
      </c>
      <c r="L341" s="29">
        <v>0.24444444444444444</v>
      </c>
      <c r="M341" s="35">
        <f t="shared" ca="1" si="76"/>
        <v>1.1111111111111099E-2</v>
      </c>
      <c r="N341" s="27"/>
      <c r="O341" s="47"/>
    </row>
    <row r="342" spans="1:15" ht="15" customHeight="1">
      <c r="A342" s="68">
        <v>46216</v>
      </c>
      <c r="B342" s="25">
        <f t="shared" si="77"/>
        <v>0.95833333333333293</v>
      </c>
      <c r="C342" s="33" t="s">
        <v>29</v>
      </c>
      <c r="D342" s="62" t="s">
        <v>30</v>
      </c>
      <c r="E342" s="62" t="s">
        <v>261</v>
      </c>
      <c r="F342" s="27">
        <v>4</v>
      </c>
      <c r="G342" s="28">
        <f t="shared" si="75"/>
        <v>16.8</v>
      </c>
      <c r="H342" s="26"/>
      <c r="I342" s="26"/>
      <c r="J342" s="26"/>
      <c r="K342" s="29"/>
      <c r="L342" s="29"/>
      <c r="M342" s="30" t="str">
        <f t="shared" ca="1" si="76"/>
        <v/>
      </c>
      <c r="N342" s="27"/>
      <c r="O342" s="47"/>
    </row>
    <row r="343" spans="1:15" ht="15" customHeight="1">
      <c r="A343" s="69">
        <v>46216</v>
      </c>
      <c r="B343" s="32">
        <f t="shared" si="77"/>
        <v>0.99999999999999956</v>
      </c>
      <c r="C343" s="33" t="s">
        <v>29</v>
      </c>
      <c r="D343" s="62" t="s">
        <v>30</v>
      </c>
      <c r="E343" s="62" t="s">
        <v>261</v>
      </c>
      <c r="F343" s="27">
        <v>10</v>
      </c>
      <c r="G343" s="34">
        <f t="shared" si="75"/>
        <v>42</v>
      </c>
      <c r="H343" s="33"/>
      <c r="I343" s="33"/>
      <c r="J343" s="33"/>
      <c r="K343" s="29"/>
      <c r="L343" s="29"/>
      <c r="M343" s="35" t="str">
        <f t="shared" ca="1" si="76"/>
        <v/>
      </c>
      <c r="N343" s="27"/>
      <c r="O343" s="47"/>
    </row>
    <row r="344" spans="1:15" ht="15" customHeight="1">
      <c r="A344" s="68">
        <v>46216</v>
      </c>
      <c r="B344" s="25">
        <f t="shared" si="77"/>
        <v>1.0416666666666663</v>
      </c>
      <c r="C344" s="33" t="s">
        <v>29</v>
      </c>
      <c r="D344" s="62" t="s">
        <v>30</v>
      </c>
      <c r="E344" s="62" t="s">
        <v>261</v>
      </c>
      <c r="F344" s="27">
        <v>5</v>
      </c>
      <c r="G344" s="28">
        <f t="shared" si="75"/>
        <v>21</v>
      </c>
      <c r="H344" s="26"/>
      <c r="I344" s="26"/>
      <c r="J344" s="26"/>
      <c r="K344" s="29"/>
      <c r="L344" s="29"/>
      <c r="M344" s="30" t="str">
        <f t="shared" ca="1" si="76"/>
        <v/>
      </c>
      <c r="N344" s="27"/>
      <c r="O344" s="47"/>
    </row>
    <row r="345" spans="1:15" ht="15" customHeight="1">
      <c r="A345" s="69">
        <v>46216</v>
      </c>
      <c r="B345" s="32">
        <f t="shared" si="77"/>
        <v>1.083333333333333</v>
      </c>
      <c r="C345" s="33" t="s">
        <v>29</v>
      </c>
      <c r="D345" s="62" t="s">
        <v>30</v>
      </c>
      <c r="E345" s="62" t="s">
        <v>261</v>
      </c>
      <c r="F345" s="27">
        <v>10</v>
      </c>
      <c r="G345" s="34">
        <f t="shared" si="75"/>
        <v>42</v>
      </c>
      <c r="H345" s="33"/>
      <c r="I345" s="33"/>
      <c r="J345" s="33"/>
      <c r="K345" s="29"/>
      <c r="L345" s="29"/>
      <c r="M345" s="35" t="str">
        <f t="shared" ca="1" si="76"/>
        <v/>
      </c>
      <c r="N345" s="27"/>
      <c r="O345" s="47"/>
    </row>
    <row r="346" spans="1:15" ht="15" customHeight="1">
      <c r="A346" s="68">
        <v>46216</v>
      </c>
      <c r="B346" s="25">
        <f t="shared" si="77"/>
        <v>1.1249999999999998</v>
      </c>
      <c r="C346" s="33" t="s">
        <v>29</v>
      </c>
      <c r="D346" s="62" t="s">
        <v>30</v>
      </c>
      <c r="E346" s="62" t="s">
        <v>261</v>
      </c>
      <c r="F346" s="27">
        <v>10</v>
      </c>
      <c r="G346" s="28">
        <f t="shared" si="75"/>
        <v>42</v>
      </c>
      <c r="H346" s="26"/>
      <c r="I346" s="26"/>
      <c r="J346" s="26"/>
      <c r="K346" s="29"/>
      <c r="L346" s="29"/>
      <c r="M346" s="30" t="str">
        <f t="shared" ca="1" si="76"/>
        <v/>
      </c>
      <c r="N346" s="27"/>
      <c r="O346" s="47"/>
    </row>
    <row r="347" spans="1:15" ht="15" customHeight="1">
      <c r="A347" s="69">
        <v>46216</v>
      </c>
      <c r="B347" s="32">
        <f t="shared" si="77"/>
        <v>1.1666666666666665</v>
      </c>
      <c r="C347" s="33" t="s">
        <v>29</v>
      </c>
      <c r="D347" s="62" t="s">
        <v>30</v>
      </c>
      <c r="E347" s="62" t="s">
        <v>261</v>
      </c>
      <c r="F347" s="27">
        <v>10</v>
      </c>
      <c r="G347" s="34">
        <f t="shared" si="75"/>
        <v>42</v>
      </c>
      <c r="H347" s="33"/>
      <c r="I347" s="33"/>
      <c r="J347" s="33"/>
      <c r="K347" s="29"/>
      <c r="L347" s="29"/>
      <c r="M347" s="35" t="str">
        <f t="shared" ca="1" si="76"/>
        <v/>
      </c>
      <c r="N347" s="27"/>
      <c r="O347" s="47"/>
    </row>
    <row r="348" spans="1:15" ht="15" customHeight="1">
      <c r="A348" s="68">
        <v>46216</v>
      </c>
      <c r="B348" s="25">
        <f t="shared" si="77"/>
        <v>1.2083333333333333</v>
      </c>
      <c r="C348" s="33" t="s">
        <v>29</v>
      </c>
      <c r="D348" s="62" t="s">
        <v>30</v>
      </c>
      <c r="E348" s="62" t="s">
        <v>261</v>
      </c>
      <c r="F348" s="27">
        <v>10</v>
      </c>
      <c r="G348" s="28">
        <f t="shared" si="75"/>
        <v>42</v>
      </c>
      <c r="H348" s="26"/>
      <c r="I348" s="26"/>
      <c r="J348" s="26"/>
      <c r="K348" s="29"/>
      <c r="L348" s="29"/>
      <c r="M348" s="30" t="str">
        <f t="shared" ca="1" si="76"/>
        <v/>
      </c>
      <c r="N348" s="27"/>
      <c r="O348" s="47"/>
    </row>
    <row r="349" spans="1:15" ht="15" customHeight="1">
      <c r="A349" s="69">
        <v>46216</v>
      </c>
      <c r="B349" s="32">
        <f t="shared" si="77"/>
        <v>1.25</v>
      </c>
      <c r="C349" s="33" t="s">
        <v>29</v>
      </c>
      <c r="D349" s="62" t="s">
        <v>30</v>
      </c>
      <c r="E349" s="62" t="s">
        <v>261</v>
      </c>
      <c r="F349" s="27">
        <v>5</v>
      </c>
      <c r="G349" s="34">
        <f t="shared" si="75"/>
        <v>21</v>
      </c>
      <c r="H349" s="33"/>
      <c r="I349" s="33"/>
      <c r="J349" s="33"/>
      <c r="K349" s="29"/>
      <c r="L349" s="29"/>
      <c r="M349" s="35" t="str">
        <f t="shared" ca="1" si="76"/>
        <v/>
      </c>
      <c r="N349" s="27"/>
      <c r="O349" s="47"/>
    </row>
    <row r="350" spans="1:15" ht="15" customHeight="1">
      <c r="A350" s="68">
        <v>46216</v>
      </c>
      <c r="B350" s="25">
        <f t="shared" si="77"/>
        <v>1.2916666666666667</v>
      </c>
      <c r="C350" s="33" t="s">
        <v>29</v>
      </c>
      <c r="D350" s="62" t="s">
        <v>30</v>
      </c>
      <c r="E350" s="62" t="s">
        <v>261</v>
      </c>
      <c r="F350" s="27">
        <v>0</v>
      </c>
      <c r="G350" s="28">
        <f t="shared" si="75"/>
        <v>0</v>
      </c>
      <c r="H350" s="26"/>
      <c r="I350" s="26"/>
      <c r="J350" s="26"/>
      <c r="K350" s="29"/>
      <c r="L350" s="29"/>
      <c r="M350" s="30" t="str">
        <f t="shared" ca="1" si="76"/>
        <v/>
      </c>
      <c r="N350" s="27"/>
      <c r="O350" s="47"/>
    </row>
    <row r="351" spans="1:15" ht="15.75" customHeight="1">
      <c r="A351" s="119" t="s">
        <v>238</v>
      </c>
      <c r="B351" s="120"/>
      <c r="C351" s="120"/>
      <c r="D351" s="120"/>
      <c r="E351" s="121">
        <f>SUM(E339:E350)</f>
        <v>0</v>
      </c>
      <c r="F351" s="36">
        <f>SUM(F339:F350)</f>
        <v>98</v>
      </c>
      <c r="G351" s="36">
        <f>SUM(G339:G350)</f>
        <v>411.6</v>
      </c>
      <c r="H351" s="37"/>
      <c r="I351" s="37"/>
      <c r="J351" s="37"/>
      <c r="K351" s="37"/>
      <c r="L351" s="37"/>
      <c r="M351" s="38">
        <f ca="1">IFERROR(SUM(M339:M350),"")</f>
        <v>2.5694444444444381E-2</v>
      </c>
      <c r="N351" s="36" t="s">
        <v>237</v>
      </c>
      <c r="O351" s="39">
        <v>437940</v>
      </c>
    </row>
    <row r="352" spans="1:15" ht="18" customHeight="1">
      <c r="A352" s="122" t="s">
        <v>239</v>
      </c>
      <c r="B352" s="123"/>
      <c r="C352" s="123"/>
      <c r="D352" s="123"/>
      <c r="E352" s="124">
        <f>E338+E351</f>
        <v>0</v>
      </c>
      <c r="F352" s="40">
        <f>F338+F351</f>
        <v>138</v>
      </c>
      <c r="G352" s="40">
        <f>G338+G351</f>
        <v>579.6</v>
      </c>
      <c r="H352" s="41"/>
      <c r="I352" s="41"/>
      <c r="J352" s="41"/>
      <c r="K352" s="41"/>
      <c r="L352" s="41"/>
      <c r="M352" s="42">
        <f ca="1">IFERROR(M338+M351,"")</f>
        <v>0.2597222222222223</v>
      </c>
      <c r="N352" s="40" t="s">
        <v>240</v>
      </c>
      <c r="O352" s="48">
        <f>IFERROR(O338+O351,"")</f>
        <v>605940</v>
      </c>
    </row>
    <row r="353" spans="1:15" ht="15" customHeight="1">
      <c r="A353" s="69">
        <v>46217</v>
      </c>
      <c r="B353" s="32">
        <v>0.33333333333333298</v>
      </c>
      <c r="C353" s="33" t="s">
        <v>45</v>
      </c>
      <c r="D353" s="62" t="s">
        <v>30</v>
      </c>
      <c r="E353" s="62" t="s">
        <v>261</v>
      </c>
      <c r="F353" s="27">
        <v>0</v>
      </c>
      <c r="G353" s="34">
        <f t="shared" ref="G353:G364" si="78">IF(F353="","",IF(E353="PC 17",F353*4.2,IF(E353="PC 19",F353*5,"")))</f>
        <v>0</v>
      </c>
      <c r="H353" s="33" t="s">
        <v>18</v>
      </c>
      <c r="I353" s="33" t="s">
        <v>47</v>
      </c>
      <c r="J353" s="33" t="s">
        <v>34</v>
      </c>
      <c r="K353" s="29">
        <v>0.29166666666666669</v>
      </c>
      <c r="L353" s="29">
        <v>0.72291666666666665</v>
      </c>
      <c r="M353" s="35">
        <f t="shared" ref="M353:M364" ca="1" si="79">IFERROR(IF(K353="","",IF(L353="",MOD(NOW()-K353,1),IF(L353&gt;=K353,L353-K353,L353+1-K353))),"")</f>
        <v>0.43124999999999997</v>
      </c>
      <c r="N353" s="27"/>
      <c r="O353" s="47"/>
    </row>
    <row r="354" spans="1:15" ht="15" customHeight="1">
      <c r="A354" s="68">
        <v>46217</v>
      </c>
      <c r="B354" s="25">
        <f t="shared" ref="B354:B364" si="80">B353+TIME(0,60,0)</f>
        <v>0.37499999999999967</v>
      </c>
      <c r="C354" s="33" t="s">
        <v>45</v>
      </c>
      <c r="D354" s="62" t="s">
        <v>30</v>
      </c>
      <c r="E354" s="62" t="s">
        <v>261</v>
      </c>
      <c r="F354" s="27">
        <v>2</v>
      </c>
      <c r="G354" s="28">
        <f t="shared" si="78"/>
        <v>8.4</v>
      </c>
      <c r="H354" s="26"/>
      <c r="I354" s="26"/>
      <c r="J354" s="26"/>
      <c r="K354" s="29"/>
      <c r="L354" s="29"/>
      <c r="M354" s="30" t="str">
        <f t="shared" ca="1" si="79"/>
        <v/>
      </c>
      <c r="N354" s="46"/>
      <c r="O354" s="47"/>
    </row>
    <row r="355" spans="1:15" ht="15" customHeight="1">
      <c r="A355" s="69">
        <v>46217</v>
      </c>
      <c r="B355" s="32">
        <f t="shared" si="80"/>
        <v>0.41666666666666635</v>
      </c>
      <c r="C355" s="33" t="s">
        <v>45</v>
      </c>
      <c r="D355" s="62" t="s">
        <v>30</v>
      </c>
      <c r="E355" s="62" t="s">
        <v>261</v>
      </c>
      <c r="F355" s="27">
        <v>0</v>
      </c>
      <c r="G355" s="34">
        <f t="shared" si="78"/>
        <v>0</v>
      </c>
      <c r="H355" s="33"/>
      <c r="I355" s="33"/>
      <c r="J355" s="33"/>
      <c r="K355" s="29"/>
      <c r="L355" s="29"/>
      <c r="M355" s="35" t="str">
        <f t="shared" ca="1" si="79"/>
        <v/>
      </c>
      <c r="N355" s="27"/>
      <c r="O355" s="47"/>
    </row>
    <row r="356" spans="1:15" ht="15" customHeight="1">
      <c r="A356" s="68">
        <v>46217</v>
      </c>
      <c r="B356" s="25">
        <f t="shared" si="80"/>
        <v>0.45833333333333304</v>
      </c>
      <c r="C356" s="33" t="s">
        <v>45</v>
      </c>
      <c r="D356" s="62" t="s">
        <v>30</v>
      </c>
      <c r="E356" s="62" t="s">
        <v>261</v>
      </c>
      <c r="F356" s="27">
        <v>0</v>
      </c>
      <c r="G356" s="28">
        <f t="shared" si="78"/>
        <v>0</v>
      </c>
      <c r="H356" s="26"/>
      <c r="I356" s="26"/>
      <c r="J356" s="26"/>
      <c r="K356" s="29"/>
      <c r="L356" s="29"/>
      <c r="M356" s="30" t="str">
        <f t="shared" ca="1" si="79"/>
        <v/>
      </c>
      <c r="N356" s="27"/>
      <c r="O356" s="47"/>
    </row>
    <row r="357" spans="1:15" ht="15" customHeight="1">
      <c r="A357" s="69">
        <v>46217</v>
      </c>
      <c r="B357" s="32">
        <f t="shared" si="80"/>
        <v>0.49999999999999972</v>
      </c>
      <c r="C357" s="33" t="s">
        <v>45</v>
      </c>
      <c r="D357" s="62" t="s">
        <v>30</v>
      </c>
      <c r="E357" s="62" t="s">
        <v>261</v>
      </c>
      <c r="F357" s="27">
        <v>0</v>
      </c>
      <c r="G357" s="34">
        <f t="shared" si="78"/>
        <v>0</v>
      </c>
      <c r="H357" s="33"/>
      <c r="I357" s="33"/>
      <c r="J357" s="33"/>
      <c r="K357" s="29"/>
      <c r="L357" s="29"/>
      <c r="M357" s="35" t="str">
        <f t="shared" ca="1" si="79"/>
        <v/>
      </c>
      <c r="N357" s="27"/>
      <c r="O357" s="47"/>
    </row>
    <row r="358" spans="1:15" ht="15" customHeight="1">
      <c r="A358" s="68">
        <v>46217</v>
      </c>
      <c r="B358" s="25">
        <f t="shared" si="80"/>
        <v>0.54166666666666641</v>
      </c>
      <c r="C358" s="33" t="s">
        <v>45</v>
      </c>
      <c r="D358" s="62" t="s">
        <v>30</v>
      </c>
      <c r="E358" s="62" t="s">
        <v>261</v>
      </c>
      <c r="F358" s="27">
        <v>0</v>
      </c>
      <c r="G358" s="28">
        <f t="shared" si="78"/>
        <v>0</v>
      </c>
      <c r="H358" s="26"/>
      <c r="I358" s="26"/>
      <c r="J358" s="26"/>
      <c r="K358" s="29"/>
      <c r="L358" s="29"/>
      <c r="M358" s="30" t="str">
        <f t="shared" ca="1" si="79"/>
        <v/>
      </c>
      <c r="N358" s="27"/>
      <c r="O358" s="47"/>
    </row>
    <row r="359" spans="1:15" ht="15" customHeight="1">
      <c r="A359" s="69">
        <v>46217</v>
      </c>
      <c r="B359" s="32">
        <f t="shared" si="80"/>
        <v>0.58333333333333304</v>
      </c>
      <c r="C359" s="33" t="s">
        <v>45</v>
      </c>
      <c r="D359" s="62" t="s">
        <v>30</v>
      </c>
      <c r="E359" s="62" t="s">
        <v>261</v>
      </c>
      <c r="F359" s="27">
        <v>0</v>
      </c>
      <c r="G359" s="34">
        <f t="shared" si="78"/>
        <v>0</v>
      </c>
      <c r="H359" s="33"/>
      <c r="I359" s="33"/>
      <c r="J359" s="33"/>
      <c r="K359" s="29"/>
      <c r="L359" s="29"/>
      <c r="M359" s="35" t="str">
        <f t="shared" ca="1" si="79"/>
        <v/>
      </c>
      <c r="N359" s="27"/>
      <c r="O359" s="47"/>
    </row>
    <row r="360" spans="1:15" ht="15" customHeight="1">
      <c r="A360" s="68">
        <v>46217</v>
      </c>
      <c r="B360" s="25">
        <f t="shared" si="80"/>
        <v>0.62499999999999967</v>
      </c>
      <c r="C360" s="33" t="s">
        <v>45</v>
      </c>
      <c r="D360" s="62" t="s">
        <v>30</v>
      </c>
      <c r="E360" s="62" t="s">
        <v>261</v>
      </c>
      <c r="F360" s="27">
        <v>0</v>
      </c>
      <c r="G360" s="28">
        <f t="shared" si="78"/>
        <v>0</v>
      </c>
      <c r="H360" s="26"/>
      <c r="I360" s="26"/>
      <c r="J360" s="26"/>
      <c r="K360" s="29"/>
      <c r="L360" s="29"/>
      <c r="M360" s="30" t="str">
        <f t="shared" ca="1" si="79"/>
        <v/>
      </c>
      <c r="N360" s="27"/>
      <c r="O360" s="47"/>
    </row>
    <row r="361" spans="1:15" ht="15" customHeight="1">
      <c r="A361" s="69">
        <v>46217</v>
      </c>
      <c r="B361" s="32">
        <f t="shared" si="80"/>
        <v>0.6666666666666663</v>
      </c>
      <c r="C361" s="33" t="s">
        <v>45</v>
      </c>
      <c r="D361" s="62" t="s">
        <v>30</v>
      </c>
      <c r="E361" s="62" t="s">
        <v>261</v>
      </c>
      <c r="F361" s="27">
        <v>0</v>
      </c>
      <c r="G361" s="34">
        <f t="shared" si="78"/>
        <v>0</v>
      </c>
      <c r="H361" s="33"/>
      <c r="I361" s="33"/>
      <c r="J361" s="33"/>
      <c r="K361" s="29"/>
      <c r="L361" s="29"/>
      <c r="M361" s="35" t="str">
        <f t="shared" ca="1" si="79"/>
        <v/>
      </c>
      <c r="N361" s="27"/>
      <c r="O361" s="47"/>
    </row>
    <row r="362" spans="1:15" ht="15" customHeight="1">
      <c r="A362" s="68">
        <v>46217</v>
      </c>
      <c r="B362" s="25">
        <f t="shared" si="80"/>
        <v>0.70833333333333293</v>
      </c>
      <c r="C362" s="33" t="s">
        <v>45</v>
      </c>
      <c r="D362" s="62" t="s">
        <v>30</v>
      </c>
      <c r="E362" s="62" t="s">
        <v>261</v>
      </c>
      <c r="F362" s="27">
        <v>0</v>
      </c>
      <c r="G362" s="28">
        <f t="shared" si="78"/>
        <v>0</v>
      </c>
      <c r="H362" s="26"/>
      <c r="I362" s="26"/>
      <c r="J362" s="26"/>
      <c r="K362" s="29"/>
      <c r="L362" s="29"/>
      <c r="M362" s="30" t="str">
        <f t="shared" ca="1" si="79"/>
        <v/>
      </c>
      <c r="N362" s="27"/>
      <c r="O362" s="47"/>
    </row>
    <row r="363" spans="1:15" ht="15" customHeight="1">
      <c r="A363" s="69">
        <v>46217</v>
      </c>
      <c r="B363" s="32">
        <f t="shared" si="80"/>
        <v>0.74999999999999956</v>
      </c>
      <c r="C363" s="33" t="s">
        <v>45</v>
      </c>
      <c r="D363" s="62" t="s">
        <v>46</v>
      </c>
      <c r="E363" s="62" t="s">
        <v>261</v>
      </c>
      <c r="F363" s="27">
        <v>7</v>
      </c>
      <c r="G363" s="34">
        <f t="shared" si="78"/>
        <v>29.400000000000002</v>
      </c>
      <c r="H363" s="33"/>
      <c r="I363" s="33"/>
      <c r="J363" s="33"/>
      <c r="K363" s="29"/>
      <c r="L363" s="29"/>
      <c r="M363" s="35" t="str">
        <f t="shared" ca="1" si="79"/>
        <v/>
      </c>
      <c r="N363" s="27"/>
      <c r="O363" s="47"/>
    </row>
    <row r="364" spans="1:15" ht="15" customHeight="1">
      <c r="A364" s="68">
        <v>46217</v>
      </c>
      <c r="B364" s="25">
        <f t="shared" si="80"/>
        <v>0.79166666666666619</v>
      </c>
      <c r="C364" s="33" t="s">
        <v>45</v>
      </c>
      <c r="D364" s="62" t="s">
        <v>46</v>
      </c>
      <c r="E364" s="62" t="s">
        <v>261</v>
      </c>
      <c r="F364" s="27">
        <v>0</v>
      </c>
      <c r="G364" s="28">
        <f t="shared" si="78"/>
        <v>0</v>
      </c>
      <c r="H364" s="26"/>
      <c r="I364" s="26"/>
      <c r="J364" s="26"/>
      <c r="K364" s="29"/>
      <c r="L364" s="29"/>
      <c r="M364" s="30" t="str">
        <f t="shared" ca="1" si="79"/>
        <v/>
      </c>
      <c r="N364" s="27"/>
      <c r="O364" s="47"/>
    </row>
    <row r="365" spans="1:15" ht="15.75" customHeight="1">
      <c r="A365" s="119" t="s">
        <v>236</v>
      </c>
      <c r="B365" s="120"/>
      <c r="C365" s="120"/>
      <c r="D365" s="120"/>
      <c r="E365" s="121">
        <f>SUM(E353:E364)</f>
        <v>0</v>
      </c>
      <c r="F365" s="36">
        <f>SUM(F353:F364)</f>
        <v>9</v>
      </c>
      <c r="G365" s="36">
        <f>SUM(G353:G364)</f>
        <v>37.800000000000004</v>
      </c>
      <c r="H365" s="37"/>
      <c r="I365" s="37"/>
      <c r="J365" s="37"/>
      <c r="K365" s="37"/>
      <c r="L365" s="37"/>
      <c r="M365" s="38">
        <f ca="1">IFERROR(SUM(M353:M364),"")</f>
        <v>0.43124999999999997</v>
      </c>
      <c r="N365" s="36" t="s">
        <v>237</v>
      </c>
      <c r="O365" s="39">
        <v>29130</v>
      </c>
    </row>
    <row r="366" spans="1:15" ht="15" customHeight="1">
      <c r="A366" s="68">
        <v>46217</v>
      </c>
      <c r="B366" s="25">
        <v>0.83333333333333304</v>
      </c>
      <c r="C366" s="26" t="s">
        <v>29</v>
      </c>
      <c r="D366" s="59" t="s">
        <v>30</v>
      </c>
      <c r="E366" s="59" t="s">
        <v>261</v>
      </c>
      <c r="F366" s="27">
        <v>12</v>
      </c>
      <c r="G366" s="28">
        <f t="shared" ref="G366:G377" si="81">IF(F366="","",IF(E366="PC 17",F366*4.2,IF(E366="PC 19",F366*5,"")))</f>
        <v>50.400000000000006</v>
      </c>
      <c r="H366" s="26" t="s">
        <v>19</v>
      </c>
      <c r="I366" s="26" t="s">
        <v>47</v>
      </c>
      <c r="J366" s="26" t="s">
        <v>35</v>
      </c>
      <c r="K366" s="29">
        <v>0.93958333333333333</v>
      </c>
      <c r="L366" s="29">
        <v>0.95208333333333328</v>
      </c>
      <c r="M366" s="30">
        <f t="shared" ref="M366:M377" ca="1" si="82">IFERROR(IF(K366="","",IF(L366="",MOD(NOW()-K366,1),IF(L366&gt;=K366,L366-K366,L366+1-K366))),"")</f>
        <v>1.2499999999999956E-2</v>
      </c>
      <c r="N366" s="27"/>
      <c r="O366" s="47"/>
    </row>
    <row r="367" spans="1:15" ht="15" customHeight="1">
      <c r="A367" s="69">
        <v>46217</v>
      </c>
      <c r="B367" s="32">
        <f t="shared" ref="B367:B377" si="83">B366+TIME(0,60,0)</f>
        <v>0.87499999999999967</v>
      </c>
      <c r="C367" s="26" t="s">
        <v>29</v>
      </c>
      <c r="D367" s="59" t="s">
        <v>30</v>
      </c>
      <c r="E367" s="59" t="s">
        <v>261</v>
      </c>
      <c r="F367" s="27">
        <v>11</v>
      </c>
      <c r="G367" s="34">
        <f t="shared" si="81"/>
        <v>46.2</v>
      </c>
      <c r="H367" s="33" t="s">
        <v>16</v>
      </c>
      <c r="I367" s="33"/>
      <c r="J367" s="33" t="s">
        <v>104</v>
      </c>
      <c r="K367" s="29">
        <v>0.2076388888888889</v>
      </c>
      <c r="L367" s="29">
        <v>0.22847222222222222</v>
      </c>
      <c r="M367" s="35">
        <f t="shared" ca="1" si="82"/>
        <v>2.0833333333333315E-2</v>
      </c>
      <c r="N367" s="27"/>
      <c r="O367" s="47"/>
    </row>
    <row r="368" spans="1:15" ht="15" customHeight="1">
      <c r="A368" s="68">
        <v>46217</v>
      </c>
      <c r="B368" s="25">
        <f t="shared" si="83"/>
        <v>0.9166666666666663</v>
      </c>
      <c r="C368" s="26" t="s">
        <v>29</v>
      </c>
      <c r="D368" s="59" t="s">
        <v>30</v>
      </c>
      <c r="E368" s="59" t="s">
        <v>261</v>
      </c>
      <c r="F368" s="27">
        <v>8</v>
      </c>
      <c r="G368" s="28">
        <f t="shared" si="81"/>
        <v>33.6</v>
      </c>
      <c r="H368" s="26" t="s">
        <v>20</v>
      </c>
      <c r="I368" s="26" t="s">
        <v>47</v>
      </c>
      <c r="J368" s="26" t="s">
        <v>28</v>
      </c>
      <c r="K368" s="29">
        <v>0.25138888888888888</v>
      </c>
      <c r="L368" s="29">
        <v>0.25972222222222224</v>
      </c>
      <c r="M368" s="30">
        <f t="shared" ca="1" si="82"/>
        <v>8.3333333333333592E-3</v>
      </c>
      <c r="N368" s="27"/>
      <c r="O368" s="47"/>
    </row>
    <row r="369" spans="1:15" ht="15" customHeight="1">
      <c r="A369" s="69">
        <v>46217</v>
      </c>
      <c r="B369" s="32">
        <f t="shared" si="83"/>
        <v>0.95833333333333293</v>
      </c>
      <c r="C369" s="26" t="s">
        <v>29</v>
      </c>
      <c r="D369" s="59" t="s">
        <v>30</v>
      </c>
      <c r="E369" s="59" t="s">
        <v>261</v>
      </c>
      <c r="F369" s="27">
        <v>8</v>
      </c>
      <c r="G369" s="34">
        <f t="shared" si="81"/>
        <v>33.6</v>
      </c>
      <c r="H369" s="33"/>
      <c r="I369" s="33"/>
      <c r="J369" s="33"/>
      <c r="K369" s="29"/>
      <c r="L369" s="29"/>
      <c r="M369" s="35" t="str">
        <f t="shared" ca="1" si="82"/>
        <v/>
      </c>
      <c r="N369" s="27"/>
      <c r="O369" s="47"/>
    </row>
    <row r="370" spans="1:15" ht="15" customHeight="1">
      <c r="A370" s="68">
        <v>46217</v>
      </c>
      <c r="B370" s="25">
        <f t="shared" si="83"/>
        <v>0.99999999999999956</v>
      </c>
      <c r="C370" s="26" t="s">
        <v>29</v>
      </c>
      <c r="D370" s="59" t="s">
        <v>30</v>
      </c>
      <c r="E370" s="59" t="s">
        <v>261</v>
      </c>
      <c r="F370" s="27">
        <v>15</v>
      </c>
      <c r="G370" s="28">
        <f t="shared" si="81"/>
        <v>63</v>
      </c>
      <c r="H370" s="26"/>
      <c r="I370" s="26"/>
      <c r="J370" s="26"/>
      <c r="K370" s="29"/>
      <c r="L370" s="29"/>
      <c r="M370" s="30" t="str">
        <f t="shared" ca="1" si="82"/>
        <v/>
      </c>
      <c r="N370" s="27"/>
      <c r="O370" s="47"/>
    </row>
    <row r="371" spans="1:15" ht="15" customHeight="1">
      <c r="A371" s="69">
        <v>46217</v>
      </c>
      <c r="B371" s="32">
        <f t="shared" si="83"/>
        <v>1.0416666666666663</v>
      </c>
      <c r="C371" s="26" t="s">
        <v>29</v>
      </c>
      <c r="D371" s="59" t="s">
        <v>30</v>
      </c>
      <c r="E371" s="59" t="s">
        <v>261</v>
      </c>
      <c r="F371" s="27">
        <v>13</v>
      </c>
      <c r="G371" s="34">
        <f t="shared" si="81"/>
        <v>54.6</v>
      </c>
      <c r="H371" s="33"/>
      <c r="I371" s="33"/>
      <c r="J371" s="33"/>
      <c r="K371" s="29"/>
      <c r="L371" s="29"/>
      <c r="M371" s="35" t="str">
        <f t="shared" ca="1" si="82"/>
        <v/>
      </c>
      <c r="N371" s="27"/>
      <c r="O371" s="47"/>
    </row>
    <row r="372" spans="1:15" ht="15" customHeight="1">
      <c r="A372" s="68">
        <v>46217</v>
      </c>
      <c r="B372" s="25">
        <f t="shared" si="83"/>
        <v>1.083333333333333</v>
      </c>
      <c r="C372" s="26" t="s">
        <v>29</v>
      </c>
      <c r="D372" s="59" t="s">
        <v>30</v>
      </c>
      <c r="E372" s="59" t="s">
        <v>261</v>
      </c>
      <c r="F372" s="27">
        <v>13</v>
      </c>
      <c r="G372" s="28">
        <f t="shared" si="81"/>
        <v>54.6</v>
      </c>
      <c r="H372" s="26"/>
      <c r="I372" s="26"/>
      <c r="J372" s="26"/>
      <c r="K372" s="29"/>
      <c r="L372" s="29"/>
      <c r="M372" s="30" t="str">
        <f t="shared" ca="1" si="82"/>
        <v/>
      </c>
      <c r="N372" s="27"/>
      <c r="O372" s="47"/>
    </row>
    <row r="373" spans="1:15" ht="15" customHeight="1">
      <c r="A373" s="69">
        <v>46217</v>
      </c>
      <c r="B373" s="32">
        <f t="shared" si="83"/>
        <v>1.1249999999999998</v>
      </c>
      <c r="C373" s="26" t="s">
        <v>29</v>
      </c>
      <c r="D373" s="59" t="s">
        <v>30</v>
      </c>
      <c r="E373" s="59" t="s">
        <v>261</v>
      </c>
      <c r="F373" s="27">
        <v>7</v>
      </c>
      <c r="G373" s="34">
        <f t="shared" si="81"/>
        <v>29.400000000000002</v>
      </c>
      <c r="H373" s="33"/>
      <c r="I373" s="33"/>
      <c r="J373" s="33"/>
      <c r="K373" s="29"/>
      <c r="L373" s="29"/>
      <c r="M373" s="35" t="str">
        <f t="shared" ca="1" si="82"/>
        <v/>
      </c>
      <c r="N373" s="27"/>
      <c r="O373" s="47"/>
    </row>
    <row r="374" spans="1:15" ht="15" customHeight="1">
      <c r="A374" s="68">
        <v>46217</v>
      </c>
      <c r="B374" s="25">
        <f t="shared" si="83"/>
        <v>1.1666666666666665</v>
      </c>
      <c r="C374" s="26" t="s">
        <v>29</v>
      </c>
      <c r="D374" s="59" t="s">
        <v>30</v>
      </c>
      <c r="E374" s="59" t="s">
        <v>261</v>
      </c>
      <c r="F374" s="27">
        <v>8</v>
      </c>
      <c r="G374" s="28">
        <f t="shared" si="81"/>
        <v>33.6</v>
      </c>
      <c r="H374" s="26"/>
      <c r="I374" s="26"/>
      <c r="J374" s="26"/>
      <c r="K374" s="29"/>
      <c r="L374" s="29"/>
      <c r="M374" s="30" t="str">
        <f t="shared" ca="1" si="82"/>
        <v/>
      </c>
      <c r="N374" s="27"/>
      <c r="O374" s="47"/>
    </row>
    <row r="375" spans="1:15" ht="15" customHeight="1">
      <c r="A375" s="69">
        <v>46217</v>
      </c>
      <c r="B375" s="32">
        <f t="shared" si="83"/>
        <v>1.2083333333333333</v>
      </c>
      <c r="C375" s="26" t="s">
        <v>29</v>
      </c>
      <c r="D375" s="59" t="s">
        <v>30</v>
      </c>
      <c r="E375" s="59" t="s">
        <v>261</v>
      </c>
      <c r="F375" s="27">
        <v>9</v>
      </c>
      <c r="G375" s="34">
        <f t="shared" si="81"/>
        <v>37.800000000000004</v>
      </c>
      <c r="H375" s="33"/>
      <c r="I375" s="33"/>
      <c r="J375" s="33"/>
      <c r="K375" s="29"/>
      <c r="L375" s="29"/>
      <c r="M375" s="35" t="str">
        <f t="shared" ca="1" si="82"/>
        <v/>
      </c>
      <c r="N375" s="27"/>
      <c r="O375" s="47"/>
    </row>
    <row r="376" spans="1:15" ht="15" customHeight="1">
      <c r="A376" s="68">
        <v>46217</v>
      </c>
      <c r="B376" s="25">
        <f t="shared" si="83"/>
        <v>1.25</v>
      </c>
      <c r="C376" s="26" t="s">
        <v>29</v>
      </c>
      <c r="D376" s="59" t="s">
        <v>30</v>
      </c>
      <c r="E376" s="59" t="s">
        <v>261</v>
      </c>
      <c r="F376" s="27">
        <v>0</v>
      </c>
      <c r="G376" s="28">
        <f t="shared" si="81"/>
        <v>0</v>
      </c>
      <c r="H376" s="26"/>
      <c r="I376" s="26"/>
      <c r="J376" s="26"/>
      <c r="K376" s="29"/>
      <c r="L376" s="29"/>
      <c r="M376" s="30" t="str">
        <f t="shared" ca="1" si="82"/>
        <v/>
      </c>
      <c r="N376" s="27"/>
      <c r="O376" s="47"/>
    </row>
    <row r="377" spans="1:15" ht="15" customHeight="1">
      <c r="A377" s="69">
        <v>46217</v>
      </c>
      <c r="B377" s="32">
        <f t="shared" si="83"/>
        <v>1.2916666666666667</v>
      </c>
      <c r="C377" s="26" t="s">
        <v>29</v>
      </c>
      <c r="D377" s="59" t="s">
        <v>30</v>
      </c>
      <c r="E377" s="59" t="s">
        <v>261</v>
      </c>
      <c r="F377" s="27">
        <v>3</v>
      </c>
      <c r="G377" s="34">
        <f t="shared" si="81"/>
        <v>12.600000000000001</v>
      </c>
      <c r="H377" s="33"/>
      <c r="I377" s="33"/>
      <c r="J377" s="33"/>
      <c r="K377" s="29"/>
      <c r="L377" s="29"/>
      <c r="M377" s="35" t="str">
        <f t="shared" ca="1" si="82"/>
        <v/>
      </c>
      <c r="N377" s="27"/>
      <c r="O377" s="47"/>
    </row>
    <row r="378" spans="1:15" ht="15.75" customHeight="1">
      <c r="A378" s="119" t="s">
        <v>238</v>
      </c>
      <c r="B378" s="120"/>
      <c r="C378" s="120"/>
      <c r="D378" s="120"/>
      <c r="E378" s="121">
        <f>SUM(E366:E377)</f>
        <v>0</v>
      </c>
      <c r="F378" s="36">
        <f>SUM(F366:F377)</f>
        <v>107</v>
      </c>
      <c r="G378" s="36">
        <f>SUM(G366:G377)</f>
        <v>449.40000000000009</v>
      </c>
      <c r="H378" s="37"/>
      <c r="I378" s="37"/>
      <c r="J378" s="37"/>
      <c r="K378" s="37"/>
      <c r="L378" s="37"/>
      <c r="M378" s="38">
        <f ca="1">IFERROR(SUM(M366:M377),"")</f>
        <v>4.166666666666663E-2</v>
      </c>
      <c r="N378" s="36" t="s">
        <v>237</v>
      </c>
      <c r="O378" s="39">
        <v>473310</v>
      </c>
    </row>
    <row r="379" spans="1:15" ht="18" customHeight="1">
      <c r="A379" s="122" t="s">
        <v>239</v>
      </c>
      <c r="B379" s="123"/>
      <c r="C379" s="123"/>
      <c r="D379" s="123"/>
      <c r="E379" s="124">
        <f>E365+E378</f>
        <v>0</v>
      </c>
      <c r="F379" s="40">
        <f>F365+F378</f>
        <v>116</v>
      </c>
      <c r="G379" s="40">
        <f>G365+G378</f>
        <v>487.2000000000001</v>
      </c>
      <c r="H379" s="41"/>
      <c r="I379" s="41"/>
      <c r="J379" s="41"/>
      <c r="K379" s="41"/>
      <c r="L379" s="41"/>
      <c r="M379" s="42">
        <f ca="1">IFERROR(M365+M378,"")</f>
        <v>0.4729166666666666</v>
      </c>
      <c r="N379" s="40" t="s">
        <v>240</v>
      </c>
      <c r="O379" s="48">
        <f>IFERROR(O365+O378,"")</f>
        <v>502440</v>
      </c>
    </row>
    <row r="380" spans="1:15" ht="15" customHeight="1">
      <c r="A380" s="68">
        <v>46218</v>
      </c>
      <c r="B380" s="25">
        <v>0.33333333333333298</v>
      </c>
      <c r="C380" s="26" t="s">
        <v>45</v>
      </c>
      <c r="D380" s="59" t="s">
        <v>46</v>
      </c>
      <c r="E380" s="59" t="s">
        <v>261</v>
      </c>
      <c r="F380" s="27">
        <v>10</v>
      </c>
      <c r="G380" s="28">
        <f t="shared" ref="G380:G391" si="84">IF(F380="","",IF(E380="PC 17",F380*4.2,IF(E380="PC 19",F380*5,"")))</f>
        <v>42</v>
      </c>
      <c r="H380" s="26" t="s">
        <v>20</v>
      </c>
      <c r="I380" s="26" t="s">
        <v>47</v>
      </c>
      <c r="J380" s="26" t="s">
        <v>28</v>
      </c>
      <c r="K380" s="29">
        <v>0.31388888888888888</v>
      </c>
      <c r="L380" s="29">
        <v>0.3215277777777778</v>
      </c>
      <c r="M380" s="30">
        <f t="shared" ref="M380:M391" ca="1" si="85">IFERROR(IF(K380="","",IF(L380="",MOD(NOW()-K380,1),IF(L380&gt;=K380,L380-K380,L380+1-K380))),"")</f>
        <v>7.6388888888889173E-3</v>
      </c>
      <c r="N380" s="27"/>
      <c r="O380" s="47"/>
    </row>
    <row r="381" spans="1:15" ht="15" customHeight="1">
      <c r="A381" s="69">
        <v>46218</v>
      </c>
      <c r="B381" s="32">
        <f t="shared" ref="B381:B391" si="86">B380+TIME(0,60,0)</f>
        <v>0.37499999999999967</v>
      </c>
      <c r="C381" s="26" t="s">
        <v>45</v>
      </c>
      <c r="D381" s="59" t="s">
        <v>46</v>
      </c>
      <c r="E381" s="20" t="s">
        <v>261</v>
      </c>
      <c r="F381" s="27">
        <v>6</v>
      </c>
      <c r="G381" s="34">
        <f>IF(F381="","",IF(E382="PC 17",F381*4.2,IF(E382="PC 19",F381*5,"")))</f>
        <v>25.200000000000003</v>
      </c>
      <c r="H381" s="33" t="s">
        <v>19</v>
      </c>
      <c r="I381" s="33" t="s">
        <v>47</v>
      </c>
      <c r="J381" s="33" t="s">
        <v>27</v>
      </c>
      <c r="K381" s="29">
        <v>0.64930555555555558</v>
      </c>
      <c r="L381" s="29">
        <v>0.66666666666666663</v>
      </c>
      <c r="M381" s="35">
        <f t="shared" ca="1" si="85"/>
        <v>1.7361111111111049E-2</v>
      </c>
      <c r="N381" s="27"/>
      <c r="O381" s="47"/>
    </row>
    <row r="382" spans="1:15" ht="15" customHeight="1">
      <c r="A382" s="68">
        <v>46218</v>
      </c>
      <c r="B382" s="25">
        <f t="shared" si="86"/>
        <v>0.41666666666666635</v>
      </c>
      <c r="C382" s="26" t="s">
        <v>45</v>
      </c>
      <c r="D382" s="59" t="s">
        <v>46</v>
      </c>
      <c r="E382" s="59" t="s">
        <v>261</v>
      </c>
      <c r="F382" s="27">
        <v>15</v>
      </c>
      <c r="G382" s="28">
        <v>63</v>
      </c>
      <c r="H382" s="26" t="s">
        <v>20</v>
      </c>
      <c r="I382" s="26" t="s">
        <v>47</v>
      </c>
      <c r="J382" s="33" t="s">
        <v>51</v>
      </c>
      <c r="K382" s="29">
        <v>0.69027777777777777</v>
      </c>
      <c r="L382" s="29">
        <v>0.69513888888888886</v>
      </c>
      <c r="M382" s="30">
        <f t="shared" ca="1" si="85"/>
        <v>4.8611111111110938E-3</v>
      </c>
      <c r="N382" s="27"/>
      <c r="O382" s="47"/>
    </row>
    <row r="383" spans="1:15" ht="15" customHeight="1">
      <c r="A383" s="69">
        <v>46218</v>
      </c>
      <c r="B383" s="32">
        <f t="shared" si="86"/>
        <v>0.45833333333333304</v>
      </c>
      <c r="C383" s="26" t="s">
        <v>45</v>
      </c>
      <c r="D383" s="59" t="s">
        <v>46</v>
      </c>
      <c r="E383" s="59" t="s">
        <v>261</v>
      </c>
      <c r="F383" s="27">
        <v>2</v>
      </c>
      <c r="G383" s="34">
        <f t="shared" si="84"/>
        <v>8.4</v>
      </c>
      <c r="H383" s="33"/>
      <c r="I383" s="33"/>
      <c r="J383" s="33"/>
      <c r="K383" s="29"/>
      <c r="L383" s="29"/>
      <c r="M383" s="35" t="str">
        <f t="shared" ca="1" si="85"/>
        <v/>
      </c>
      <c r="N383" s="27"/>
      <c r="O383" s="47"/>
    </row>
    <row r="384" spans="1:15" ht="15" customHeight="1">
      <c r="A384" s="68">
        <v>46218</v>
      </c>
      <c r="B384" s="25">
        <f t="shared" si="86"/>
        <v>0.49999999999999972</v>
      </c>
      <c r="C384" s="26" t="s">
        <v>45</v>
      </c>
      <c r="D384" s="59" t="s">
        <v>46</v>
      </c>
      <c r="E384" s="59" t="s">
        <v>261</v>
      </c>
      <c r="F384" s="27">
        <v>10</v>
      </c>
      <c r="G384" s="28">
        <f t="shared" si="84"/>
        <v>42</v>
      </c>
      <c r="H384" s="26"/>
      <c r="I384" s="26"/>
      <c r="J384" s="26"/>
      <c r="K384" s="29"/>
      <c r="L384" s="29"/>
      <c r="M384" s="30" t="str">
        <f t="shared" ca="1" si="85"/>
        <v/>
      </c>
      <c r="N384" s="27"/>
      <c r="O384" s="47"/>
    </row>
    <row r="385" spans="1:15" ht="15" customHeight="1">
      <c r="A385" s="69">
        <v>46218</v>
      </c>
      <c r="B385" s="32">
        <f t="shared" si="86"/>
        <v>0.54166666666666641</v>
      </c>
      <c r="C385" s="26" t="s">
        <v>45</v>
      </c>
      <c r="D385" s="59" t="s">
        <v>46</v>
      </c>
      <c r="E385" s="59" t="s">
        <v>261</v>
      </c>
      <c r="F385" s="27">
        <v>9</v>
      </c>
      <c r="G385" s="34">
        <f t="shared" si="84"/>
        <v>37.800000000000004</v>
      </c>
      <c r="H385" s="33"/>
      <c r="I385" s="33"/>
      <c r="J385" s="33"/>
      <c r="K385" s="29"/>
      <c r="L385" s="29"/>
      <c r="M385" s="35" t="str">
        <f t="shared" ca="1" si="85"/>
        <v/>
      </c>
      <c r="N385" s="27"/>
      <c r="O385" s="47"/>
    </row>
    <row r="386" spans="1:15" ht="15" customHeight="1">
      <c r="A386" s="68">
        <v>46218</v>
      </c>
      <c r="B386" s="25">
        <f t="shared" si="86"/>
        <v>0.58333333333333304</v>
      </c>
      <c r="C386" s="26" t="s">
        <v>45</v>
      </c>
      <c r="D386" s="59" t="s">
        <v>46</v>
      </c>
      <c r="E386" s="59" t="s">
        <v>261</v>
      </c>
      <c r="F386" s="27">
        <v>5</v>
      </c>
      <c r="G386" s="28">
        <f t="shared" si="84"/>
        <v>21</v>
      </c>
      <c r="H386" s="26"/>
      <c r="I386" s="26"/>
      <c r="J386" s="26"/>
      <c r="K386" s="29"/>
      <c r="L386" s="29"/>
      <c r="M386" s="30" t="str">
        <f t="shared" ca="1" si="85"/>
        <v/>
      </c>
      <c r="N386" s="27"/>
      <c r="O386" s="47"/>
    </row>
    <row r="387" spans="1:15" ht="15" customHeight="1">
      <c r="A387" s="69">
        <v>46218</v>
      </c>
      <c r="B387" s="32">
        <f t="shared" si="86"/>
        <v>0.62499999999999967</v>
      </c>
      <c r="C387" s="26" t="s">
        <v>45</v>
      </c>
      <c r="D387" s="59" t="s">
        <v>46</v>
      </c>
      <c r="E387" s="59" t="s">
        <v>261</v>
      </c>
      <c r="F387" s="27">
        <v>7</v>
      </c>
      <c r="G387" s="34">
        <f t="shared" si="84"/>
        <v>29.400000000000002</v>
      </c>
      <c r="H387" s="33"/>
      <c r="I387" s="33"/>
      <c r="J387" s="33"/>
      <c r="K387" s="29"/>
      <c r="L387" s="29"/>
      <c r="M387" s="35" t="str">
        <f t="shared" ca="1" si="85"/>
        <v/>
      </c>
      <c r="N387" s="27"/>
      <c r="O387" s="47"/>
    </row>
    <row r="388" spans="1:15" ht="15" customHeight="1">
      <c r="A388" s="68">
        <v>46218</v>
      </c>
      <c r="B388" s="25">
        <f t="shared" si="86"/>
        <v>0.6666666666666663</v>
      </c>
      <c r="C388" s="26" t="s">
        <v>45</v>
      </c>
      <c r="D388" s="59" t="s">
        <v>46</v>
      </c>
      <c r="E388" s="59" t="s">
        <v>261</v>
      </c>
      <c r="F388" s="27">
        <v>13</v>
      </c>
      <c r="G388" s="28">
        <f t="shared" si="84"/>
        <v>54.6</v>
      </c>
      <c r="H388" s="26"/>
      <c r="I388" s="26"/>
      <c r="J388" s="26"/>
      <c r="K388" s="29"/>
      <c r="L388" s="29"/>
      <c r="M388" s="30" t="str">
        <f t="shared" ca="1" si="85"/>
        <v/>
      </c>
      <c r="N388" s="27"/>
      <c r="O388" s="47"/>
    </row>
    <row r="389" spans="1:15" ht="15" customHeight="1">
      <c r="A389" s="69">
        <v>46218</v>
      </c>
      <c r="B389" s="32">
        <f t="shared" si="86"/>
        <v>0.70833333333333293</v>
      </c>
      <c r="C389" s="26" t="s">
        <v>45</v>
      </c>
      <c r="D389" s="59" t="s">
        <v>30</v>
      </c>
      <c r="E389" s="59" t="s">
        <v>261</v>
      </c>
      <c r="F389" s="27">
        <v>4</v>
      </c>
      <c r="G389" s="34">
        <f t="shared" si="84"/>
        <v>16.8</v>
      </c>
      <c r="H389" s="33"/>
      <c r="I389" s="33"/>
      <c r="J389" s="33"/>
      <c r="K389" s="29"/>
      <c r="L389" s="29"/>
      <c r="M389" s="35" t="str">
        <f t="shared" ca="1" si="85"/>
        <v/>
      </c>
      <c r="N389" s="27"/>
      <c r="O389" s="47"/>
    </row>
    <row r="390" spans="1:15" ht="15" customHeight="1">
      <c r="A390" s="68">
        <v>46218</v>
      </c>
      <c r="B390" s="25">
        <f t="shared" si="86"/>
        <v>0.74999999999999956</v>
      </c>
      <c r="C390" s="26" t="s">
        <v>45</v>
      </c>
      <c r="D390" s="59" t="s">
        <v>30</v>
      </c>
      <c r="E390" s="59" t="s">
        <v>261</v>
      </c>
      <c r="F390" s="27">
        <v>11</v>
      </c>
      <c r="G390" s="28">
        <f t="shared" si="84"/>
        <v>46.2</v>
      </c>
      <c r="H390" s="26"/>
      <c r="I390" s="26"/>
      <c r="J390" s="26"/>
      <c r="K390" s="29"/>
      <c r="L390" s="29"/>
      <c r="M390" s="30" t="str">
        <f t="shared" ca="1" si="85"/>
        <v/>
      </c>
      <c r="N390" s="27"/>
      <c r="O390" s="47"/>
    </row>
    <row r="391" spans="1:15" ht="15" customHeight="1">
      <c r="A391" s="69">
        <v>46218</v>
      </c>
      <c r="B391" s="32">
        <f t="shared" si="86"/>
        <v>0.79166666666666619</v>
      </c>
      <c r="C391" s="26" t="s">
        <v>45</v>
      </c>
      <c r="D391" s="59" t="s">
        <v>30</v>
      </c>
      <c r="E391" s="59" t="s">
        <v>261</v>
      </c>
      <c r="F391" s="27">
        <v>3</v>
      </c>
      <c r="G391" s="34">
        <f t="shared" si="84"/>
        <v>12.600000000000001</v>
      </c>
      <c r="H391" s="33"/>
      <c r="I391" s="33"/>
      <c r="J391" s="33"/>
      <c r="K391" s="29"/>
      <c r="L391" s="29"/>
      <c r="M391" s="35" t="str">
        <f t="shared" ca="1" si="85"/>
        <v/>
      </c>
      <c r="N391" s="27"/>
      <c r="O391" s="47"/>
    </row>
    <row r="392" spans="1:15" ht="15.75" customHeight="1">
      <c r="A392" s="119" t="s">
        <v>236</v>
      </c>
      <c r="B392" s="120"/>
      <c r="C392" s="120"/>
      <c r="D392" s="120"/>
      <c r="E392" s="121">
        <f>SUM(E380:E391)</f>
        <v>0</v>
      </c>
      <c r="F392" s="36">
        <f>SUM(F380:F391)</f>
        <v>95</v>
      </c>
      <c r="G392" s="36">
        <f>SUM(G380:G391)</f>
        <v>399.00000000000006</v>
      </c>
      <c r="H392" s="37"/>
      <c r="I392" s="37"/>
      <c r="J392" s="37"/>
      <c r="K392" s="37"/>
      <c r="L392" s="37"/>
      <c r="M392" s="38">
        <f ca="1">IFERROR(SUM(M380:M391),"")</f>
        <v>2.9861111111111061E-2</v>
      </c>
      <c r="N392" s="36" t="s">
        <v>237</v>
      </c>
      <c r="O392" s="39">
        <v>399940</v>
      </c>
    </row>
    <row r="393" spans="1:15" ht="15" customHeight="1">
      <c r="A393" s="69">
        <v>46218</v>
      </c>
      <c r="B393" s="32">
        <v>0.83333333333333304</v>
      </c>
      <c r="C393" s="33" t="s">
        <v>29</v>
      </c>
      <c r="D393" s="62" t="s">
        <v>30</v>
      </c>
      <c r="E393" s="62" t="s">
        <v>234</v>
      </c>
      <c r="F393" s="27">
        <v>12</v>
      </c>
      <c r="G393" s="34">
        <f t="shared" ref="G393:G404" si="87">IF(F393="","",IF(E393="PC 17",F393*4.2,IF(E393="PC 19",F393*5,"")))</f>
        <v>60</v>
      </c>
      <c r="H393" s="33" t="s">
        <v>17</v>
      </c>
      <c r="I393" s="33"/>
      <c r="J393" s="33" t="s">
        <v>25</v>
      </c>
      <c r="K393" s="29">
        <v>3.6805555555555557E-2</v>
      </c>
      <c r="L393" s="29">
        <v>4.9305555555555554E-2</v>
      </c>
      <c r="M393" s="35">
        <f t="shared" ref="M393:M404" ca="1" si="88">IFERROR(IF(K393="","",IF(L393="",MOD(NOW()-K393,1),IF(L393&gt;=K393,L393-K393,L393+1-K393))),"")</f>
        <v>1.2499999999999997E-2</v>
      </c>
      <c r="N393" s="27"/>
      <c r="O393" s="47"/>
    </row>
    <row r="394" spans="1:15" ht="15" customHeight="1">
      <c r="A394" s="68">
        <v>46218</v>
      </c>
      <c r="B394" s="25">
        <f t="shared" ref="B394:B404" si="89">B393+TIME(0,60,0)</f>
        <v>0.87499999999999967</v>
      </c>
      <c r="C394" s="33" t="s">
        <v>29</v>
      </c>
      <c r="D394" s="62" t="s">
        <v>30</v>
      </c>
      <c r="E394" s="62" t="s">
        <v>261</v>
      </c>
      <c r="F394" s="27">
        <v>10</v>
      </c>
      <c r="G394" s="28">
        <f t="shared" si="87"/>
        <v>42</v>
      </c>
      <c r="H394" s="26"/>
      <c r="I394" s="26"/>
      <c r="J394" s="26" t="s">
        <v>40</v>
      </c>
      <c r="K394" s="29"/>
      <c r="L394" s="29"/>
      <c r="M394" s="30" t="str">
        <f t="shared" ca="1" si="88"/>
        <v/>
      </c>
      <c r="N394" s="27"/>
      <c r="O394" s="47"/>
    </row>
    <row r="395" spans="1:15" ht="15" customHeight="1">
      <c r="A395" s="69">
        <v>46218</v>
      </c>
      <c r="B395" s="32">
        <f t="shared" si="89"/>
        <v>0.9166666666666663</v>
      </c>
      <c r="C395" s="33" t="s">
        <v>29</v>
      </c>
      <c r="D395" s="62" t="s">
        <v>30</v>
      </c>
      <c r="E395" s="62" t="s">
        <v>261</v>
      </c>
      <c r="F395" s="27">
        <v>4</v>
      </c>
      <c r="G395" s="34">
        <f t="shared" si="87"/>
        <v>16.8</v>
      </c>
      <c r="H395" s="33"/>
      <c r="I395" s="33"/>
      <c r="J395" s="33"/>
      <c r="K395" s="29"/>
      <c r="L395" s="29"/>
      <c r="M395" s="35" t="str">
        <f t="shared" ca="1" si="88"/>
        <v/>
      </c>
      <c r="N395" s="27"/>
      <c r="O395" s="47"/>
    </row>
    <row r="396" spans="1:15" ht="15" customHeight="1">
      <c r="A396" s="68">
        <v>46218</v>
      </c>
      <c r="B396" s="25">
        <f t="shared" si="89"/>
        <v>0.95833333333333293</v>
      </c>
      <c r="C396" s="33" t="s">
        <v>29</v>
      </c>
      <c r="D396" s="62" t="s">
        <v>30</v>
      </c>
      <c r="E396" s="62" t="s">
        <v>261</v>
      </c>
      <c r="F396" s="27">
        <v>9</v>
      </c>
      <c r="G396" s="28">
        <f t="shared" si="87"/>
        <v>37.800000000000004</v>
      </c>
      <c r="H396" s="26"/>
      <c r="I396" s="26"/>
      <c r="J396" s="26"/>
      <c r="K396" s="29"/>
      <c r="L396" s="29"/>
      <c r="M396" s="30" t="str">
        <f t="shared" ca="1" si="88"/>
        <v/>
      </c>
      <c r="N396" s="27"/>
      <c r="O396" s="47"/>
    </row>
    <row r="397" spans="1:15" ht="15" customHeight="1">
      <c r="A397" s="69">
        <v>46218</v>
      </c>
      <c r="B397" s="32">
        <f t="shared" si="89"/>
        <v>0.99999999999999956</v>
      </c>
      <c r="C397" s="33" t="s">
        <v>29</v>
      </c>
      <c r="D397" s="62" t="s">
        <v>30</v>
      </c>
      <c r="E397" s="62" t="s">
        <v>261</v>
      </c>
      <c r="F397" s="27">
        <v>4</v>
      </c>
      <c r="G397" s="34">
        <f t="shared" si="87"/>
        <v>16.8</v>
      </c>
      <c r="H397" s="33"/>
      <c r="I397" s="33"/>
      <c r="J397" s="33"/>
      <c r="K397" s="29"/>
      <c r="L397" s="29"/>
      <c r="M397" s="35" t="str">
        <f t="shared" ca="1" si="88"/>
        <v/>
      </c>
      <c r="N397" s="27"/>
      <c r="O397" s="47"/>
    </row>
    <row r="398" spans="1:15" ht="15" customHeight="1">
      <c r="A398" s="68">
        <v>46218</v>
      </c>
      <c r="B398" s="25">
        <f t="shared" si="89"/>
        <v>1.0416666666666663</v>
      </c>
      <c r="C398" s="33" t="s">
        <v>29</v>
      </c>
      <c r="D398" s="62" t="s">
        <v>30</v>
      </c>
      <c r="E398" s="62" t="s">
        <v>261</v>
      </c>
      <c r="F398" s="27">
        <v>6</v>
      </c>
      <c r="G398" s="28">
        <f t="shared" si="87"/>
        <v>25.200000000000003</v>
      </c>
      <c r="H398" s="26"/>
      <c r="I398" s="26"/>
      <c r="J398" s="26"/>
      <c r="K398" s="29"/>
      <c r="L398" s="29"/>
      <c r="M398" s="30" t="str">
        <f t="shared" ca="1" si="88"/>
        <v/>
      </c>
      <c r="N398" s="27"/>
      <c r="O398" s="47"/>
    </row>
    <row r="399" spans="1:15" ht="15" customHeight="1">
      <c r="A399" s="69">
        <v>46218</v>
      </c>
      <c r="B399" s="32">
        <f t="shared" si="89"/>
        <v>1.083333333333333</v>
      </c>
      <c r="C399" s="33" t="s">
        <v>29</v>
      </c>
      <c r="D399" s="62" t="s">
        <v>30</v>
      </c>
      <c r="E399" s="62" t="s">
        <v>261</v>
      </c>
      <c r="F399" s="27">
        <v>13</v>
      </c>
      <c r="G399" s="34">
        <f t="shared" si="87"/>
        <v>54.6</v>
      </c>
      <c r="H399" s="33"/>
      <c r="I399" s="33"/>
      <c r="J399" s="33"/>
      <c r="K399" s="29"/>
      <c r="L399" s="29"/>
      <c r="M399" s="35" t="str">
        <f t="shared" ca="1" si="88"/>
        <v/>
      </c>
      <c r="N399" s="27"/>
      <c r="O399" s="47"/>
    </row>
    <row r="400" spans="1:15" ht="15" customHeight="1">
      <c r="A400" s="68">
        <v>46218</v>
      </c>
      <c r="B400" s="25">
        <f t="shared" si="89"/>
        <v>1.1249999999999998</v>
      </c>
      <c r="C400" s="33" t="s">
        <v>29</v>
      </c>
      <c r="D400" s="62" t="s">
        <v>30</v>
      </c>
      <c r="E400" s="62" t="s">
        <v>261</v>
      </c>
      <c r="F400" s="27">
        <v>5</v>
      </c>
      <c r="G400" s="28">
        <f t="shared" si="87"/>
        <v>21</v>
      </c>
      <c r="H400" s="26"/>
      <c r="I400" s="26"/>
      <c r="J400" s="26"/>
      <c r="K400" s="29"/>
      <c r="L400" s="29"/>
      <c r="M400" s="30" t="str">
        <f t="shared" ca="1" si="88"/>
        <v/>
      </c>
      <c r="N400" s="27"/>
      <c r="O400" s="47"/>
    </row>
    <row r="401" spans="1:15" ht="15" customHeight="1">
      <c r="A401" s="69">
        <v>46218</v>
      </c>
      <c r="B401" s="32">
        <f t="shared" si="89"/>
        <v>1.1666666666666665</v>
      </c>
      <c r="C401" s="33" t="s">
        <v>29</v>
      </c>
      <c r="D401" s="62" t="s">
        <v>30</v>
      </c>
      <c r="E401" s="62" t="s">
        <v>261</v>
      </c>
      <c r="F401" s="27">
        <v>2</v>
      </c>
      <c r="G401" s="34">
        <f t="shared" si="87"/>
        <v>8.4</v>
      </c>
      <c r="H401" s="33"/>
      <c r="I401" s="33"/>
      <c r="J401" s="33"/>
      <c r="K401" s="29"/>
      <c r="L401" s="29"/>
      <c r="M401" s="35" t="str">
        <f t="shared" ca="1" si="88"/>
        <v/>
      </c>
      <c r="N401" s="27"/>
      <c r="O401" s="47"/>
    </row>
    <row r="402" spans="1:15" ht="15" customHeight="1">
      <c r="A402" s="68">
        <v>46218</v>
      </c>
      <c r="B402" s="25">
        <f t="shared" si="89"/>
        <v>1.2083333333333333</v>
      </c>
      <c r="C402" s="33" t="s">
        <v>29</v>
      </c>
      <c r="D402" s="62" t="s">
        <v>30</v>
      </c>
      <c r="E402" s="62" t="s">
        <v>261</v>
      </c>
      <c r="F402" s="27">
        <v>4</v>
      </c>
      <c r="G402" s="28">
        <f t="shared" si="87"/>
        <v>16.8</v>
      </c>
      <c r="H402" s="26"/>
      <c r="I402" s="26"/>
      <c r="J402" s="26"/>
      <c r="K402" s="29"/>
      <c r="L402" s="29"/>
      <c r="M402" s="30" t="str">
        <f t="shared" ca="1" si="88"/>
        <v/>
      </c>
      <c r="N402" s="27"/>
      <c r="O402" s="47"/>
    </row>
    <row r="403" spans="1:15" ht="15" customHeight="1">
      <c r="A403" s="69">
        <v>46218</v>
      </c>
      <c r="B403" s="32">
        <f t="shared" si="89"/>
        <v>1.25</v>
      </c>
      <c r="C403" s="33" t="s">
        <v>29</v>
      </c>
      <c r="D403" s="62" t="s">
        <v>30</v>
      </c>
      <c r="E403" s="62" t="s">
        <v>261</v>
      </c>
      <c r="F403" s="27">
        <v>5</v>
      </c>
      <c r="G403" s="34">
        <f t="shared" si="87"/>
        <v>21</v>
      </c>
      <c r="H403" s="33"/>
      <c r="I403" s="33"/>
      <c r="J403" s="33"/>
      <c r="K403" s="29"/>
      <c r="L403" s="29"/>
      <c r="M403" s="35" t="str">
        <f t="shared" ca="1" si="88"/>
        <v/>
      </c>
      <c r="N403" s="27"/>
      <c r="O403" s="47"/>
    </row>
    <row r="404" spans="1:15" ht="15" customHeight="1">
      <c r="A404" s="68">
        <v>46218</v>
      </c>
      <c r="B404" s="25">
        <f t="shared" si="89"/>
        <v>1.2916666666666667</v>
      </c>
      <c r="C404" s="33" t="s">
        <v>29</v>
      </c>
      <c r="D404" s="62" t="s">
        <v>30</v>
      </c>
      <c r="E404" s="62" t="s">
        <v>261</v>
      </c>
      <c r="F404" s="27">
        <v>3</v>
      </c>
      <c r="G404" s="28">
        <f t="shared" si="87"/>
        <v>12.600000000000001</v>
      </c>
      <c r="H404" s="26"/>
      <c r="I404" s="26"/>
      <c r="J404" s="26"/>
      <c r="K404" s="29"/>
      <c r="L404" s="29"/>
      <c r="M404" s="30" t="str">
        <f t="shared" ca="1" si="88"/>
        <v/>
      </c>
      <c r="N404" s="27"/>
      <c r="O404" s="47"/>
    </row>
    <row r="405" spans="1:15" ht="15.75" customHeight="1">
      <c r="A405" s="119" t="s">
        <v>238</v>
      </c>
      <c r="B405" s="120"/>
      <c r="C405" s="120"/>
      <c r="D405" s="120"/>
      <c r="E405" s="121">
        <f>SUM(E393:E404)</f>
        <v>0</v>
      </c>
      <c r="F405" s="36">
        <f>SUM(F393:F404)</f>
        <v>77</v>
      </c>
      <c r="G405" s="36">
        <f>SUM(G393:G404)</f>
        <v>333.00000000000006</v>
      </c>
      <c r="H405" s="37"/>
      <c r="I405" s="37"/>
      <c r="J405" s="37"/>
      <c r="K405" s="37"/>
      <c r="L405" s="37"/>
      <c r="M405" s="38">
        <f ca="1">IFERROR(SUM(M393:M404),"")</f>
        <v>1.2499999999999997E-2</v>
      </c>
      <c r="N405" s="36" t="s">
        <v>237</v>
      </c>
      <c r="O405" s="39">
        <v>507450</v>
      </c>
    </row>
    <row r="406" spans="1:15" ht="18" customHeight="1">
      <c r="A406" s="122" t="s">
        <v>239</v>
      </c>
      <c r="B406" s="123"/>
      <c r="C406" s="123"/>
      <c r="D406" s="123"/>
      <c r="E406" s="124">
        <f>E392+E405</f>
        <v>0</v>
      </c>
      <c r="F406" s="40">
        <f>F392+F405</f>
        <v>172</v>
      </c>
      <c r="G406" s="40">
        <f>G392+G405</f>
        <v>732.00000000000011</v>
      </c>
      <c r="H406" s="41"/>
      <c r="I406" s="41"/>
      <c r="J406" s="41"/>
      <c r="K406" s="41"/>
      <c r="L406" s="41"/>
      <c r="M406" s="42">
        <f ca="1">IFERROR(M392+M405,"")</f>
        <v>4.2361111111111058E-2</v>
      </c>
      <c r="N406" s="40" t="s">
        <v>240</v>
      </c>
      <c r="O406" s="48">
        <f>IFERROR(O392+O405,"")</f>
        <v>907390</v>
      </c>
    </row>
    <row r="407" spans="1:15" ht="15" customHeight="1">
      <c r="A407" s="69">
        <v>46219</v>
      </c>
      <c r="B407" s="32">
        <v>0.33333333333333298</v>
      </c>
      <c r="C407" s="33" t="s">
        <v>45</v>
      </c>
      <c r="D407" s="62" t="s">
        <v>46</v>
      </c>
      <c r="E407" s="62" t="s">
        <v>261</v>
      </c>
      <c r="F407" s="27">
        <v>5</v>
      </c>
      <c r="G407" s="34">
        <f t="shared" ref="G407:G418" si="90">IF(F407="","",IF(E407="PC 17",F407*4.2,IF(E407="PC 19",F407*5,"")))</f>
        <v>21</v>
      </c>
      <c r="H407" s="33" t="s">
        <v>17</v>
      </c>
      <c r="I407" s="33"/>
      <c r="J407" s="33" t="s">
        <v>25</v>
      </c>
      <c r="K407" s="29">
        <v>0.47569444444444442</v>
      </c>
      <c r="L407" s="29">
        <v>0.5</v>
      </c>
      <c r="M407" s="35">
        <f t="shared" ref="M407:M418" ca="1" si="91">IFERROR(IF(K407="","",IF(L407="",MOD(NOW()-K407,1),IF(L407&gt;=K407,L407-K407,L407+1-K407))),"")</f>
        <v>2.430555555555558E-2</v>
      </c>
      <c r="N407" s="27"/>
      <c r="O407" s="47"/>
    </row>
    <row r="408" spans="1:15" ht="15" customHeight="1">
      <c r="A408" s="68">
        <v>46219</v>
      </c>
      <c r="B408" s="25">
        <f t="shared" ref="B408:B418" si="92">B407+TIME(0,60,0)</f>
        <v>0.37499999999999967</v>
      </c>
      <c r="C408" s="33" t="s">
        <v>45</v>
      </c>
      <c r="D408" s="62" t="s">
        <v>46</v>
      </c>
      <c r="E408" s="62" t="s">
        <v>261</v>
      </c>
      <c r="F408" s="27">
        <v>5</v>
      </c>
      <c r="G408" s="28">
        <f t="shared" si="90"/>
        <v>21</v>
      </c>
      <c r="H408" s="26" t="s">
        <v>17</v>
      </c>
      <c r="I408" s="26" t="s">
        <v>136</v>
      </c>
      <c r="J408" s="26" t="s">
        <v>49</v>
      </c>
      <c r="K408" s="29">
        <v>0.5</v>
      </c>
      <c r="L408" s="29">
        <v>0.54027777777777775</v>
      </c>
      <c r="M408" s="30">
        <f t="shared" ca="1" si="91"/>
        <v>4.0277777777777746E-2</v>
      </c>
      <c r="N408" s="27"/>
      <c r="O408" s="47"/>
    </row>
    <row r="409" spans="1:15" ht="15" customHeight="1">
      <c r="A409" s="69">
        <v>46219</v>
      </c>
      <c r="B409" s="32">
        <f t="shared" si="92"/>
        <v>0.41666666666666635</v>
      </c>
      <c r="C409" s="33" t="s">
        <v>45</v>
      </c>
      <c r="D409" s="62" t="s">
        <v>46</v>
      </c>
      <c r="E409" s="62" t="s">
        <v>261</v>
      </c>
      <c r="F409" s="27">
        <v>3</v>
      </c>
      <c r="G409" s="34">
        <f t="shared" si="90"/>
        <v>12.600000000000001</v>
      </c>
      <c r="H409" s="33" t="s">
        <v>20</v>
      </c>
      <c r="I409" s="33" t="s">
        <v>47</v>
      </c>
      <c r="J409" s="33" t="s">
        <v>28</v>
      </c>
      <c r="K409" s="29">
        <v>0.5854166666666667</v>
      </c>
      <c r="L409" s="29">
        <v>0.58888888888888891</v>
      </c>
      <c r="M409" s="35">
        <f t="shared" ca="1" si="91"/>
        <v>3.4722222222222099E-3</v>
      </c>
      <c r="N409" s="27"/>
      <c r="O409" s="47"/>
    </row>
    <row r="410" spans="1:15" ht="15" customHeight="1">
      <c r="A410" s="68">
        <v>46219</v>
      </c>
      <c r="B410" s="25">
        <f t="shared" si="92"/>
        <v>0.45833333333333304</v>
      </c>
      <c r="C410" s="33" t="s">
        <v>45</v>
      </c>
      <c r="D410" s="62" t="s">
        <v>46</v>
      </c>
      <c r="E410" s="62" t="s">
        <v>261</v>
      </c>
      <c r="F410" s="27">
        <v>6</v>
      </c>
      <c r="G410" s="28">
        <f t="shared" si="90"/>
        <v>25.200000000000003</v>
      </c>
      <c r="H410" s="26" t="s">
        <v>17</v>
      </c>
      <c r="I410" s="26"/>
      <c r="J410" s="26" t="s">
        <v>25</v>
      </c>
      <c r="K410" s="29">
        <v>0.65694444444444444</v>
      </c>
      <c r="L410" s="29">
        <v>0.68055555555555558</v>
      </c>
      <c r="M410" s="30">
        <f t="shared" ca="1" si="91"/>
        <v>2.3611111111111138E-2</v>
      </c>
      <c r="N410" s="27"/>
      <c r="O410" s="47"/>
    </row>
    <row r="411" spans="1:15" ht="15" customHeight="1">
      <c r="A411" s="69">
        <v>46219</v>
      </c>
      <c r="B411" s="32">
        <f t="shared" si="92"/>
        <v>0.49999999999999972</v>
      </c>
      <c r="C411" s="33" t="s">
        <v>45</v>
      </c>
      <c r="D411" s="62" t="s">
        <v>46</v>
      </c>
      <c r="E411" s="62" t="s">
        <v>261</v>
      </c>
      <c r="F411" s="27">
        <v>5</v>
      </c>
      <c r="G411" s="34">
        <f t="shared" si="90"/>
        <v>21</v>
      </c>
      <c r="H411" s="33"/>
      <c r="I411" s="33"/>
      <c r="J411" s="33"/>
      <c r="K411" s="29"/>
      <c r="L411" s="29"/>
      <c r="M411" s="35" t="str">
        <f t="shared" ca="1" si="91"/>
        <v/>
      </c>
      <c r="N411" s="27"/>
      <c r="O411" s="47"/>
    </row>
    <row r="412" spans="1:15" ht="15" customHeight="1">
      <c r="A412" s="68">
        <v>46219</v>
      </c>
      <c r="B412" s="25">
        <f t="shared" si="92"/>
        <v>0.54166666666666641</v>
      </c>
      <c r="C412" s="33" t="s">
        <v>45</v>
      </c>
      <c r="D412" s="62" t="s">
        <v>46</v>
      </c>
      <c r="E412" s="62" t="s">
        <v>261</v>
      </c>
      <c r="F412" s="27">
        <v>3</v>
      </c>
      <c r="G412" s="28">
        <f t="shared" si="90"/>
        <v>12.600000000000001</v>
      </c>
      <c r="H412" s="26"/>
      <c r="I412" s="26"/>
      <c r="J412" s="26"/>
      <c r="K412" s="29"/>
      <c r="L412" s="29"/>
      <c r="M412" s="30" t="str">
        <f t="shared" ca="1" si="91"/>
        <v/>
      </c>
      <c r="N412" s="27"/>
      <c r="O412" s="47"/>
    </row>
    <row r="413" spans="1:15" ht="15" customHeight="1">
      <c r="A413" s="69">
        <v>46219</v>
      </c>
      <c r="B413" s="32">
        <f t="shared" si="92"/>
        <v>0.58333333333333304</v>
      </c>
      <c r="C413" s="33" t="s">
        <v>45</v>
      </c>
      <c r="D413" s="62" t="s">
        <v>46</v>
      </c>
      <c r="E413" s="62" t="s">
        <v>261</v>
      </c>
      <c r="F413" s="27">
        <v>0</v>
      </c>
      <c r="G413" s="34">
        <f t="shared" si="90"/>
        <v>0</v>
      </c>
      <c r="H413" s="33"/>
      <c r="I413" s="33"/>
      <c r="J413" s="33"/>
      <c r="K413" s="29"/>
      <c r="L413" s="29"/>
      <c r="M413" s="35" t="str">
        <f t="shared" ca="1" si="91"/>
        <v/>
      </c>
      <c r="N413" s="27"/>
      <c r="O413" s="47"/>
    </row>
    <row r="414" spans="1:15" ht="15" customHeight="1">
      <c r="A414" s="68">
        <v>46219</v>
      </c>
      <c r="B414" s="25">
        <f t="shared" si="92"/>
        <v>0.62499999999999967</v>
      </c>
      <c r="C414" s="33" t="s">
        <v>45</v>
      </c>
      <c r="D414" s="62" t="s">
        <v>46</v>
      </c>
      <c r="E414" s="62" t="s">
        <v>261</v>
      </c>
      <c r="F414" s="27">
        <v>18</v>
      </c>
      <c r="G414" s="28">
        <f t="shared" si="90"/>
        <v>75.600000000000009</v>
      </c>
      <c r="H414" s="26"/>
      <c r="I414" s="26"/>
      <c r="J414" s="26"/>
      <c r="K414" s="29"/>
      <c r="L414" s="29"/>
      <c r="M414" s="30" t="str">
        <f t="shared" ca="1" si="91"/>
        <v/>
      </c>
      <c r="N414" s="27"/>
      <c r="O414" s="47"/>
    </row>
    <row r="415" spans="1:15" ht="15" customHeight="1">
      <c r="A415" s="69">
        <v>46219</v>
      </c>
      <c r="B415" s="32">
        <f t="shared" si="92"/>
        <v>0.6666666666666663</v>
      </c>
      <c r="C415" s="33" t="s">
        <v>45</v>
      </c>
      <c r="D415" s="62" t="s">
        <v>46</v>
      </c>
      <c r="E415" s="62" t="s">
        <v>234</v>
      </c>
      <c r="F415" s="27">
        <v>3</v>
      </c>
      <c r="G415" s="34">
        <f t="shared" si="90"/>
        <v>15</v>
      </c>
      <c r="H415" s="33"/>
      <c r="I415" s="33"/>
      <c r="J415" s="33"/>
      <c r="K415" s="29"/>
      <c r="L415" s="29"/>
      <c r="M415" s="35" t="str">
        <f t="shared" ca="1" si="91"/>
        <v/>
      </c>
      <c r="N415" s="27"/>
      <c r="O415" s="47"/>
    </row>
    <row r="416" spans="1:15" ht="15" customHeight="1">
      <c r="A416" s="68">
        <v>46219</v>
      </c>
      <c r="B416" s="25">
        <f t="shared" si="92"/>
        <v>0.70833333333333293</v>
      </c>
      <c r="C416" s="33" t="s">
        <v>45</v>
      </c>
      <c r="D416" s="62" t="s">
        <v>46</v>
      </c>
      <c r="E416" s="62" t="s">
        <v>234</v>
      </c>
      <c r="F416" s="27">
        <v>2</v>
      </c>
      <c r="G416" s="28">
        <f t="shared" si="90"/>
        <v>10</v>
      </c>
      <c r="H416" s="26"/>
      <c r="I416" s="26"/>
      <c r="J416" s="26"/>
      <c r="K416" s="29"/>
      <c r="L416" s="29"/>
      <c r="M416" s="30" t="str">
        <f t="shared" ca="1" si="91"/>
        <v/>
      </c>
      <c r="N416" s="27"/>
      <c r="O416" s="47"/>
    </row>
    <row r="417" spans="1:15" ht="15" customHeight="1">
      <c r="A417" s="69">
        <v>46219</v>
      </c>
      <c r="B417" s="32">
        <f t="shared" si="92"/>
        <v>0.74999999999999956</v>
      </c>
      <c r="C417" s="33" t="s">
        <v>45</v>
      </c>
      <c r="D417" s="62" t="s">
        <v>46</v>
      </c>
      <c r="E417" s="62" t="s">
        <v>261</v>
      </c>
      <c r="F417" s="27">
        <v>6</v>
      </c>
      <c r="G417" s="34">
        <f t="shared" si="90"/>
        <v>25.200000000000003</v>
      </c>
      <c r="H417" s="33"/>
      <c r="I417" s="33"/>
      <c r="J417" s="33"/>
      <c r="K417" s="29"/>
      <c r="L417" s="29"/>
      <c r="M417" s="35" t="str">
        <f t="shared" ca="1" si="91"/>
        <v/>
      </c>
      <c r="N417" s="27"/>
      <c r="O417" s="47"/>
    </row>
    <row r="418" spans="1:15" ht="15" customHeight="1">
      <c r="A418" s="68">
        <v>46219</v>
      </c>
      <c r="B418" s="25">
        <f t="shared" si="92"/>
        <v>0.79166666666666619</v>
      </c>
      <c r="C418" s="33" t="s">
        <v>45</v>
      </c>
      <c r="D418" s="62" t="s">
        <v>46</v>
      </c>
      <c r="E418" s="62" t="s">
        <v>261</v>
      </c>
      <c r="F418" s="27">
        <v>5</v>
      </c>
      <c r="G418" s="28">
        <f t="shared" si="90"/>
        <v>21</v>
      </c>
      <c r="H418" s="26"/>
      <c r="I418" s="26"/>
      <c r="J418" s="26"/>
      <c r="K418" s="29"/>
      <c r="L418" s="29"/>
      <c r="M418" s="30" t="str">
        <f t="shared" ca="1" si="91"/>
        <v/>
      </c>
      <c r="N418" s="27"/>
    </row>
    <row r="419" spans="1:15" ht="15.75" customHeight="1">
      <c r="A419" s="119" t="s">
        <v>236</v>
      </c>
      <c r="B419" s="120"/>
      <c r="C419" s="120"/>
      <c r="D419" s="120"/>
      <c r="E419" s="121">
        <f>SUM(E407:E418)</f>
        <v>0</v>
      </c>
      <c r="F419" s="36">
        <f>SUM(F407:F418)</f>
        <v>61</v>
      </c>
      <c r="G419" s="36">
        <f>SUM(G407:G418)</f>
        <v>260.2</v>
      </c>
      <c r="H419" s="37"/>
      <c r="I419" s="37"/>
      <c r="J419" s="37"/>
      <c r="K419" s="37"/>
      <c r="L419" s="37"/>
      <c r="M419" s="38">
        <f ca="1">IFERROR(SUM(M407:M418),"")</f>
        <v>9.1666666666666674E-2</v>
      </c>
      <c r="N419" s="36" t="s">
        <v>237</v>
      </c>
      <c r="O419" s="39">
        <v>209000</v>
      </c>
    </row>
    <row r="420" spans="1:15" ht="15" customHeight="1">
      <c r="A420" s="68">
        <v>46219</v>
      </c>
      <c r="B420" s="25">
        <v>0.83333333333333304</v>
      </c>
      <c r="C420" s="26" t="s">
        <v>29</v>
      </c>
      <c r="D420" s="59" t="s">
        <v>30</v>
      </c>
      <c r="E420" s="59" t="s">
        <v>234</v>
      </c>
      <c r="F420" s="27">
        <v>3</v>
      </c>
      <c r="G420" s="28">
        <f t="shared" ref="G420:G431" si="93">IF(F420="","",IF(E420="PC 17",F420*4.2,IF(E420="PC 19",F420*5,"")))</f>
        <v>15</v>
      </c>
      <c r="H420" s="26" t="s">
        <v>18</v>
      </c>
      <c r="I420" s="26" t="s">
        <v>166</v>
      </c>
      <c r="J420" s="26" t="s">
        <v>116</v>
      </c>
      <c r="K420" s="29">
        <v>0.81666666666666665</v>
      </c>
      <c r="L420" s="29">
        <v>0.95138888888888884</v>
      </c>
      <c r="M420" s="30">
        <f t="shared" ref="M420:M431" ca="1" si="94">IFERROR(IF(K420="","",IF(L420="",MOD(NOW()-K420,1),IF(L420&gt;=K420,L420-K420,L420+1-K420))),"")</f>
        <v>0.13472222222222219</v>
      </c>
      <c r="N420" s="95"/>
    </row>
    <row r="421" spans="1:15" ht="15" customHeight="1">
      <c r="A421" s="69">
        <v>46219</v>
      </c>
      <c r="B421" s="32">
        <f t="shared" ref="B421:B431" si="95">B420+TIME(0,60,0)</f>
        <v>0.87499999999999967</v>
      </c>
      <c r="C421" s="26" t="s">
        <v>29</v>
      </c>
      <c r="D421" s="59" t="s">
        <v>30</v>
      </c>
      <c r="E421" s="59" t="s">
        <v>261</v>
      </c>
      <c r="F421" s="27">
        <v>0</v>
      </c>
      <c r="G421" s="34">
        <f t="shared" si="93"/>
        <v>0</v>
      </c>
      <c r="H421" s="33" t="s">
        <v>20</v>
      </c>
      <c r="I421" s="33" t="s">
        <v>47</v>
      </c>
      <c r="J421" s="33" t="s">
        <v>36</v>
      </c>
      <c r="K421" s="29">
        <v>0.95138888888888884</v>
      </c>
      <c r="L421" s="29">
        <v>0.96736111111111112</v>
      </c>
      <c r="M421" s="94">
        <f t="shared" ca="1" si="94"/>
        <v>1.5972222222222276E-2</v>
      </c>
      <c r="N421" s="96" t="s">
        <v>312</v>
      </c>
      <c r="O421" s="47"/>
    </row>
    <row r="422" spans="1:15" ht="15" customHeight="1">
      <c r="A422" s="68">
        <v>46219</v>
      </c>
      <c r="B422" s="25">
        <f t="shared" si="95"/>
        <v>0.9166666666666663</v>
      </c>
      <c r="C422" s="26" t="s">
        <v>29</v>
      </c>
      <c r="D422" s="59" t="s">
        <v>30</v>
      </c>
      <c r="E422" s="59" t="s">
        <v>261</v>
      </c>
      <c r="F422" s="27">
        <v>0</v>
      </c>
      <c r="G422" s="28">
        <f t="shared" si="93"/>
        <v>0</v>
      </c>
      <c r="H422" s="26"/>
      <c r="I422" s="26"/>
      <c r="J422" s="26"/>
      <c r="K422" s="29"/>
      <c r="L422" s="29"/>
      <c r="M422" s="30" t="str">
        <f t="shared" ca="1" si="94"/>
        <v/>
      </c>
      <c r="N422" s="93"/>
      <c r="O422" s="47"/>
    </row>
    <row r="423" spans="1:15" ht="15" customHeight="1">
      <c r="A423" s="69">
        <v>46219</v>
      </c>
      <c r="B423" s="32">
        <f t="shared" si="95"/>
        <v>0.95833333333333293</v>
      </c>
      <c r="C423" s="26" t="s">
        <v>29</v>
      </c>
      <c r="D423" s="59" t="s">
        <v>30</v>
      </c>
      <c r="E423" s="59" t="s">
        <v>261</v>
      </c>
      <c r="F423" s="27">
        <v>10</v>
      </c>
      <c r="G423" s="34">
        <f t="shared" si="93"/>
        <v>42</v>
      </c>
      <c r="H423" s="33"/>
      <c r="I423" s="33"/>
      <c r="J423" s="33"/>
      <c r="K423" s="29"/>
      <c r="L423" s="29"/>
      <c r="M423" s="35" t="str">
        <f t="shared" ca="1" si="94"/>
        <v/>
      </c>
      <c r="N423" s="27"/>
      <c r="O423" s="47"/>
    </row>
    <row r="424" spans="1:15" ht="15" customHeight="1">
      <c r="A424" s="68">
        <v>46219</v>
      </c>
      <c r="B424" s="25">
        <f t="shared" si="95"/>
        <v>0.99999999999999956</v>
      </c>
      <c r="C424" s="26" t="s">
        <v>29</v>
      </c>
      <c r="D424" s="59" t="s">
        <v>30</v>
      </c>
      <c r="E424" s="59" t="s">
        <v>261</v>
      </c>
      <c r="F424" s="27">
        <v>7</v>
      </c>
      <c r="G424" s="28">
        <f t="shared" si="93"/>
        <v>29.400000000000002</v>
      </c>
      <c r="H424" s="26"/>
      <c r="I424" s="26"/>
      <c r="J424" s="26"/>
      <c r="K424" s="29"/>
      <c r="L424" s="29"/>
      <c r="M424" s="30" t="str">
        <f t="shared" ca="1" si="94"/>
        <v/>
      </c>
      <c r="N424" s="27"/>
      <c r="O424" s="47"/>
    </row>
    <row r="425" spans="1:15" ht="15" customHeight="1">
      <c r="A425" s="69">
        <v>46219</v>
      </c>
      <c r="B425" s="32">
        <f t="shared" si="95"/>
        <v>1.0416666666666663</v>
      </c>
      <c r="C425" s="26" t="s">
        <v>29</v>
      </c>
      <c r="D425" s="59" t="s">
        <v>30</v>
      </c>
      <c r="E425" s="59" t="s">
        <v>261</v>
      </c>
      <c r="F425" s="27">
        <v>1</v>
      </c>
      <c r="G425" s="34">
        <f t="shared" si="93"/>
        <v>4.2</v>
      </c>
      <c r="H425" s="33"/>
      <c r="I425" s="33"/>
      <c r="J425" s="33"/>
      <c r="K425" s="29"/>
      <c r="L425" s="29"/>
      <c r="M425" s="35" t="str">
        <f t="shared" ca="1" si="94"/>
        <v/>
      </c>
      <c r="N425" s="27"/>
      <c r="O425" s="47"/>
    </row>
    <row r="426" spans="1:15" ht="15" customHeight="1">
      <c r="A426" s="68">
        <v>46219</v>
      </c>
      <c r="B426" s="25">
        <f t="shared" si="95"/>
        <v>1.083333333333333</v>
      </c>
      <c r="C426" s="26" t="s">
        <v>29</v>
      </c>
      <c r="D426" s="59" t="s">
        <v>30</v>
      </c>
      <c r="E426" s="59" t="s">
        <v>261</v>
      </c>
      <c r="F426" s="27">
        <v>3</v>
      </c>
      <c r="G426" s="28">
        <f t="shared" si="93"/>
        <v>12.600000000000001</v>
      </c>
      <c r="H426" s="26"/>
      <c r="I426" s="26"/>
      <c r="J426" s="26"/>
      <c r="K426" s="29"/>
      <c r="L426" s="29"/>
      <c r="M426" s="30" t="str">
        <f t="shared" ca="1" si="94"/>
        <v/>
      </c>
      <c r="N426" s="27"/>
      <c r="O426" s="47"/>
    </row>
    <row r="427" spans="1:15" ht="15" customHeight="1">
      <c r="A427" s="69">
        <v>46219</v>
      </c>
      <c r="B427" s="32">
        <f t="shared" si="95"/>
        <v>1.1249999999999998</v>
      </c>
      <c r="C427" s="26" t="s">
        <v>29</v>
      </c>
      <c r="D427" s="59" t="s">
        <v>30</v>
      </c>
      <c r="E427" s="59" t="s">
        <v>261</v>
      </c>
      <c r="F427" s="27">
        <v>3</v>
      </c>
      <c r="G427" s="34">
        <f t="shared" si="93"/>
        <v>12.600000000000001</v>
      </c>
      <c r="H427" s="33"/>
      <c r="I427" s="33"/>
      <c r="J427" s="33"/>
      <c r="K427" s="29"/>
      <c r="L427" s="29"/>
      <c r="M427" s="35" t="str">
        <f t="shared" ca="1" si="94"/>
        <v/>
      </c>
      <c r="N427" s="27"/>
      <c r="O427" s="47"/>
    </row>
    <row r="428" spans="1:15" ht="15" customHeight="1">
      <c r="A428" s="68">
        <v>46219</v>
      </c>
      <c r="B428" s="25">
        <f t="shared" si="95"/>
        <v>1.1666666666666665</v>
      </c>
      <c r="C428" s="26" t="s">
        <v>29</v>
      </c>
      <c r="D428" s="59" t="s">
        <v>30</v>
      </c>
      <c r="E428" s="59" t="s">
        <v>261</v>
      </c>
      <c r="F428" s="27">
        <v>12</v>
      </c>
      <c r="G428" s="28">
        <f t="shared" si="93"/>
        <v>50.400000000000006</v>
      </c>
      <c r="H428" s="26"/>
      <c r="I428" s="26"/>
      <c r="J428" s="26"/>
      <c r="K428" s="29"/>
      <c r="L428" s="29"/>
      <c r="M428" s="30" t="str">
        <f t="shared" ca="1" si="94"/>
        <v/>
      </c>
      <c r="N428" s="27"/>
      <c r="O428" s="47"/>
    </row>
    <row r="429" spans="1:15" ht="15" customHeight="1">
      <c r="A429" s="69">
        <v>46219</v>
      </c>
      <c r="B429" s="32">
        <f t="shared" si="95"/>
        <v>1.2083333333333333</v>
      </c>
      <c r="C429" s="26" t="s">
        <v>29</v>
      </c>
      <c r="D429" s="59" t="s">
        <v>30</v>
      </c>
      <c r="E429" s="59" t="s">
        <v>261</v>
      </c>
      <c r="F429" s="27">
        <v>4</v>
      </c>
      <c r="G429" s="34">
        <f t="shared" si="93"/>
        <v>16.8</v>
      </c>
      <c r="H429" s="33"/>
      <c r="I429" s="33"/>
      <c r="J429" s="33"/>
      <c r="K429" s="29"/>
      <c r="L429" s="29"/>
      <c r="M429" s="35" t="str">
        <f t="shared" ca="1" si="94"/>
        <v/>
      </c>
      <c r="N429" s="27"/>
      <c r="O429" s="47"/>
    </row>
    <row r="430" spans="1:15" ht="15" customHeight="1">
      <c r="A430" s="68">
        <v>46219</v>
      </c>
      <c r="B430" s="25">
        <f t="shared" si="95"/>
        <v>1.25</v>
      </c>
      <c r="C430" s="26" t="s">
        <v>29</v>
      </c>
      <c r="D430" s="59" t="s">
        <v>30</v>
      </c>
      <c r="E430" s="59" t="s">
        <v>261</v>
      </c>
      <c r="F430" s="27">
        <v>11</v>
      </c>
      <c r="G430" s="28">
        <f t="shared" si="93"/>
        <v>46.2</v>
      </c>
      <c r="H430" s="26"/>
      <c r="I430" s="26"/>
      <c r="J430" s="26"/>
      <c r="K430" s="29"/>
      <c r="L430" s="29"/>
      <c r="M430" s="30" t="str">
        <f t="shared" ca="1" si="94"/>
        <v/>
      </c>
      <c r="N430" s="27"/>
      <c r="O430" s="47"/>
    </row>
    <row r="431" spans="1:15" ht="15" customHeight="1">
      <c r="A431" s="69">
        <v>46219</v>
      </c>
      <c r="B431" s="32">
        <f t="shared" si="95"/>
        <v>1.2916666666666667</v>
      </c>
      <c r="C431" s="26" t="s">
        <v>29</v>
      </c>
      <c r="D431" s="59" t="s">
        <v>30</v>
      </c>
      <c r="E431" s="59" t="s">
        <v>261</v>
      </c>
      <c r="F431" s="27">
        <v>0</v>
      </c>
      <c r="G431" s="34">
        <f t="shared" si="93"/>
        <v>0</v>
      </c>
      <c r="H431" s="33"/>
      <c r="I431" s="33"/>
      <c r="J431" s="33"/>
      <c r="K431" s="29"/>
      <c r="L431" s="29"/>
      <c r="M431" s="35" t="str">
        <f t="shared" ca="1" si="94"/>
        <v/>
      </c>
      <c r="N431" s="27"/>
      <c r="O431" s="47"/>
    </row>
    <row r="432" spans="1:15" ht="15.75" customHeight="1">
      <c r="A432" s="119" t="s">
        <v>238</v>
      </c>
      <c r="B432" s="120"/>
      <c r="C432" s="120"/>
      <c r="D432" s="120"/>
      <c r="E432" s="121">
        <f>SUM(E420:E431)</f>
        <v>0</v>
      </c>
      <c r="F432" s="36">
        <f>SUM(F420:F431)</f>
        <v>54</v>
      </c>
      <c r="G432" s="36">
        <f>SUM(G420:G431)</f>
        <v>229.20000000000005</v>
      </c>
      <c r="H432" s="37"/>
      <c r="I432" s="37"/>
      <c r="J432" s="37"/>
      <c r="K432" s="37"/>
      <c r="L432" s="37"/>
      <c r="M432" s="38">
        <f ca="1">IFERROR(SUM(M420:M431),"")</f>
        <v>0.15069444444444446</v>
      </c>
      <c r="N432" s="36" t="s">
        <v>237</v>
      </c>
      <c r="O432" s="39">
        <v>229150</v>
      </c>
    </row>
    <row r="433" spans="1:15" ht="18" customHeight="1">
      <c r="A433" s="122" t="s">
        <v>239</v>
      </c>
      <c r="B433" s="123"/>
      <c r="C433" s="123"/>
      <c r="D433" s="123"/>
      <c r="E433" s="124">
        <f>E419+E432</f>
        <v>0</v>
      </c>
      <c r="F433" s="40">
        <f>F419+F432</f>
        <v>115</v>
      </c>
      <c r="G433" s="40">
        <f>G419+G432</f>
        <v>489.40000000000003</v>
      </c>
      <c r="H433" s="41"/>
      <c r="I433" s="41"/>
      <c r="J433" s="41"/>
      <c r="K433" s="41"/>
      <c r="L433" s="41"/>
      <c r="M433" s="42">
        <f ca="1">IFERROR(M419+M432,"")</f>
        <v>0.24236111111111114</v>
      </c>
      <c r="N433" s="40" t="s">
        <v>240</v>
      </c>
      <c r="O433" s="48">
        <f>IFERROR(O419+O432,"")</f>
        <v>438150</v>
      </c>
    </row>
    <row r="434" spans="1:15" ht="15" customHeight="1">
      <c r="A434" s="68">
        <v>46220</v>
      </c>
      <c r="B434" s="25">
        <v>0.33333333333333298</v>
      </c>
      <c r="C434" s="26" t="s">
        <v>21</v>
      </c>
      <c r="D434" s="59" t="s">
        <v>30</v>
      </c>
      <c r="E434" s="59" t="s">
        <v>261</v>
      </c>
      <c r="F434" s="27">
        <v>9</v>
      </c>
      <c r="G434" s="28">
        <f t="shared" ref="G434:G445" si="96">IF(F434="","",IF(E434="PC 17",F434*4.2,IF(E434="PC 19",F434*5,"")))</f>
        <v>37.800000000000004</v>
      </c>
      <c r="H434" s="26" t="s">
        <v>17</v>
      </c>
      <c r="I434" s="26" t="s">
        <v>47</v>
      </c>
      <c r="J434" s="26" t="s">
        <v>87</v>
      </c>
      <c r="K434" s="29">
        <v>0.54166666666666663</v>
      </c>
      <c r="L434" s="29">
        <v>0.73958333333333337</v>
      </c>
      <c r="M434" s="30">
        <f t="shared" ref="M434:M445" ca="1" si="97">IFERROR(IF(K434="","",IF(L434="",MOD(NOW()-K434,1),IF(L434&gt;=K434,L434-K434,L434+1-K434))),"")</f>
        <v>0.19791666666666674</v>
      </c>
      <c r="N434" s="27" t="s">
        <v>368</v>
      </c>
      <c r="O434" s="47"/>
    </row>
    <row r="435" spans="1:15" ht="15" customHeight="1">
      <c r="A435" s="69">
        <v>46220</v>
      </c>
      <c r="B435" s="32">
        <f t="shared" ref="B435:B445" si="98">B434+TIME(0,60,0)</f>
        <v>0.37499999999999967</v>
      </c>
      <c r="C435" s="26" t="s">
        <v>21</v>
      </c>
      <c r="D435" s="59" t="s">
        <v>30</v>
      </c>
      <c r="E435" s="59" t="s">
        <v>261</v>
      </c>
      <c r="F435" s="27">
        <v>6</v>
      </c>
      <c r="G435" s="28">
        <f t="shared" si="96"/>
        <v>25.200000000000003</v>
      </c>
      <c r="H435" s="33"/>
      <c r="I435" s="33"/>
      <c r="J435" s="33"/>
      <c r="K435" s="29"/>
      <c r="L435" s="29"/>
      <c r="M435" s="35" t="str">
        <f t="shared" ca="1" si="97"/>
        <v/>
      </c>
      <c r="N435" s="27"/>
      <c r="O435" s="47"/>
    </row>
    <row r="436" spans="1:15" ht="15" customHeight="1">
      <c r="A436" s="68">
        <v>46220</v>
      </c>
      <c r="B436" s="25">
        <f t="shared" si="98"/>
        <v>0.41666666666666635</v>
      </c>
      <c r="C436" s="26" t="s">
        <v>21</v>
      </c>
      <c r="D436" s="59" t="s">
        <v>30</v>
      </c>
      <c r="E436" s="59" t="s">
        <v>261</v>
      </c>
      <c r="F436" s="27">
        <v>6</v>
      </c>
      <c r="G436" s="28">
        <f t="shared" si="96"/>
        <v>25.200000000000003</v>
      </c>
      <c r="H436" s="26"/>
      <c r="I436" s="26"/>
      <c r="J436" s="26"/>
      <c r="K436" s="29"/>
      <c r="L436" s="29"/>
      <c r="M436" s="30" t="str">
        <f t="shared" ca="1" si="97"/>
        <v/>
      </c>
      <c r="N436" s="27"/>
      <c r="O436" s="47"/>
    </row>
    <row r="437" spans="1:15" ht="15" customHeight="1">
      <c r="A437" s="69">
        <v>46220</v>
      </c>
      <c r="B437" s="32">
        <f t="shared" si="98"/>
        <v>0.45833333333333304</v>
      </c>
      <c r="C437" s="26" t="s">
        <v>21</v>
      </c>
      <c r="D437" s="59" t="s">
        <v>30</v>
      </c>
      <c r="E437" s="59" t="s">
        <v>261</v>
      </c>
      <c r="F437" s="27">
        <v>6</v>
      </c>
      <c r="G437" s="34">
        <f t="shared" si="96"/>
        <v>25.200000000000003</v>
      </c>
      <c r="H437" s="33"/>
      <c r="I437" s="33"/>
      <c r="J437" s="33"/>
      <c r="K437" s="29"/>
      <c r="L437" s="29"/>
      <c r="M437" s="35" t="str">
        <f t="shared" ca="1" si="97"/>
        <v/>
      </c>
      <c r="N437" s="27"/>
      <c r="O437" s="47"/>
    </row>
    <row r="438" spans="1:15" ht="15" customHeight="1">
      <c r="A438" s="68">
        <v>46220</v>
      </c>
      <c r="B438" s="25">
        <f t="shared" si="98"/>
        <v>0.49999999999999972</v>
      </c>
      <c r="C438" s="26" t="s">
        <v>21</v>
      </c>
      <c r="D438" s="59" t="s">
        <v>30</v>
      </c>
      <c r="E438" s="59" t="s">
        <v>261</v>
      </c>
      <c r="F438" s="27">
        <v>3</v>
      </c>
      <c r="G438" s="28">
        <f t="shared" si="96"/>
        <v>12.600000000000001</v>
      </c>
      <c r="H438" s="26"/>
      <c r="I438" s="26"/>
      <c r="J438" s="26"/>
      <c r="K438" s="29"/>
      <c r="L438" s="29"/>
      <c r="M438" s="30" t="str">
        <f t="shared" ca="1" si="97"/>
        <v/>
      </c>
      <c r="N438" s="27"/>
      <c r="O438" s="47"/>
    </row>
    <row r="439" spans="1:15" ht="15" customHeight="1">
      <c r="A439" s="69">
        <v>46220</v>
      </c>
      <c r="B439" s="32">
        <f t="shared" si="98"/>
        <v>0.54166666666666641</v>
      </c>
      <c r="C439" s="26" t="s">
        <v>21</v>
      </c>
      <c r="D439" s="59" t="s">
        <v>30</v>
      </c>
      <c r="E439" s="59" t="s">
        <v>261</v>
      </c>
      <c r="F439" s="27">
        <v>2</v>
      </c>
      <c r="G439" s="34">
        <f t="shared" si="96"/>
        <v>8.4</v>
      </c>
      <c r="H439" s="33"/>
      <c r="I439" s="33"/>
      <c r="J439" s="33"/>
      <c r="K439" s="29"/>
      <c r="L439" s="29"/>
      <c r="M439" s="35" t="str">
        <f t="shared" ca="1" si="97"/>
        <v/>
      </c>
      <c r="N439" s="46"/>
      <c r="O439" s="47"/>
    </row>
    <row r="440" spans="1:15" ht="15" customHeight="1">
      <c r="A440" s="68">
        <v>46220</v>
      </c>
      <c r="B440" s="25">
        <f t="shared" si="98"/>
        <v>0.58333333333333304</v>
      </c>
      <c r="C440" s="26" t="s">
        <v>21</v>
      </c>
      <c r="D440" s="59" t="s">
        <v>30</v>
      </c>
      <c r="E440" s="59" t="s">
        <v>261</v>
      </c>
      <c r="F440" s="27">
        <v>0</v>
      </c>
      <c r="G440" s="28">
        <f t="shared" si="96"/>
        <v>0</v>
      </c>
      <c r="H440" s="26"/>
      <c r="I440" s="26"/>
      <c r="J440" s="26"/>
      <c r="K440" s="29"/>
      <c r="L440" s="29"/>
      <c r="M440" s="30" t="str">
        <f t="shared" ca="1" si="97"/>
        <v/>
      </c>
      <c r="N440" s="27"/>
      <c r="O440" s="47"/>
    </row>
    <row r="441" spans="1:15" ht="15" customHeight="1">
      <c r="A441" s="69">
        <v>46220</v>
      </c>
      <c r="B441" s="32">
        <f t="shared" si="98"/>
        <v>0.62499999999999967</v>
      </c>
      <c r="C441" s="26" t="s">
        <v>21</v>
      </c>
      <c r="D441" s="59" t="s">
        <v>30</v>
      </c>
      <c r="E441" s="59" t="s">
        <v>261</v>
      </c>
      <c r="F441" s="27">
        <v>0</v>
      </c>
      <c r="G441" s="34">
        <f t="shared" si="96"/>
        <v>0</v>
      </c>
      <c r="H441" s="33"/>
      <c r="I441" s="33"/>
      <c r="J441" s="33"/>
      <c r="K441" s="29"/>
      <c r="L441" s="29"/>
      <c r="M441" s="35" t="str">
        <f t="shared" ca="1" si="97"/>
        <v/>
      </c>
      <c r="N441" s="27"/>
      <c r="O441" s="47"/>
    </row>
    <row r="442" spans="1:15" ht="15" customHeight="1">
      <c r="A442" s="68">
        <v>46220</v>
      </c>
      <c r="B442" s="25">
        <f t="shared" si="98"/>
        <v>0.6666666666666663</v>
      </c>
      <c r="C442" s="26" t="s">
        <v>21</v>
      </c>
      <c r="D442" s="59" t="s">
        <v>30</v>
      </c>
      <c r="E442" s="59" t="s">
        <v>261</v>
      </c>
      <c r="F442" s="27">
        <v>0</v>
      </c>
      <c r="G442" s="28">
        <f t="shared" si="96"/>
        <v>0</v>
      </c>
      <c r="H442" s="26"/>
      <c r="I442" s="26"/>
      <c r="J442" s="26"/>
      <c r="K442" s="29"/>
      <c r="L442" s="29"/>
      <c r="M442" s="30" t="str">
        <f t="shared" ca="1" si="97"/>
        <v/>
      </c>
      <c r="N442" s="27"/>
      <c r="O442" s="47"/>
    </row>
    <row r="443" spans="1:15" ht="15" customHeight="1">
      <c r="A443" s="69">
        <v>46220</v>
      </c>
      <c r="B443" s="32">
        <f t="shared" si="98"/>
        <v>0.70833333333333293</v>
      </c>
      <c r="C443" s="26" t="s">
        <v>21</v>
      </c>
      <c r="D443" s="59" t="s">
        <v>38</v>
      </c>
      <c r="E443" s="59" t="s">
        <v>261</v>
      </c>
      <c r="F443" s="27">
        <v>1</v>
      </c>
      <c r="G443" s="34">
        <f t="shared" si="96"/>
        <v>4.2</v>
      </c>
      <c r="H443" s="33"/>
      <c r="I443" s="33"/>
      <c r="J443" s="33"/>
      <c r="K443" s="29"/>
      <c r="L443" s="29"/>
      <c r="M443" s="35" t="str">
        <f t="shared" ca="1" si="97"/>
        <v/>
      </c>
      <c r="N443" s="27"/>
      <c r="O443" s="47"/>
    </row>
    <row r="444" spans="1:15" ht="15" customHeight="1">
      <c r="A444" s="68">
        <v>46220</v>
      </c>
      <c r="B444" s="25">
        <f t="shared" si="98"/>
        <v>0.74999999999999956</v>
      </c>
      <c r="C444" s="26" t="s">
        <v>21</v>
      </c>
      <c r="D444" s="59" t="s">
        <v>38</v>
      </c>
      <c r="E444" s="59" t="s">
        <v>261</v>
      </c>
      <c r="F444" s="27">
        <v>0</v>
      </c>
      <c r="G444" s="28">
        <f t="shared" si="96"/>
        <v>0</v>
      </c>
      <c r="H444" s="26"/>
      <c r="I444" s="26"/>
      <c r="J444" s="26"/>
      <c r="K444" s="29"/>
      <c r="L444" s="29"/>
      <c r="M444" s="30" t="str">
        <f t="shared" ca="1" si="97"/>
        <v/>
      </c>
      <c r="N444" s="27"/>
      <c r="O444" s="47"/>
    </row>
    <row r="445" spans="1:15" ht="15" customHeight="1">
      <c r="A445" s="69">
        <v>46220</v>
      </c>
      <c r="B445" s="32">
        <f t="shared" si="98"/>
        <v>0.79166666666666619</v>
      </c>
      <c r="C445" s="26" t="s">
        <v>21</v>
      </c>
      <c r="D445" s="59" t="s">
        <v>38</v>
      </c>
      <c r="E445" s="59" t="s">
        <v>261</v>
      </c>
      <c r="F445" s="27">
        <v>2</v>
      </c>
      <c r="G445" s="34">
        <f t="shared" si="96"/>
        <v>8.4</v>
      </c>
      <c r="H445" s="33"/>
      <c r="I445" s="33"/>
      <c r="J445" s="33"/>
      <c r="K445" s="29"/>
      <c r="L445" s="29"/>
      <c r="M445" s="35" t="str">
        <f t="shared" ca="1" si="97"/>
        <v/>
      </c>
      <c r="N445" s="27"/>
      <c r="O445" s="47"/>
    </row>
    <row r="446" spans="1:15" ht="15.75" customHeight="1">
      <c r="A446" s="119" t="s">
        <v>236</v>
      </c>
      <c r="B446" s="120"/>
      <c r="C446" s="120"/>
      <c r="D446" s="120"/>
      <c r="E446" s="121">
        <f>SUM(E434:E445)</f>
        <v>0</v>
      </c>
      <c r="F446" s="36">
        <f>SUM(F434:F445)</f>
        <v>35</v>
      </c>
      <c r="G446" s="36">
        <f>SUM(G434:G445)</f>
        <v>147.00000000000003</v>
      </c>
      <c r="H446" s="37"/>
      <c r="I446" s="37"/>
      <c r="J446" s="37"/>
      <c r="K446" s="37"/>
      <c r="L446" s="37"/>
      <c r="M446" s="38">
        <f ca="1">IFERROR(SUM(M434:M445),"")</f>
        <v>0.19791666666666674</v>
      </c>
      <c r="N446" s="36" t="s">
        <v>237</v>
      </c>
      <c r="O446" s="39">
        <v>191330</v>
      </c>
    </row>
    <row r="447" spans="1:15" ht="15" customHeight="1">
      <c r="A447" s="69">
        <v>46220</v>
      </c>
      <c r="B447" s="32">
        <v>0.83333333333333304</v>
      </c>
      <c r="C447" s="33" t="s">
        <v>45</v>
      </c>
      <c r="D447" s="62" t="s">
        <v>30</v>
      </c>
      <c r="E447" s="62" t="s">
        <v>234</v>
      </c>
      <c r="F447" s="27">
        <v>0</v>
      </c>
      <c r="G447" s="34">
        <f t="shared" ref="G447:G458" si="99">IF(F447="","",IF(E447="PC 17",F447*4.2,IF(E447="PC 19",F447*5,"")))</f>
        <v>0</v>
      </c>
      <c r="H447" s="33" t="s">
        <v>20</v>
      </c>
      <c r="I447" s="33"/>
      <c r="J447" s="33" t="s">
        <v>28</v>
      </c>
      <c r="K447" s="29">
        <v>0.82638888888888884</v>
      </c>
      <c r="L447" s="29">
        <v>0.82847222222222228</v>
      </c>
      <c r="M447" s="35">
        <f t="shared" ref="M447:M458" ca="1" si="100">IFERROR(IF(K447="","",IF(L447="",MOD(NOW()-K447,1),IF(L447&gt;=K447,L447-K447,L447+1-K447))),"")</f>
        <v>2.083333333333437E-3</v>
      </c>
      <c r="N447" s="27"/>
      <c r="O447" s="47"/>
    </row>
    <row r="448" spans="1:15" ht="15" customHeight="1">
      <c r="A448" s="68">
        <v>46220</v>
      </c>
      <c r="B448" s="25">
        <f t="shared" ref="B448:B458" si="101">B447+TIME(0,60,0)</f>
        <v>0.87499999999999967</v>
      </c>
      <c r="C448" s="33" t="s">
        <v>45</v>
      </c>
      <c r="D448" s="62" t="s">
        <v>30</v>
      </c>
      <c r="E448" s="62" t="s">
        <v>234</v>
      </c>
      <c r="F448" s="27">
        <v>6</v>
      </c>
      <c r="G448" s="28">
        <f t="shared" si="99"/>
        <v>30</v>
      </c>
      <c r="H448" s="26" t="s">
        <v>20</v>
      </c>
      <c r="I448" s="26" t="s">
        <v>47</v>
      </c>
      <c r="J448" s="26" t="s">
        <v>51</v>
      </c>
      <c r="K448" s="29">
        <v>0.85833333333333328</v>
      </c>
      <c r="L448" s="29">
        <v>0.86319444444444449</v>
      </c>
      <c r="M448" s="30">
        <f t="shared" ca="1" si="100"/>
        <v>4.8611111111112049E-3</v>
      </c>
      <c r="N448" s="27"/>
      <c r="O448" s="47"/>
    </row>
    <row r="449" spans="1:15" ht="15" customHeight="1">
      <c r="A449" s="69">
        <v>46220</v>
      </c>
      <c r="B449" s="32">
        <f t="shared" si="101"/>
        <v>0.9166666666666663</v>
      </c>
      <c r="C449" s="33" t="s">
        <v>45</v>
      </c>
      <c r="D449" s="62" t="s">
        <v>30</v>
      </c>
      <c r="E449" s="62" t="s">
        <v>234</v>
      </c>
      <c r="F449" s="27">
        <v>8</v>
      </c>
      <c r="G449" s="34">
        <f t="shared" si="99"/>
        <v>40</v>
      </c>
      <c r="H449" s="33" t="s">
        <v>20</v>
      </c>
      <c r="I449" s="33" t="s">
        <v>47</v>
      </c>
      <c r="J449" s="33" t="s">
        <v>51</v>
      </c>
      <c r="K449" s="29">
        <v>0.89444444444444449</v>
      </c>
      <c r="L449" s="29">
        <v>0.90694444444444444</v>
      </c>
      <c r="M449" s="35">
        <f t="shared" ca="1" si="100"/>
        <v>1.2499999999999956E-2</v>
      </c>
      <c r="N449" s="27"/>
      <c r="O449" s="47"/>
    </row>
    <row r="450" spans="1:15" ht="15" customHeight="1">
      <c r="A450" s="68">
        <v>46220</v>
      </c>
      <c r="B450" s="25">
        <f t="shared" si="101"/>
        <v>0.95833333333333293</v>
      </c>
      <c r="C450" s="33" t="s">
        <v>45</v>
      </c>
      <c r="D450" s="62" t="s">
        <v>30</v>
      </c>
      <c r="E450" s="62" t="s">
        <v>234</v>
      </c>
      <c r="F450" s="27">
        <v>7</v>
      </c>
      <c r="G450" s="28">
        <f t="shared" si="99"/>
        <v>35</v>
      </c>
      <c r="H450" s="26" t="s">
        <v>20</v>
      </c>
      <c r="I450" s="26" t="s">
        <v>47</v>
      </c>
      <c r="J450" s="26" t="s">
        <v>28</v>
      </c>
      <c r="K450" s="29">
        <v>0.97013888888888888</v>
      </c>
      <c r="L450" s="29">
        <v>0.97986111111111107</v>
      </c>
      <c r="M450" s="30">
        <f t="shared" ca="1" si="100"/>
        <v>9.7222222222221877E-3</v>
      </c>
      <c r="N450" s="27"/>
      <c r="O450" s="47"/>
    </row>
    <row r="451" spans="1:15" ht="15" customHeight="1">
      <c r="A451" s="69">
        <v>46220</v>
      </c>
      <c r="B451" s="32">
        <f t="shared" si="101"/>
        <v>0.99999999999999956</v>
      </c>
      <c r="C451" s="33" t="s">
        <v>45</v>
      </c>
      <c r="D451" s="62" t="s">
        <v>30</v>
      </c>
      <c r="E451" s="62" t="s">
        <v>234</v>
      </c>
      <c r="F451" s="27">
        <v>8</v>
      </c>
      <c r="G451" s="34">
        <f t="shared" si="99"/>
        <v>40</v>
      </c>
      <c r="H451" s="33" t="s">
        <v>20</v>
      </c>
      <c r="I451" s="33" t="s">
        <v>47</v>
      </c>
      <c r="J451" s="33" t="s">
        <v>51</v>
      </c>
      <c r="K451" s="29">
        <v>4.8611111111111112E-2</v>
      </c>
      <c r="L451" s="29">
        <v>6.8750000000000006E-2</v>
      </c>
      <c r="M451" s="35">
        <f t="shared" ca="1" si="100"/>
        <v>2.0138888888888894E-2</v>
      </c>
      <c r="N451" s="27"/>
      <c r="O451" s="47"/>
    </row>
    <row r="452" spans="1:15" ht="15" customHeight="1">
      <c r="A452" s="68">
        <v>46220</v>
      </c>
      <c r="B452" s="25">
        <f t="shared" si="101"/>
        <v>1.0416666666666663</v>
      </c>
      <c r="C452" s="33" t="s">
        <v>45</v>
      </c>
      <c r="D452" s="62" t="s">
        <v>30</v>
      </c>
      <c r="E452" s="62" t="s">
        <v>234</v>
      </c>
      <c r="F452" s="27">
        <v>8</v>
      </c>
      <c r="G452" s="28">
        <f t="shared" si="99"/>
        <v>40</v>
      </c>
      <c r="H452" s="26"/>
      <c r="I452" s="26"/>
      <c r="J452" s="26"/>
      <c r="K452" s="29">
        <v>0.13680555555555557</v>
      </c>
      <c r="L452" s="29">
        <v>0.15763888888888888</v>
      </c>
      <c r="M452" s="30">
        <f t="shared" ca="1" si="100"/>
        <v>2.0833333333333315E-2</v>
      </c>
      <c r="N452" s="27"/>
      <c r="O452" s="47"/>
    </row>
    <row r="453" spans="1:15" ht="15" customHeight="1">
      <c r="A453" s="69">
        <v>46220</v>
      </c>
      <c r="B453" s="32">
        <f t="shared" si="101"/>
        <v>1.083333333333333</v>
      </c>
      <c r="C453" s="33" t="s">
        <v>45</v>
      </c>
      <c r="D453" s="62" t="s">
        <v>30</v>
      </c>
      <c r="E453" s="62" t="s">
        <v>234</v>
      </c>
      <c r="F453" s="27">
        <v>0</v>
      </c>
      <c r="G453" s="34">
        <f t="shared" si="99"/>
        <v>0</v>
      </c>
      <c r="H453" s="33"/>
      <c r="I453" s="33"/>
      <c r="J453" s="33"/>
      <c r="K453" s="29"/>
      <c r="L453" s="29"/>
      <c r="M453" s="35" t="str">
        <f t="shared" ca="1" si="100"/>
        <v/>
      </c>
      <c r="N453" s="27"/>
      <c r="O453" s="47"/>
    </row>
    <row r="454" spans="1:15" ht="15" customHeight="1">
      <c r="A454" s="68">
        <v>46220</v>
      </c>
      <c r="B454" s="25">
        <f t="shared" si="101"/>
        <v>1.1249999999999998</v>
      </c>
      <c r="C454" s="33" t="s">
        <v>45</v>
      </c>
      <c r="D454" s="62" t="s">
        <v>30</v>
      </c>
      <c r="E454" s="62" t="s">
        <v>234</v>
      </c>
      <c r="F454" s="27">
        <v>11</v>
      </c>
      <c r="G454" s="28">
        <f t="shared" si="99"/>
        <v>55</v>
      </c>
      <c r="H454" s="26"/>
      <c r="I454" s="26"/>
      <c r="J454" s="26"/>
      <c r="K454" s="29"/>
      <c r="L454" s="29"/>
      <c r="M454" s="30" t="str">
        <f t="shared" ca="1" si="100"/>
        <v/>
      </c>
      <c r="N454" s="27"/>
      <c r="O454" s="47"/>
    </row>
    <row r="455" spans="1:15" ht="15" customHeight="1">
      <c r="A455" s="69">
        <v>46220</v>
      </c>
      <c r="B455" s="32">
        <f t="shared" si="101"/>
        <v>1.1666666666666665</v>
      </c>
      <c r="C455" s="33" t="s">
        <v>45</v>
      </c>
      <c r="D455" s="62" t="s">
        <v>30</v>
      </c>
      <c r="E455" s="62" t="s">
        <v>234</v>
      </c>
      <c r="F455" s="27">
        <v>7</v>
      </c>
      <c r="G455" s="34">
        <f t="shared" si="99"/>
        <v>35</v>
      </c>
      <c r="H455" s="33"/>
      <c r="I455" s="33"/>
      <c r="J455" s="33"/>
      <c r="K455" s="29"/>
      <c r="L455" s="29"/>
      <c r="M455" s="35" t="str">
        <f t="shared" ca="1" si="100"/>
        <v/>
      </c>
      <c r="N455" s="27"/>
      <c r="O455" s="47"/>
    </row>
    <row r="456" spans="1:15" ht="15" customHeight="1">
      <c r="A456" s="68">
        <v>46220</v>
      </c>
      <c r="B456" s="25">
        <f t="shared" si="101"/>
        <v>1.2083333333333333</v>
      </c>
      <c r="C456" s="33" t="s">
        <v>45</v>
      </c>
      <c r="D456" s="62" t="s">
        <v>30</v>
      </c>
      <c r="E456" s="62" t="s">
        <v>234</v>
      </c>
      <c r="F456" s="27">
        <v>2</v>
      </c>
      <c r="G456" s="28">
        <f t="shared" si="99"/>
        <v>10</v>
      </c>
      <c r="H456" s="26"/>
      <c r="I456" s="26"/>
      <c r="J456" s="26"/>
      <c r="K456" s="29"/>
      <c r="L456" s="29"/>
      <c r="M456" s="30" t="str">
        <f t="shared" ca="1" si="100"/>
        <v/>
      </c>
      <c r="N456" s="27"/>
      <c r="O456" s="47"/>
    </row>
    <row r="457" spans="1:15" ht="15" customHeight="1">
      <c r="A457" s="69">
        <v>46220</v>
      </c>
      <c r="B457" s="32">
        <f t="shared" si="101"/>
        <v>1.25</v>
      </c>
      <c r="C457" s="33" t="s">
        <v>45</v>
      </c>
      <c r="D457" s="62" t="s">
        <v>30</v>
      </c>
      <c r="E457" s="62" t="s">
        <v>234</v>
      </c>
      <c r="F457" s="27">
        <v>2</v>
      </c>
      <c r="G457" s="34">
        <f t="shared" si="99"/>
        <v>10</v>
      </c>
      <c r="H457" s="33"/>
      <c r="I457" s="33"/>
      <c r="J457" s="33"/>
      <c r="K457" s="29"/>
      <c r="L457" s="29"/>
      <c r="M457" s="35" t="str">
        <f t="shared" ca="1" si="100"/>
        <v/>
      </c>
      <c r="N457" s="27"/>
      <c r="O457" s="47"/>
    </row>
    <row r="458" spans="1:15" ht="15" customHeight="1">
      <c r="A458" s="68">
        <v>46220</v>
      </c>
      <c r="B458" s="25">
        <f t="shared" si="101"/>
        <v>1.2916666666666667</v>
      </c>
      <c r="C458" s="33" t="s">
        <v>45</v>
      </c>
      <c r="D458" s="62" t="s">
        <v>30</v>
      </c>
      <c r="E458" s="62" t="s">
        <v>234</v>
      </c>
      <c r="F458" s="27">
        <v>2</v>
      </c>
      <c r="G458" s="28">
        <f t="shared" si="99"/>
        <v>10</v>
      </c>
      <c r="H458" s="26"/>
      <c r="I458" s="26"/>
      <c r="J458" s="26"/>
      <c r="K458" s="29"/>
      <c r="L458" s="29"/>
      <c r="M458" s="30" t="str">
        <f t="shared" ca="1" si="100"/>
        <v/>
      </c>
      <c r="N458" s="27"/>
      <c r="O458" s="47"/>
    </row>
    <row r="459" spans="1:15" ht="15.75" customHeight="1">
      <c r="A459" s="119" t="s">
        <v>238</v>
      </c>
      <c r="B459" s="120"/>
      <c r="C459" s="120"/>
      <c r="D459" s="120"/>
      <c r="E459" s="121">
        <f>SUM(E447:E458)</f>
        <v>0</v>
      </c>
      <c r="F459" s="36">
        <f>SUM(F447:F458)</f>
        <v>61</v>
      </c>
      <c r="G459" s="36">
        <f>SUM(G447:G458)</f>
        <v>305</v>
      </c>
      <c r="H459" s="37"/>
      <c r="I459" s="37"/>
      <c r="J459" s="37"/>
      <c r="K459" s="37"/>
      <c r="L459" s="37"/>
      <c r="M459" s="38">
        <f ca="1">IFERROR(SUM(M447:M458),"")</f>
        <v>7.0138888888889001E-2</v>
      </c>
      <c r="N459" s="36" t="s">
        <v>237</v>
      </c>
      <c r="O459" s="39">
        <v>409980</v>
      </c>
    </row>
    <row r="460" spans="1:15" ht="18" customHeight="1">
      <c r="A460" s="122" t="s">
        <v>239</v>
      </c>
      <c r="B460" s="123"/>
      <c r="C460" s="123"/>
      <c r="D460" s="123"/>
      <c r="E460" s="124">
        <f>E446+E459</f>
        <v>0</v>
      </c>
      <c r="F460" s="40">
        <f>F446+F459</f>
        <v>96</v>
      </c>
      <c r="G460" s="40">
        <f>G446+G459</f>
        <v>452</v>
      </c>
      <c r="H460" s="41"/>
      <c r="I460" s="41"/>
      <c r="J460" s="41"/>
      <c r="K460" s="41"/>
      <c r="L460" s="41"/>
      <c r="M460" s="42">
        <f ca="1">IFERROR(M446+M459,"")</f>
        <v>0.26805555555555571</v>
      </c>
      <c r="N460" s="40" t="s">
        <v>240</v>
      </c>
      <c r="O460" s="48">
        <f>IFERROR(O446+O459,"")</f>
        <v>601310</v>
      </c>
    </row>
    <row r="461" spans="1:15" ht="15" customHeight="1">
      <c r="A461" s="69">
        <v>46221</v>
      </c>
      <c r="B461" s="32">
        <v>0.33333333333333298</v>
      </c>
      <c r="C461" s="33" t="s">
        <v>21</v>
      </c>
      <c r="D461" s="62" t="s">
        <v>30</v>
      </c>
      <c r="E461" s="62" t="s">
        <v>234</v>
      </c>
      <c r="F461" s="27">
        <v>0</v>
      </c>
      <c r="G461" s="34">
        <f t="shared" ref="G461:G472" si="102">IF(F461="","",IF(E461="PC 17",F461*4.2,IF(E461="PC 19",F461*5,"")))</f>
        <v>0</v>
      </c>
      <c r="H461" s="33" t="s">
        <v>19</v>
      </c>
      <c r="I461" s="33" t="s">
        <v>47</v>
      </c>
      <c r="J461" s="33" t="s">
        <v>27</v>
      </c>
      <c r="K461" s="29">
        <v>0.2951388888888889</v>
      </c>
      <c r="L461" s="29">
        <v>0.31388888888888888</v>
      </c>
      <c r="M461" s="35">
        <f t="shared" ref="M461:M472" ca="1" si="103">IFERROR(IF(K461="","",IF(L461="",MOD(NOW()-K461,1),IF(L461&gt;=K461,L461-K461,L461+1-K461))),"")</f>
        <v>1.8749999999999989E-2</v>
      </c>
      <c r="N461" s="27"/>
      <c r="O461" s="47"/>
    </row>
    <row r="462" spans="1:15" ht="15" customHeight="1">
      <c r="A462" s="68">
        <v>46221</v>
      </c>
      <c r="B462" s="25">
        <f t="shared" ref="B462:B472" si="104">B461+TIME(0,60,0)</f>
        <v>0.37499999999999967</v>
      </c>
      <c r="C462" s="33" t="s">
        <v>21</v>
      </c>
      <c r="D462" s="62" t="s">
        <v>30</v>
      </c>
      <c r="E462" s="62" t="s">
        <v>234</v>
      </c>
      <c r="F462" s="27">
        <v>7</v>
      </c>
      <c r="G462" s="28">
        <f t="shared" si="102"/>
        <v>35</v>
      </c>
      <c r="H462" s="26" t="s">
        <v>18</v>
      </c>
      <c r="I462" s="26" t="s">
        <v>147</v>
      </c>
      <c r="J462" s="26" t="s">
        <v>128</v>
      </c>
      <c r="K462" s="29">
        <v>0.49652777777777779</v>
      </c>
      <c r="L462" s="29">
        <v>0.50902777777777775</v>
      </c>
      <c r="M462" s="30">
        <f t="shared" ca="1" si="103"/>
        <v>1.2499999999999956E-2</v>
      </c>
      <c r="N462" s="27"/>
      <c r="O462" s="47"/>
    </row>
    <row r="463" spans="1:15" ht="15" customHeight="1">
      <c r="A463" s="69">
        <v>46221</v>
      </c>
      <c r="B463" s="32">
        <f t="shared" si="104"/>
        <v>0.41666666666666635</v>
      </c>
      <c r="C463" s="33" t="s">
        <v>21</v>
      </c>
      <c r="D463" s="62" t="s">
        <v>30</v>
      </c>
      <c r="E463" s="62" t="s">
        <v>234</v>
      </c>
      <c r="F463" s="27">
        <v>3</v>
      </c>
      <c r="G463" s="34">
        <f t="shared" si="102"/>
        <v>15</v>
      </c>
      <c r="H463" s="33" t="s">
        <v>20</v>
      </c>
      <c r="I463" s="33" t="s">
        <v>69</v>
      </c>
      <c r="J463" s="33" t="s">
        <v>202</v>
      </c>
      <c r="K463" s="29">
        <v>0.5541666666666667</v>
      </c>
      <c r="L463" s="29">
        <v>0.65277777777777779</v>
      </c>
      <c r="M463" s="35">
        <f t="shared" ca="1" si="103"/>
        <v>9.8611111111111094E-2</v>
      </c>
      <c r="N463" s="27"/>
      <c r="O463" s="47"/>
    </row>
    <row r="464" spans="1:15" ht="15" customHeight="1">
      <c r="A464" s="68">
        <v>46221</v>
      </c>
      <c r="B464" s="25">
        <f t="shared" si="104"/>
        <v>0.45833333333333304</v>
      </c>
      <c r="C464" s="33" t="s">
        <v>21</v>
      </c>
      <c r="D464" s="62" t="s">
        <v>30</v>
      </c>
      <c r="E464" s="62" t="s">
        <v>234</v>
      </c>
      <c r="F464" s="27">
        <v>5</v>
      </c>
      <c r="G464" s="28">
        <f t="shared" si="102"/>
        <v>25</v>
      </c>
      <c r="H464" s="26"/>
      <c r="I464" s="26"/>
      <c r="J464" s="26"/>
      <c r="K464" s="29"/>
      <c r="L464" s="29"/>
      <c r="M464" s="30" t="str">
        <f t="shared" ca="1" si="103"/>
        <v/>
      </c>
      <c r="N464" s="27"/>
      <c r="O464" s="47"/>
    </row>
    <row r="465" spans="1:15" ht="15" customHeight="1">
      <c r="A465" s="69">
        <v>46221</v>
      </c>
      <c r="B465" s="32">
        <f t="shared" si="104"/>
        <v>0.49999999999999972</v>
      </c>
      <c r="C465" s="33" t="s">
        <v>21</v>
      </c>
      <c r="D465" s="62" t="s">
        <v>30</v>
      </c>
      <c r="E465" s="62" t="s">
        <v>234</v>
      </c>
      <c r="F465" s="27">
        <v>4</v>
      </c>
      <c r="G465" s="34">
        <f t="shared" si="102"/>
        <v>20</v>
      </c>
      <c r="H465" s="33"/>
      <c r="I465" s="33"/>
      <c r="J465" s="33"/>
      <c r="K465" s="29"/>
      <c r="L465" s="29"/>
      <c r="M465" s="35" t="str">
        <f t="shared" ca="1" si="103"/>
        <v/>
      </c>
      <c r="N465" s="27"/>
      <c r="O465" s="47"/>
    </row>
    <row r="466" spans="1:15" ht="15" customHeight="1">
      <c r="A466" s="68">
        <v>46221</v>
      </c>
      <c r="B466" s="25">
        <f t="shared" si="104"/>
        <v>0.54166666666666641</v>
      </c>
      <c r="C466" s="33" t="s">
        <v>21</v>
      </c>
      <c r="D466" s="62" t="s">
        <v>30</v>
      </c>
      <c r="E466" s="62" t="s">
        <v>234</v>
      </c>
      <c r="F466" s="27">
        <v>0</v>
      </c>
      <c r="G466" s="28">
        <f t="shared" si="102"/>
        <v>0</v>
      </c>
      <c r="H466" s="26"/>
      <c r="I466" s="26"/>
      <c r="J466" s="26"/>
      <c r="K466" s="29"/>
      <c r="L466" s="29"/>
      <c r="M466" s="30" t="str">
        <f t="shared" ca="1" si="103"/>
        <v/>
      </c>
      <c r="N466" s="27"/>
      <c r="O466" s="47"/>
    </row>
    <row r="467" spans="1:15" ht="15" customHeight="1">
      <c r="A467" s="69">
        <v>46221</v>
      </c>
      <c r="B467" s="32">
        <f t="shared" si="104"/>
        <v>0.58333333333333304</v>
      </c>
      <c r="C467" s="33" t="s">
        <v>21</v>
      </c>
      <c r="D467" s="62" t="s">
        <v>30</v>
      </c>
      <c r="E467" s="62" t="s">
        <v>234</v>
      </c>
      <c r="F467" s="27">
        <v>0</v>
      </c>
      <c r="G467" s="34">
        <f t="shared" si="102"/>
        <v>0</v>
      </c>
      <c r="H467" s="33"/>
      <c r="I467" s="33"/>
      <c r="J467" s="33"/>
      <c r="K467" s="29"/>
      <c r="L467" s="29"/>
      <c r="M467" s="35" t="str">
        <f t="shared" ca="1" si="103"/>
        <v/>
      </c>
      <c r="N467" s="27"/>
      <c r="O467" s="47"/>
    </row>
    <row r="468" spans="1:15" ht="15" customHeight="1">
      <c r="A468" s="68">
        <v>46221</v>
      </c>
      <c r="B468" s="25">
        <f t="shared" si="104"/>
        <v>0.62499999999999967</v>
      </c>
      <c r="C468" s="33" t="s">
        <v>21</v>
      </c>
      <c r="D468" s="62" t="s">
        <v>30</v>
      </c>
      <c r="E468" s="62" t="s">
        <v>234</v>
      </c>
      <c r="F468" s="27">
        <v>0</v>
      </c>
      <c r="G468" s="28">
        <f t="shared" si="102"/>
        <v>0</v>
      </c>
      <c r="H468" s="26"/>
      <c r="I468" s="26"/>
      <c r="J468" s="26"/>
      <c r="K468" s="29"/>
      <c r="L468" s="29"/>
      <c r="M468" s="30" t="str">
        <f t="shared" ca="1" si="103"/>
        <v/>
      </c>
      <c r="N468" s="27"/>
      <c r="O468" s="47"/>
    </row>
    <row r="469" spans="1:15" ht="15" customHeight="1">
      <c r="A469" s="69">
        <v>46221</v>
      </c>
      <c r="B469" s="32">
        <f t="shared" si="104"/>
        <v>0.6666666666666663</v>
      </c>
      <c r="C469" s="33" t="s">
        <v>21</v>
      </c>
      <c r="D469" s="62" t="s">
        <v>38</v>
      </c>
      <c r="E469" s="62" t="s">
        <v>234</v>
      </c>
      <c r="F469" s="27">
        <v>4</v>
      </c>
      <c r="G469" s="34">
        <f t="shared" si="102"/>
        <v>20</v>
      </c>
      <c r="H469" s="33"/>
      <c r="I469" s="33"/>
      <c r="J469" s="33"/>
      <c r="K469" s="29"/>
      <c r="L469" s="29"/>
      <c r="M469" s="35" t="str">
        <f t="shared" ca="1" si="103"/>
        <v/>
      </c>
      <c r="N469" s="27"/>
      <c r="O469" s="47"/>
    </row>
    <row r="470" spans="1:15" ht="15" customHeight="1">
      <c r="A470" s="68">
        <v>46221</v>
      </c>
      <c r="B470" s="25">
        <f t="shared" si="104"/>
        <v>0.70833333333333293</v>
      </c>
      <c r="C470" s="33" t="s">
        <v>21</v>
      </c>
      <c r="D470" s="62" t="s">
        <v>38</v>
      </c>
      <c r="E470" s="62" t="s">
        <v>234</v>
      </c>
      <c r="F470" s="27">
        <v>3</v>
      </c>
      <c r="G470" s="28">
        <f t="shared" si="102"/>
        <v>15</v>
      </c>
      <c r="H470" s="26"/>
      <c r="I470" s="26"/>
      <c r="J470" s="26"/>
      <c r="K470" s="29"/>
      <c r="L470" s="29"/>
      <c r="M470" s="30" t="str">
        <f t="shared" ca="1" si="103"/>
        <v/>
      </c>
      <c r="N470" s="27"/>
      <c r="O470" s="47"/>
    </row>
    <row r="471" spans="1:15" ht="15" customHeight="1">
      <c r="A471" s="69">
        <v>46221</v>
      </c>
      <c r="B471" s="32">
        <f t="shared" si="104"/>
        <v>0.74999999999999956</v>
      </c>
      <c r="C471" s="33" t="s">
        <v>21</v>
      </c>
      <c r="D471" s="62" t="s">
        <v>38</v>
      </c>
      <c r="E471" s="62" t="s">
        <v>234</v>
      </c>
      <c r="F471" s="27">
        <v>2</v>
      </c>
      <c r="G471" s="34">
        <f t="shared" si="102"/>
        <v>10</v>
      </c>
      <c r="H471" s="33"/>
      <c r="I471" s="33"/>
      <c r="J471" s="33"/>
      <c r="K471" s="29"/>
      <c r="L471" s="29"/>
      <c r="M471" s="35" t="str">
        <f t="shared" ca="1" si="103"/>
        <v/>
      </c>
      <c r="N471" s="27"/>
      <c r="O471" s="47"/>
    </row>
    <row r="472" spans="1:15" ht="15" customHeight="1">
      <c r="A472" s="68">
        <v>46221</v>
      </c>
      <c r="B472" s="25">
        <f t="shared" si="104"/>
        <v>0.79166666666666619</v>
      </c>
      <c r="C472" s="33" t="s">
        <v>21</v>
      </c>
      <c r="D472" s="62" t="s">
        <v>38</v>
      </c>
      <c r="E472" s="62" t="s">
        <v>234</v>
      </c>
      <c r="F472" s="27">
        <v>2</v>
      </c>
      <c r="G472" s="28">
        <f t="shared" si="102"/>
        <v>10</v>
      </c>
      <c r="H472" s="26"/>
      <c r="I472" s="26"/>
      <c r="J472" s="26"/>
      <c r="K472" s="29"/>
      <c r="L472" s="29"/>
      <c r="M472" s="30" t="str">
        <f t="shared" ca="1" si="103"/>
        <v/>
      </c>
      <c r="N472" s="27"/>
      <c r="O472" s="47"/>
    </row>
    <row r="473" spans="1:15" ht="15.75" customHeight="1">
      <c r="A473" s="119" t="s">
        <v>236</v>
      </c>
      <c r="B473" s="120"/>
      <c r="C473" s="120"/>
      <c r="D473" s="120"/>
      <c r="E473" s="121">
        <f>SUM(E461:E472)</f>
        <v>0</v>
      </c>
      <c r="F473" s="36">
        <f>SUM(F461:F472)</f>
        <v>30</v>
      </c>
      <c r="G473" s="36">
        <f>SUM(G461:G472)</f>
        <v>150</v>
      </c>
      <c r="H473" s="37"/>
      <c r="I473" s="37"/>
      <c r="J473" s="37"/>
      <c r="K473" s="37"/>
      <c r="L473" s="37"/>
      <c r="M473" s="38">
        <f ca="1">IFERROR(SUM(M461:M472),"")</f>
        <v>0.12986111111111104</v>
      </c>
      <c r="N473" s="36" t="s">
        <v>237</v>
      </c>
      <c r="O473" s="39">
        <v>228940</v>
      </c>
    </row>
    <row r="474" spans="1:15" ht="15" customHeight="1">
      <c r="A474" s="68">
        <v>46221</v>
      </c>
      <c r="B474" s="25">
        <v>0.83333333333333304</v>
      </c>
      <c r="C474" s="26" t="s">
        <v>45</v>
      </c>
      <c r="D474" s="59" t="s">
        <v>30</v>
      </c>
      <c r="E474" s="59" t="s">
        <v>234</v>
      </c>
      <c r="F474" s="27">
        <v>8</v>
      </c>
      <c r="G474" s="28">
        <f t="shared" ref="G474:G485" si="105">IF(F474="","",IF(E474="PC 17",F474*4.2,IF(E474="PC 19",F474*5,"")))</f>
        <v>40</v>
      </c>
      <c r="H474" s="26" t="s">
        <v>20</v>
      </c>
      <c r="I474" s="26" t="s">
        <v>47</v>
      </c>
      <c r="J474" s="26" t="s">
        <v>51</v>
      </c>
      <c r="K474" s="29">
        <v>0.7895833333333333</v>
      </c>
      <c r="L474" s="29">
        <v>0.79166666666666663</v>
      </c>
      <c r="M474" s="30">
        <f t="shared" ref="M474:M485" ca="1" si="106">IFERROR(IF(K474="","",IF(L474="",MOD(NOW()-K474,1),IF(L474&gt;=K474,L474-K474,L474+1-K474))),"")</f>
        <v>2.0833333333333259E-3</v>
      </c>
      <c r="N474" s="27"/>
      <c r="O474" s="47"/>
    </row>
    <row r="475" spans="1:15" ht="15" customHeight="1">
      <c r="A475" s="69">
        <v>46221</v>
      </c>
      <c r="B475" s="32">
        <f t="shared" ref="B475:B485" si="107">B474+TIME(0,60,0)</f>
        <v>0.87499999999999967</v>
      </c>
      <c r="C475" s="26" t="s">
        <v>45</v>
      </c>
      <c r="D475" s="59" t="s">
        <v>30</v>
      </c>
      <c r="E475" s="59" t="s">
        <v>234</v>
      </c>
      <c r="F475" s="27">
        <v>7</v>
      </c>
      <c r="G475" s="34">
        <f t="shared" si="105"/>
        <v>35</v>
      </c>
      <c r="H475" s="33" t="s">
        <v>20</v>
      </c>
      <c r="I475" s="33" t="s">
        <v>47</v>
      </c>
      <c r="J475" s="33" t="s">
        <v>28</v>
      </c>
      <c r="K475" s="29">
        <v>0.80972222222222223</v>
      </c>
      <c r="L475" s="29">
        <v>0.8125</v>
      </c>
      <c r="M475" s="35">
        <f t="shared" ca="1" si="106"/>
        <v>2.7777777777777679E-3</v>
      </c>
      <c r="N475" s="27"/>
      <c r="O475" s="47"/>
    </row>
    <row r="476" spans="1:15" ht="15" customHeight="1">
      <c r="A476" s="68">
        <v>46221</v>
      </c>
      <c r="B476" s="25">
        <f t="shared" si="107"/>
        <v>0.9166666666666663</v>
      </c>
      <c r="C476" s="26" t="s">
        <v>45</v>
      </c>
      <c r="D476" s="59" t="s">
        <v>30</v>
      </c>
      <c r="E476" s="59" t="s">
        <v>234</v>
      </c>
      <c r="F476" s="27">
        <v>6</v>
      </c>
      <c r="G476" s="28">
        <f t="shared" si="105"/>
        <v>30</v>
      </c>
      <c r="H476" s="26" t="s">
        <v>20</v>
      </c>
      <c r="I476" s="26" t="s">
        <v>47</v>
      </c>
      <c r="J476" s="26" t="s">
        <v>51</v>
      </c>
      <c r="K476" s="29">
        <v>0.8305555555555556</v>
      </c>
      <c r="L476" s="29">
        <v>0.83333333333333337</v>
      </c>
      <c r="M476" s="30">
        <f t="shared" ca="1" si="106"/>
        <v>2.7777777777777679E-3</v>
      </c>
      <c r="N476" s="27"/>
      <c r="O476" s="47"/>
    </row>
    <row r="477" spans="1:15" ht="15" customHeight="1">
      <c r="A477" s="69">
        <v>46221</v>
      </c>
      <c r="B477" s="32">
        <f t="shared" si="107"/>
        <v>0.95833333333333293</v>
      </c>
      <c r="C477" s="26" t="s">
        <v>45</v>
      </c>
      <c r="D477" s="59" t="s">
        <v>30</v>
      </c>
      <c r="E477" s="59" t="s">
        <v>234</v>
      </c>
      <c r="F477" s="27">
        <v>6</v>
      </c>
      <c r="G477" s="34">
        <f t="shared" si="105"/>
        <v>30</v>
      </c>
      <c r="H477" s="33" t="s">
        <v>20</v>
      </c>
      <c r="I477" s="33" t="s">
        <v>47</v>
      </c>
      <c r="J477" s="33" t="s">
        <v>28</v>
      </c>
      <c r="K477" s="29">
        <v>0.95694444444444449</v>
      </c>
      <c r="L477" s="29">
        <v>0.97083333333333333</v>
      </c>
      <c r="M477" s="35">
        <f t="shared" ca="1" si="106"/>
        <v>1.388888888888884E-2</v>
      </c>
      <c r="N477" s="27"/>
      <c r="O477" s="47"/>
    </row>
    <row r="478" spans="1:15" ht="15" customHeight="1">
      <c r="A478" s="68">
        <v>46221</v>
      </c>
      <c r="B478" s="25">
        <f t="shared" si="107"/>
        <v>0.99999999999999956</v>
      </c>
      <c r="C478" s="26" t="s">
        <v>45</v>
      </c>
      <c r="D478" s="59" t="s">
        <v>30</v>
      </c>
      <c r="E478" s="59" t="s">
        <v>234</v>
      </c>
      <c r="F478" s="27">
        <v>6</v>
      </c>
      <c r="G478" s="28">
        <f t="shared" si="105"/>
        <v>30</v>
      </c>
      <c r="H478" s="26" t="s">
        <v>20</v>
      </c>
      <c r="I478" s="26" t="s">
        <v>47</v>
      </c>
      <c r="J478" s="26" t="s">
        <v>56</v>
      </c>
      <c r="K478" s="29">
        <v>7.6388888888888895E-2</v>
      </c>
      <c r="L478" s="29">
        <v>8.1944444444444445E-2</v>
      </c>
      <c r="M478" s="30">
        <f t="shared" ca="1" si="106"/>
        <v>5.5555555555555497E-3</v>
      </c>
      <c r="N478" s="27"/>
      <c r="O478" s="47"/>
    </row>
    <row r="479" spans="1:15" ht="15" customHeight="1">
      <c r="A479" s="69">
        <v>46221</v>
      </c>
      <c r="B479" s="32">
        <f t="shared" si="107"/>
        <v>1.0416666666666663</v>
      </c>
      <c r="C479" s="26" t="s">
        <v>45</v>
      </c>
      <c r="D479" s="59" t="s">
        <v>30</v>
      </c>
      <c r="E479" s="59" t="s">
        <v>234</v>
      </c>
      <c r="F479" s="27">
        <v>6</v>
      </c>
      <c r="G479" s="34">
        <f t="shared" si="105"/>
        <v>30</v>
      </c>
      <c r="H479" s="33" t="s">
        <v>20</v>
      </c>
      <c r="I479" s="33"/>
      <c r="J479" s="33" t="s">
        <v>74</v>
      </c>
      <c r="K479" s="29">
        <v>0.23819444444444443</v>
      </c>
      <c r="L479" s="29">
        <v>0.24652777777777779</v>
      </c>
      <c r="M479" s="35">
        <f t="shared" ca="1" si="106"/>
        <v>8.3333333333333592E-3</v>
      </c>
      <c r="N479" s="27"/>
      <c r="O479" s="47"/>
    </row>
    <row r="480" spans="1:15" ht="15" customHeight="1">
      <c r="A480" s="68">
        <v>46221</v>
      </c>
      <c r="B480" s="25">
        <f t="shared" si="107"/>
        <v>1.083333333333333</v>
      </c>
      <c r="C480" s="26" t="s">
        <v>45</v>
      </c>
      <c r="D480" s="59" t="s">
        <v>30</v>
      </c>
      <c r="E480" s="59" t="s">
        <v>234</v>
      </c>
      <c r="F480" s="27">
        <v>2</v>
      </c>
      <c r="G480" s="28">
        <f t="shared" si="105"/>
        <v>10</v>
      </c>
      <c r="H480" s="26"/>
      <c r="I480" s="26"/>
      <c r="J480" s="26"/>
      <c r="K480" s="29"/>
      <c r="L480" s="29"/>
      <c r="M480" s="30" t="str">
        <f t="shared" ca="1" si="106"/>
        <v/>
      </c>
      <c r="N480" s="27"/>
      <c r="O480" s="47"/>
    </row>
    <row r="481" spans="1:15" ht="15" customHeight="1">
      <c r="A481" s="69">
        <v>46221</v>
      </c>
      <c r="B481" s="32">
        <f t="shared" si="107"/>
        <v>1.1249999999999998</v>
      </c>
      <c r="C481" s="26" t="s">
        <v>45</v>
      </c>
      <c r="D481" s="59" t="s">
        <v>30</v>
      </c>
      <c r="E481" s="59" t="s">
        <v>234</v>
      </c>
      <c r="F481" s="27">
        <v>7</v>
      </c>
      <c r="G481" s="34">
        <f t="shared" si="105"/>
        <v>35</v>
      </c>
      <c r="H481" s="33"/>
      <c r="I481" s="33"/>
      <c r="J481" s="33"/>
      <c r="K481" s="29"/>
      <c r="L481" s="29"/>
      <c r="M481" s="35" t="str">
        <f t="shared" ca="1" si="106"/>
        <v/>
      </c>
      <c r="N481" s="27"/>
      <c r="O481" s="47"/>
    </row>
    <row r="482" spans="1:15" ht="15" customHeight="1">
      <c r="A482" s="68">
        <v>46221</v>
      </c>
      <c r="B482" s="25">
        <f t="shared" si="107"/>
        <v>1.1666666666666665</v>
      </c>
      <c r="C482" s="26" t="s">
        <v>45</v>
      </c>
      <c r="D482" s="59" t="s">
        <v>30</v>
      </c>
      <c r="E482" s="59" t="s">
        <v>234</v>
      </c>
      <c r="F482" s="27">
        <v>4</v>
      </c>
      <c r="G482" s="28">
        <f t="shared" si="105"/>
        <v>20</v>
      </c>
      <c r="H482" s="26"/>
      <c r="I482" s="26"/>
      <c r="J482" s="26"/>
      <c r="K482" s="29"/>
      <c r="L482" s="29"/>
      <c r="M482" s="30" t="str">
        <f t="shared" ca="1" si="106"/>
        <v/>
      </c>
      <c r="N482" s="27"/>
      <c r="O482" s="47"/>
    </row>
    <row r="483" spans="1:15" ht="15" customHeight="1">
      <c r="A483" s="69">
        <v>46221</v>
      </c>
      <c r="B483" s="32">
        <f t="shared" si="107"/>
        <v>1.2083333333333333</v>
      </c>
      <c r="C483" s="26" t="s">
        <v>45</v>
      </c>
      <c r="D483" s="59" t="s">
        <v>30</v>
      </c>
      <c r="E483" s="59" t="s">
        <v>234</v>
      </c>
      <c r="F483" s="27">
        <v>6</v>
      </c>
      <c r="G483" s="34">
        <f t="shared" si="105"/>
        <v>30</v>
      </c>
      <c r="H483" s="33"/>
      <c r="I483" s="33"/>
      <c r="J483" s="33"/>
      <c r="K483" s="29"/>
      <c r="L483" s="29"/>
      <c r="M483" s="35" t="str">
        <f t="shared" ca="1" si="106"/>
        <v/>
      </c>
      <c r="N483" s="27"/>
      <c r="O483" s="47"/>
    </row>
    <row r="484" spans="1:15" ht="15" customHeight="1">
      <c r="A484" s="68">
        <v>46221</v>
      </c>
      <c r="B484" s="25">
        <f t="shared" si="107"/>
        <v>1.25</v>
      </c>
      <c r="C484" s="26" t="s">
        <v>45</v>
      </c>
      <c r="D484" s="59" t="s">
        <v>30</v>
      </c>
      <c r="E484" s="59" t="s">
        <v>234</v>
      </c>
      <c r="F484" s="27">
        <v>6</v>
      </c>
      <c r="G484" s="28">
        <f t="shared" si="105"/>
        <v>30</v>
      </c>
      <c r="H484" s="26"/>
      <c r="I484" s="26"/>
      <c r="J484" s="26"/>
      <c r="K484" s="29"/>
      <c r="L484" s="29"/>
      <c r="M484" s="30" t="str">
        <f t="shared" ca="1" si="106"/>
        <v/>
      </c>
      <c r="N484" s="27"/>
      <c r="O484" s="47"/>
    </row>
    <row r="485" spans="1:15" ht="15" customHeight="1">
      <c r="A485" s="69">
        <v>46221</v>
      </c>
      <c r="B485" s="32">
        <f t="shared" si="107"/>
        <v>1.2916666666666667</v>
      </c>
      <c r="C485" s="26" t="s">
        <v>45</v>
      </c>
      <c r="D485" s="59" t="s">
        <v>30</v>
      </c>
      <c r="E485" s="59" t="s">
        <v>234</v>
      </c>
      <c r="F485" s="27">
        <v>3</v>
      </c>
      <c r="G485" s="34">
        <f t="shared" si="105"/>
        <v>15</v>
      </c>
      <c r="H485" s="33"/>
      <c r="I485" s="33"/>
      <c r="J485" s="33"/>
      <c r="K485" s="29"/>
      <c r="L485" s="29"/>
      <c r="M485" s="35" t="str">
        <f t="shared" ca="1" si="106"/>
        <v/>
      </c>
      <c r="N485" s="27"/>
      <c r="O485" s="47"/>
    </row>
    <row r="486" spans="1:15" ht="15.75" customHeight="1">
      <c r="A486" s="119" t="s">
        <v>238</v>
      </c>
      <c r="B486" s="120"/>
      <c r="C486" s="120"/>
      <c r="D486" s="120"/>
      <c r="E486" s="121">
        <f>SUM(E474:E485)</f>
        <v>0</v>
      </c>
      <c r="F486" s="36">
        <f>SUM(F474:F485)</f>
        <v>67</v>
      </c>
      <c r="G486" s="36">
        <f>SUM(G474:G485)</f>
        <v>335</v>
      </c>
      <c r="H486" s="37"/>
      <c r="I486" s="37"/>
      <c r="J486" s="37"/>
      <c r="K486" s="37"/>
      <c r="L486" s="37"/>
      <c r="M486" s="38">
        <f ca="1">IFERROR(SUM(M474:M485),"")</f>
        <v>3.541666666666661E-2</v>
      </c>
      <c r="N486" s="36" t="s">
        <v>237</v>
      </c>
      <c r="O486" s="39">
        <v>341550</v>
      </c>
    </row>
    <row r="487" spans="1:15" ht="18" customHeight="1">
      <c r="A487" s="122" t="s">
        <v>239</v>
      </c>
      <c r="B487" s="123"/>
      <c r="C487" s="123"/>
      <c r="D487" s="123"/>
      <c r="E487" s="124">
        <f>E473+E486</f>
        <v>0</v>
      </c>
      <c r="F487" s="40">
        <f>F473+F486</f>
        <v>97</v>
      </c>
      <c r="G487" s="40">
        <f>G473+G486</f>
        <v>485</v>
      </c>
      <c r="H487" s="41"/>
      <c r="I487" s="41"/>
      <c r="J487" s="41"/>
      <c r="K487" s="41"/>
      <c r="L487" s="41"/>
      <c r="M487" s="42">
        <f ca="1">IFERROR(M473+M486,"")</f>
        <v>0.16527777777777763</v>
      </c>
      <c r="N487" s="40" t="s">
        <v>240</v>
      </c>
      <c r="O487" s="48">
        <f>IFERROR(O473+O486,"")</f>
        <v>570490</v>
      </c>
    </row>
    <row r="488" spans="1:15" ht="15" customHeight="1">
      <c r="A488" s="68">
        <v>46222</v>
      </c>
      <c r="B488" s="25">
        <v>0.33333333333333298</v>
      </c>
      <c r="C488" s="26" t="s">
        <v>21</v>
      </c>
      <c r="D488" s="59" t="s">
        <v>30</v>
      </c>
      <c r="E488" s="59" t="s">
        <v>234</v>
      </c>
      <c r="F488" s="27">
        <v>8</v>
      </c>
      <c r="G488" s="28">
        <f t="shared" ref="G488:G499" si="108">IF(F488="","",IF(E488="PC 17",F488*4.2,IF(E488="PC 19",F488*5,"")))</f>
        <v>40</v>
      </c>
      <c r="H488" s="26" t="s">
        <v>20</v>
      </c>
      <c r="I488" s="26" t="s">
        <v>47</v>
      </c>
      <c r="J488" s="26" t="s">
        <v>56</v>
      </c>
      <c r="K488" s="29">
        <v>0.59722222222222221</v>
      </c>
      <c r="L488" s="29">
        <v>0.61458333333333337</v>
      </c>
      <c r="M488" s="30">
        <f t="shared" ref="M488:M499" ca="1" si="109">IFERROR(IF(K488="","",IF(L488="",MOD(NOW()-K488,1),IF(L488&gt;=K488,L488-K488,L488+1-K488))),"")</f>
        <v>1.736111111111116E-2</v>
      </c>
      <c r="N488" s="27" t="s">
        <v>369</v>
      </c>
      <c r="O488" s="47"/>
    </row>
    <row r="489" spans="1:15" ht="15" customHeight="1">
      <c r="A489" s="69">
        <v>46222</v>
      </c>
      <c r="B489" s="32">
        <f t="shared" ref="B489:B499" si="110">B488+TIME(0,60,0)</f>
        <v>0.37499999999999967</v>
      </c>
      <c r="C489" s="26" t="s">
        <v>21</v>
      </c>
      <c r="D489" s="59" t="s">
        <v>30</v>
      </c>
      <c r="E489" s="59" t="s">
        <v>234</v>
      </c>
      <c r="F489" s="27">
        <v>5</v>
      </c>
      <c r="G489" s="34">
        <f t="shared" si="108"/>
        <v>25</v>
      </c>
      <c r="H489" s="33"/>
      <c r="I489" s="33"/>
      <c r="J489" s="33"/>
      <c r="K489" s="29"/>
      <c r="L489" s="29"/>
      <c r="M489" s="35" t="str">
        <f t="shared" ca="1" si="109"/>
        <v/>
      </c>
      <c r="N489" s="27"/>
      <c r="O489" s="47"/>
    </row>
    <row r="490" spans="1:15" ht="15" customHeight="1">
      <c r="A490" s="68">
        <v>46222</v>
      </c>
      <c r="B490" s="25">
        <f t="shared" si="110"/>
        <v>0.41666666666666635</v>
      </c>
      <c r="C490" s="26" t="s">
        <v>21</v>
      </c>
      <c r="D490" s="59" t="s">
        <v>30</v>
      </c>
      <c r="E490" s="59" t="s">
        <v>234</v>
      </c>
      <c r="F490" s="27">
        <v>2</v>
      </c>
      <c r="G490" s="28">
        <f t="shared" si="108"/>
        <v>10</v>
      </c>
      <c r="H490" s="26"/>
      <c r="I490" s="26"/>
      <c r="J490" s="26"/>
      <c r="K490" s="29"/>
      <c r="L490" s="29"/>
      <c r="M490" s="30" t="str">
        <f t="shared" ca="1" si="109"/>
        <v/>
      </c>
      <c r="N490" s="27"/>
      <c r="O490" s="47"/>
    </row>
    <row r="491" spans="1:15" ht="15" customHeight="1">
      <c r="A491" s="69">
        <v>46222</v>
      </c>
      <c r="B491" s="32">
        <f t="shared" si="110"/>
        <v>0.45833333333333304</v>
      </c>
      <c r="C491" s="26" t="s">
        <v>21</v>
      </c>
      <c r="D491" s="59" t="s">
        <v>30</v>
      </c>
      <c r="E491" s="59" t="s">
        <v>234</v>
      </c>
      <c r="F491" s="27">
        <v>5</v>
      </c>
      <c r="G491" s="34">
        <f t="shared" si="108"/>
        <v>25</v>
      </c>
      <c r="H491" s="33"/>
      <c r="I491" s="33"/>
      <c r="J491" s="33"/>
      <c r="K491" s="29"/>
      <c r="L491" s="29"/>
      <c r="M491" s="35" t="str">
        <f t="shared" ca="1" si="109"/>
        <v/>
      </c>
      <c r="N491" s="27"/>
      <c r="O491" s="47"/>
    </row>
    <row r="492" spans="1:15" ht="15" customHeight="1">
      <c r="A492" s="68">
        <v>46222</v>
      </c>
      <c r="B492" s="25">
        <f t="shared" si="110"/>
        <v>0.49999999999999972</v>
      </c>
      <c r="C492" s="26" t="s">
        <v>21</v>
      </c>
      <c r="D492" s="59" t="s">
        <v>30</v>
      </c>
      <c r="E492" s="59" t="s">
        <v>234</v>
      </c>
      <c r="F492" s="27">
        <v>5</v>
      </c>
      <c r="G492" s="28">
        <f t="shared" si="108"/>
        <v>25</v>
      </c>
      <c r="H492" s="26"/>
      <c r="I492" s="26"/>
      <c r="J492" s="26"/>
      <c r="K492" s="29"/>
      <c r="L492" s="29"/>
      <c r="M492" s="30" t="str">
        <f t="shared" ca="1" si="109"/>
        <v/>
      </c>
      <c r="N492" s="27"/>
      <c r="O492" s="47"/>
    </row>
    <row r="493" spans="1:15" ht="15" customHeight="1">
      <c r="A493" s="69">
        <v>46222</v>
      </c>
      <c r="B493" s="32">
        <f t="shared" si="110"/>
        <v>0.54166666666666641</v>
      </c>
      <c r="C493" s="26" t="s">
        <v>21</v>
      </c>
      <c r="D493" s="59" t="s">
        <v>30</v>
      </c>
      <c r="E493" s="59" t="s">
        <v>234</v>
      </c>
      <c r="F493" s="27">
        <v>2</v>
      </c>
      <c r="G493" s="34">
        <f t="shared" si="108"/>
        <v>10</v>
      </c>
      <c r="H493" s="33"/>
      <c r="I493" s="33"/>
      <c r="J493" s="33"/>
      <c r="K493" s="29"/>
      <c r="L493" s="29"/>
      <c r="M493" s="35" t="str">
        <f t="shared" ca="1" si="109"/>
        <v/>
      </c>
      <c r="N493" s="27"/>
      <c r="O493" s="47"/>
    </row>
    <row r="494" spans="1:15" ht="15" customHeight="1">
      <c r="A494" s="68">
        <v>46222</v>
      </c>
      <c r="B494" s="25">
        <f t="shared" si="110"/>
        <v>0.58333333333333304</v>
      </c>
      <c r="C494" s="26" t="s">
        <v>21</v>
      </c>
      <c r="D494" s="59" t="s">
        <v>30</v>
      </c>
      <c r="E494" s="59" t="s">
        <v>261</v>
      </c>
      <c r="F494" s="27">
        <v>6</v>
      </c>
      <c r="G494" s="28">
        <f t="shared" si="108"/>
        <v>25.200000000000003</v>
      </c>
      <c r="H494" s="26"/>
      <c r="I494" s="26"/>
      <c r="J494" s="26"/>
      <c r="K494" s="29"/>
      <c r="L494" s="29"/>
      <c r="M494" s="30" t="str">
        <f t="shared" ca="1" si="109"/>
        <v/>
      </c>
      <c r="N494" s="27"/>
      <c r="O494" s="47"/>
    </row>
    <row r="495" spans="1:15" ht="15" customHeight="1">
      <c r="A495" s="69">
        <v>46222</v>
      </c>
      <c r="B495" s="32">
        <f t="shared" si="110"/>
        <v>0.62499999999999967</v>
      </c>
      <c r="C495" s="26" t="s">
        <v>21</v>
      </c>
      <c r="D495" s="59" t="s">
        <v>30</v>
      </c>
      <c r="E495" s="59" t="s">
        <v>261</v>
      </c>
      <c r="F495" s="27">
        <v>2</v>
      </c>
      <c r="G495" s="34">
        <f t="shared" si="108"/>
        <v>8.4</v>
      </c>
      <c r="H495" s="33"/>
      <c r="I495" s="33"/>
      <c r="J495" s="33"/>
      <c r="K495" s="29"/>
      <c r="L495" s="29"/>
      <c r="M495" s="35" t="str">
        <f t="shared" ca="1" si="109"/>
        <v/>
      </c>
      <c r="N495" s="27"/>
      <c r="O495" s="47"/>
    </row>
    <row r="496" spans="1:15" ht="15" customHeight="1">
      <c r="A496" s="68">
        <v>46222</v>
      </c>
      <c r="B496" s="25">
        <f t="shared" si="110"/>
        <v>0.6666666666666663</v>
      </c>
      <c r="C496" s="26" t="s">
        <v>21</v>
      </c>
      <c r="D496" s="59" t="s">
        <v>30</v>
      </c>
      <c r="E496" s="59" t="s">
        <v>261</v>
      </c>
      <c r="F496" s="27">
        <v>6</v>
      </c>
      <c r="G496" s="28">
        <f t="shared" si="108"/>
        <v>25.200000000000003</v>
      </c>
      <c r="H496" s="26"/>
      <c r="I496" s="26"/>
      <c r="J496" s="26"/>
      <c r="K496" s="29"/>
      <c r="L496" s="29"/>
      <c r="M496" s="30" t="str">
        <f t="shared" ca="1" si="109"/>
        <v/>
      </c>
      <c r="N496" s="27"/>
      <c r="O496" s="47"/>
    </row>
    <row r="497" spans="1:15" ht="15" customHeight="1">
      <c r="A497" s="69">
        <v>46222</v>
      </c>
      <c r="B497" s="32">
        <f t="shared" si="110"/>
        <v>0.70833333333333293</v>
      </c>
      <c r="C497" s="26" t="s">
        <v>21</v>
      </c>
      <c r="D497" s="59" t="s">
        <v>30</v>
      </c>
      <c r="E497" s="59" t="s">
        <v>261</v>
      </c>
      <c r="F497" s="27">
        <v>7</v>
      </c>
      <c r="G497" s="34">
        <f t="shared" si="108"/>
        <v>29.400000000000002</v>
      </c>
      <c r="H497" s="33"/>
      <c r="I497" s="33"/>
      <c r="J497" s="33"/>
      <c r="K497" s="29"/>
      <c r="L497" s="29"/>
      <c r="M497" s="35" t="str">
        <f t="shared" ca="1" si="109"/>
        <v/>
      </c>
      <c r="N497" s="27"/>
      <c r="O497" s="47"/>
    </row>
    <row r="498" spans="1:15" ht="15" customHeight="1">
      <c r="A498" s="68">
        <v>46222</v>
      </c>
      <c r="B498" s="25">
        <f t="shared" si="110"/>
        <v>0.74999999999999956</v>
      </c>
      <c r="C498" s="26" t="s">
        <v>21</v>
      </c>
      <c r="D498" s="59" t="s">
        <v>30</v>
      </c>
      <c r="E498" s="59" t="s">
        <v>261</v>
      </c>
      <c r="F498" s="27">
        <v>4</v>
      </c>
      <c r="G498" s="28">
        <f t="shared" si="108"/>
        <v>16.8</v>
      </c>
      <c r="H498" s="26"/>
      <c r="I498" s="26"/>
      <c r="J498" s="26"/>
      <c r="K498" s="29"/>
      <c r="L498" s="29"/>
      <c r="M498" s="30" t="str">
        <f t="shared" ca="1" si="109"/>
        <v/>
      </c>
      <c r="N498" s="27"/>
      <c r="O498" s="47"/>
    </row>
    <row r="499" spans="1:15" ht="15" customHeight="1">
      <c r="A499" s="69">
        <v>46222</v>
      </c>
      <c r="B499" s="32">
        <f t="shared" si="110"/>
        <v>0.79166666666666619</v>
      </c>
      <c r="C499" s="26" t="s">
        <v>21</v>
      </c>
      <c r="D499" s="59" t="s">
        <v>30</v>
      </c>
      <c r="E499" s="59" t="s">
        <v>261</v>
      </c>
      <c r="F499" s="27">
        <v>2</v>
      </c>
      <c r="G499" s="34">
        <f t="shared" si="108"/>
        <v>8.4</v>
      </c>
      <c r="H499" s="33"/>
      <c r="I499" s="33"/>
      <c r="J499" s="33"/>
      <c r="K499" s="29"/>
      <c r="L499" s="29"/>
      <c r="M499" s="35" t="str">
        <f t="shared" ca="1" si="109"/>
        <v/>
      </c>
      <c r="N499" s="27"/>
      <c r="O499" s="47"/>
    </row>
    <row r="500" spans="1:15" ht="15.75" customHeight="1">
      <c r="A500" s="119" t="s">
        <v>236</v>
      </c>
      <c r="B500" s="120"/>
      <c r="C500" s="120"/>
      <c r="D500" s="120"/>
      <c r="E500" s="121">
        <f>SUM(E488:E499)</f>
        <v>0</v>
      </c>
      <c r="F500" s="36">
        <f>SUM(F488:F499)</f>
        <v>54</v>
      </c>
      <c r="G500" s="36">
        <f>SUM(G488:G499)</f>
        <v>248.40000000000003</v>
      </c>
      <c r="H500" s="37"/>
      <c r="I500" s="37"/>
      <c r="J500" s="37"/>
      <c r="K500" s="37"/>
      <c r="L500" s="37"/>
      <c r="M500" s="38">
        <f ca="1">IFERROR(SUM(M488:M499),"")</f>
        <v>1.736111111111116E-2</v>
      </c>
      <c r="N500" s="36" t="s">
        <v>237</v>
      </c>
      <c r="O500" s="39">
        <v>316430</v>
      </c>
    </row>
    <row r="501" spans="1:15" ht="15" customHeight="1">
      <c r="A501" s="69">
        <v>46222</v>
      </c>
      <c r="B501" s="32">
        <v>0.83333333333333304</v>
      </c>
      <c r="C501" s="33" t="s">
        <v>45</v>
      </c>
      <c r="D501" s="62" t="s">
        <v>30</v>
      </c>
      <c r="E501" s="62" t="s">
        <v>261</v>
      </c>
      <c r="F501" s="27">
        <v>14</v>
      </c>
      <c r="G501" s="34">
        <f t="shared" ref="G501:G512" si="111">IF(F501="","",IF(E501="PC 17",F501*4.2,IF(E501="PC 19",F501*5,"")))</f>
        <v>58.800000000000004</v>
      </c>
      <c r="H501" s="33" t="s">
        <v>19</v>
      </c>
      <c r="I501" s="33" t="s">
        <v>47</v>
      </c>
      <c r="J501" s="33" t="s">
        <v>27</v>
      </c>
      <c r="K501" s="29">
        <v>0.19930555555555557</v>
      </c>
      <c r="L501" s="29">
        <v>0.21736111111111112</v>
      </c>
      <c r="M501" s="35">
        <f t="shared" ref="M501:M512" ca="1" si="112">IFERROR(IF(K501="","",IF(L501="",MOD(NOW()-K501,1),IF(L501&gt;=K501,L501-K501,L501+1-K501))),"")</f>
        <v>1.8055555555555547E-2</v>
      </c>
      <c r="N501" s="27"/>
      <c r="O501" s="47"/>
    </row>
    <row r="502" spans="1:15" ht="15" customHeight="1">
      <c r="A502" s="68">
        <v>46222</v>
      </c>
      <c r="B502" s="25">
        <f t="shared" ref="B502:B512" si="113">B501+TIME(0,60,0)</f>
        <v>0.87499999999999967</v>
      </c>
      <c r="C502" s="33" t="s">
        <v>45</v>
      </c>
      <c r="D502" s="62" t="s">
        <v>30</v>
      </c>
      <c r="E502" s="62" t="s">
        <v>234</v>
      </c>
      <c r="F502" s="27">
        <v>5</v>
      </c>
      <c r="G502" s="28">
        <f t="shared" si="111"/>
        <v>25</v>
      </c>
      <c r="H502" s="26"/>
      <c r="I502" s="26"/>
      <c r="J502" s="26"/>
      <c r="K502" s="29"/>
      <c r="L502" s="29"/>
      <c r="M502" s="30" t="str">
        <f t="shared" ca="1" si="112"/>
        <v/>
      </c>
      <c r="N502" s="27"/>
      <c r="O502" s="47"/>
    </row>
    <row r="503" spans="1:15" ht="15" customHeight="1">
      <c r="A503" s="69">
        <v>46222</v>
      </c>
      <c r="B503" s="32">
        <f t="shared" si="113"/>
        <v>0.9166666666666663</v>
      </c>
      <c r="C503" s="33" t="s">
        <v>45</v>
      </c>
      <c r="D503" s="62" t="s">
        <v>30</v>
      </c>
      <c r="E503" s="62" t="s">
        <v>261</v>
      </c>
      <c r="F503" s="27">
        <v>0</v>
      </c>
      <c r="G503" s="34">
        <f t="shared" si="111"/>
        <v>0</v>
      </c>
      <c r="H503" s="33"/>
      <c r="I503" s="33"/>
      <c r="J503" s="33"/>
      <c r="K503" s="29"/>
      <c r="L503" s="29"/>
      <c r="M503" s="35" t="str">
        <f t="shared" ca="1" si="112"/>
        <v/>
      </c>
      <c r="N503" s="27"/>
      <c r="O503" s="47"/>
    </row>
    <row r="504" spans="1:15" ht="15" customHeight="1">
      <c r="A504" s="68">
        <v>46222</v>
      </c>
      <c r="B504" s="25">
        <f t="shared" si="113"/>
        <v>0.95833333333333293</v>
      </c>
      <c r="C504" s="33" t="s">
        <v>45</v>
      </c>
      <c r="D504" s="62" t="s">
        <v>30</v>
      </c>
      <c r="E504" s="62" t="s">
        <v>261</v>
      </c>
      <c r="F504" s="27">
        <v>11</v>
      </c>
      <c r="G504" s="28">
        <f t="shared" si="111"/>
        <v>46.2</v>
      </c>
      <c r="H504" s="26"/>
      <c r="I504" s="26"/>
      <c r="J504" s="26"/>
      <c r="K504" s="29"/>
      <c r="L504" s="29"/>
      <c r="M504" s="30" t="str">
        <f t="shared" ca="1" si="112"/>
        <v/>
      </c>
      <c r="N504" s="27"/>
      <c r="O504" s="47"/>
    </row>
    <row r="505" spans="1:15" ht="15" customHeight="1">
      <c r="A505" s="69">
        <v>46222</v>
      </c>
      <c r="B505" s="32">
        <f t="shared" si="113"/>
        <v>0.99999999999999956</v>
      </c>
      <c r="C505" s="33" t="s">
        <v>45</v>
      </c>
      <c r="D505" s="62" t="s">
        <v>30</v>
      </c>
      <c r="E505" s="62" t="s">
        <v>261</v>
      </c>
      <c r="F505" s="27">
        <v>0</v>
      </c>
      <c r="G505" s="34">
        <f t="shared" si="111"/>
        <v>0</v>
      </c>
      <c r="H505" s="33"/>
      <c r="I505" s="33"/>
      <c r="J505" s="33"/>
      <c r="K505" s="29"/>
      <c r="L505" s="29"/>
      <c r="M505" s="35" t="str">
        <f t="shared" ca="1" si="112"/>
        <v/>
      </c>
      <c r="N505" s="27"/>
      <c r="O505" s="47"/>
    </row>
    <row r="506" spans="1:15" ht="15" customHeight="1">
      <c r="A506" s="68">
        <v>46222</v>
      </c>
      <c r="B506" s="25">
        <f t="shared" si="113"/>
        <v>1.0416666666666663</v>
      </c>
      <c r="C506" s="33" t="s">
        <v>45</v>
      </c>
      <c r="D506" s="62" t="s">
        <v>30</v>
      </c>
      <c r="E506" s="62" t="s">
        <v>261</v>
      </c>
      <c r="F506" s="27">
        <v>9</v>
      </c>
      <c r="G506" s="28">
        <f t="shared" si="111"/>
        <v>37.800000000000004</v>
      </c>
      <c r="H506" s="26"/>
      <c r="I506" s="26"/>
      <c r="J506" s="26"/>
      <c r="K506" s="29"/>
      <c r="L506" s="29"/>
      <c r="M506" s="30" t="str">
        <f t="shared" ca="1" si="112"/>
        <v/>
      </c>
      <c r="N506" s="27"/>
      <c r="O506" s="47"/>
    </row>
    <row r="507" spans="1:15" ht="15" customHeight="1">
      <c r="A507" s="69">
        <v>46222</v>
      </c>
      <c r="B507" s="32">
        <f t="shared" si="113"/>
        <v>1.083333333333333</v>
      </c>
      <c r="C507" s="33" t="s">
        <v>45</v>
      </c>
      <c r="D507" s="62" t="s">
        <v>30</v>
      </c>
      <c r="E507" s="62" t="s">
        <v>261</v>
      </c>
      <c r="F507" s="27">
        <v>0</v>
      </c>
      <c r="G507" s="34">
        <f t="shared" si="111"/>
        <v>0</v>
      </c>
      <c r="H507" s="33"/>
      <c r="I507" s="33"/>
      <c r="J507" s="33"/>
      <c r="K507" s="29"/>
      <c r="L507" s="29"/>
      <c r="M507" s="35" t="str">
        <f t="shared" ca="1" si="112"/>
        <v/>
      </c>
      <c r="N507" s="27"/>
      <c r="O507" s="47"/>
    </row>
    <row r="508" spans="1:15" ht="15" customHeight="1">
      <c r="A508" s="68">
        <v>46222</v>
      </c>
      <c r="B508" s="25">
        <f t="shared" si="113"/>
        <v>1.1249999999999998</v>
      </c>
      <c r="C508" s="33" t="s">
        <v>45</v>
      </c>
      <c r="D508" s="62" t="s">
        <v>30</v>
      </c>
      <c r="E508" s="62" t="s">
        <v>261</v>
      </c>
      <c r="F508" s="27">
        <v>6</v>
      </c>
      <c r="G508" s="28">
        <f t="shared" si="111"/>
        <v>25.200000000000003</v>
      </c>
      <c r="H508" s="26"/>
      <c r="I508" s="26"/>
      <c r="J508" s="26"/>
      <c r="K508" s="29"/>
      <c r="L508" s="29"/>
      <c r="M508" s="30" t="str">
        <f t="shared" ca="1" si="112"/>
        <v/>
      </c>
      <c r="N508" s="27"/>
      <c r="O508" s="47"/>
    </row>
    <row r="509" spans="1:15" ht="15" customHeight="1">
      <c r="A509" s="69">
        <v>46222</v>
      </c>
      <c r="B509" s="32">
        <f t="shared" si="113"/>
        <v>1.1666666666666665</v>
      </c>
      <c r="C509" s="33" t="s">
        <v>45</v>
      </c>
      <c r="D509" s="62" t="s">
        <v>30</v>
      </c>
      <c r="E509" s="62" t="s">
        <v>261</v>
      </c>
      <c r="F509" s="27">
        <v>6</v>
      </c>
      <c r="G509" s="34">
        <f t="shared" si="111"/>
        <v>25.200000000000003</v>
      </c>
      <c r="H509" s="33"/>
      <c r="I509" s="33"/>
      <c r="J509" s="33"/>
      <c r="K509" s="29"/>
      <c r="L509" s="29"/>
      <c r="M509" s="35" t="str">
        <f t="shared" ca="1" si="112"/>
        <v/>
      </c>
      <c r="N509" s="27"/>
      <c r="O509" s="47"/>
    </row>
    <row r="510" spans="1:15" ht="15" customHeight="1">
      <c r="A510" s="68">
        <v>46222</v>
      </c>
      <c r="B510" s="25">
        <f t="shared" si="113"/>
        <v>1.2083333333333333</v>
      </c>
      <c r="C510" s="33" t="s">
        <v>45</v>
      </c>
      <c r="D510" s="62" t="s">
        <v>30</v>
      </c>
      <c r="E510" s="62" t="s">
        <v>261</v>
      </c>
      <c r="F510" s="27">
        <v>2</v>
      </c>
      <c r="G510" s="28">
        <f t="shared" si="111"/>
        <v>8.4</v>
      </c>
      <c r="H510" s="26"/>
      <c r="I510" s="26"/>
      <c r="J510" s="26"/>
      <c r="K510" s="29"/>
      <c r="L510" s="29"/>
      <c r="M510" s="30" t="str">
        <f t="shared" ca="1" si="112"/>
        <v/>
      </c>
      <c r="N510" s="27"/>
      <c r="O510" s="47"/>
    </row>
    <row r="511" spans="1:15" ht="15" customHeight="1">
      <c r="A511" s="69">
        <v>46222</v>
      </c>
      <c r="B511" s="32">
        <f t="shared" si="113"/>
        <v>1.25</v>
      </c>
      <c r="C511" s="33" t="s">
        <v>45</v>
      </c>
      <c r="D511" s="62" t="s">
        <v>30</v>
      </c>
      <c r="E511" s="62" t="s">
        <v>261</v>
      </c>
      <c r="F511" s="27">
        <v>4</v>
      </c>
      <c r="G511" s="34">
        <f t="shared" si="111"/>
        <v>16.8</v>
      </c>
      <c r="H511" s="33"/>
      <c r="I511" s="33"/>
      <c r="J511" s="33"/>
      <c r="K511" s="29"/>
      <c r="L511" s="29"/>
      <c r="M511" s="35" t="str">
        <f t="shared" ca="1" si="112"/>
        <v/>
      </c>
      <c r="N511" s="27"/>
      <c r="O511" s="47"/>
    </row>
    <row r="512" spans="1:15" ht="15" customHeight="1">
      <c r="A512" s="68">
        <v>46222</v>
      </c>
      <c r="B512" s="25">
        <f t="shared" si="113"/>
        <v>1.2916666666666667</v>
      </c>
      <c r="C512" s="33" t="s">
        <v>45</v>
      </c>
      <c r="D512" s="62" t="s">
        <v>30</v>
      </c>
      <c r="E512" s="62" t="s">
        <v>261</v>
      </c>
      <c r="F512" s="27">
        <v>0</v>
      </c>
      <c r="G512" s="28">
        <f t="shared" si="111"/>
        <v>0</v>
      </c>
      <c r="H512" s="26"/>
      <c r="I512" s="26"/>
      <c r="J512" s="26"/>
      <c r="K512" s="29"/>
      <c r="L512" s="29"/>
      <c r="M512" s="30" t="str">
        <f t="shared" ca="1" si="112"/>
        <v/>
      </c>
      <c r="N512" s="27"/>
      <c r="O512" s="47"/>
    </row>
    <row r="513" spans="1:15" ht="15.75" customHeight="1">
      <c r="A513" s="119" t="s">
        <v>238</v>
      </c>
      <c r="B513" s="120"/>
      <c r="C513" s="120"/>
      <c r="D513" s="120"/>
      <c r="E513" s="121">
        <f>SUM(E501:E512)</f>
        <v>0</v>
      </c>
      <c r="F513" s="36">
        <f>SUM(F501:F512)</f>
        <v>57</v>
      </c>
      <c r="G513" s="36">
        <f>SUM(G501:G512)</f>
        <v>243.4</v>
      </c>
      <c r="H513" s="37"/>
      <c r="I513" s="37"/>
      <c r="J513" s="37"/>
      <c r="K513" s="37"/>
      <c r="L513" s="37"/>
      <c r="M513" s="38">
        <f ca="1">IFERROR(SUM(M501:M512),"")</f>
        <v>1.8055555555555547E-2</v>
      </c>
      <c r="N513" s="36" t="s">
        <v>237</v>
      </c>
      <c r="O513" s="39">
        <v>276610</v>
      </c>
    </row>
    <row r="514" spans="1:15" ht="18" customHeight="1">
      <c r="A514" s="122" t="s">
        <v>239</v>
      </c>
      <c r="B514" s="123"/>
      <c r="C514" s="123"/>
      <c r="D514" s="123"/>
      <c r="E514" s="124">
        <f>E500+E513</f>
        <v>0</v>
      </c>
      <c r="F514" s="40">
        <f>F500+F513</f>
        <v>111</v>
      </c>
      <c r="G514" s="40">
        <f>G500+G513</f>
        <v>491.80000000000007</v>
      </c>
      <c r="H514" s="41"/>
      <c r="I514" s="41"/>
      <c r="J514" s="41"/>
      <c r="K514" s="41"/>
      <c r="L514" s="41"/>
      <c r="M514" s="42">
        <f ca="1">IFERROR(M500+M513,"")</f>
        <v>3.5416666666666707E-2</v>
      </c>
      <c r="N514" s="40" t="s">
        <v>240</v>
      </c>
      <c r="O514" s="48">
        <f>IFERROR(O500+O513,"")</f>
        <v>593040</v>
      </c>
    </row>
    <row r="515" spans="1:15" ht="15" customHeight="1">
      <c r="A515" s="69">
        <v>46223</v>
      </c>
      <c r="B515" s="32">
        <v>0.33333333333333298</v>
      </c>
      <c r="C515" s="33" t="s">
        <v>21</v>
      </c>
      <c r="D515" s="62" t="s">
        <v>30</v>
      </c>
      <c r="E515" s="62" t="s">
        <v>261</v>
      </c>
      <c r="F515" s="27">
        <v>9</v>
      </c>
      <c r="G515" s="34">
        <f t="shared" ref="G515:G526" si="114">IF(F515="","",IF(E515="PC 17",F515*4.2,IF(E515="PC 19",F515*5,"")))</f>
        <v>37.800000000000004</v>
      </c>
      <c r="H515" s="33" t="s">
        <v>17</v>
      </c>
      <c r="I515" s="33"/>
      <c r="J515" s="33" t="s">
        <v>25</v>
      </c>
      <c r="K515" s="29">
        <v>0.375</v>
      </c>
      <c r="L515" s="29">
        <v>0.38333333333333336</v>
      </c>
      <c r="M515" s="35">
        <f t="shared" ref="M515:M526" ca="1" si="115">IFERROR(IF(K515="","",IF(L515="",MOD(NOW()-K515,1),IF(L515&gt;=K515,L515-K515,L515+1-K515))),"")</f>
        <v>8.3333333333333592E-3</v>
      </c>
      <c r="N515" s="27"/>
      <c r="O515" s="47"/>
    </row>
    <row r="516" spans="1:15" ht="15" customHeight="1">
      <c r="A516" s="68">
        <v>46223</v>
      </c>
      <c r="B516" s="25">
        <f t="shared" ref="B516:B526" si="116">B515+TIME(0,60,0)</f>
        <v>0.37499999999999967</v>
      </c>
      <c r="C516" s="33" t="s">
        <v>21</v>
      </c>
      <c r="D516" s="62" t="s">
        <v>30</v>
      </c>
      <c r="E516" s="62" t="s">
        <v>261</v>
      </c>
      <c r="F516" s="27">
        <v>7</v>
      </c>
      <c r="G516" s="28">
        <f t="shared" si="114"/>
        <v>29.400000000000002</v>
      </c>
      <c r="H516" s="49" t="s">
        <v>19</v>
      </c>
      <c r="I516" s="26" t="s">
        <v>47</v>
      </c>
      <c r="J516" s="49" t="s">
        <v>27</v>
      </c>
      <c r="K516" s="29">
        <v>0.5625</v>
      </c>
      <c r="L516" s="29">
        <v>0.57291666666666663</v>
      </c>
      <c r="M516" s="30">
        <f t="shared" ca="1" si="115"/>
        <v>1.041666666666663E-2</v>
      </c>
      <c r="N516" s="27"/>
      <c r="O516" s="47"/>
    </row>
    <row r="517" spans="1:15" ht="15" customHeight="1">
      <c r="A517" s="69">
        <v>46223</v>
      </c>
      <c r="B517" s="32">
        <f t="shared" si="116"/>
        <v>0.41666666666666635</v>
      </c>
      <c r="C517" s="33" t="s">
        <v>21</v>
      </c>
      <c r="D517" s="62" t="s">
        <v>30</v>
      </c>
      <c r="E517" s="62" t="s">
        <v>261</v>
      </c>
      <c r="F517" s="27">
        <v>6</v>
      </c>
      <c r="G517" s="34">
        <f t="shared" si="114"/>
        <v>25.200000000000003</v>
      </c>
      <c r="H517" s="33" t="s">
        <v>20</v>
      </c>
      <c r="I517" s="33" t="s">
        <v>47</v>
      </c>
      <c r="J517" s="33" t="s">
        <v>36</v>
      </c>
      <c r="K517" s="29">
        <v>0.57847222222222228</v>
      </c>
      <c r="L517" s="29">
        <v>0.58680555555555558</v>
      </c>
      <c r="M517" s="35">
        <f t="shared" ca="1" si="115"/>
        <v>8.3333333333333037E-3</v>
      </c>
      <c r="N517" s="27"/>
      <c r="O517" s="47"/>
    </row>
    <row r="518" spans="1:15" ht="15" customHeight="1">
      <c r="A518" s="68">
        <v>46223</v>
      </c>
      <c r="B518" s="25">
        <f t="shared" si="116"/>
        <v>0.45833333333333304</v>
      </c>
      <c r="C518" s="33" t="s">
        <v>21</v>
      </c>
      <c r="D518" s="62" t="s">
        <v>30</v>
      </c>
      <c r="E518" s="62" t="s">
        <v>261</v>
      </c>
      <c r="F518" s="27">
        <v>5</v>
      </c>
      <c r="G518" s="28">
        <f t="shared" si="114"/>
        <v>21</v>
      </c>
      <c r="H518" s="33" t="s">
        <v>20</v>
      </c>
      <c r="I518" s="26" t="s">
        <v>47</v>
      </c>
      <c r="J518" s="26" t="s">
        <v>202</v>
      </c>
      <c r="K518" s="29">
        <v>0.54722222222222228</v>
      </c>
      <c r="L518" s="29">
        <v>0.62152777777777779</v>
      </c>
      <c r="M518" s="30">
        <f t="shared" ca="1" si="115"/>
        <v>7.4305555555555514E-2</v>
      </c>
      <c r="N518" s="27"/>
      <c r="O518" s="47"/>
    </row>
    <row r="519" spans="1:15" ht="15" customHeight="1">
      <c r="A519" s="69">
        <v>46223</v>
      </c>
      <c r="B519" s="32">
        <f t="shared" si="116"/>
        <v>0.49999999999999972</v>
      </c>
      <c r="C519" s="33" t="s">
        <v>21</v>
      </c>
      <c r="D519" s="62" t="s">
        <v>30</v>
      </c>
      <c r="E519" s="62" t="s">
        <v>261</v>
      </c>
      <c r="F519" s="27">
        <v>4</v>
      </c>
      <c r="G519" s="34">
        <f t="shared" si="114"/>
        <v>16.8</v>
      </c>
      <c r="H519" s="33" t="s">
        <v>20</v>
      </c>
      <c r="I519" s="33" t="s">
        <v>47</v>
      </c>
      <c r="J519" s="33" t="s">
        <v>51</v>
      </c>
      <c r="K519" s="29">
        <v>0.70416666666666672</v>
      </c>
      <c r="L519" s="29">
        <v>0.70694444444444449</v>
      </c>
      <c r="M519" s="35">
        <f t="shared" ca="1" si="115"/>
        <v>2.7777777777777679E-3</v>
      </c>
      <c r="N519" s="27"/>
      <c r="O519" s="47"/>
    </row>
    <row r="520" spans="1:15" ht="15" customHeight="1">
      <c r="A520" s="68">
        <v>46223</v>
      </c>
      <c r="B520" s="25">
        <f t="shared" si="116"/>
        <v>0.54166666666666641</v>
      </c>
      <c r="C520" s="33" t="s">
        <v>21</v>
      </c>
      <c r="D520" s="62" t="s">
        <v>30</v>
      </c>
      <c r="E520" s="62" t="s">
        <v>261</v>
      </c>
      <c r="F520" s="27">
        <v>5</v>
      </c>
      <c r="G520" s="28">
        <f t="shared" si="114"/>
        <v>21</v>
      </c>
      <c r="H520" s="26"/>
      <c r="I520" s="26"/>
      <c r="J520" s="26"/>
      <c r="K520" s="29"/>
      <c r="L520" s="29"/>
      <c r="M520" s="30" t="str">
        <f t="shared" ca="1" si="115"/>
        <v/>
      </c>
      <c r="N520" s="27"/>
      <c r="O520" s="47"/>
    </row>
    <row r="521" spans="1:15" ht="15" customHeight="1">
      <c r="A521" s="69">
        <v>46223</v>
      </c>
      <c r="B521" s="32">
        <f t="shared" si="116"/>
        <v>0.58333333333333304</v>
      </c>
      <c r="C521" s="33" t="s">
        <v>21</v>
      </c>
      <c r="D521" s="62" t="s">
        <v>30</v>
      </c>
      <c r="E521" s="62" t="s">
        <v>261</v>
      </c>
      <c r="F521" s="27">
        <v>4</v>
      </c>
      <c r="G521" s="34">
        <f t="shared" si="114"/>
        <v>16.8</v>
      </c>
      <c r="H521" s="33"/>
      <c r="I521" s="33"/>
      <c r="J521" s="33"/>
      <c r="K521" s="29"/>
      <c r="L521" s="29"/>
      <c r="M521" s="35" t="str">
        <f t="shared" ca="1" si="115"/>
        <v/>
      </c>
      <c r="N521" s="27"/>
      <c r="O521" s="47"/>
    </row>
    <row r="522" spans="1:15" ht="15" customHeight="1">
      <c r="A522" s="68">
        <v>46223</v>
      </c>
      <c r="B522" s="25">
        <f t="shared" si="116"/>
        <v>0.62499999999999967</v>
      </c>
      <c r="C522" s="33" t="s">
        <v>21</v>
      </c>
      <c r="D522" s="62" t="s">
        <v>30</v>
      </c>
      <c r="E522" s="62" t="s">
        <v>261</v>
      </c>
      <c r="F522" s="27">
        <v>2</v>
      </c>
      <c r="G522" s="28">
        <f t="shared" si="114"/>
        <v>8.4</v>
      </c>
      <c r="H522" s="26"/>
      <c r="I522" s="26"/>
      <c r="J522" s="26"/>
      <c r="K522" s="29"/>
      <c r="L522" s="29"/>
      <c r="M522" s="30" t="str">
        <f t="shared" ca="1" si="115"/>
        <v/>
      </c>
      <c r="N522" s="27"/>
      <c r="O522" s="47"/>
    </row>
    <row r="523" spans="1:15" ht="15" customHeight="1">
      <c r="A523" s="69">
        <v>46223</v>
      </c>
      <c r="B523" s="32">
        <f t="shared" si="116"/>
        <v>0.6666666666666663</v>
      </c>
      <c r="C523" s="33" t="s">
        <v>21</v>
      </c>
      <c r="D523" s="62" t="s">
        <v>30</v>
      </c>
      <c r="E523" s="62" t="s">
        <v>261</v>
      </c>
      <c r="F523" s="27">
        <v>2</v>
      </c>
      <c r="G523" s="34">
        <f t="shared" si="114"/>
        <v>8.4</v>
      </c>
      <c r="H523" s="33"/>
      <c r="I523" s="33"/>
      <c r="J523" s="33"/>
      <c r="K523" s="29"/>
      <c r="L523" s="29"/>
      <c r="M523" s="35" t="str">
        <f t="shared" ca="1" si="115"/>
        <v/>
      </c>
      <c r="N523" s="27"/>
      <c r="O523" s="47"/>
    </row>
    <row r="524" spans="1:15" ht="15" customHeight="1">
      <c r="A524" s="68">
        <v>46223</v>
      </c>
      <c r="B524" s="25">
        <f t="shared" si="116"/>
        <v>0.70833333333333293</v>
      </c>
      <c r="C524" s="33" t="s">
        <v>21</v>
      </c>
      <c r="D524" s="62" t="s">
        <v>30</v>
      </c>
      <c r="E524" s="62" t="s">
        <v>261</v>
      </c>
      <c r="F524" s="27">
        <v>3</v>
      </c>
      <c r="G524" s="28">
        <f t="shared" si="114"/>
        <v>12.600000000000001</v>
      </c>
      <c r="H524" s="26"/>
      <c r="I524" s="26"/>
      <c r="J524" s="26"/>
      <c r="K524" s="29"/>
      <c r="L524" s="29"/>
      <c r="M524" s="30" t="str">
        <f t="shared" ca="1" si="115"/>
        <v/>
      </c>
      <c r="N524" s="27"/>
      <c r="O524" s="47"/>
    </row>
    <row r="525" spans="1:15" ht="15" customHeight="1">
      <c r="A525" s="69">
        <v>46223</v>
      </c>
      <c r="B525" s="32">
        <f t="shared" si="116"/>
        <v>0.74999999999999956</v>
      </c>
      <c r="C525" s="33" t="s">
        <v>21</v>
      </c>
      <c r="D525" s="62" t="s">
        <v>30</v>
      </c>
      <c r="E525" s="62" t="s">
        <v>261</v>
      </c>
      <c r="F525" s="27">
        <v>2</v>
      </c>
      <c r="G525" s="34">
        <f t="shared" si="114"/>
        <v>8.4</v>
      </c>
      <c r="H525" s="33"/>
      <c r="I525" s="33"/>
      <c r="J525" s="33"/>
      <c r="K525" s="29"/>
      <c r="L525" s="29"/>
      <c r="M525" s="35" t="str">
        <f t="shared" ca="1" si="115"/>
        <v/>
      </c>
      <c r="N525" s="27"/>
      <c r="O525" s="47"/>
    </row>
    <row r="526" spans="1:15" ht="15" customHeight="1">
      <c r="A526" s="68">
        <v>46223</v>
      </c>
      <c r="B526" s="25">
        <f t="shared" si="116"/>
        <v>0.79166666666666619</v>
      </c>
      <c r="C526" s="33" t="s">
        <v>21</v>
      </c>
      <c r="D526" s="62" t="s">
        <v>30</v>
      </c>
      <c r="E526" s="62" t="s">
        <v>261</v>
      </c>
      <c r="F526" s="27">
        <v>2</v>
      </c>
      <c r="G526" s="28">
        <f t="shared" si="114"/>
        <v>8.4</v>
      </c>
      <c r="H526" s="26"/>
      <c r="I526" s="26"/>
      <c r="J526" s="26"/>
      <c r="K526" s="29"/>
      <c r="L526" s="29"/>
      <c r="M526" s="30" t="str">
        <f t="shared" ca="1" si="115"/>
        <v/>
      </c>
      <c r="N526" s="27"/>
      <c r="O526" s="47"/>
    </row>
    <row r="527" spans="1:15" ht="15.75" customHeight="1">
      <c r="A527" s="119" t="s">
        <v>236</v>
      </c>
      <c r="B527" s="120"/>
      <c r="C527" s="120"/>
      <c r="D527" s="120"/>
      <c r="E527" s="121">
        <f>SUM(E515:E526)</f>
        <v>0</v>
      </c>
      <c r="F527" s="36">
        <f>SUM(F515:F526)</f>
        <v>51</v>
      </c>
      <c r="G527" s="36">
        <f>SUM(G515:G526)</f>
        <v>214.20000000000005</v>
      </c>
      <c r="H527" s="37"/>
      <c r="I527" s="37"/>
      <c r="J527" s="37"/>
      <c r="K527" s="37"/>
      <c r="L527" s="37"/>
      <c r="M527" s="38">
        <f ca="1">IFERROR(SUM(M515:M526),"")</f>
        <v>0.10416666666666657</v>
      </c>
      <c r="N527" s="36" t="s">
        <v>237</v>
      </c>
      <c r="O527" s="39">
        <v>234850</v>
      </c>
    </row>
    <row r="528" spans="1:15" ht="15" customHeight="1">
      <c r="A528" s="68">
        <v>46223</v>
      </c>
      <c r="B528" s="25">
        <v>0.83333333333333304</v>
      </c>
      <c r="C528" s="26" t="s">
        <v>45</v>
      </c>
      <c r="D528" s="59" t="s">
        <v>30</v>
      </c>
      <c r="E528" s="59" t="s">
        <v>261</v>
      </c>
      <c r="F528" s="27">
        <v>0</v>
      </c>
      <c r="G528" s="28">
        <f t="shared" ref="G528:G539" si="117">IF(F528="","",IF(E528="PC 17",F528*4.2,IF(E528="PC 19",F528*5,"")))</f>
        <v>0</v>
      </c>
      <c r="H528" s="26" t="s">
        <v>20</v>
      </c>
      <c r="I528" s="26" t="s">
        <v>47</v>
      </c>
      <c r="J528" s="26" t="s">
        <v>51</v>
      </c>
      <c r="K528" s="29">
        <v>0.79861111111111116</v>
      </c>
      <c r="L528" s="29">
        <v>0.80694444444444446</v>
      </c>
      <c r="M528" s="30">
        <f t="shared" ref="M528:M539" ca="1" si="118">IFERROR(IF(K528="","",IF(L528="",MOD(NOW()-K528,1),IF(L528&gt;=K528,L528-K528,L528+1-K528))),"")</f>
        <v>8.3333333333333037E-3</v>
      </c>
      <c r="N528" s="27"/>
      <c r="O528" s="47"/>
    </row>
    <row r="529" spans="1:15" ht="15" customHeight="1">
      <c r="A529" s="69">
        <v>46223</v>
      </c>
      <c r="B529" s="32">
        <f t="shared" ref="B529:B539" si="119">B528+TIME(0,60,0)</f>
        <v>0.87499999999999967</v>
      </c>
      <c r="C529" s="26" t="s">
        <v>45</v>
      </c>
      <c r="D529" s="59" t="s">
        <v>30</v>
      </c>
      <c r="E529" s="59" t="s">
        <v>261</v>
      </c>
      <c r="F529" s="27">
        <v>4</v>
      </c>
      <c r="G529" s="34">
        <f t="shared" si="117"/>
        <v>16.8</v>
      </c>
      <c r="H529" s="33" t="s">
        <v>20</v>
      </c>
      <c r="I529" s="33" t="s">
        <v>47</v>
      </c>
      <c r="J529" s="33" t="s">
        <v>51</v>
      </c>
      <c r="K529" s="29">
        <v>0.81041666666666667</v>
      </c>
      <c r="L529" s="29">
        <v>0.82708333333333328</v>
      </c>
      <c r="M529" s="35">
        <f t="shared" ca="1" si="118"/>
        <v>1.6666666666666607E-2</v>
      </c>
      <c r="N529" s="27" t="s">
        <v>370</v>
      </c>
      <c r="O529" s="47"/>
    </row>
    <row r="530" spans="1:15" ht="15" customHeight="1">
      <c r="A530" s="68">
        <v>46223</v>
      </c>
      <c r="B530" s="25">
        <f t="shared" si="119"/>
        <v>0.9166666666666663</v>
      </c>
      <c r="C530" s="26" t="s">
        <v>45</v>
      </c>
      <c r="D530" s="59" t="s">
        <v>30</v>
      </c>
      <c r="E530" s="59" t="s">
        <v>261</v>
      </c>
      <c r="F530" s="27">
        <v>8</v>
      </c>
      <c r="G530" s="28">
        <f t="shared" si="117"/>
        <v>33.6</v>
      </c>
      <c r="H530" s="26" t="s">
        <v>20</v>
      </c>
      <c r="I530" s="26" t="s">
        <v>47</v>
      </c>
      <c r="J530" s="26" t="s">
        <v>51</v>
      </c>
      <c r="K530" s="29">
        <v>0.85069444444444442</v>
      </c>
      <c r="L530" s="29">
        <v>0.85555555555555551</v>
      </c>
      <c r="M530" s="30">
        <f t="shared" ca="1" si="118"/>
        <v>4.8611111111110938E-3</v>
      </c>
      <c r="N530" s="27"/>
      <c r="O530" s="47"/>
    </row>
    <row r="531" spans="1:15" ht="15" customHeight="1">
      <c r="A531" s="69">
        <v>46223</v>
      </c>
      <c r="B531" s="32">
        <f t="shared" si="119"/>
        <v>0.95833333333333293</v>
      </c>
      <c r="C531" s="26" t="s">
        <v>45</v>
      </c>
      <c r="D531" s="59" t="s">
        <v>30</v>
      </c>
      <c r="E531" s="59" t="s">
        <v>261</v>
      </c>
      <c r="F531" s="27">
        <v>7</v>
      </c>
      <c r="G531" s="34">
        <f t="shared" si="117"/>
        <v>29.400000000000002</v>
      </c>
      <c r="H531" s="33" t="s">
        <v>20</v>
      </c>
      <c r="I531" s="33" t="s">
        <v>47</v>
      </c>
      <c r="J531" s="33" t="s">
        <v>51</v>
      </c>
      <c r="K531" s="29">
        <v>0.91388888888888886</v>
      </c>
      <c r="L531" s="29">
        <v>0.9194444444444444</v>
      </c>
      <c r="M531" s="35">
        <f t="shared" ca="1" si="118"/>
        <v>5.5555555555555358E-3</v>
      </c>
      <c r="N531" s="27"/>
      <c r="O531" s="47"/>
    </row>
    <row r="532" spans="1:15" ht="15" customHeight="1">
      <c r="A532" s="68">
        <v>46223</v>
      </c>
      <c r="B532" s="25">
        <f t="shared" si="119"/>
        <v>0.99999999999999956</v>
      </c>
      <c r="C532" s="26" t="s">
        <v>45</v>
      </c>
      <c r="D532" s="59" t="s">
        <v>30</v>
      </c>
      <c r="E532" s="59" t="s">
        <v>261</v>
      </c>
      <c r="F532" s="27">
        <v>0</v>
      </c>
      <c r="G532" s="28">
        <f t="shared" si="117"/>
        <v>0</v>
      </c>
      <c r="H532" s="26" t="s">
        <v>20</v>
      </c>
      <c r="I532" s="26" t="s">
        <v>47</v>
      </c>
      <c r="J532" s="26" t="s">
        <v>28</v>
      </c>
      <c r="K532" s="29">
        <v>0.97013888888888888</v>
      </c>
      <c r="L532" s="29">
        <v>1.0416666666666666E-2</v>
      </c>
      <c r="M532" s="30">
        <f t="shared" ca="1" si="118"/>
        <v>4.0277777777777857E-2</v>
      </c>
      <c r="N532" s="27" t="s">
        <v>371</v>
      </c>
      <c r="O532" s="47"/>
    </row>
    <row r="533" spans="1:15" ht="15" customHeight="1">
      <c r="A533" s="69">
        <v>46223</v>
      </c>
      <c r="B533" s="32">
        <f t="shared" si="119"/>
        <v>1.0416666666666663</v>
      </c>
      <c r="C533" s="26" t="s">
        <v>45</v>
      </c>
      <c r="D533" s="59" t="s">
        <v>30</v>
      </c>
      <c r="E533" s="59" t="s">
        <v>261</v>
      </c>
      <c r="F533" s="27">
        <v>8</v>
      </c>
      <c r="G533" s="34">
        <f t="shared" si="117"/>
        <v>33.6</v>
      </c>
      <c r="H533" s="33" t="s">
        <v>20</v>
      </c>
      <c r="I533" s="33" t="s">
        <v>47</v>
      </c>
      <c r="J533" s="33" t="s">
        <v>165</v>
      </c>
      <c r="K533" s="29">
        <v>2.5000000000000001E-2</v>
      </c>
      <c r="L533" s="29">
        <v>0.15</v>
      </c>
      <c r="M533" s="35">
        <f t="shared" ca="1" si="118"/>
        <v>0.125</v>
      </c>
      <c r="N533" s="27" t="s">
        <v>372</v>
      </c>
      <c r="O533" s="47"/>
    </row>
    <row r="534" spans="1:15" ht="15" customHeight="1">
      <c r="A534" s="68">
        <v>46223</v>
      </c>
      <c r="B534" s="25">
        <f t="shared" si="119"/>
        <v>1.083333333333333</v>
      </c>
      <c r="C534" s="26" t="s">
        <v>45</v>
      </c>
      <c r="D534" s="59" t="s">
        <v>30</v>
      </c>
      <c r="E534" s="59" t="s">
        <v>261</v>
      </c>
      <c r="F534" s="27">
        <v>0</v>
      </c>
      <c r="G534" s="28">
        <f t="shared" si="117"/>
        <v>0</v>
      </c>
      <c r="H534" s="26"/>
      <c r="I534" s="26"/>
      <c r="J534" s="26"/>
      <c r="K534" s="29"/>
      <c r="L534" s="29"/>
      <c r="M534" s="30" t="str">
        <f t="shared" ca="1" si="118"/>
        <v/>
      </c>
      <c r="N534" s="27"/>
      <c r="O534" s="47"/>
    </row>
    <row r="535" spans="1:15" ht="15" customHeight="1">
      <c r="A535" s="69">
        <v>46223</v>
      </c>
      <c r="B535" s="32">
        <f t="shared" si="119"/>
        <v>1.1249999999999998</v>
      </c>
      <c r="C535" s="26" t="s">
        <v>45</v>
      </c>
      <c r="D535" s="59" t="s">
        <v>30</v>
      </c>
      <c r="E535" s="59" t="s">
        <v>261</v>
      </c>
      <c r="F535" s="27">
        <v>0</v>
      </c>
      <c r="G535" s="34">
        <f t="shared" si="117"/>
        <v>0</v>
      </c>
      <c r="H535" s="33"/>
      <c r="I535" s="33"/>
      <c r="J535" s="33"/>
      <c r="K535" s="29"/>
      <c r="L535" s="29"/>
      <c r="M535" s="35" t="str">
        <f t="shared" ca="1" si="118"/>
        <v/>
      </c>
      <c r="N535" s="27"/>
      <c r="O535" s="47"/>
    </row>
    <row r="536" spans="1:15" ht="15" customHeight="1">
      <c r="A536" s="68">
        <v>46223</v>
      </c>
      <c r="B536" s="25">
        <f t="shared" si="119"/>
        <v>1.1666666666666665</v>
      </c>
      <c r="C536" s="26" t="s">
        <v>45</v>
      </c>
      <c r="D536" s="59" t="s">
        <v>30</v>
      </c>
      <c r="E536" s="59" t="s">
        <v>261</v>
      </c>
      <c r="F536" s="27">
        <v>4</v>
      </c>
      <c r="G536" s="28">
        <f t="shared" si="117"/>
        <v>16.8</v>
      </c>
      <c r="H536" s="26"/>
      <c r="I536" s="26"/>
      <c r="J536" s="26"/>
      <c r="K536" s="29"/>
      <c r="L536" s="29"/>
      <c r="M536" s="30" t="str">
        <f t="shared" ca="1" si="118"/>
        <v/>
      </c>
      <c r="N536" s="27"/>
      <c r="O536" s="47"/>
    </row>
    <row r="537" spans="1:15" ht="15" customHeight="1">
      <c r="A537" s="69">
        <v>46223</v>
      </c>
      <c r="B537" s="32">
        <f t="shared" si="119"/>
        <v>1.2083333333333333</v>
      </c>
      <c r="C537" s="26" t="s">
        <v>45</v>
      </c>
      <c r="D537" s="59" t="s">
        <v>30</v>
      </c>
      <c r="E537" s="59" t="s">
        <v>261</v>
      </c>
      <c r="F537" s="27">
        <v>0</v>
      </c>
      <c r="G537" s="34">
        <f t="shared" si="117"/>
        <v>0</v>
      </c>
      <c r="H537" s="33"/>
      <c r="I537" s="33"/>
      <c r="J537" s="33"/>
      <c r="K537" s="29"/>
      <c r="L537" s="29"/>
      <c r="M537" s="35" t="str">
        <f t="shared" ca="1" si="118"/>
        <v/>
      </c>
      <c r="N537" s="27"/>
      <c r="O537" s="47"/>
    </row>
    <row r="538" spans="1:15" ht="15" customHeight="1">
      <c r="A538" s="68">
        <v>46223</v>
      </c>
      <c r="B538" s="25">
        <f t="shared" si="119"/>
        <v>1.25</v>
      </c>
      <c r="C538" s="26" t="s">
        <v>45</v>
      </c>
      <c r="D538" s="59" t="s">
        <v>30</v>
      </c>
      <c r="E538" s="59" t="s">
        <v>261</v>
      </c>
      <c r="F538" s="27">
        <v>0</v>
      </c>
      <c r="G538" s="28">
        <f t="shared" si="117"/>
        <v>0</v>
      </c>
      <c r="H538" s="26"/>
      <c r="I538" s="26"/>
      <c r="J538" s="26"/>
      <c r="K538" s="29"/>
      <c r="L538" s="29"/>
      <c r="M538" s="30" t="str">
        <f t="shared" ca="1" si="118"/>
        <v/>
      </c>
      <c r="N538" s="27"/>
      <c r="O538" s="47"/>
    </row>
    <row r="539" spans="1:15" ht="15" customHeight="1">
      <c r="A539" s="69">
        <v>46223</v>
      </c>
      <c r="B539" s="32">
        <f t="shared" si="119"/>
        <v>1.2916666666666667</v>
      </c>
      <c r="C539" s="26" t="s">
        <v>45</v>
      </c>
      <c r="D539" s="59" t="s">
        <v>30</v>
      </c>
      <c r="E539" s="59" t="s">
        <v>261</v>
      </c>
      <c r="F539" s="27">
        <v>12</v>
      </c>
      <c r="G539" s="34">
        <f t="shared" si="117"/>
        <v>50.400000000000006</v>
      </c>
      <c r="H539" s="33"/>
      <c r="I539" s="33"/>
      <c r="J539" s="33"/>
      <c r="K539" s="29"/>
      <c r="L539" s="29"/>
      <c r="M539" s="35" t="str">
        <f t="shared" ca="1" si="118"/>
        <v/>
      </c>
      <c r="N539" s="27"/>
      <c r="O539" s="47"/>
    </row>
    <row r="540" spans="1:15" ht="15.75" customHeight="1">
      <c r="A540" s="119" t="s">
        <v>238</v>
      </c>
      <c r="B540" s="120"/>
      <c r="C540" s="120"/>
      <c r="D540" s="120"/>
      <c r="E540" s="121">
        <f>SUM(E528:E539)</f>
        <v>0</v>
      </c>
      <c r="F540" s="36">
        <f>SUM(F528:F539)</f>
        <v>43</v>
      </c>
      <c r="G540" s="36">
        <f>SUM(G528:G539)</f>
        <v>180.60000000000002</v>
      </c>
      <c r="H540" s="37"/>
      <c r="I540" s="37"/>
      <c r="J540" s="37"/>
      <c r="K540" s="37"/>
      <c r="L540" s="37"/>
      <c r="M540" s="38">
        <f ca="1">IFERROR(SUM(M528:M539),"")</f>
        <v>0.2006944444444444</v>
      </c>
      <c r="N540" s="36" t="s">
        <v>237</v>
      </c>
      <c r="O540" s="39">
        <v>194990</v>
      </c>
    </row>
    <row r="541" spans="1:15" ht="18" customHeight="1">
      <c r="A541" s="122" t="s">
        <v>239</v>
      </c>
      <c r="B541" s="123"/>
      <c r="C541" s="123"/>
      <c r="D541" s="123"/>
      <c r="E541" s="124">
        <f>E527+E540</f>
        <v>0</v>
      </c>
      <c r="F541" s="40">
        <f>F527+F540</f>
        <v>94</v>
      </c>
      <c r="G541" s="40">
        <f>G527+G540</f>
        <v>394.80000000000007</v>
      </c>
      <c r="H541" s="41"/>
      <c r="I541" s="41"/>
      <c r="J541" s="41"/>
      <c r="K541" s="41"/>
      <c r="L541" s="41"/>
      <c r="M541" s="42">
        <f ca="1">IFERROR(M527+M540,"")</f>
        <v>0.30486111111111097</v>
      </c>
      <c r="N541" s="40" t="s">
        <v>240</v>
      </c>
      <c r="O541" s="48">
        <f>IFERROR(O527+O540,"")</f>
        <v>429840</v>
      </c>
    </row>
    <row r="542" spans="1:15" ht="15" customHeight="1">
      <c r="A542" s="68">
        <v>46224</v>
      </c>
      <c r="B542" s="25">
        <v>0.33333333333333298</v>
      </c>
      <c r="C542" s="26" t="s">
        <v>21</v>
      </c>
      <c r="D542" s="59" t="s">
        <v>30</v>
      </c>
      <c r="E542" s="59" t="s">
        <v>261</v>
      </c>
      <c r="F542" s="27">
        <v>2</v>
      </c>
      <c r="G542" s="28">
        <f t="shared" ref="G542:G553" si="120">IF(F542="","",IF(E542="PC 17",F542*4.2,IF(E542="PC 19",F542*5,"")))</f>
        <v>8.4</v>
      </c>
      <c r="H542" s="26" t="s">
        <v>18</v>
      </c>
      <c r="I542" s="26" t="s">
        <v>47</v>
      </c>
      <c r="J542" s="26" t="s">
        <v>128</v>
      </c>
      <c r="K542" s="29">
        <v>0.43055555555555558</v>
      </c>
      <c r="L542" s="29">
        <v>0.46527777777777779</v>
      </c>
      <c r="M542" s="30">
        <f t="shared" ref="M542:M553" ca="1" si="121">IFERROR(IF(K542="","",IF(L542="",MOD(NOW()-K542,1),IF(L542&gt;=K542,L542-K542,L542+1-K542))),"")</f>
        <v>3.472222222222221E-2</v>
      </c>
      <c r="N542" s="27" t="s">
        <v>373</v>
      </c>
      <c r="O542" s="47"/>
    </row>
    <row r="543" spans="1:15" ht="15" customHeight="1">
      <c r="A543" s="69">
        <v>46224</v>
      </c>
      <c r="B543" s="32">
        <f t="shared" ref="B543:B553" si="122">B542+TIME(0,60,0)</f>
        <v>0.37499999999999967</v>
      </c>
      <c r="C543" s="26" t="s">
        <v>21</v>
      </c>
      <c r="D543" s="59" t="s">
        <v>30</v>
      </c>
      <c r="E543" s="59" t="s">
        <v>261</v>
      </c>
      <c r="F543" s="27">
        <v>3</v>
      </c>
      <c r="G543" s="34">
        <f t="shared" si="120"/>
        <v>12.600000000000001</v>
      </c>
      <c r="H543" s="33" t="s">
        <v>20</v>
      </c>
      <c r="I543" s="33" t="s">
        <v>47</v>
      </c>
      <c r="J543" s="33" t="s">
        <v>28</v>
      </c>
      <c r="K543" s="29">
        <v>0.68055555555555558</v>
      </c>
      <c r="L543" s="29">
        <v>0.68541666666666667</v>
      </c>
      <c r="M543" s="35">
        <f t="shared" ca="1" si="121"/>
        <v>4.8611111111110938E-3</v>
      </c>
      <c r="N543" s="27"/>
      <c r="O543" s="47"/>
    </row>
    <row r="544" spans="1:15" ht="15" customHeight="1">
      <c r="A544" s="68">
        <v>46224</v>
      </c>
      <c r="B544" s="25">
        <f t="shared" si="122"/>
        <v>0.41666666666666635</v>
      </c>
      <c r="C544" s="26" t="s">
        <v>21</v>
      </c>
      <c r="D544" s="59" t="s">
        <v>30</v>
      </c>
      <c r="E544" s="59" t="s">
        <v>261</v>
      </c>
      <c r="F544" s="27">
        <v>5</v>
      </c>
      <c r="G544" s="28">
        <f t="shared" si="120"/>
        <v>21</v>
      </c>
      <c r="H544" s="26" t="s">
        <v>20</v>
      </c>
      <c r="I544" s="26" t="s">
        <v>121</v>
      </c>
      <c r="J544" s="26" t="s">
        <v>113</v>
      </c>
      <c r="K544" s="29">
        <v>0.75</v>
      </c>
      <c r="L544" s="29">
        <v>0.76736111111111116</v>
      </c>
      <c r="M544" s="30">
        <f t="shared" ca="1" si="121"/>
        <v>1.736111111111116E-2</v>
      </c>
      <c r="N544" s="27"/>
      <c r="O544" s="47"/>
    </row>
    <row r="545" spans="1:15" ht="15" customHeight="1">
      <c r="A545" s="69">
        <v>46224</v>
      </c>
      <c r="B545" s="32">
        <f t="shared" si="122"/>
        <v>0.45833333333333304</v>
      </c>
      <c r="C545" s="26" t="s">
        <v>21</v>
      </c>
      <c r="D545" s="59" t="s">
        <v>30</v>
      </c>
      <c r="E545" s="59" t="s">
        <v>261</v>
      </c>
      <c r="F545" s="27">
        <v>0</v>
      </c>
      <c r="G545" s="34">
        <f t="shared" si="120"/>
        <v>0</v>
      </c>
      <c r="H545" s="33"/>
      <c r="I545" s="33"/>
      <c r="J545" s="33"/>
      <c r="K545" s="29"/>
      <c r="L545" s="29"/>
      <c r="M545" s="35" t="str">
        <f t="shared" ca="1" si="121"/>
        <v/>
      </c>
      <c r="N545" s="27"/>
      <c r="O545" s="47"/>
    </row>
    <row r="546" spans="1:15" ht="15" customHeight="1">
      <c r="A546" s="68">
        <v>46224</v>
      </c>
      <c r="B546" s="25">
        <f t="shared" si="122"/>
        <v>0.49999999999999972</v>
      </c>
      <c r="C546" s="26" t="s">
        <v>21</v>
      </c>
      <c r="D546" s="59" t="s">
        <v>30</v>
      </c>
      <c r="E546" s="59" t="s">
        <v>261</v>
      </c>
      <c r="F546" s="27">
        <v>0</v>
      </c>
      <c r="G546" s="28">
        <f t="shared" si="120"/>
        <v>0</v>
      </c>
      <c r="H546" s="26"/>
      <c r="I546" s="26"/>
      <c r="J546" s="26"/>
      <c r="K546" s="29"/>
      <c r="L546" s="29"/>
      <c r="M546" s="30" t="str">
        <f t="shared" ca="1" si="121"/>
        <v/>
      </c>
      <c r="N546" s="27"/>
      <c r="O546" s="47"/>
    </row>
    <row r="547" spans="1:15" ht="15" customHeight="1">
      <c r="A547" s="69">
        <v>46224</v>
      </c>
      <c r="B547" s="32">
        <f t="shared" si="122"/>
        <v>0.54166666666666641</v>
      </c>
      <c r="C547" s="26" t="s">
        <v>21</v>
      </c>
      <c r="D547" s="59" t="s">
        <v>38</v>
      </c>
      <c r="E547" s="59" t="s">
        <v>261</v>
      </c>
      <c r="F547" s="27">
        <v>6</v>
      </c>
      <c r="G547" s="34">
        <f t="shared" si="120"/>
        <v>25.200000000000003</v>
      </c>
      <c r="H547" s="33"/>
      <c r="I547" s="33"/>
      <c r="J547" s="33"/>
      <c r="K547" s="29"/>
      <c r="L547" s="29"/>
      <c r="M547" s="35" t="str">
        <f t="shared" ca="1" si="121"/>
        <v/>
      </c>
      <c r="N547" s="27"/>
      <c r="O547" s="47"/>
    </row>
    <row r="548" spans="1:15" ht="15" customHeight="1">
      <c r="A548" s="68">
        <v>46224</v>
      </c>
      <c r="B548" s="25">
        <f t="shared" si="122"/>
        <v>0.58333333333333304</v>
      </c>
      <c r="C548" s="26" t="s">
        <v>21</v>
      </c>
      <c r="D548" s="59" t="s">
        <v>38</v>
      </c>
      <c r="E548" s="59" t="s">
        <v>261</v>
      </c>
      <c r="F548" s="27">
        <v>0</v>
      </c>
      <c r="G548" s="28">
        <f t="shared" si="120"/>
        <v>0</v>
      </c>
      <c r="H548" s="26"/>
      <c r="I548" s="26"/>
      <c r="J548" s="26"/>
      <c r="K548" s="29"/>
      <c r="L548" s="29"/>
      <c r="M548" s="30" t="str">
        <f t="shared" ca="1" si="121"/>
        <v/>
      </c>
      <c r="N548" s="27"/>
      <c r="O548" s="47"/>
    </row>
    <row r="549" spans="1:15" ht="15" customHeight="1">
      <c r="A549" s="69">
        <v>46224</v>
      </c>
      <c r="B549" s="32">
        <f t="shared" si="122"/>
        <v>0.62499999999999967</v>
      </c>
      <c r="C549" s="26" t="s">
        <v>21</v>
      </c>
      <c r="D549" s="59" t="s">
        <v>38</v>
      </c>
      <c r="E549" s="59" t="s">
        <v>261</v>
      </c>
      <c r="F549" s="27">
        <v>4</v>
      </c>
      <c r="G549" s="34">
        <f t="shared" si="120"/>
        <v>16.8</v>
      </c>
      <c r="H549" s="33"/>
      <c r="I549" s="33"/>
      <c r="J549" s="33"/>
      <c r="K549" s="29"/>
      <c r="L549" s="29"/>
      <c r="M549" s="35" t="str">
        <f t="shared" ca="1" si="121"/>
        <v/>
      </c>
      <c r="N549" s="27"/>
      <c r="O549" s="47"/>
    </row>
    <row r="550" spans="1:15" ht="15" customHeight="1">
      <c r="A550" s="68">
        <v>46224</v>
      </c>
      <c r="B550" s="25">
        <f t="shared" si="122"/>
        <v>0.6666666666666663</v>
      </c>
      <c r="C550" s="26" t="s">
        <v>21</v>
      </c>
      <c r="D550" s="59" t="s">
        <v>38</v>
      </c>
      <c r="E550" s="59" t="s">
        <v>261</v>
      </c>
      <c r="F550" s="27">
        <v>4</v>
      </c>
      <c r="G550" s="28">
        <f t="shared" si="120"/>
        <v>16.8</v>
      </c>
      <c r="H550" s="26"/>
      <c r="I550" s="26"/>
      <c r="J550" s="26"/>
      <c r="K550" s="29"/>
      <c r="L550" s="29"/>
      <c r="M550" s="30" t="str">
        <f t="shared" ca="1" si="121"/>
        <v/>
      </c>
      <c r="N550" s="27"/>
      <c r="O550" s="47"/>
    </row>
    <row r="551" spans="1:15" ht="15" customHeight="1">
      <c r="A551" s="69">
        <v>46224</v>
      </c>
      <c r="B551" s="32">
        <f t="shared" si="122"/>
        <v>0.70833333333333293</v>
      </c>
      <c r="C551" s="26" t="s">
        <v>21</v>
      </c>
      <c r="D551" s="59" t="s">
        <v>38</v>
      </c>
      <c r="E551" s="59" t="s">
        <v>261</v>
      </c>
      <c r="F551" s="27">
        <v>3</v>
      </c>
      <c r="G551" s="34">
        <f t="shared" si="120"/>
        <v>12.600000000000001</v>
      </c>
      <c r="H551" s="33"/>
      <c r="I551" s="33"/>
      <c r="J551" s="33"/>
      <c r="K551" s="29"/>
      <c r="L551" s="29"/>
      <c r="M551" s="35" t="str">
        <f t="shared" ca="1" si="121"/>
        <v/>
      </c>
      <c r="N551" s="27"/>
      <c r="O551" s="47"/>
    </row>
    <row r="552" spans="1:15" ht="15" customHeight="1">
      <c r="A552" s="68">
        <v>46224</v>
      </c>
      <c r="B552" s="25">
        <f t="shared" si="122"/>
        <v>0.74999999999999956</v>
      </c>
      <c r="C552" s="26" t="s">
        <v>21</v>
      </c>
      <c r="D552" s="59" t="s">
        <v>38</v>
      </c>
      <c r="E552" s="59" t="s">
        <v>261</v>
      </c>
      <c r="F552" s="27">
        <v>4</v>
      </c>
      <c r="G552" s="28">
        <f t="shared" si="120"/>
        <v>16.8</v>
      </c>
      <c r="H552" s="26"/>
      <c r="I552" s="26"/>
      <c r="J552" s="26"/>
      <c r="K552" s="29"/>
      <c r="L552" s="29"/>
      <c r="M552" s="30" t="str">
        <f t="shared" ca="1" si="121"/>
        <v/>
      </c>
      <c r="N552" s="27"/>
      <c r="O552" s="47"/>
    </row>
    <row r="553" spans="1:15" ht="15" customHeight="1">
      <c r="A553" s="69">
        <v>46224</v>
      </c>
      <c r="B553" s="32">
        <f t="shared" si="122"/>
        <v>0.79166666666666619</v>
      </c>
      <c r="C553" s="26" t="s">
        <v>21</v>
      </c>
      <c r="D553" s="59" t="s">
        <v>38</v>
      </c>
      <c r="E553" s="59" t="s">
        <v>261</v>
      </c>
      <c r="F553" s="27">
        <v>2</v>
      </c>
      <c r="G553" s="34">
        <f t="shared" si="120"/>
        <v>8.4</v>
      </c>
      <c r="H553" s="33"/>
      <c r="I553" s="33"/>
      <c r="J553" s="33"/>
      <c r="K553" s="29"/>
      <c r="L553" s="29"/>
      <c r="M553" s="35" t="str">
        <f t="shared" ca="1" si="121"/>
        <v/>
      </c>
      <c r="N553" s="27"/>
      <c r="O553" s="47"/>
    </row>
    <row r="554" spans="1:15" ht="15.75" customHeight="1">
      <c r="A554" s="119" t="s">
        <v>236</v>
      </c>
      <c r="B554" s="120"/>
      <c r="C554" s="120"/>
      <c r="D554" s="120"/>
      <c r="E554" s="121">
        <f>SUM(E542:E553)</f>
        <v>0</v>
      </c>
      <c r="F554" s="36">
        <f>SUM(F542:F553)</f>
        <v>33</v>
      </c>
      <c r="G554" s="36">
        <f>SUM(G542:G553)</f>
        <v>138.60000000000002</v>
      </c>
      <c r="H554" s="37"/>
      <c r="I554" s="37"/>
      <c r="J554" s="37"/>
      <c r="K554" s="37"/>
      <c r="L554" s="37"/>
      <c r="M554" s="38">
        <f ca="1">IFERROR(SUM(M542:M553),"")</f>
        <v>5.6944444444444464E-2</v>
      </c>
      <c r="N554" s="36" t="s">
        <v>237</v>
      </c>
      <c r="O554" s="39">
        <v>171920</v>
      </c>
    </row>
    <row r="555" spans="1:15" ht="15" customHeight="1">
      <c r="A555" s="69">
        <v>46224</v>
      </c>
      <c r="B555" s="32">
        <v>0.83333333333333304</v>
      </c>
      <c r="C555" s="33" t="s">
        <v>45</v>
      </c>
      <c r="D555" s="62" t="s">
        <v>30</v>
      </c>
      <c r="E555" s="62" t="s">
        <v>261</v>
      </c>
      <c r="F555" s="27">
        <v>14</v>
      </c>
      <c r="G555" s="34">
        <f t="shared" ref="G555:G566" si="123">IF(F555="","",IF(E555="PC 17",F555*4.2,IF(E555="PC 19",F555*5,"")))</f>
        <v>58.800000000000004</v>
      </c>
      <c r="H555" s="33" t="s">
        <v>20</v>
      </c>
      <c r="I555" s="33" t="s">
        <v>47</v>
      </c>
      <c r="J555" s="33" t="s">
        <v>28</v>
      </c>
      <c r="K555" s="29">
        <v>0.98055555555555551</v>
      </c>
      <c r="L555" s="29">
        <v>0.98611111111111116</v>
      </c>
      <c r="M555" s="35">
        <f t="shared" ref="M555:M566" ca="1" si="124">IFERROR(IF(K555="","",IF(L555="",MOD(NOW()-K555,1),IF(L555&gt;=K555,L555-K555,L555+1-K555))),"")</f>
        <v>5.5555555555556468E-3</v>
      </c>
      <c r="N555" s="27"/>
      <c r="O555" s="47"/>
    </row>
    <row r="556" spans="1:15" ht="15" customHeight="1">
      <c r="A556" s="68">
        <v>46224</v>
      </c>
      <c r="B556" s="25">
        <f t="shared" ref="B556:B566" si="125">B555+TIME(0,60,0)</f>
        <v>0.87499999999999967</v>
      </c>
      <c r="C556" s="33" t="s">
        <v>45</v>
      </c>
      <c r="D556" s="62" t="s">
        <v>30</v>
      </c>
      <c r="E556" s="62" t="s">
        <v>261</v>
      </c>
      <c r="F556" s="27">
        <v>3</v>
      </c>
      <c r="G556" s="28">
        <f t="shared" si="123"/>
        <v>12.600000000000001</v>
      </c>
      <c r="H556" s="26" t="s">
        <v>20</v>
      </c>
      <c r="I556" s="26" t="s">
        <v>47</v>
      </c>
      <c r="J556" s="26" t="s">
        <v>28</v>
      </c>
      <c r="K556" s="29">
        <v>0.14097222222222222</v>
      </c>
      <c r="L556" s="29">
        <v>0.14583333333333334</v>
      </c>
      <c r="M556" s="30">
        <f t="shared" ca="1" si="124"/>
        <v>4.8611111111111216E-3</v>
      </c>
      <c r="N556" s="27"/>
      <c r="O556" s="47"/>
    </row>
    <row r="557" spans="1:15" ht="15" customHeight="1">
      <c r="A557" s="69">
        <v>46224</v>
      </c>
      <c r="B557" s="32">
        <f t="shared" si="125"/>
        <v>0.9166666666666663</v>
      </c>
      <c r="C557" s="33" t="s">
        <v>45</v>
      </c>
      <c r="D557" s="62" t="s">
        <v>30</v>
      </c>
      <c r="E557" s="62" t="s">
        <v>261</v>
      </c>
      <c r="F557" s="27">
        <v>9</v>
      </c>
      <c r="G557" s="34">
        <f t="shared" si="123"/>
        <v>37.800000000000004</v>
      </c>
      <c r="H557" s="33" t="s">
        <v>20</v>
      </c>
      <c r="I557" s="33" t="s">
        <v>47</v>
      </c>
      <c r="J557" s="33" t="s">
        <v>181</v>
      </c>
      <c r="K557" s="29">
        <v>0.16666666666666666</v>
      </c>
      <c r="L557" s="29">
        <v>0.18888888888888888</v>
      </c>
      <c r="M557" s="35">
        <f t="shared" ca="1" si="124"/>
        <v>2.2222222222222227E-2</v>
      </c>
      <c r="N557" s="27" t="s">
        <v>374</v>
      </c>
      <c r="O557" s="47"/>
    </row>
    <row r="558" spans="1:15" ht="15" customHeight="1">
      <c r="A558" s="68">
        <v>46224</v>
      </c>
      <c r="B558" s="25">
        <f t="shared" si="125"/>
        <v>0.95833333333333293</v>
      </c>
      <c r="C558" s="33" t="s">
        <v>45</v>
      </c>
      <c r="D558" s="62" t="s">
        <v>30</v>
      </c>
      <c r="E558" s="62" t="s">
        <v>261</v>
      </c>
      <c r="F558" s="27">
        <v>0</v>
      </c>
      <c r="G558" s="28">
        <f t="shared" si="123"/>
        <v>0</v>
      </c>
      <c r="H558" s="26"/>
      <c r="I558" s="26"/>
      <c r="J558" s="26"/>
      <c r="K558" s="29"/>
      <c r="L558" s="29"/>
      <c r="M558" s="30" t="str">
        <f t="shared" ca="1" si="124"/>
        <v/>
      </c>
      <c r="N558" s="27"/>
      <c r="O558" s="47"/>
    </row>
    <row r="559" spans="1:15" ht="15" customHeight="1">
      <c r="A559" s="69">
        <v>46224</v>
      </c>
      <c r="B559" s="32">
        <f t="shared" si="125"/>
        <v>0.99999999999999956</v>
      </c>
      <c r="C559" s="33" t="s">
        <v>45</v>
      </c>
      <c r="D559" s="62" t="s">
        <v>30</v>
      </c>
      <c r="E559" s="62" t="s">
        <v>261</v>
      </c>
      <c r="F559" s="27">
        <v>15</v>
      </c>
      <c r="G559" s="34">
        <f t="shared" si="123"/>
        <v>63</v>
      </c>
      <c r="H559" s="33"/>
      <c r="I559" s="33"/>
      <c r="J559" s="33"/>
      <c r="K559" s="29"/>
      <c r="L559" s="29"/>
      <c r="M559" s="35" t="str">
        <f t="shared" ca="1" si="124"/>
        <v/>
      </c>
      <c r="N559" s="27"/>
      <c r="O559" s="47"/>
    </row>
    <row r="560" spans="1:15" ht="15" customHeight="1">
      <c r="A560" s="68">
        <v>46224</v>
      </c>
      <c r="B560" s="25">
        <f t="shared" si="125"/>
        <v>1.0416666666666663</v>
      </c>
      <c r="C560" s="33" t="s">
        <v>45</v>
      </c>
      <c r="D560" s="62" t="s">
        <v>30</v>
      </c>
      <c r="E560" s="62" t="s">
        <v>261</v>
      </c>
      <c r="F560" s="27">
        <v>10</v>
      </c>
      <c r="G560" s="28">
        <f t="shared" si="123"/>
        <v>42</v>
      </c>
      <c r="H560" s="26"/>
      <c r="I560" s="26"/>
      <c r="J560" s="26"/>
      <c r="K560" s="29"/>
      <c r="L560" s="29"/>
      <c r="M560" s="30" t="str">
        <f t="shared" ca="1" si="124"/>
        <v/>
      </c>
      <c r="N560" s="27"/>
      <c r="O560" s="47"/>
    </row>
    <row r="561" spans="1:15" ht="15" customHeight="1">
      <c r="A561" s="69">
        <v>46224</v>
      </c>
      <c r="B561" s="32">
        <f t="shared" si="125"/>
        <v>1.083333333333333</v>
      </c>
      <c r="C561" s="33" t="s">
        <v>45</v>
      </c>
      <c r="D561" s="62" t="s">
        <v>30</v>
      </c>
      <c r="E561" s="62" t="s">
        <v>261</v>
      </c>
      <c r="F561" s="27">
        <v>7</v>
      </c>
      <c r="G561" s="34">
        <f t="shared" si="123"/>
        <v>29.400000000000002</v>
      </c>
      <c r="H561" s="33"/>
      <c r="I561" s="33"/>
      <c r="J561" s="33"/>
      <c r="K561" s="29"/>
      <c r="L561" s="29"/>
      <c r="M561" s="35" t="str">
        <f t="shared" ca="1" si="124"/>
        <v/>
      </c>
      <c r="N561" s="27"/>
      <c r="O561" s="47"/>
    </row>
    <row r="562" spans="1:15" ht="15" customHeight="1">
      <c r="A562" s="68">
        <v>46224</v>
      </c>
      <c r="B562" s="25">
        <f t="shared" si="125"/>
        <v>1.1249999999999998</v>
      </c>
      <c r="C562" s="33" t="s">
        <v>45</v>
      </c>
      <c r="D562" s="62" t="s">
        <v>30</v>
      </c>
      <c r="E562" s="62" t="s">
        <v>261</v>
      </c>
      <c r="F562" s="27">
        <v>12</v>
      </c>
      <c r="G562" s="28">
        <f t="shared" si="123"/>
        <v>50.400000000000006</v>
      </c>
      <c r="H562" s="26"/>
      <c r="I562" s="26"/>
      <c r="J562" s="26"/>
      <c r="K562" s="29"/>
      <c r="L562" s="29"/>
      <c r="M562" s="30" t="str">
        <f t="shared" ca="1" si="124"/>
        <v/>
      </c>
      <c r="N562" s="27"/>
      <c r="O562" s="47"/>
    </row>
    <row r="563" spans="1:15" ht="15" customHeight="1">
      <c r="A563" s="69">
        <v>46224</v>
      </c>
      <c r="B563" s="32">
        <f t="shared" si="125"/>
        <v>1.1666666666666665</v>
      </c>
      <c r="C563" s="33" t="s">
        <v>45</v>
      </c>
      <c r="D563" s="62" t="s">
        <v>30</v>
      </c>
      <c r="E563" s="62" t="s">
        <v>261</v>
      </c>
      <c r="F563" s="27">
        <v>11</v>
      </c>
      <c r="G563" s="34">
        <f t="shared" si="123"/>
        <v>46.2</v>
      </c>
      <c r="H563" s="33"/>
      <c r="I563" s="33"/>
      <c r="J563" s="33"/>
      <c r="K563" s="29"/>
      <c r="L563" s="29"/>
      <c r="M563" s="35" t="str">
        <f t="shared" ca="1" si="124"/>
        <v/>
      </c>
      <c r="N563" s="27"/>
      <c r="O563" s="47"/>
    </row>
    <row r="564" spans="1:15" ht="15" customHeight="1">
      <c r="A564" s="68">
        <v>46224</v>
      </c>
      <c r="B564" s="25">
        <f t="shared" si="125"/>
        <v>1.2083333333333333</v>
      </c>
      <c r="C564" s="33" t="s">
        <v>45</v>
      </c>
      <c r="D564" s="62" t="s">
        <v>30</v>
      </c>
      <c r="E564" s="62" t="s">
        <v>261</v>
      </c>
      <c r="F564" s="27">
        <v>0</v>
      </c>
      <c r="G564" s="28">
        <f t="shared" si="123"/>
        <v>0</v>
      </c>
      <c r="H564" s="26"/>
      <c r="I564" s="26"/>
      <c r="J564" s="26"/>
      <c r="K564" s="29"/>
      <c r="L564" s="29"/>
      <c r="M564" s="30" t="str">
        <f t="shared" ca="1" si="124"/>
        <v/>
      </c>
      <c r="N564" s="27"/>
      <c r="O564" s="47"/>
    </row>
    <row r="565" spans="1:15" ht="15" customHeight="1">
      <c r="A565" s="69">
        <v>46224</v>
      </c>
      <c r="B565" s="32">
        <f t="shared" si="125"/>
        <v>1.25</v>
      </c>
      <c r="C565" s="33" t="s">
        <v>45</v>
      </c>
      <c r="D565" s="62" t="s">
        <v>30</v>
      </c>
      <c r="E565" s="62" t="s">
        <v>261</v>
      </c>
      <c r="F565" s="27">
        <v>6</v>
      </c>
      <c r="G565" s="34">
        <f t="shared" si="123"/>
        <v>25.200000000000003</v>
      </c>
      <c r="H565" s="33"/>
      <c r="I565" s="33"/>
      <c r="J565" s="33"/>
      <c r="K565" s="29"/>
      <c r="L565" s="29"/>
      <c r="M565" s="35" t="str">
        <f t="shared" ca="1" si="124"/>
        <v/>
      </c>
      <c r="N565" s="27"/>
      <c r="O565" s="47"/>
    </row>
    <row r="566" spans="1:15" ht="15" customHeight="1">
      <c r="A566" s="68">
        <v>46224</v>
      </c>
      <c r="B566" s="25">
        <f t="shared" si="125"/>
        <v>1.2916666666666667</v>
      </c>
      <c r="C566" s="33" t="s">
        <v>45</v>
      </c>
      <c r="D566" s="62" t="s">
        <v>30</v>
      </c>
      <c r="E566" s="62" t="s">
        <v>261</v>
      </c>
      <c r="F566" s="27">
        <v>0</v>
      </c>
      <c r="G566" s="28">
        <f t="shared" si="123"/>
        <v>0</v>
      </c>
      <c r="H566" s="26"/>
      <c r="I566" s="26"/>
      <c r="J566" s="26"/>
      <c r="K566" s="29"/>
      <c r="L566" s="29"/>
      <c r="M566" s="30" t="str">
        <f t="shared" ca="1" si="124"/>
        <v/>
      </c>
      <c r="N566" s="27"/>
      <c r="O566" s="47"/>
    </row>
    <row r="567" spans="1:15" ht="15.75" customHeight="1">
      <c r="A567" s="119" t="s">
        <v>238</v>
      </c>
      <c r="B567" s="120"/>
      <c r="C567" s="120"/>
      <c r="D567" s="120"/>
      <c r="E567" s="121">
        <f>SUM(E555:E566)</f>
        <v>0</v>
      </c>
      <c r="F567" s="36">
        <f>SUM(F555:F566)</f>
        <v>87</v>
      </c>
      <c r="G567" s="36">
        <f>SUM(G555:G566)</f>
        <v>365.4</v>
      </c>
      <c r="H567" s="37"/>
      <c r="I567" s="37"/>
      <c r="J567" s="37"/>
      <c r="K567" s="37"/>
      <c r="L567" s="37"/>
      <c r="M567" s="38">
        <f ca="1">IFERROR(SUM(M555:M566),"")</f>
        <v>3.2638888888888995E-2</v>
      </c>
      <c r="N567" s="36" t="s">
        <v>237</v>
      </c>
      <c r="O567" s="39">
        <v>315860</v>
      </c>
    </row>
    <row r="568" spans="1:15" ht="18" customHeight="1">
      <c r="A568" s="122" t="s">
        <v>239</v>
      </c>
      <c r="B568" s="123"/>
      <c r="C568" s="123"/>
      <c r="D568" s="123"/>
      <c r="E568" s="124">
        <f>E554+E567</f>
        <v>0</v>
      </c>
      <c r="F568" s="40">
        <f>F554+F567</f>
        <v>120</v>
      </c>
      <c r="G568" s="40">
        <f>G554+G567</f>
        <v>504</v>
      </c>
      <c r="H568" s="41"/>
      <c r="I568" s="41"/>
      <c r="J568" s="41"/>
      <c r="K568" s="41"/>
      <c r="L568" s="41"/>
      <c r="M568" s="42">
        <f ca="1">IFERROR(M554+M567,"")</f>
        <v>8.9583333333333459E-2</v>
      </c>
      <c r="N568" s="40" t="s">
        <v>240</v>
      </c>
      <c r="O568" s="48">
        <f>IFERROR(O554+O567,"")</f>
        <v>487780</v>
      </c>
    </row>
    <row r="569" spans="1:15" ht="15" customHeight="1">
      <c r="A569" s="69">
        <v>46225</v>
      </c>
      <c r="B569" s="32">
        <v>0.33333333333333298</v>
      </c>
      <c r="C569" s="33" t="s">
        <v>21</v>
      </c>
      <c r="D569" s="62" t="s">
        <v>30</v>
      </c>
      <c r="E569" s="62" t="s">
        <v>261</v>
      </c>
      <c r="F569" s="27">
        <v>6</v>
      </c>
      <c r="G569" s="34">
        <f t="shared" ref="G569:G580" si="126">IF(F569="","",IF(E569="PC 17",F569*4.2,IF(E569="PC 19",F569*5,"")))</f>
        <v>25.200000000000003</v>
      </c>
      <c r="H569" s="33" t="s">
        <v>20</v>
      </c>
      <c r="I569" s="33" t="s">
        <v>155</v>
      </c>
      <c r="J569" s="33" t="s">
        <v>74</v>
      </c>
      <c r="K569" s="29">
        <v>0.2951388888888889</v>
      </c>
      <c r="L569" s="29">
        <v>0.3</v>
      </c>
      <c r="M569" s="35">
        <f t="shared" ref="M569:M580" ca="1" si="127">IFERROR(IF(K569="","",IF(L569="",MOD(NOW()-K569,1),IF(L569&gt;=K569,L569-K569,L569+1-K569))),"")</f>
        <v>4.8611111111110938E-3</v>
      </c>
      <c r="N569" s="27"/>
      <c r="O569" s="47"/>
    </row>
    <row r="570" spans="1:15" ht="15" customHeight="1">
      <c r="A570" s="68">
        <v>46225</v>
      </c>
      <c r="B570" s="25">
        <f t="shared" ref="B570:B580" si="128">B569+TIME(0,60,0)</f>
        <v>0.37499999999999967</v>
      </c>
      <c r="C570" s="33" t="s">
        <v>21</v>
      </c>
      <c r="D570" s="62" t="s">
        <v>30</v>
      </c>
      <c r="E570" s="62" t="s">
        <v>261</v>
      </c>
      <c r="F570" s="27">
        <v>0</v>
      </c>
      <c r="G570" s="34">
        <f t="shared" si="126"/>
        <v>0</v>
      </c>
      <c r="H570" s="26" t="s">
        <v>20</v>
      </c>
      <c r="I570" s="26" t="s">
        <v>47</v>
      </c>
      <c r="J570" s="26" t="s">
        <v>51</v>
      </c>
      <c r="K570" s="29">
        <v>0.3347222222222222</v>
      </c>
      <c r="L570" s="29">
        <v>0.37291666666666667</v>
      </c>
      <c r="M570" s="30">
        <f t="shared" ca="1" si="127"/>
        <v>3.8194444444444475E-2</v>
      </c>
      <c r="N570" s="27" t="s">
        <v>375</v>
      </c>
      <c r="O570" s="47"/>
    </row>
    <row r="571" spans="1:15" ht="15" customHeight="1">
      <c r="A571" s="69">
        <v>46225</v>
      </c>
      <c r="B571" s="32">
        <f t="shared" si="128"/>
        <v>0.41666666666666635</v>
      </c>
      <c r="C571" s="33" t="s">
        <v>21</v>
      </c>
      <c r="D571" s="62" t="s">
        <v>30</v>
      </c>
      <c r="E571" s="62" t="s">
        <v>261</v>
      </c>
      <c r="F571" s="27">
        <v>0</v>
      </c>
      <c r="G571" s="34">
        <f t="shared" si="126"/>
        <v>0</v>
      </c>
      <c r="H571" s="33"/>
      <c r="I571" s="33"/>
      <c r="J571" s="33"/>
      <c r="K571" s="29"/>
      <c r="L571" s="29"/>
      <c r="M571" s="35" t="str">
        <f t="shared" ca="1" si="127"/>
        <v/>
      </c>
      <c r="N571" s="27"/>
      <c r="O571" s="47"/>
    </row>
    <row r="572" spans="1:15" ht="15" customHeight="1">
      <c r="A572" s="68">
        <v>46225</v>
      </c>
      <c r="B572" s="25">
        <f t="shared" si="128"/>
        <v>0.45833333333333304</v>
      </c>
      <c r="C572" s="33" t="s">
        <v>21</v>
      </c>
      <c r="D572" s="62" t="s">
        <v>30</v>
      </c>
      <c r="E572" s="62" t="s">
        <v>261</v>
      </c>
      <c r="F572" s="27">
        <v>4</v>
      </c>
      <c r="G572" s="34">
        <f t="shared" si="126"/>
        <v>16.8</v>
      </c>
      <c r="H572" s="26"/>
      <c r="I572" s="26"/>
      <c r="J572" s="26"/>
      <c r="K572" s="29"/>
      <c r="L572" s="29"/>
      <c r="M572" s="30" t="str">
        <f t="shared" ca="1" si="127"/>
        <v/>
      </c>
      <c r="N572" s="27"/>
      <c r="O572" s="47"/>
    </row>
    <row r="573" spans="1:15" ht="15" customHeight="1">
      <c r="A573" s="69">
        <v>46225</v>
      </c>
      <c r="B573" s="32">
        <f t="shared" si="128"/>
        <v>0.49999999999999972</v>
      </c>
      <c r="C573" s="33" t="s">
        <v>21</v>
      </c>
      <c r="D573" s="62" t="s">
        <v>30</v>
      </c>
      <c r="E573" s="62" t="s">
        <v>261</v>
      </c>
      <c r="F573" s="27">
        <v>0</v>
      </c>
      <c r="G573" s="34">
        <f t="shared" si="126"/>
        <v>0</v>
      </c>
      <c r="H573" s="33"/>
      <c r="I573" s="33"/>
      <c r="J573" s="33"/>
      <c r="K573" s="29"/>
      <c r="L573" s="29"/>
      <c r="M573" s="35" t="str">
        <f t="shared" ca="1" si="127"/>
        <v/>
      </c>
      <c r="N573" s="27"/>
      <c r="O573" s="47"/>
    </row>
    <row r="574" spans="1:15" ht="15" customHeight="1">
      <c r="A574" s="68">
        <v>46225</v>
      </c>
      <c r="B574" s="25">
        <f t="shared" si="128"/>
        <v>0.54166666666666641</v>
      </c>
      <c r="C574" s="33" t="s">
        <v>21</v>
      </c>
      <c r="D574" s="62" t="s">
        <v>30</v>
      </c>
      <c r="E574" s="62" t="s">
        <v>261</v>
      </c>
      <c r="F574" s="27">
        <v>9</v>
      </c>
      <c r="G574" s="34">
        <f t="shared" si="126"/>
        <v>37.800000000000004</v>
      </c>
      <c r="H574" s="26"/>
      <c r="I574" s="26"/>
      <c r="J574" s="26"/>
      <c r="K574" s="29"/>
      <c r="L574" s="29"/>
      <c r="M574" s="30" t="str">
        <f t="shared" ca="1" si="127"/>
        <v/>
      </c>
      <c r="N574" s="27"/>
      <c r="O574" s="47"/>
    </row>
    <row r="575" spans="1:15" ht="15" customHeight="1">
      <c r="A575" s="69">
        <v>46225</v>
      </c>
      <c r="B575" s="32">
        <f t="shared" si="128"/>
        <v>0.58333333333333304</v>
      </c>
      <c r="C575" s="33" t="s">
        <v>21</v>
      </c>
      <c r="D575" s="62" t="s">
        <v>30</v>
      </c>
      <c r="E575" s="62" t="s">
        <v>261</v>
      </c>
      <c r="F575" s="27">
        <v>0</v>
      </c>
      <c r="G575" s="34">
        <f t="shared" si="126"/>
        <v>0</v>
      </c>
      <c r="H575" s="33"/>
      <c r="I575" s="33"/>
      <c r="J575" s="33"/>
      <c r="K575" s="29"/>
      <c r="L575" s="29"/>
      <c r="M575" s="35" t="str">
        <f t="shared" ca="1" si="127"/>
        <v/>
      </c>
      <c r="N575" s="27"/>
      <c r="O575" s="47"/>
    </row>
    <row r="576" spans="1:15" ht="15" customHeight="1">
      <c r="A576" s="68">
        <v>46225</v>
      </c>
      <c r="B576" s="25">
        <f t="shared" si="128"/>
        <v>0.62499999999999967</v>
      </c>
      <c r="C576" s="33" t="s">
        <v>21</v>
      </c>
      <c r="D576" s="62" t="s">
        <v>30</v>
      </c>
      <c r="E576" s="62" t="s">
        <v>261</v>
      </c>
      <c r="F576" s="55">
        <v>9</v>
      </c>
      <c r="G576" s="34">
        <f t="shared" si="126"/>
        <v>37.800000000000004</v>
      </c>
      <c r="H576" s="26"/>
      <c r="I576" s="26"/>
      <c r="J576" s="26"/>
      <c r="K576" s="29"/>
      <c r="L576" s="29"/>
      <c r="M576" s="30" t="str">
        <f t="shared" ca="1" si="127"/>
        <v/>
      </c>
      <c r="N576" s="27"/>
      <c r="O576" s="47"/>
    </row>
    <row r="577" spans="1:15" ht="15" customHeight="1">
      <c r="A577" s="69">
        <v>46225</v>
      </c>
      <c r="B577" s="32">
        <f t="shared" si="128"/>
        <v>0.6666666666666663</v>
      </c>
      <c r="C577" s="33" t="s">
        <v>21</v>
      </c>
      <c r="D577" s="62" t="s">
        <v>30</v>
      </c>
      <c r="E577" s="62" t="s">
        <v>261</v>
      </c>
      <c r="F577" s="27">
        <v>7</v>
      </c>
      <c r="G577" s="34">
        <f t="shared" si="126"/>
        <v>29.400000000000002</v>
      </c>
      <c r="H577" s="33"/>
      <c r="I577" s="33"/>
      <c r="J577" s="33"/>
      <c r="K577" s="29"/>
      <c r="L577" s="29"/>
      <c r="M577" s="35" t="str">
        <f t="shared" ca="1" si="127"/>
        <v/>
      </c>
      <c r="N577" s="27"/>
      <c r="O577" s="47"/>
    </row>
    <row r="578" spans="1:15" ht="15" customHeight="1">
      <c r="A578" s="68">
        <v>46225</v>
      </c>
      <c r="B578" s="25">
        <f t="shared" si="128"/>
        <v>0.70833333333333293</v>
      </c>
      <c r="C578" s="33" t="s">
        <v>21</v>
      </c>
      <c r="D578" s="62" t="s">
        <v>30</v>
      </c>
      <c r="E578" s="62" t="s">
        <v>261</v>
      </c>
      <c r="F578" s="27">
        <v>5</v>
      </c>
      <c r="G578" s="34">
        <f t="shared" si="126"/>
        <v>21</v>
      </c>
      <c r="H578" s="26"/>
      <c r="I578" s="26"/>
      <c r="J578" s="26"/>
      <c r="K578" s="29"/>
      <c r="L578" s="29"/>
      <c r="M578" s="30" t="str">
        <f t="shared" ca="1" si="127"/>
        <v/>
      </c>
      <c r="N578" s="27"/>
      <c r="O578" s="47"/>
    </row>
    <row r="579" spans="1:15" ht="15" customHeight="1">
      <c r="A579" s="69">
        <v>46225</v>
      </c>
      <c r="B579" s="32">
        <f t="shared" si="128"/>
        <v>0.74999999999999956</v>
      </c>
      <c r="C579" s="33" t="s">
        <v>21</v>
      </c>
      <c r="D579" s="62" t="s">
        <v>30</v>
      </c>
      <c r="E579" s="62" t="s">
        <v>261</v>
      </c>
      <c r="F579" s="27">
        <v>10</v>
      </c>
      <c r="G579" s="34">
        <f t="shared" si="126"/>
        <v>42</v>
      </c>
      <c r="H579" s="33"/>
      <c r="I579" s="33"/>
      <c r="J579" s="33"/>
      <c r="K579" s="29"/>
      <c r="L579" s="29"/>
      <c r="M579" s="35" t="str">
        <f t="shared" ca="1" si="127"/>
        <v/>
      </c>
      <c r="N579" s="27"/>
      <c r="O579" s="47"/>
    </row>
    <row r="580" spans="1:15" ht="15" customHeight="1">
      <c r="A580" s="68">
        <v>46225</v>
      </c>
      <c r="B580" s="25">
        <f t="shared" si="128"/>
        <v>0.79166666666666619</v>
      </c>
      <c r="C580" s="33" t="s">
        <v>21</v>
      </c>
      <c r="D580" s="62" t="s">
        <v>30</v>
      </c>
      <c r="E580" s="62" t="s">
        <v>261</v>
      </c>
      <c r="F580" s="27">
        <v>3</v>
      </c>
      <c r="G580" s="34">
        <f t="shared" si="126"/>
        <v>12.600000000000001</v>
      </c>
      <c r="H580" s="26"/>
      <c r="I580" s="26"/>
      <c r="J580" s="26"/>
      <c r="K580" s="29"/>
      <c r="L580" s="29"/>
      <c r="M580" s="30" t="str">
        <f t="shared" ca="1" si="127"/>
        <v/>
      </c>
      <c r="N580" s="27"/>
      <c r="O580" s="47"/>
    </row>
    <row r="581" spans="1:15" ht="15.75" customHeight="1">
      <c r="A581" s="119" t="s">
        <v>236</v>
      </c>
      <c r="B581" s="120"/>
      <c r="C581" s="120"/>
      <c r="D581" s="120"/>
      <c r="E581" s="121">
        <f>SUM(E569:E580)</f>
        <v>0</v>
      </c>
      <c r="F581" s="36">
        <f>SUM(F569:F580)</f>
        <v>53</v>
      </c>
      <c r="G581" s="36">
        <f>SUM(G569:G580)</f>
        <v>222.60000000000002</v>
      </c>
      <c r="H581" s="37"/>
      <c r="I581" s="37"/>
      <c r="J581" s="37"/>
      <c r="K581" s="37"/>
      <c r="L581" s="37"/>
      <c r="M581" s="38">
        <f ca="1">IFERROR(SUM(M569:M580),"")</f>
        <v>4.3055555555555569E-2</v>
      </c>
      <c r="N581" s="36" t="s">
        <v>237</v>
      </c>
      <c r="O581" s="39">
        <v>222600</v>
      </c>
    </row>
    <row r="582" spans="1:15" ht="15" customHeight="1">
      <c r="A582" s="68">
        <v>46225</v>
      </c>
      <c r="B582" s="25">
        <v>0.83333333333333304</v>
      </c>
      <c r="C582" s="26" t="s">
        <v>45</v>
      </c>
      <c r="D582" s="59" t="s">
        <v>30</v>
      </c>
      <c r="E582" s="59" t="s">
        <v>261</v>
      </c>
      <c r="F582" s="27">
        <v>3</v>
      </c>
      <c r="G582" s="28">
        <f t="shared" ref="G582:G593" si="129">IF(F582="","",IF(E582="PC 17",F582*4.2,IF(E582="PC 19",F582*5,"")))</f>
        <v>12.600000000000001</v>
      </c>
      <c r="H582" s="26" t="s">
        <v>20</v>
      </c>
      <c r="I582" s="26" t="s">
        <v>155</v>
      </c>
      <c r="J582" s="26" t="s">
        <v>74</v>
      </c>
      <c r="K582" s="29">
        <v>0.81944444444444442</v>
      </c>
      <c r="L582" s="29">
        <v>0.82708333333333328</v>
      </c>
      <c r="M582" s="30">
        <f t="shared" ref="M582:M593" ca="1" si="130">IFERROR(IF(K582="","",IF(L582="",MOD(NOW()-K582,1),IF(L582&gt;=K582,L582-K582,L582+1-K582))),"")</f>
        <v>7.6388888888888618E-3</v>
      </c>
      <c r="N582" s="27"/>
      <c r="O582" s="47"/>
    </row>
    <row r="583" spans="1:15" ht="15" customHeight="1">
      <c r="A583" s="69">
        <v>46225</v>
      </c>
      <c r="B583" s="32">
        <f t="shared" ref="B583:B593" si="131">B582+TIME(0,60,0)</f>
        <v>0.87499999999999967</v>
      </c>
      <c r="C583" s="26" t="s">
        <v>45</v>
      </c>
      <c r="D583" s="59" t="s">
        <v>30</v>
      </c>
      <c r="E583" s="59" t="s">
        <v>234</v>
      </c>
      <c r="F583" s="27">
        <v>5</v>
      </c>
      <c r="G583" s="34">
        <f t="shared" si="129"/>
        <v>25</v>
      </c>
      <c r="H583" s="33"/>
      <c r="I583" s="33"/>
      <c r="J583" s="33"/>
      <c r="K583" s="29"/>
      <c r="L583" s="29"/>
      <c r="M583" s="35" t="str">
        <f t="shared" ca="1" si="130"/>
        <v/>
      </c>
      <c r="N583" s="27"/>
      <c r="O583" s="47"/>
    </row>
    <row r="584" spans="1:15" ht="15" customHeight="1">
      <c r="A584" s="68">
        <v>46225</v>
      </c>
      <c r="B584" s="25">
        <f t="shared" si="131"/>
        <v>0.9166666666666663</v>
      </c>
      <c r="C584" s="26" t="s">
        <v>45</v>
      </c>
      <c r="D584" s="59" t="s">
        <v>30</v>
      </c>
      <c r="E584" s="59" t="s">
        <v>261</v>
      </c>
      <c r="F584" s="27">
        <v>5</v>
      </c>
      <c r="G584" s="28">
        <f t="shared" si="129"/>
        <v>21</v>
      </c>
      <c r="H584" s="26"/>
      <c r="I584" s="26"/>
      <c r="J584" s="26"/>
      <c r="K584" s="29"/>
      <c r="L584" s="29"/>
      <c r="M584" s="30" t="str">
        <f t="shared" ca="1" si="130"/>
        <v/>
      </c>
      <c r="N584" s="27"/>
      <c r="O584" s="47"/>
    </row>
    <row r="585" spans="1:15" ht="15" customHeight="1">
      <c r="A585" s="69">
        <v>46225</v>
      </c>
      <c r="B585" s="32">
        <f t="shared" si="131"/>
        <v>0.95833333333333293</v>
      </c>
      <c r="C585" s="26" t="s">
        <v>45</v>
      </c>
      <c r="D585" s="59" t="s">
        <v>30</v>
      </c>
      <c r="E585" s="59" t="s">
        <v>261</v>
      </c>
      <c r="F585" s="27">
        <v>5</v>
      </c>
      <c r="G585" s="34">
        <f t="shared" si="129"/>
        <v>21</v>
      </c>
      <c r="H585" s="33"/>
      <c r="I585" s="33"/>
      <c r="J585" s="33"/>
      <c r="K585" s="29"/>
      <c r="L585" s="29"/>
      <c r="M585" s="35" t="str">
        <f t="shared" ca="1" si="130"/>
        <v/>
      </c>
      <c r="N585" s="27"/>
      <c r="O585" s="47"/>
    </row>
    <row r="586" spans="1:15" ht="15" customHeight="1">
      <c r="A586" s="68">
        <v>46225</v>
      </c>
      <c r="B586" s="25">
        <f t="shared" si="131"/>
        <v>0.99999999999999956</v>
      </c>
      <c r="C586" s="26" t="s">
        <v>45</v>
      </c>
      <c r="D586" s="59" t="s">
        <v>30</v>
      </c>
      <c r="E586" s="59" t="s">
        <v>261</v>
      </c>
      <c r="F586" s="27">
        <v>20</v>
      </c>
      <c r="G586" s="28">
        <f t="shared" si="129"/>
        <v>84</v>
      </c>
      <c r="H586" s="26"/>
      <c r="I586" s="26"/>
      <c r="J586" s="26"/>
      <c r="K586" s="29"/>
      <c r="L586" s="29"/>
      <c r="M586" s="30" t="str">
        <f t="shared" ca="1" si="130"/>
        <v/>
      </c>
      <c r="N586" s="27"/>
      <c r="O586" s="47"/>
    </row>
    <row r="587" spans="1:15" ht="15" customHeight="1">
      <c r="A587" s="69">
        <v>46225</v>
      </c>
      <c r="B587" s="32">
        <f t="shared" si="131"/>
        <v>1.0416666666666663</v>
      </c>
      <c r="C587" s="26" t="s">
        <v>45</v>
      </c>
      <c r="D587" s="59" t="s">
        <v>30</v>
      </c>
      <c r="E587" s="59" t="s">
        <v>261</v>
      </c>
      <c r="F587" s="27">
        <v>6</v>
      </c>
      <c r="G587" s="34">
        <f t="shared" si="129"/>
        <v>25.200000000000003</v>
      </c>
      <c r="H587" s="33"/>
      <c r="I587" s="33"/>
      <c r="J587" s="33"/>
      <c r="K587" s="29"/>
      <c r="L587" s="29"/>
      <c r="M587" s="35" t="str">
        <f t="shared" ca="1" si="130"/>
        <v/>
      </c>
      <c r="N587" s="27"/>
      <c r="O587" s="47"/>
    </row>
    <row r="588" spans="1:15" ht="15" customHeight="1">
      <c r="A588" s="68">
        <v>46225</v>
      </c>
      <c r="B588" s="25">
        <f t="shared" si="131"/>
        <v>1.083333333333333</v>
      </c>
      <c r="C588" s="26" t="s">
        <v>45</v>
      </c>
      <c r="D588" s="59" t="s">
        <v>30</v>
      </c>
      <c r="E588" s="59" t="s">
        <v>261</v>
      </c>
      <c r="F588" s="27">
        <v>28</v>
      </c>
      <c r="G588" s="28">
        <f t="shared" si="129"/>
        <v>117.60000000000001</v>
      </c>
      <c r="H588" s="26"/>
      <c r="I588" s="26"/>
      <c r="J588" s="26"/>
      <c r="K588" s="29"/>
      <c r="L588" s="29"/>
      <c r="M588" s="30" t="str">
        <f t="shared" ca="1" si="130"/>
        <v/>
      </c>
      <c r="N588" s="27"/>
      <c r="O588" s="47"/>
    </row>
    <row r="589" spans="1:15" ht="15" customHeight="1">
      <c r="A589" s="69">
        <v>46225</v>
      </c>
      <c r="B589" s="32">
        <f t="shared" si="131"/>
        <v>1.1249999999999998</v>
      </c>
      <c r="C589" s="26" t="s">
        <v>45</v>
      </c>
      <c r="D589" s="59" t="s">
        <v>30</v>
      </c>
      <c r="E589" s="59" t="s">
        <v>261</v>
      </c>
      <c r="F589" s="27">
        <v>5</v>
      </c>
      <c r="G589" s="34">
        <f t="shared" si="129"/>
        <v>21</v>
      </c>
      <c r="H589" s="33"/>
      <c r="I589" s="33"/>
      <c r="J589" s="33"/>
      <c r="K589" s="29"/>
      <c r="L589" s="29"/>
      <c r="M589" s="35" t="str">
        <f t="shared" ca="1" si="130"/>
        <v/>
      </c>
      <c r="N589" s="27"/>
      <c r="O589" s="47"/>
    </row>
    <row r="590" spans="1:15" ht="15" customHeight="1">
      <c r="A590" s="68">
        <v>46225</v>
      </c>
      <c r="B590" s="25">
        <f t="shared" si="131"/>
        <v>1.1666666666666665</v>
      </c>
      <c r="C590" s="26" t="s">
        <v>45</v>
      </c>
      <c r="D590" s="59" t="s">
        <v>30</v>
      </c>
      <c r="E590" s="59" t="s">
        <v>261</v>
      </c>
      <c r="F590" s="27">
        <v>16</v>
      </c>
      <c r="G590" s="28">
        <f t="shared" si="129"/>
        <v>67.2</v>
      </c>
      <c r="H590" s="26"/>
      <c r="I590" s="26"/>
      <c r="J590" s="26"/>
      <c r="K590" s="29"/>
      <c r="L590" s="29"/>
      <c r="M590" s="30" t="str">
        <f t="shared" ca="1" si="130"/>
        <v/>
      </c>
      <c r="N590" s="27"/>
      <c r="O590" s="47"/>
    </row>
    <row r="591" spans="1:15" ht="15" customHeight="1">
      <c r="A591" s="69">
        <v>46225</v>
      </c>
      <c r="B591" s="32">
        <f t="shared" si="131"/>
        <v>1.2083333333333333</v>
      </c>
      <c r="C591" s="26" t="s">
        <v>45</v>
      </c>
      <c r="D591" s="59" t="s">
        <v>30</v>
      </c>
      <c r="E591" s="59" t="s">
        <v>261</v>
      </c>
      <c r="F591" s="27">
        <v>10</v>
      </c>
      <c r="G591" s="34">
        <f t="shared" si="129"/>
        <v>42</v>
      </c>
      <c r="H591" s="33"/>
      <c r="I591" s="33"/>
      <c r="J591" s="33"/>
      <c r="K591" s="29"/>
      <c r="L591" s="29"/>
      <c r="M591" s="35" t="str">
        <f t="shared" ca="1" si="130"/>
        <v/>
      </c>
      <c r="N591" s="27"/>
      <c r="O591" s="47"/>
    </row>
    <row r="592" spans="1:15" ht="15" customHeight="1">
      <c r="A592" s="68">
        <v>46225</v>
      </c>
      <c r="B592" s="25">
        <f t="shared" si="131"/>
        <v>1.25</v>
      </c>
      <c r="C592" s="26" t="s">
        <v>45</v>
      </c>
      <c r="D592" s="59" t="s">
        <v>30</v>
      </c>
      <c r="E592" s="59" t="s">
        <v>261</v>
      </c>
      <c r="F592" s="27">
        <v>0</v>
      </c>
      <c r="G592" s="28">
        <f t="shared" si="129"/>
        <v>0</v>
      </c>
      <c r="H592" s="26"/>
      <c r="I592" s="26"/>
      <c r="J592" s="26"/>
      <c r="K592" s="29"/>
      <c r="L592" s="29"/>
      <c r="M592" s="30" t="str">
        <f t="shared" ca="1" si="130"/>
        <v/>
      </c>
      <c r="N592" s="27"/>
      <c r="O592" s="47"/>
    </row>
    <row r="593" spans="1:15" ht="15" customHeight="1">
      <c r="A593" s="69">
        <v>46225</v>
      </c>
      <c r="B593" s="32">
        <f t="shared" si="131"/>
        <v>1.2916666666666667</v>
      </c>
      <c r="C593" s="26" t="s">
        <v>45</v>
      </c>
      <c r="D593" s="59" t="s">
        <v>30</v>
      </c>
      <c r="E593" s="59" t="s">
        <v>261</v>
      </c>
      <c r="F593" s="27">
        <v>0</v>
      </c>
      <c r="G593" s="34">
        <f t="shared" si="129"/>
        <v>0</v>
      </c>
      <c r="H593" s="33"/>
      <c r="I593" s="33"/>
      <c r="J593" s="33"/>
      <c r="K593" s="29"/>
      <c r="L593" s="29"/>
      <c r="M593" s="35" t="str">
        <f t="shared" ca="1" si="130"/>
        <v/>
      </c>
      <c r="N593" s="27"/>
      <c r="O593" s="47"/>
    </row>
    <row r="594" spans="1:15" ht="15.75" customHeight="1">
      <c r="A594" s="119" t="s">
        <v>238</v>
      </c>
      <c r="B594" s="120"/>
      <c r="C594" s="120"/>
      <c r="D594" s="120"/>
      <c r="E594" s="121">
        <f>SUM(E582:E593)</f>
        <v>0</v>
      </c>
      <c r="F594" s="36">
        <f>SUM(F582:F593)</f>
        <v>103</v>
      </c>
      <c r="G594" s="36">
        <f>SUM(G582:G593)</f>
        <v>436.6</v>
      </c>
      <c r="H594" s="37"/>
      <c r="I594" s="37"/>
      <c r="J594" s="37"/>
      <c r="K594" s="37"/>
      <c r="L594" s="37"/>
      <c r="M594" s="38">
        <f ca="1">IFERROR(SUM(M582:M593),"")</f>
        <v>7.6388888888888618E-3</v>
      </c>
      <c r="N594" s="36" t="s">
        <v>237</v>
      </c>
      <c r="O594" s="39">
        <v>424930</v>
      </c>
    </row>
    <row r="595" spans="1:15" ht="18" customHeight="1">
      <c r="A595" s="122" t="s">
        <v>239</v>
      </c>
      <c r="B595" s="123"/>
      <c r="C595" s="123"/>
      <c r="D595" s="123"/>
      <c r="E595" s="124">
        <f>E581+E594</f>
        <v>0</v>
      </c>
      <c r="F595" s="40">
        <f>F581+F594</f>
        <v>156</v>
      </c>
      <c r="G595" s="40">
        <f>G581+G594</f>
        <v>659.2</v>
      </c>
      <c r="H595" s="41"/>
      <c r="I595" s="41"/>
      <c r="J595" s="41"/>
      <c r="K595" s="41"/>
      <c r="L595" s="41"/>
      <c r="M595" s="42">
        <f ca="1">IFERROR(M581+M594,"")</f>
        <v>5.0694444444444431E-2</v>
      </c>
      <c r="N595" s="40" t="s">
        <v>240</v>
      </c>
      <c r="O595" s="48">
        <f>IFERROR(O581+O594,"")</f>
        <v>647530</v>
      </c>
    </row>
    <row r="596" spans="1:15" ht="15" customHeight="1">
      <c r="A596" s="68">
        <v>46226</v>
      </c>
      <c r="B596" s="25">
        <v>0.33333333333333298</v>
      </c>
      <c r="C596" s="26" t="s">
        <v>29</v>
      </c>
      <c r="D596" s="59" t="s">
        <v>30</v>
      </c>
      <c r="E596" s="59" t="s">
        <v>261</v>
      </c>
      <c r="F596" s="27">
        <v>17</v>
      </c>
      <c r="G596" s="28">
        <f t="shared" ref="G596:G607" si="132">IF(F596="","",IF(E596="PC 17",F596*4.2,IF(E596="PC 19",F596*5,"")))</f>
        <v>71.400000000000006</v>
      </c>
      <c r="H596" s="26" t="s">
        <v>20</v>
      </c>
      <c r="I596" s="26" t="s">
        <v>47</v>
      </c>
      <c r="J596" s="26" t="s">
        <v>62</v>
      </c>
      <c r="K596" s="29">
        <v>0.42152777777777778</v>
      </c>
      <c r="L596" s="29">
        <v>0.4236111111111111</v>
      </c>
      <c r="M596" s="30">
        <f t="shared" ref="M596:M607" ca="1" si="133">IFERROR(IF(K596="","",IF(L596="",MOD(NOW()-K596,1),IF(L596&gt;=K596,L596-K596,L596+1-K596))),"")</f>
        <v>2.0833333333333259E-3</v>
      </c>
      <c r="N596" s="27"/>
      <c r="O596" s="47"/>
    </row>
    <row r="597" spans="1:15" ht="15" customHeight="1">
      <c r="A597" s="69">
        <v>46226</v>
      </c>
      <c r="B597" s="32">
        <f t="shared" ref="B597:B607" si="134">B596+TIME(0,60,0)</f>
        <v>0.37499999999999967</v>
      </c>
      <c r="C597" s="26" t="s">
        <v>29</v>
      </c>
      <c r="D597" s="59" t="s">
        <v>30</v>
      </c>
      <c r="E597" s="59" t="s">
        <v>261</v>
      </c>
      <c r="F597" s="27">
        <v>15</v>
      </c>
      <c r="G597" s="34">
        <f t="shared" si="132"/>
        <v>63</v>
      </c>
      <c r="H597" s="33" t="s">
        <v>20</v>
      </c>
      <c r="I597" s="33" t="s">
        <v>47</v>
      </c>
      <c r="J597" s="33" t="s">
        <v>62</v>
      </c>
      <c r="K597" s="29">
        <v>0.42986111111111114</v>
      </c>
      <c r="L597" s="29">
        <v>0.43263888888888891</v>
      </c>
      <c r="M597" s="35">
        <f t="shared" ca="1" si="133"/>
        <v>2.7777777777777679E-3</v>
      </c>
      <c r="N597" s="27"/>
      <c r="O597" s="47"/>
    </row>
    <row r="598" spans="1:15" ht="15" customHeight="1">
      <c r="A598" s="68">
        <v>46226</v>
      </c>
      <c r="B598" s="25">
        <f t="shared" si="134"/>
        <v>0.41666666666666635</v>
      </c>
      <c r="C598" s="26" t="s">
        <v>29</v>
      </c>
      <c r="D598" s="59" t="s">
        <v>30</v>
      </c>
      <c r="E598" s="59" t="s">
        <v>261</v>
      </c>
      <c r="F598" s="27">
        <v>5</v>
      </c>
      <c r="G598" s="28">
        <f t="shared" si="132"/>
        <v>21</v>
      </c>
      <c r="H598" s="26" t="s">
        <v>20</v>
      </c>
      <c r="I598" s="26" t="s">
        <v>47</v>
      </c>
      <c r="J598" s="26" t="s">
        <v>56</v>
      </c>
      <c r="K598" s="29">
        <v>0.43888888888888888</v>
      </c>
      <c r="L598" s="29">
        <v>0.46736111111111112</v>
      </c>
      <c r="M598" s="30">
        <f t="shared" ca="1" si="133"/>
        <v>2.8472222222222232E-2</v>
      </c>
      <c r="N598" s="27" t="s">
        <v>376</v>
      </c>
      <c r="O598" s="47"/>
    </row>
    <row r="599" spans="1:15" ht="15" customHeight="1">
      <c r="A599" s="69">
        <v>46226</v>
      </c>
      <c r="B599" s="32">
        <f t="shared" si="134"/>
        <v>0.45833333333333304</v>
      </c>
      <c r="C599" s="26" t="s">
        <v>29</v>
      </c>
      <c r="D599" s="59" t="s">
        <v>30</v>
      </c>
      <c r="E599" s="59" t="s">
        <v>261</v>
      </c>
      <c r="F599" s="27">
        <v>0</v>
      </c>
      <c r="G599" s="34">
        <f t="shared" si="132"/>
        <v>0</v>
      </c>
      <c r="H599" s="33" t="s">
        <v>20</v>
      </c>
      <c r="I599" s="33" t="s">
        <v>155</v>
      </c>
      <c r="J599" s="33" t="s">
        <v>74</v>
      </c>
      <c r="K599" s="29">
        <v>0.66736111111111107</v>
      </c>
      <c r="L599" s="29">
        <v>0.6694444444444444</v>
      </c>
      <c r="M599" s="35">
        <f t="shared" ca="1" si="133"/>
        <v>2.0833333333333259E-3</v>
      </c>
      <c r="N599" s="27"/>
      <c r="O599" s="47"/>
    </row>
    <row r="600" spans="1:15" ht="15" customHeight="1">
      <c r="A600" s="68">
        <v>46226</v>
      </c>
      <c r="B600" s="25">
        <f t="shared" si="134"/>
        <v>0.49999999999999972</v>
      </c>
      <c r="C600" s="26" t="s">
        <v>29</v>
      </c>
      <c r="D600" s="59" t="s">
        <v>30</v>
      </c>
      <c r="E600" s="59" t="s">
        <v>261</v>
      </c>
      <c r="F600" s="27">
        <v>5</v>
      </c>
      <c r="G600" s="28">
        <f t="shared" si="132"/>
        <v>21</v>
      </c>
      <c r="H600" s="26" t="s">
        <v>20</v>
      </c>
      <c r="I600" s="26" t="s">
        <v>155</v>
      </c>
      <c r="J600" s="26" t="s">
        <v>74</v>
      </c>
      <c r="K600" s="29">
        <v>0.68055555555555558</v>
      </c>
      <c r="L600" s="29">
        <v>0.68472222222222223</v>
      </c>
      <c r="M600" s="30">
        <f t="shared" ca="1" si="133"/>
        <v>4.1666666666666519E-3</v>
      </c>
      <c r="N600" s="27"/>
      <c r="O600" s="47"/>
    </row>
    <row r="601" spans="1:15" ht="15" customHeight="1">
      <c r="A601" s="69">
        <v>46226</v>
      </c>
      <c r="B601" s="32">
        <f t="shared" si="134"/>
        <v>0.54166666666666641</v>
      </c>
      <c r="C601" s="26" t="s">
        <v>29</v>
      </c>
      <c r="D601" s="59" t="s">
        <v>30</v>
      </c>
      <c r="E601" s="59" t="s">
        <v>261</v>
      </c>
      <c r="F601" s="27">
        <v>17</v>
      </c>
      <c r="G601" s="34">
        <f t="shared" si="132"/>
        <v>71.400000000000006</v>
      </c>
      <c r="H601" s="33" t="s">
        <v>19</v>
      </c>
      <c r="I601" s="33" t="s">
        <v>47</v>
      </c>
      <c r="J601" s="33" t="s">
        <v>27</v>
      </c>
      <c r="K601" s="29">
        <v>0.75347222222222221</v>
      </c>
      <c r="L601" s="29">
        <v>0.78402777777777777</v>
      </c>
      <c r="M601" s="35">
        <f t="shared" ca="1" si="133"/>
        <v>3.0555555555555558E-2</v>
      </c>
      <c r="N601" s="27" t="s">
        <v>331</v>
      </c>
      <c r="O601" s="47"/>
    </row>
    <row r="602" spans="1:15" ht="15" customHeight="1">
      <c r="A602" s="68">
        <v>46226</v>
      </c>
      <c r="B602" s="25">
        <f t="shared" si="134"/>
        <v>0.58333333333333304</v>
      </c>
      <c r="C602" s="26" t="s">
        <v>29</v>
      </c>
      <c r="D602" s="59" t="s">
        <v>30</v>
      </c>
      <c r="E602" s="59" t="s">
        <v>261</v>
      </c>
      <c r="F602" s="27">
        <v>14</v>
      </c>
      <c r="G602" s="28">
        <f t="shared" si="132"/>
        <v>58.800000000000004</v>
      </c>
      <c r="H602" s="26"/>
      <c r="I602" s="26"/>
      <c r="J602" s="26"/>
      <c r="K602" s="29"/>
      <c r="L602" s="29"/>
      <c r="M602" s="30" t="str">
        <f t="shared" ca="1" si="133"/>
        <v/>
      </c>
      <c r="N602" s="27"/>
      <c r="O602" s="47"/>
    </row>
    <row r="603" spans="1:15" ht="15" customHeight="1">
      <c r="A603" s="69">
        <v>46226</v>
      </c>
      <c r="B603" s="32">
        <f t="shared" si="134"/>
        <v>0.62499999999999967</v>
      </c>
      <c r="C603" s="26" t="s">
        <v>29</v>
      </c>
      <c r="D603" s="59" t="s">
        <v>30</v>
      </c>
      <c r="E603" s="59" t="s">
        <v>261</v>
      </c>
      <c r="F603" s="27">
        <v>25</v>
      </c>
      <c r="G603" s="34">
        <f t="shared" si="132"/>
        <v>105</v>
      </c>
      <c r="H603" s="33"/>
      <c r="I603" s="33"/>
      <c r="J603" s="33"/>
      <c r="K603" s="29"/>
      <c r="L603" s="29"/>
      <c r="M603" s="35" t="str">
        <f t="shared" ca="1" si="133"/>
        <v/>
      </c>
      <c r="N603" s="27"/>
      <c r="O603" s="47"/>
    </row>
    <row r="604" spans="1:15" ht="15" customHeight="1">
      <c r="A604" s="68">
        <v>46226</v>
      </c>
      <c r="B604" s="25">
        <f t="shared" si="134"/>
        <v>0.6666666666666663</v>
      </c>
      <c r="C604" s="26" t="s">
        <v>29</v>
      </c>
      <c r="D604" s="59" t="s">
        <v>30</v>
      </c>
      <c r="E604" s="59" t="s">
        <v>261</v>
      </c>
      <c r="F604" s="27">
        <v>16</v>
      </c>
      <c r="G604" s="28">
        <f t="shared" si="132"/>
        <v>67.2</v>
      </c>
      <c r="H604" s="26"/>
      <c r="I604" s="26"/>
      <c r="J604" s="26"/>
      <c r="K604" s="29"/>
      <c r="L604" s="29"/>
      <c r="M604" s="30" t="str">
        <f t="shared" ca="1" si="133"/>
        <v/>
      </c>
      <c r="N604" s="27"/>
      <c r="O604" s="47"/>
    </row>
    <row r="605" spans="1:15" ht="15" customHeight="1">
      <c r="A605" s="69">
        <v>46226</v>
      </c>
      <c r="B605" s="32">
        <f t="shared" si="134"/>
        <v>0.70833333333333293</v>
      </c>
      <c r="C605" s="26" t="s">
        <v>29</v>
      </c>
      <c r="D605" s="59" t="s">
        <v>30</v>
      </c>
      <c r="E605" s="59" t="s">
        <v>261</v>
      </c>
      <c r="F605" s="27">
        <v>16</v>
      </c>
      <c r="G605" s="34">
        <f t="shared" si="132"/>
        <v>67.2</v>
      </c>
      <c r="H605" s="33"/>
      <c r="I605" s="33"/>
      <c r="J605" s="33"/>
      <c r="K605" s="29"/>
      <c r="L605" s="29"/>
      <c r="M605" s="35" t="str">
        <f t="shared" ca="1" si="133"/>
        <v/>
      </c>
      <c r="N605" s="27"/>
      <c r="O605" s="47"/>
    </row>
    <row r="606" spans="1:15" ht="15" customHeight="1">
      <c r="A606" s="68">
        <v>46226</v>
      </c>
      <c r="B606" s="25">
        <f t="shared" si="134"/>
        <v>0.74999999999999956</v>
      </c>
      <c r="C606" s="26" t="s">
        <v>29</v>
      </c>
      <c r="D606" s="59" t="s">
        <v>30</v>
      </c>
      <c r="E606" s="59" t="s">
        <v>261</v>
      </c>
      <c r="F606" s="27">
        <v>6</v>
      </c>
      <c r="G606" s="28">
        <f t="shared" si="132"/>
        <v>25.200000000000003</v>
      </c>
      <c r="H606" s="26"/>
      <c r="I606" s="26"/>
      <c r="J606" s="26"/>
      <c r="K606" s="29"/>
      <c r="L606" s="29"/>
      <c r="M606" s="30" t="str">
        <f t="shared" ca="1" si="133"/>
        <v/>
      </c>
      <c r="N606" s="27"/>
      <c r="O606" s="47"/>
    </row>
    <row r="607" spans="1:15" ht="15" customHeight="1">
      <c r="A607" s="69">
        <v>46226</v>
      </c>
      <c r="B607" s="32">
        <f t="shared" si="134"/>
        <v>0.79166666666666619</v>
      </c>
      <c r="C607" s="26" t="s">
        <v>29</v>
      </c>
      <c r="D607" s="59" t="s">
        <v>30</v>
      </c>
      <c r="E607" s="59" t="s">
        <v>261</v>
      </c>
      <c r="F607" s="27">
        <v>5</v>
      </c>
      <c r="G607" s="34">
        <f t="shared" si="132"/>
        <v>21</v>
      </c>
      <c r="H607" s="33"/>
      <c r="I607" s="33"/>
      <c r="J607" s="33"/>
      <c r="K607" s="29"/>
      <c r="L607" s="29"/>
      <c r="M607" s="35" t="str">
        <f t="shared" ca="1" si="133"/>
        <v/>
      </c>
      <c r="N607" s="27"/>
      <c r="O607" s="47"/>
    </row>
    <row r="608" spans="1:15" ht="15.75" customHeight="1">
      <c r="A608" s="119" t="s">
        <v>236</v>
      </c>
      <c r="B608" s="120"/>
      <c r="C608" s="120"/>
      <c r="D608" s="120"/>
      <c r="E608" s="121">
        <f>SUM(E596:E607)</f>
        <v>0</v>
      </c>
      <c r="F608" s="36">
        <f>SUM(F596:F607)</f>
        <v>141</v>
      </c>
      <c r="G608" s="36">
        <f>SUM(G596:G607)</f>
        <v>592.20000000000005</v>
      </c>
      <c r="H608" s="37"/>
      <c r="I608" s="37"/>
      <c r="J608" s="37"/>
      <c r="K608" s="37"/>
      <c r="L608" s="37"/>
      <c r="M608" s="38">
        <f ca="1">IFERROR(SUM(M596:M607),"")</f>
        <v>7.0138888888888862E-2</v>
      </c>
      <c r="N608" s="36" t="s">
        <v>237</v>
      </c>
      <c r="O608" s="39">
        <v>732120</v>
      </c>
    </row>
    <row r="609" spans="1:15" ht="15" customHeight="1">
      <c r="A609" s="69">
        <v>46226</v>
      </c>
      <c r="B609" s="32">
        <v>0.83333333333333304</v>
      </c>
      <c r="C609" s="33" t="s">
        <v>45</v>
      </c>
      <c r="D609" s="62" t="s">
        <v>30</v>
      </c>
      <c r="E609" s="62" t="s">
        <v>234</v>
      </c>
      <c r="F609" s="27">
        <v>2</v>
      </c>
      <c r="G609" s="34">
        <f t="shared" ref="G609:G614" si="135">IF(F609="","",IF(E609="PC 17",F609*4.2,IF(E609="PC 19",F609*5,"")))</f>
        <v>10</v>
      </c>
      <c r="H609" s="33" t="s">
        <v>20</v>
      </c>
      <c r="I609" s="33" t="s">
        <v>47</v>
      </c>
      <c r="J609" s="33" t="s">
        <v>28</v>
      </c>
      <c r="K609" s="29">
        <v>0.80902777777777779</v>
      </c>
      <c r="L609" s="29">
        <v>0.82291666666666663</v>
      </c>
      <c r="M609" s="35">
        <f t="shared" ref="M609:M620" ca="1" si="136">IFERROR(IF(K609="","",IF(L609="",MOD(NOW()-K609,1),IF(L609&gt;=K609,L609-K609,L609+1-K609))),"")</f>
        <v>1.388888888888884E-2</v>
      </c>
      <c r="N609" s="27"/>
      <c r="O609" s="47"/>
    </row>
    <row r="610" spans="1:15" ht="15" customHeight="1">
      <c r="A610" s="68">
        <v>46226</v>
      </c>
      <c r="B610" s="25">
        <f t="shared" ref="B610:B620" si="137">B609+TIME(0,60,0)</f>
        <v>0.87499999999999967</v>
      </c>
      <c r="C610" s="33" t="s">
        <v>45</v>
      </c>
      <c r="D610" s="62" t="s">
        <v>30</v>
      </c>
      <c r="E610" s="62" t="s">
        <v>234</v>
      </c>
      <c r="F610" s="27">
        <v>4</v>
      </c>
      <c r="G610" s="28">
        <f t="shared" si="135"/>
        <v>20</v>
      </c>
      <c r="H610" s="26"/>
      <c r="I610" s="26"/>
      <c r="J610" s="26"/>
      <c r="K610" s="29"/>
      <c r="L610" s="29"/>
      <c r="M610" s="30" t="str">
        <f t="shared" ca="1" si="136"/>
        <v/>
      </c>
      <c r="N610" s="27"/>
      <c r="O610" s="47"/>
    </row>
    <row r="611" spans="1:15" ht="15" customHeight="1">
      <c r="A611" s="69">
        <v>46226</v>
      </c>
      <c r="B611" s="32">
        <f t="shared" si="137"/>
        <v>0.9166666666666663</v>
      </c>
      <c r="C611" s="33" t="s">
        <v>45</v>
      </c>
      <c r="D611" s="62" t="s">
        <v>30</v>
      </c>
      <c r="E611" s="62" t="s">
        <v>234</v>
      </c>
      <c r="F611" s="27">
        <v>11</v>
      </c>
      <c r="G611" s="34">
        <f t="shared" si="135"/>
        <v>55</v>
      </c>
      <c r="H611" s="33"/>
      <c r="I611" s="33"/>
      <c r="J611" s="33"/>
      <c r="K611" s="29"/>
      <c r="L611" s="29"/>
      <c r="M611" s="35" t="str">
        <f t="shared" ca="1" si="136"/>
        <v/>
      </c>
      <c r="N611" s="27"/>
      <c r="O611" s="47"/>
    </row>
    <row r="612" spans="1:15" ht="15" customHeight="1">
      <c r="A612" s="68">
        <v>46226</v>
      </c>
      <c r="B612" s="25">
        <f t="shared" si="137"/>
        <v>0.95833333333333293</v>
      </c>
      <c r="C612" s="33" t="s">
        <v>45</v>
      </c>
      <c r="D612" s="62" t="s">
        <v>30</v>
      </c>
      <c r="E612" s="62" t="s">
        <v>261</v>
      </c>
      <c r="F612" s="27">
        <v>5</v>
      </c>
      <c r="G612" s="28">
        <f t="shared" si="135"/>
        <v>21</v>
      </c>
      <c r="H612" s="26"/>
      <c r="I612" s="26"/>
      <c r="J612" s="26"/>
      <c r="K612" s="29"/>
      <c r="L612" s="29"/>
      <c r="M612" s="30" t="str">
        <f t="shared" ca="1" si="136"/>
        <v/>
      </c>
      <c r="N612" s="27"/>
      <c r="O612" s="47"/>
    </row>
    <row r="613" spans="1:15" ht="15" customHeight="1">
      <c r="A613" s="69">
        <v>46226</v>
      </c>
      <c r="B613" s="32">
        <f t="shared" si="137"/>
        <v>0.99999999999999956</v>
      </c>
      <c r="C613" s="33" t="s">
        <v>45</v>
      </c>
      <c r="D613" s="62" t="s">
        <v>30</v>
      </c>
      <c r="E613" s="62" t="s">
        <v>261</v>
      </c>
      <c r="F613" s="27">
        <v>5</v>
      </c>
      <c r="G613" s="34">
        <f t="shared" si="135"/>
        <v>21</v>
      </c>
      <c r="H613" s="33"/>
      <c r="I613" s="33"/>
      <c r="J613" s="33"/>
      <c r="K613" s="29"/>
      <c r="L613" s="29"/>
      <c r="M613" s="35" t="str">
        <f t="shared" ca="1" si="136"/>
        <v/>
      </c>
      <c r="N613" s="27"/>
      <c r="O613" s="47"/>
    </row>
    <row r="614" spans="1:15" ht="15" customHeight="1">
      <c r="A614" s="68">
        <v>46226</v>
      </c>
      <c r="B614" s="25">
        <f t="shared" si="137"/>
        <v>1.0416666666666663</v>
      </c>
      <c r="C614" s="33" t="s">
        <v>45</v>
      </c>
      <c r="D614" s="62" t="s">
        <v>30</v>
      </c>
      <c r="E614" s="62" t="s">
        <v>261</v>
      </c>
      <c r="F614" s="27">
        <v>3</v>
      </c>
      <c r="G614" s="28">
        <f t="shared" si="135"/>
        <v>12.600000000000001</v>
      </c>
      <c r="H614" s="26"/>
      <c r="I614" s="26"/>
      <c r="J614" s="26"/>
      <c r="K614" s="29"/>
      <c r="L614" s="29"/>
      <c r="M614" s="30" t="str">
        <f t="shared" ca="1" si="136"/>
        <v/>
      </c>
      <c r="N614" s="27"/>
      <c r="O614" s="47"/>
    </row>
    <row r="615" spans="1:15" ht="15" customHeight="1">
      <c r="A615" s="69">
        <v>46226</v>
      </c>
      <c r="B615" s="32">
        <f t="shared" si="137"/>
        <v>1.083333333333333</v>
      </c>
      <c r="C615" s="33" t="s">
        <v>45</v>
      </c>
      <c r="D615" s="62" t="s">
        <v>30</v>
      </c>
      <c r="E615" s="62" t="s">
        <v>261</v>
      </c>
      <c r="F615" s="27">
        <v>6</v>
      </c>
      <c r="G615" s="34">
        <v>25</v>
      </c>
      <c r="H615" s="33"/>
      <c r="I615" s="33"/>
      <c r="J615" s="33"/>
      <c r="K615" s="29"/>
      <c r="L615" s="29"/>
      <c r="M615" s="35" t="str">
        <f t="shared" ca="1" si="136"/>
        <v/>
      </c>
      <c r="N615" s="27"/>
      <c r="O615" s="47"/>
    </row>
    <row r="616" spans="1:15" ht="15" customHeight="1">
      <c r="A616" s="68">
        <v>46226</v>
      </c>
      <c r="B616" s="25">
        <f t="shared" si="137"/>
        <v>1.1249999999999998</v>
      </c>
      <c r="C616" s="33" t="s">
        <v>45</v>
      </c>
      <c r="D616" s="62" t="s">
        <v>30</v>
      </c>
      <c r="E616" s="62" t="s">
        <v>261</v>
      </c>
      <c r="F616" s="27">
        <v>5</v>
      </c>
      <c r="G616" s="28">
        <f>IF(F616="","",IF(E616="PC 17",F616*4.2,IF(E616="PC 19",F616*5,"")))</f>
        <v>21</v>
      </c>
      <c r="H616" s="26"/>
      <c r="I616" s="26"/>
      <c r="J616" s="26"/>
      <c r="K616" s="29"/>
      <c r="L616" s="29"/>
      <c r="M616" s="30" t="str">
        <f t="shared" ca="1" si="136"/>
        <v/>
      </c>
      <c r="N616" s="27"/>
      <c r="O616" s="47"/>
    </row>
    <row r="617" spans="1:15" ht="15" customHeight="1">
      <c r="A617" s="69">
        <v>46226</v>
      </c>
      <c r="B617" s="32">
        <f t="shared" si="137"/>
        <v>1.1666666666666665</v>
      </c>
      <c r="C617" s="33" t="s">
        <v>45</v>
      </c>
      <c r="D617" s="62" t="s">
        <v>30</v>
      </c>
      <c r="E617" s="62" t="s">
        <v>261</v>
      </c>
      <c r="F617" s="27">
        <v>10</v>
      </c>
      <c r="G617" s="34">
        <f>IF(F617="","",IF(E617="PC 17",F617*4.2,IF(E617="PC 19",F617*5,"")))</f>
        <v>42</v>
      </c>
      <c r="H617" s="33"/>
      <c r="I617" s="33"/>
      <c r="J617" s="33"/>
      <c r="K617" s="29"/>
      <c r="L617" s="29"/>
      <c r="M617" s="35" t="str">
        <f t="shared" ca="1" si="136"/>
        <v/>
      </c>
      <c r="N617" s="27"/>
      <c r="O617" s="47"/>
    </row>
    <row r="618" spans="1:15" ht="15" customHeight="1">
      <c r="A618" s="68">
        <v>46226</v>
      </c>
      <c r="B618" s="25">
        <f t="shared" si="137"/>
        <v>1.2083333333333333</v>
      </c>
      <c r="C618" s="33" t="s">
        <v>45</v>
      </c>
      <c r="D618" s="62" t="s">
        <v>30</v>
      </c>
      <c r="E618" s="62" t="s">
        <v>261</v>
      </c>
      <c r="F618" s="27">
        <v>10</v>
      </c>
      <c r="G618" s="28">
        <f>IF(F618="","",IF(E618="PC 17",F618*4.2,IF(E618="PC 19",F618*5,"")))</f>
        <v>42</v>
      </c>
      <c r="H618" s="26"/>
      <c r="I618" s="26"/>
      <c r="J618" s="26"/>
      <c r="K618" s="29"/>
      <c r="L618" s="29"/>
      <c r="M618" s="30" t="str">
        <f t="shared" ca="1" si="136"/>
        <v/>
      </c>
      <c r="N618" s="27"/>
      <c r="O618" s="47"/>
    </row>
    <row r="619" spans="1:15" ht="15" customHeight="1">
      <c r="A619" s="69">
        <v>46226</v>
      </c>
      <c r="B619" s="32">
        <f t="shared" si="137"/>
        <v>1.25</v>
      </c>
      <c r="C619" s="33" t="s">
        <v>45</v>
      </c>
      <c r="D619" s="62" t="s">
        <v>30</v>
      </c>
      <c r="E619" s="62" t="s">
        <v>261</v>
      </c>
      <c r="F619" s="27">
        <v>15</v>
      </c>
      <c r="G619" s="34">
        <f>IF(F619="","",IF(E619="PC 17",F619*4.2,IF(E619="PC 19",F619*5,"")))</f>
        <v>63</v>
      </c>
      <c r="H619" s="33"/>
      <c r="I619" s="33"/>
      <c r="J619" s="33"/>
      <c r="K619" s="29"/>
      <c r="L619" s="29"/>
      <c r="M619" s="35" t="str">
        <f t="shared" ca="1" si="136"/>
        <v/>
      </c>
      <c r="N619" s="27"/>
      <c r="O619" s="47"/>
    </row>
    <row r="620" spans="1:15" ht="15" customHeight="1">
      <c r="A620" s="68">
        <v>46226</v>
      </c>
      <c r="B620" s="25">
        <f t="shared" si="137"/>
        <v>1.2916666666666667</v>
      </c>
      <c r="C620" s="33" t="s">
        <v>45</v>
      </c>
      <c r="D620" s="62" t="s">
        <v>30</v>
      </c>
      <c r="E620" s="62" t="s">
        <v>261</v>
      </c>
      <c r="F620" s="27">
        <v>3</v>
      </c>
      <c r="G620" s="28">
        <f>IF(F620="","",IF(E620="PC 17",F620*4.2,IF(E620="PC 19",F620*5,"")))</f>
        <v>12.600000000000001</v>
      </c>
      <c r="H620" s="26"/>
      <c r="I620" s="26"/>
      <c r="J620" s="26"/>
      <c r="K620" s="29"/>
      <c r="L620" s="29"/>
      <c r="M620" s="30" t="str">
        <f t="shared" ca="1" si="136"/>
        <v/>
      </c>
      <c r="N620" s="27"/>
      <c r="O620" s="47"/>
    </row>
    <row r="621" spans="1:15" ht="15.75" customHeight="1">
      <c r="A621" s="119" t="s">
        <v>238</v>
      </c>
      <c r="B621" s="120"/>
      <c r="C621" s="120"/>
      <c r="D621" s="120"/>
      <c r="E621" s="121">
        <f>SUM(E609:E620)</f>
        <v>0</v>
      </c>
      <c r="F621" s="36">
        <f>SUM(F609:F620)</f>
        <v>79</v>
      </c>
      <c r="G621" s="36">
        <f>SUM(G609:G620)</f>
        <v>345.20000000000005</v>
      </c>
      <c r="H621" s="37"/>
      <c r="I621" s="37"/>
      <c r="J621" s="37"/>
      <c r="K621" s="37"/>
      <c r="L621" s="37"/>
      <c r="M621" s="38">
        <f ca="1">IFERROR(SUM(M609:M620),"")</f>
        <v>1.388888888888884E-2</v>
      </c>
      <c r="N621" s="36" t="s">
        <v>237</v>
      </c>
      <c r="O621" s="39">
        <v>377360</v>
      </c>
    </row>
    <row r="622" spans="1:15" ht="18" customHeight="1">
      <c r="A622" s="122" t="s">
        <v>239</v>
      </c>
      <c r="B622" s="123"/>
      <c r="C622" s="123"/>
      <c r="D622" s="123"/>
      <c r="E622" s="124">
        <f>E608+E621</f>
        <v>0</v>
      </c>
      <c r="F622" s="40">
        <f>F608+F621</f>
        <v>220</v>
      </c>
      <c r="G622" s="40">
        <f>G608+G621</f>
        <v>937.40000000000009</v>
      </c>
      <c r="H622" s="41"/>
      <c r="I622" s="41"/>
      <c r="J622" s="41"/>
      <c r="K622" s="41"/>
      <c r="L622" s="41"/>
      <c r="M622" s="42">
        <f ca="1">IFERROR(M608+M621,"")</f>
        <v>8.4027777777777701E-2</v>
      </c>
      <c r="N622" s="40" t="s">
        <v>240</v>
      </c>
      <c r="O622" s="48">
        <f>IFERROR(O608+O621,"")</f>
        <v>1109480</v>
      </c>
    </row>
    <row r="623" spans="1:15" ht="15" customHeight="1">
      <c r="A623" s="69">
        <v>46227</v>
      </c>
      <c r="B623" s="32">
        <v>0.33333333333333298</v>
      </c>
      <c r="C623" s="33" t="s">
        <v>29</v>
      </c>
      <c r="D623" s="62" t="s">
        <v>30</v>
      </c>
      <c r="E623" s="62" t="s">
        <v>261</v>
      </c>
      <c r="F623" s="27">
        <v>17</v>
      </c>
      <c r="G623" s="34">
        <f t="shared" ref="G623:G634" si="138">IF(F623="","",IF(E623="PC 17",F623*4.2,IF(E623="PC 19",F623*5,"")))</f>
        <v>71.400000000000006</v>
      </c>
      <c r="H623" s="33" t="s">
        <v>19</v>
      </c>
      <c r="I623" s="33" t="s">
        <v>47</v>
      </c>
      <c r="J623" s="33" t="s">
        <v>27</v>
      </c>
      <c r="K623" s="29">
        <v>0.62847222222222221</v>
      </c>
      <c r="L623" s="29">
        <v>0.63402777777777775</v>
      </c>
      <c r="M623" s="35">
        <f t="shared" ref="M623:M634" ca="1" si="139">IFERROR(IF(K623="","",IF(L623="",MOD(NOW()-K623,1),IF(L623&gt;=K623,L623-K623,L623+1-K623))),"")</f>
        <v>5.5555555555555358E-3</v>
      </c>
      <c r="N623" s="27"/>
      <c r="O623" s="47"/>
    </row>
    <row r="624" spans="1:15" ht="15" customHeight="1">
      <c r="A624" s="68">
        <v>46227</v>
      </c>
      <c r="B624" s="25">
        <f t="shared" ref="B624:B634" si="140">B623+TIME(0,60,0)</f>
        <v>0.37499999999999967</v>
      </c>
      <c r="C624" s="33" t="s">
        <v>29</v>
      </c>
      <c r="D624" s="62" t="s">
        <v>30</v>
      </c>
      <c r="E624" s="62" t="s">
        <v>261</v>
      </c>
      <c r="F624" s="27">
        <v>8</v>
      </c>
      <c r="G624" s="28">
        <f t="shared" si="138"/>
        <v>33.6</v>
      </c>
      <c r="H624" s="26"/>
      <c r="I624" s="26"/>
      <c r="J624" s="26"/>
      <c r="K624" s="29"/>
      <c r="L624" s="29"/>
      <c r="M624" s="30" t="str">
        <f t="shared" ca="1" si="139"/>
        <v/>
      </c>
      <c r="N624" s="27"/>
      <c r="O624" s="47"/>
    </row>
    <row r="625" spans="1:15" ht="15" customHeight="1">
      <c r="A625" s="69">
        <v>46227</v>
      </c>
      <c r="B625" s="32">
        <f t="shared" si="140"/>
        <v>0.41666666666666635</v>
      </c>
      <c r="C625" s="33" t="s">
        <v>29</v>
      </c>
      <c r="D625" s="62" t="s">
        <v>30</v>
      </c>
      <c r="E625" s="62" t="s">
        <v>261</v>
      </c>
      <c r="F625" s="27">
        <v>21</v>
      </c>
      <c r="G625" s="34">
        <f t="shared" si="138"/>
        <v>88.2</v>
      </c>
      <c r="H625" s="33"/>
      <c r="I625" s="33"/>
      <c r="J625" s="33"/>
      <c r="K625" s="29"/>
      <c r="L625" s="29"/>
      <c r="M625" s="35" t="str">
        <f t="shared" ca="1" si="139"/>
        <v/>
      </c>
      <c r="N625" s="27"/>
      <c r="O625" s="47"/>
    </row>
    <row r="626" spans="1:15" ht="15" customHeight="1">
      <c r="A626" s="68">
        <v>46227</v>
      </c>
      <c r="B626" s="25">
        <f t="shared" si="140"/>
        <v>0.45833333333333304</v>
      </c>
      <c r="C626" s="33" t="s">
        <v>29</v>
      </c>
      <c r="D626" s="62" t="s">
        <v>30</v>
      </c>
      <c r="E626" s="62" t="s">
        <v>261</v>
      </c>
      <c r="F626" s="27">
        <v>11</v>
      </c>
      <c r="G626" s="28">
        <f t="shared" si="138"/>
        <v>46.2</v>
      </c>
      <c r="H626" s="26"/>
      <c r="I626" s="26"/>
      <c r="J626" s="26"/>
      <c r="K626" s="29"/>
      <c r="L626" s="29"/>
      <c r="M626" s="30" t="str">
        <f t="shared" ca="1" si="139"/>
        <v/>
      </c>
      <c r="N626" s="27"/>
      <c r="O626" s="47"/>
    </row>
    <row r="627" spans="1:15" ht="15" customHeight="1">
      <c r="A627" s="69">
        <v>46227</v>
      </c>
      <c r="B627" s="32">
        <f t="shared" si="140"/>
        <v>0.49999999999999972</v>
      </c>
      <c r="C627" s="33" t="s">
        <v>29</v>
      </c>
      <c r="D627" s="62" t="s">
        <v>30</v>
      </c>
      <c r="E627" s="62" t="s">
        <v>261</v>
      </c>
      <c r="F627" s="27">
        <v>13</v>
      </c>
      <c r="G627" s="34">
        <f t="shared" si="138"/>
        <v>54.6</v>
      </c>
      <c r="H627" s="33"/>
      <c r="I627" s="33"/>
      <c r="J627" s="33"/>
      <c r="K627" s="29"/>
      <c r="L627" s="29"/>
      <c r="M627" s="35" t="str">
        <f t="shared" ca="1" si="139"/>
        <v/>
      </c>
      <c r="N627" s="27"/>
      <c r="O627" s="47"/>
    </row>
    <row r="628" spans="1:15" ht="15" customHeight="1">
      <c r="A628" s="68">
        <v>46227</v>
      </c>
      <c r="B628" s="25">
        <f t="shared" si="140"/>
        <v>0.54166666666666641</v>
      </c>
      <c r="C628" s="33" t="s">
        <v>29</v>
      </c>
      <c r="D628" s="62" t="s">
        <v>30</v>
      </c>
      <c r="E628" s="62" t="s">
        <v>261</v>
      </c>
      <c r="F628" s="27">
        <v>16</v>
      </c>
      <c r="G628" s="28">
        <f t="shared" si="138"/>
        <v>67.2</v>
      </c>
      <c r="H628" s="26"/>
      <c r="I628" s="26"/>
      <c r="J628" s="26"/>
      <c r="K628" s="29"/>
      <c r="L628" s="29"/>
      <c r="M628" s="30" t="str">
        <f t="shared" ca="1" si="139"/>
        <v/>
      </c>
      <c r="N628" s="27"/>
      <c r="O628" s="47"/>
    </row>
    <row r="629" spans="1:15" ht="15" customHeight="1">
      <c r="A629" s="69">
        <v>46227</v>
      </c>
      <c r="B629" s="32">
        <f t="shared" si="140"/>
        <v>0.58333333333333304</v>
      </c>
      <c r="C629" s="33" t="s">
        <v>29</v>
      </c>
      <c r="D629" s="62" t="s">
        <v>30</v>
      </c>
      <c r="E629" s="62" t="s">
        <v>261</v>
      </c>
      <c r="F629" s="27">
        <v>18</v>
      </c>
      <c r="G629" s="34">
        <f t="shared" si="138"/>
        <v>75.600000000000009</v>
      </c>
      <c r="H629" s="33"/>
      <c r="I629" s="33"/>
      <c r="J629" s="33"/>
      <c r="K629" s="29"/>
      <c r="L629" s="29"/>
      <c r="M629" s="35" t="str">
        <f t="shared" ca="1" si="139"/>
        <v/>
      </c>
      <c r="N629" s="27"/>
      <c r="O629" s="47"/>
    </row>
    <row r="630" spans="1:15" ht="15" customHeight="1">
      <c r="A630" s="68">
        <v>46227</v>
      </c>
      <c r="B630" s="25">
        <f t="shared" si="140"/>
        <v>0.62499999999999967</v>
      </c>
      <c r="C630" s="33" t="s">
        <v>29</v>
      </c>
      <c r="D630" s="62" t="s">
        <v>30</v>
      </c>
      <c r="E630" s="62" t="s">
        <v>261</v>
      </c>
      <c r="F630" s="27">
        <v>8</v>
      </c>
      <c r="G630" s="28">
        <f t="shared" si="138"/>
        <v>33.6</v>
      </c>
      <c r="H630" s="26"/>
      <c r="I630" s="26"/>
      <c r="J630" s="26"/>
      <c r="K630" s="29"/>
      <c r="L630" s="29"/>
      <c r="M630" s="30" t="str">
        <f t="shared" ca="1" si="139"/>
        <v/>
      </c>
      <c r="N630" s="27"/>
      <c r="O630" s="47"/>
    </row>
    <row r="631" spans="1:15" ht="15" customHeight="1">
      <c r="A631" s="69">
        <v>46227</v>
      </c>
      <c r="B631" s="32">
        <f t="shared" si="140"/>
        <v>0.6666666666666663</v>
      </c>
      <c r="C631" s="33" t="s">
        <v>29</v>
      </c>
      <c r="D631" s="62" t="s">
        <v>30</v>
      </c>
      <c r="E631" s="62" t="s">
        <v>261</v>
      </c>
      <c r="F631" s="27">
        <v>13</v>
      </c>
      <c r="G631" s="34">
        <f t="shared" si="138"/>
        <v>54.6</v>
      </c>
      <c r="H631" s="33"/>
      <c r="I631" s="33"/>
      <c r="J631" s="33"/>
      <c r="K631" s="29"/>
      <c r="L631" s="29"/>
      <c r="M631" s="35" t="str">
        <f t="shared" ca="1" si="139"/>
        <v/>
      </c>
      <c r="N631" s="27"/>
      <c r="O631" s="47"/>
    </row>
    <row r="632" spans="1:15" ht="15" customHeight="1">
      <c r="A632" s="68">
        <v>46227</v>
      </c>
      <c r="B632" s="25">
        <f t="shared" si="140"/>
        <v>0.70833333333333293</v>
      </c>
      <c r="C632" s="33" t="s">
        <v>29</v>
      </c>
      <c r="D632" s="62" t="s">
        <v>30</v>
      </c>
      <c r="E632" s="62" t="s">
        <v>261</v>
      </c>
      <c r="F632" s="27">
        <v>7</v>
      </c>
      <c r="G632" s="28">
        <f t="shared" si="138"/>
        <v>29.400000000000002</v>
      </c>
      <c r="H632" s="26"/>
      <c r="I632" s="26"/>
      <c r="J632" s="26"/>
      <c r="K632" s="29"/>
      <c r="L632" s="29"/>
      <c r="M632" s="30" t="str">
        <f t="shared" ca="1" si="139"/>
        <v/>
      </c>
      <c r="N632" s="27"/>
      <c r="O632" s="47"/>
    </row>
    <row r="633" spans="1:15" ht="15" customHeight="1">
      <c r="A633" s="69">
        <v>46227</v>
      </c>
      <c r="B633" s="32">
        <f t="shared" si="140"/>
        <v>0.74999999999999956</v>
      </c>
      <c r="C633" s="33" t="s">
        <v>29</v>
      </c>
      <c r="D633" s="62" t="s">
        <v>30</v>
      </c>
      <c r="E633" s="62" t="s">
        <v>261</v>
      </c>
      <c r="F633" s="27">
        <v>12</v>
      </c>
      <c r="G633" s="34">
        <f t="shared" si="138"/>
        <v>50.400000000000006</v>
      </c>
      <c r="H633" s="33"/>
      <c r="I633" s="33"/>
      <c r="J633" s="33"/>
      <c r="K633" s="29"/>
      <c r="L633" s="29"/>
      <c r="M633" s="35" t="str">
        <f t="shared" ca="1" si="139"/>
        <v/>
      </c>
      <c r="N633" s="27"/>
      <c r="O633" s="47"/>
    </row>
    <row r="634" spans="1:15" ht="15" customHeight="1">
      <c r="A634" s="68">
        <v>46227</v>
      </c>
      <c r="B634" s="25">
        <f t="shared" si="140"/>
        <v>0.79166666666666619</v>
      </c>
      <c r="C634" s="33" t="s">
        <v>29</v>
      </c>
      <c r="D634" s="62" t="s">
        <v>30</v>
      </c>
      <c r="E634" s="62" t="s">
        <v>261</v>
      </c>
      <c r="F634" s="27">
        <v>2</v>
      </c>
      <c r="G634" s="28">
        <f t="shared" si="138"/>
        <v>8.4</v>
      </c>
      <c r="H634" s="26"/>
      <c r="I634" s="26"/>
      <c r="J634" s="26"/>
      <c r="K634" s="29"/>
      <c r="L634" s="29"/>
      <c r="M634" s="30" t="str">
        <f t="shared" ca="1" si="139"/>
        <v/>
      </c>
      <c r="N634" s="27"/>
      <c r="O634" s="47"/>
    </row>
    <row r="635" spans="1:15" ht="15.75" customHeight="1">
      <c r="A635" s="119" t="s">
        <v>236</v>
      </c>
      <c r="B635" s="120"/>
      <c r="C635" s="120"/>
      <c r="D635" s="120"/>
      <c r="E635" s="121">
        <f>SUM(E623:E634)</f>
        <v>0</v>
      </c>
      <c r="F635" s="36">
        <f>SUM(F623:F634)</f>
        <v>146</v>
      </c>
      <c r="G635" s="36">
        <f>SUM(G623:G634)</f>
        <v>613.19999999999993</v>
      </c>
      <c r="H635" s="37"/>
      <c r="I635" s="37"/>
      <c r="J635" s="37"/>
      <c r="K635" s="37"/>
      <c r="L635" s="37"/>
      <c r="M635" s="38">
        <f ca="1">IFERROR(SUM(M623:M634),"")</f>
        <v>5.5555555555555358E-3</v>
      </c>
      <c r="N635" s="36" t="s">
        <v>237</v>
      </c>
      <c r="O635" s="39">
        <v>659370</v>
      </c>
    </row>
    <row r="636" spans="1:15" ht="15" customHeight="1">
      <c r="A636" s="68">
        <v>46227</v>
      </c>
      <c r="B636" s="25">
        <v>0.83333333333333304</v>
      </c>
      <c r="C636" s="26" t="s">
        <v>21</v>
      </c>
      <c r="D636" s="59" t="s">
        <v>30</v>
      </c>
      <c r="E636" s="59" t="s">
        <v>261</v>
      </c>
      <c r="F636" s="27">
        <v>13</v>
      </c>
      <c r="G636" s="28">
        <f t="shared" ref="G636:G647" si="141">IF(F636="","",IF(E636="PC 17",F636*4.2,IF(E636="PC 19",F636*5,"")))</f>
        <v>54.6</v>
      </c>
      <c r="H636" s="26" t="s">
        <v>20</v>
      </c>
      <c r="I636" s="26" t="s">
        <v>121</v>
      </c>
      <c r="J636" s="26" t="s">
        <v>113</v>
      </c>
      <c r="K636" s="29">
        <v>2.0833333333333332E-2</v>
      </c>
      <c r="L636" s="29">
        <v>9.0277777777777776E-2</v>
      </c>
      <c r="M636" s="30">
        <f t="shared" ref="M636:M647" ca="1" si="142">IFERROR(IF(K636="","",IF(L636="",MOD(NOW()-K636,1),IF(L636&gt;=K636,L636-K636,L636+1-K636))),"")</f>
        <v>6.9444444444444448E-2</v>
      </c>
      <c r="N636" s="27"/>
      <c r="O636" s="47"/>
    </row>
    <row r="637" spans="1:15" ht="15" customHeight="1">
      <c r="A637" s="69">
        <v>46227</v>
      </c>
      <c r="B637" s="32">
        <f t="shared" ref="B637:B647" si="143">B636+TIME(0,60,0)</f>
        <v>0.87499999999999967</v>
      </c>
      <c r="C637" s="26" t="s">
        <v>21</v>
      </c>
      <c r="D637" s="59" t="s">
        <v>30</v>
      </c>
      <c r="E637" s="59" t="s">
        <v>261</v>
      </c>
      <c r="F637" s="27">
        <v>10</v>
      </c>
      <c r="G637" s="34">
        <f t="shared" si="141"/>
        <v>42</v>
      </c>
      <c r="H637" s="33" t="s">
        <v>19</v>
      </c>
      <c r="I637" s="33" t="s">
        <v>47</v>
      </c>
      <c r="J637" s="33" t="s">
        <v>27</v>
      </c>
      <c r="K637" s="29">
        <v>0.20555555555555555</v>
      </c>
      <c r="L637" s="29">
        <v>0.22569444444444445</v>
      </c>
      <c r="M637" s="35">
        <f t="shared" ca="1" si="142"/>
        <v>2.0138888888888901E-2</v>
      </c>
      <c r="N637" s="27"/>
      <c r="O637" s="47"/>
    </row>
    <row r="638" spans="1:15" ht="15" customHeight="1">
      <c r="A638" s="68">
        <v>46227</v>
      </c>
      <c r="B638" s="25">
        <f t="shared" si="143"/>
        <v>0.9166666666666663</v>
      </c>
      <c r="C638" s="26" t="s">
        <v>21</v>
      </c>
      <c r="D638" s="59" t="s">
        <v>30</v>
      </c>
      <c r="E638" s="59" t="s">
        <v>261</v>
      </c>
      <c r="F638" s="27">
        <v>10</v>
      </c>
      <c r="G638" s="28">
        <f t="shared" si="141"/>
        <v>42</v>
      </c>
      <c r="H638" s="26"/>
      <c r="I638" s="26"/>
      <c r="J638" s="26"/>
      <c r="K638" s="29"/>
      <c r="L638" s="29"/>
      <c r="M638" s="30" t="str">
        <f t="shared" ca="1" si="142"/>
        <v/>
      </c>
      <c r="N638" s="27"/>
      <c r="O638" s="47"/>
    </row>
    <row r="639" spans="1:15" ht="15" customHeight="1">
      <c r="A639" s="69">
        <v>46227</v>
      </c>
      <c r="B639" s="32">
        <f t="shared" si="143"/>
        <v>0.95833333333333293</v>
      </c>
      <c r="C639" s="26" t="s">
        <v>21</v>
      </c>
      <c r="D639" s="59" t="s">
        <v>30</v>
      </c>
      <c r="E639" s="59" t="s">
        <v>261</v>
      </c>
      <c r="F639" s="27">
        <v>9</v>
      </c>
      <c r="G639" s="34">
        <f t="shared" si="141"/>
        <v>37.800000000000004</v>
      </c>
      <c r="H639" s="33"/>
      <c r="I639" s="33"/>
      <c r="J639" s="33"/>
      <c r="K639" s="29"/>
      <c r="L639" s="29"/>
      <c r="M639" s="35" t="str">
        <f t="shared" ca="1" si="142"/>
        <v/>
      </c>
      <c r="N639" s="27"/>
      <c r="O639" s="47"/>
    </row>
    <row r="640" spans="1:15" ht="15" customHeight="1">
      <c r="A640" s="68">
        <v>46227</v>
      </c>
      <c r="B640" s="25">
        <f t="shared" si="143"/>
        <v>0.99999999999999956</v>
      </c>
      <c r="C640" s="26" t="s">
        <v>21</v>
      </c>
      <c r="D640" s="59" t="s">
        <v>30</v>
      </c>
      <c r="E640" s="59" t="s">
        <v>261</v>
      </c>
      <c r="F640" s="27">
        <v>8</v>
      </c>
      <c r="G640" s="28">
        <f t="shared" si="141"/>
        <v>33.6</v>
      </c>
      <c r="H640" s="26"/>
      <c r="I640" s="26"/>
      <c r="J640" s="26"/>
      <c r="K640" s="29"/>
      <c r="L640" s="29"/>
      <c r="M640" s="30" t="str">
        <f t="shared" ca="1" si="142"/>
        <v/>
      </c>
      <c r="N640" s="27"/>
      <c r="O640" s="47"/>
    </row>
    <row r="641" spans="1:15" ht="15" customHeight="1">
      <c r="A641" s="69">
        <v>46227</v>
      </c>
      <c r="B641" s="32">
        <f t="shared" si="143"/>
        <v>1.0416666666666663</v>
      </c>
      <c r="C641" s="26" t="s">
        <v>21</v>
      </c>
      <c r="D641" s="59" t="s">
        <v>30</v>
      </c>
      <c r="E641" s="59" t="s">
        <v>261</v>
      </c>
      <c r="F641" s="27">
        <v>5</v>
      </c>
      <c r="G641" s="34">
        <f t="shared" si="141"/>
        <v>21</v>
      </c>
      <c r="H641" s="33"/>
      <c r="I641" s="33"/>
      <c r="J641" s="33"/>
      <c r="K641" s="29"/>
      <c r="L641" s="29"/>
      <c r="M641" s="35" t="str">
        <f t="shared" ca="1" si="142"/>
        <v/>
      </c>
      <c r="N641" s="27"/>
      <c r="O641" s="47"/>
    </row>
    <row r="642" spans="1:15" ht="15" customHeight="1">
      <c r="A642" s="68">
        <v>46227</v>
      </c>
      <c r="B642" s="25">
        <f t="shared" si="143"/>
        <v>1.083333333333333</v>
      </c>
      <c r="C642" s="26" t="s">
        <v>21</v>
      </c>
      <c r="D642" s="59" t="s">
        <v>30</v>
      </c>
      <c r="E642" s="59" t="s">
        <v>261</v>
      </c>
      <c r="F642" s="27">
        <v>0</v>
      </c>
      <c r="G642" s="28">
        <f t="shared" si="141"/>
        <v>0</v>
      </c>
      <c r="H642" s="26"/>
      <c r="I642" s="26"/>
      <c r="J642" s="26"/>
      <c r="K642" s="29"/>
      <c r="L642" s="29"/>
      <c r="M642" s="30" t="str">
        <f t="shared" ca="1" si="142"/>
        <v/>
      </c>
      <c r="N642" s="27"/>
      <c r="O642" s="47"/>
    </row>
    <row r="643" spans="1:15" ht="15" customHeight="1">
      <c r="A643" s="69">
        <v>46227</v>
      </c>
      <c r="B643" s="32">
        <f t="shared" si="143"/>
        <v>1.1249999999999998</v>
      </c>
      <c r="C643" s="26" t="s">
        <v>21</v>
      </c>
      <c r="D643" s="59" t="s">
        <v>30</v>
      </c>
      <c r="E643" s="59" t="s">
        <v>261</v>
      </c>
      <c r="F643" s="27">
        <v>10</v>
      </c>
      <c r="G643" s="34">
        <f t="shared" si="141"/>
        <v>42</v>
      </c>
      <c r="H643" s="33"/>
      <c r="I643" s="33"/>
      <c r="J643" s="33"/>
      <c r="K643" s="29"/>
      <c r="L643" s="29"/>
      <c r="M643" s="35" t="str">
        <f t="shared" ca="1" si="142"/>
        <v/>
      </c>
      <c r="N643" s="27"/>
      <c r="O643" s="47"/>
    </row>
    <row r="644" spans="1:15" ht="15" customHeight="1">
      <c r="A644" s="68">
        <v>46227</v>
      </c>
      <c r="B644" s="25">
        <f t="shared" si="143"/>
        <v>1.1666666666666665</v>
      </c>
      <c r="C644" s="26" t="s">
        <v>21</v>
      </c>
      <c r="D644" s="59" t="s">
        <v>30</v>
      </c>
      <c r="E644" s="59" t="s">
        <v>261</v>
      </c>
      <c r="F644" s="27">
        <v>5</v>
      </c>
      <c r="G644" s="28">
        <f t="shared" si="141"/>
        <v>21</v>
      </c>
      <c r="H644" s="26"/>
      <c r="I644" s="26"/>
      <c r="J644" s="26"/>
      <c r="K644" s="29"/>
      <c r="L644" s="29"/>
      <c r="M644" s="30" t="str">
        <f t="shared" ca="1" si="142"/>
        <v/>
      </c>
      <c r="N644" s="27"/>
      <c r="O644" s="47"/>
    </row>
    <row r="645" spans="1:15" ht="15" customHeight="1">
      <c r="A645" s="69">
        <v>46227</v>
      </c>
      <c r="B645" s="32">
        <f t="shared" si="143"/>
        <v>1.2083333333333333</v>
      </c>
      <c r="C645" s="26" t="s">
        <v>21</v>
      </c>
      <c r="D645" s="59" t="s">
        <v>30</v>
      </c>
      <c r="E645" s="59" t="s">
        <v>261</v>
      </c>
      <c r="F645" s="27">
        <v>7</v>
      </c>
      <c r="G645" s="34">
        <f t="shared" si="141"/>
        <v>29.400000000000002</v>
      </c>
      <c r="H645" s="33"/>
      <c r="I645" s="33"/>
      <c r="J645" s="33"/>
      <c r="K645" s="29"/>
      <c r="L645" s="29"/>
      <c r="M645" s="35" t="str">
        <f t="shared" ca="1" si="142"/>
        <v/>
      </c>
      <c r="N645" s="27"/>
      <c r="O645" s="47"/>
    </row>
    <row r="646" spans="1:15" ht="15" customHeight="1">
      <c r="A646" s="68">
        <v>46227</v>
      </c>
      <c r="B646" s="25">
        <f t="shared" si="143"/>
        <v>1.25</v>
      </c>
      <c r="C646" s="26" t="s">
        <v>21</v>
      </c>
      <c r="D646" s="59" t="s">
        <v>30</v>
      </c>
      <c r="E646" s="59" t="s">
        <v>261</v>
      </c>
      <c r="F646" s="27">
        <v>0</v>
      </c>
      <c r="G646" s="28">
        <f t="shared" si="141"/>
        <v>0</v>
      </c>
      <c r="H646" s="26"/>
      <c r="I646" s="26"/>
      <c r="J646" s="26"/>
      <c r="K646" s="29"/>
      <c r="L646" s="29"/>
      <c r="M646" s="30" t="str">
        <f t="shared" ca="1" si="142"/>
        <v/>
      </c>
      <c r="N646" s="27"/>
      <c r="O646" s="47"/>
    </row>
    <row r="647" spans="1:15" ht="15" customHeight="1">
      <c r="A647" s="69">
        <v>46227</v>
      </c>
      <c r="B647" s="32">
        <f t="shared" si="143"/>
        <v>1.2916666666666667</v>
      </c>
      <c r="C647" s="26" t="s">
        <v>21</v>
      </c>
      <c r="D647" s="59" t="s">
        <v>30</v>
      </c>
      <c r="E647" s="59" t="s">
        <v>261</v>
      </c>
      <c r="F647" s="27">
        <v>4</v>
      </c>
      <c r="G647" s="34">
        <f t="shared" si="141"/>
        <v>16.8</v>
      </c>
      <c r="H647" s="33"/>
      <c r="I647" s="33"/>
      <c r="J647" s="33"/>
      <c r="K647" s="29"/>
      <c r="L647" s="29"/>
      <c r="M647" s="35" t="str">
        <f t="shared" ca="1" si="142"/>
        <v/>
      </c>
      <c r="N647" s="27"/>
      <c r="O647" s="47"/>
    </row>
    <row r="648" spans="1:15" ht="15.75" customHeight="1">
      <c r="A648" s="119" t="s">
        <v>238</v>
      </c>
      <c r="B648" s="120"/>
      <c r="C648" s="120"/>
      <c r="D648" s="120"/>
      <c r="E648" s="121">
        <f>SUM(E636:E647)</f>
        <v>0</v>
      </c>
      <c r="F648" s="36">
        <f>SUM(F636:F647)</f>
        <v>81</v>
      </c>
      <c r="G648" s="36">
        <f>SUM(G636:G647)</f>
        <v>340.2</v>
      </c>
      <c r="H648" s="37"/>
      <c r="I648" s="37"/>
      <c r="J648" s="37"/>
      <c r="K648" s="37"/>
      <c r="L648" s="37"/>
      <c r="M648" s="38">
        <f ca="1">IFERROR(SUM(M636:M647),"")</f>
        <v>8.9583333333333348E-2</v>
      </c>
      <c r="N648" s="36" t="s">
        <v>237</v>
      </c>
      <c r="O648" s="39">
        <v>319500</v>
      </c>
    </row>
    <row r="649" spans="1:15" ht="18" customHeight="1">
      <c r="A649" s="122" t="s">
        <v>239</v>
      </c>
      <c r="B649" s="123"/>
      <c r="C649" s="123"/>
      <c r="D649" s="123"/>
      <c r="E649" s="124">
        <f>E635+E648</f>
        <v>0</v>
      </c>
      <c r="F649" s="40">
        <f>F635+F648</f>
        <v>227</v>
      </c>
      <c r="G649" s="40">
        <f>G635+G648</f>
        <v>953.39999999999986</v>
      </c>
      <c r="H649" s="41"/>
      <c r="I649" s="41"/>
      <c r="J649" s="41"/>
      <c r="K649" s="41"/>
      <c r="L649" s="41"/>
      <c r="M649" s="42">
        <f ca="1">IFERROR(M635+M648,"")</f>
        <v>9.5138888888888884E-2</v>
      </c>
      <c r="N649" s="40" t="s">
        <v>240</v>
      </c>
      <c r="O649" s="48">
        <f>IFERROR(O635+O648,"")</f>
        <v>978870</v>
      </c>
    </row>
    <row r="650" spans="1:15" ht="15" customHeight="1">
      <c r="A650" s="68">
        <v>46228</v>
      </c>
      <c r="B650" s="25">
        <v>0.33333333333333298</v>
      </c>
      <c r="C650" s="26" t="s">
        <v>29</v>
      </c>
      <c r="D650" s="59" t="s">
        <v>30</v>
      </c>
      <c r="E650" s="59" t="s">
        <v>261</v>
      </c>
      <c r="F650" s="27">
        <v>11</v>
      </c>
      <c r="G650" s="28">
        <f t="shared" ref="G650:G661" si="144">IF(F650="","",IF(E650="PC 17",F650*4.2,IF(E650="PC 19",F650*5,"")))</f>
        <v>46.2</v>
      </c>
      <c r="H650" s="26" t="s">
        <v>18</v>
      </c>
      <c r="I650" s="26"/>
      <c r="J650" s="26" t="s">
        <v>128</v>
      </c>
      <c r="K650" s="29">
        <v>0.35902777777777778</v>
      </c>
      <c r="L650" s="29">
        <v>0.41875000000000001</v>
      </c>
      <c r="M650" s="30">
        <f t="shared" ref="M650:M661" ca="1" si="145">IFERROR(IF(K650="","",IF(L650="",MOD(NOW()-K650,1),IF(L650&gt;=K650,L650-K650,L650+1-K650))),"")</f>
        <v>5.9722222222222232E-2</v>
      </c>
      <c r="N650" s="27" t="s">
        <v>377</v>
      </c>
      <c r="O650" s="47"/>
    </row>
    <row r="651" spans="1:15" ht="15" customHeight="1">
      <c r="A651" s="69">
        <v>46228</v>
      </c>
      <c r="B651" s="32">
        <f t="shared" ref="B651:B661" si="146">B650+TIME(0,60,0)</f>
        <v>0.37499999999999967</v>
      </c>
      <c r="C651" s="26" t="s">
        <v>29</v>
      </c>
      <c r="D651" s="59" t="s">
        <v>30</v>
      </c>
      <c r="E651" s="59" t="s">
        <v>261</v>
      </c>
      <c r="F651" s="27">
        <v>4</v>
      </c>
      <c r="G651" s="34">
        <f t="shared" si="144"/>
        <v>16.8</v>
      </c>
      <c r="H651" s="33" t="s">
        <v>20</v>
      </c>
      <c r="I651" s="33" t="s">
        <v>47</v>
      </c>
      <c r="J651" s="33" t="s">
        <v>36</v>
      </c>
      <c r="K651" s="29">
        <v>0.57499999999999996</v>
      </c>
      <c r="L651" s="29">
        <v>0.5854166666666667</v>
      </c>
      <c r="M651" s="35">
        <f t="shared" ca="1" si="145"/>
        <v>1.0416666666666741E-2</v>
      </c>
      <c r="N651" s="27"/>
      <c r="O651" s="47"/>
    </row>
    <row r="652" spans="1:15" ht="15" customHeight="1">
      <c r="A652" s="68">
        <v>46228</v>
      </c>
      <c r="B652" s="25">
        <f t="shared" si="146"/>
        <v>0.41666666666666635</v>
      </c>
      <c r="C652" s="26" t="s">
        <v>29</v>
      </c>
      <c r="D652" s="59" t="s">
        <v>30</v>
      </c>
      <c r="E652" s="59" t="s">
        <v>261</v>
      </c>
      <c r="F652" s="27">
        <v>0</v>
      </c>
      <c r="G652" s="34">
        <f t="shared" si="144"/>
        <v>0</v>
      </c>
      <c r="H652" s="26" t="s">
        <v>19</v>
      </c>
      <c r="I652" s="26" t="s">
        <v>47</v>
      </c>
      <c r="J652" s="26" t="s">
        <v>27</v>
      </c>
      <c r="K652" s="29">
        <v>0.70694444444444449</v>
      </c>
      <c r="L652" s="29">
        <v>0.72777777777777775</v>
      </c>
      <c r="M652" s="30">
        <f t="shared" ca="1" si="145"/>
        <v>2.0833333333333259E-2</v>
      </c>
      <c r="N652" s="27" t="s">
        <v>331</v>
      </c>
      <c r="O652" s="47"/>
    </row>
    <row r="653" spans="1:15" ht="15" customHeight="1">
      <c r="A653" s="69">
        <v>46228</v>
      </c>
      <c r="B653" s="32">
        <f t="shared" si="146"/>
        <v>0.45833333333333304</v>
      </c>
      <c r="C653" s="26" t="s">
        <v>29</v>
      </c>
      <c r="D653" s="59" t="s">
        <v>30</v>
      </c>
      <c r="E653" s="59" t="s">
        <v>261</v>
      </c>
      <c r="F653" s="27">
        <v>11</v>
      </c>
      <c r="G653" s="34">
        <f t="shared" si="144"/>
        <v>46.2</v>
      </c>
      <c r="H653" s="33" t="s">
        <v>17</v>
      </c>
      <c r="I653" s="33" t="s">
        <v>47</v>
      </c>
      <c r="J653" s="33" t="s">
        <v>71</v>
      </c>
      <c r="K653" s="29">
        <v>0.7319444444444444</v>
      </c>
      <c r="L653" s="29">
        <v>0.76458333333333328</v>
      </c>
      <c r="M653" s="35">
        <f t="shared" ca="1" si="145"/>
        <v>3.2638888888888884E-2</v>
      </c>
      <c r="N653" s="27"/>
      <c r="O653" s="47"/>
    </row>
    <row r="654" spans="1:15" ht="15" customHeight="1">
      <c r="A654" s="68">
        <v>46228</v>
      </c>
      <c r="B654" s="25">
        <f t="shared" si="146"/>
        <v>0.49999999999999972</v>
      </c>
      <c r="C654" s="26" t="s">
        <v>29</v>
      </c>
      <c r="D654" s="59" t="s">
        <v>30</v>
      </c>
      <c r="E654" s="59" t="s">
        <v>234</v>
      </c>
      <c r="F654" s="27">
        <v>10</v>
      </c>
      <c r="G654" s="28">
        <f t="shared" si="144"/>
        <v>50</v>
      </c>
      <c r="H654" s="26"/>
      <c r="I654" s="26"/>
      <c r="J654" s="26"/>
      <c r="K654" s="29"/>
      <c r="L654" s="29"/>
      <c r="M654" s="30" t="str">
        <f t="shared" ca="1" si="145"/>
        <v/>
      </c>
      <c r="N654" s="27"/>
      <c r="O654" s="47"/>
    </row>
    <row r="655" spans="1:15" ht="15" customHeight="1">
      <c r="A655" s="69">
        <v>46228</v>
      </c>
      <c r="B655" s="32">
        <f t="shared" si="146"/>
        <v>0.54166666666666641</v>
      </c>
      <c r="C655" s="26" t="s">
        <v>29</v>
      </c>
      <c r="D655" s="59" t="s">
        <v>30</v>
      </c>
      <c r="E655" s="59" t="s">
        <v>261</v>
      </c>
      <c r="F655" s="27">
        <v>12</v>
      </c>
      <c r="G655" s="34">
        <f t="shared" si="144"/>
        <v>50.400000000000006</v>
      </c>
      <c r="H655" s="33"/>
      <c r="I655" s="33"/>
      <c r="J655" s="33"/>
      <c r="K655" s="29"/>
      <c r="L655" s="29"/>
      <c r="M655" s="35" t="str">
        <f t="shared" ca="1" si="145"/>
        <v/>
      </c>
      <c r="N655" s="27"/>
      <c r="O655" s="47"/>
    </row>
    <row r="656" spans="1:15" ht="15" customHeight="1">
      <c r="A656" s="68">
        <v>46228</v>
      </c>
      <c r="B656" s="25">
        <f t="shared" si="146"/>
        <v>0.58333333333333304</v>
      </c>
      <c r="C656" s="26" t="s">
        <v>29</v>
      </c>
      <c r="D656" s="59" t="s">
        <v>30</v>
      </c>
      <c r="E656" s="59" t="s">
        <v>261</v>
      </c>
      <c r="F656" s="27">
        <v>14</v>
      </c>
      <c r="G656" s="28">
        <f t="shared" si="144"/>
        <v>58.800000000000004</v>
      </c>
      <c r="H656" s="26"/>
      <c r="I656" s="26"/>
      <c r="J656" s="26"/>
      <c r="K656" s="29"/>
      <c r="L656" s="29"/>
      <c r="M656" s="30" t="str">
        <f t="shared" ca="1" si="145"/>
        <v/>
      </c>
      <c r="N656" s="27"/>
      <c r="O656" s="47"/>
    </row>
    <row r="657" spans="1:15" ht="15" customHeight="1">
      <c r="A657" s="69">
        <v>46228</v>
      </c>
      <c r="B657" s="32">
        <f t="shared" si="146"/>
        <v>0.62499999999999967</v>
      </c>
      <c r="C657" s="26" t="s">
        <v>29</v>
      </c>
      <c r="D657" s="59" t="s">
        <v>30</v>
      </c>
      <c r="E657" s="59" t="s">
        <v>261</v>
      </c>
      <c r="F657" s="27">
        <v>7</v>
      </c>
      <c r="G657" s="34">
        <f t="shared" si="144"/>
        <v>29.400000000000002</v>
      </c>
      <c r="H657" s="33"/>
      <c r="I657" s="33"/>
      <c r="J657" s="33"/>
      <c r="K657" s="29"/>
      <c r="L657" s="29"/>
      <c r="M657" s="35" t="str">
        <f t="shared" ca="1" si="145"/>
        <v/>
      </c>
      <c r="N657" s="27"/>
      <c r="O657" s="47"/>
    </row>
    <row r="658" spans="1:15" ht="15" customHeight="1">
      <c r="A658" s="68">
        <v>46228</v>
      </c>
      <c r="B658" s="25">
        <f t="shared" si="146"/>
        <v>0.6666666666666663</v>
      </c>
      <c r="C658" s="26" t="s">
        <v>29</v>
      </c>
      <c r="D658" s="59" t="s">
        <v>30</v>
      </c>
      <c r="E658" s="59" t="s">
        <v>261</v>
      </c>
      <c r="F658" s="27">
        <v>13</v>
      </c>
      <c r="G658" s="28">
        <f t="shared" si="144"/>
        <v>54.6</v>
      </c>
      <c r="H658" s="26"/>
      <c r="I658" s="26"/>
      <c r="J658" s="26"/>
      <c r="K658" s="29"/>
      <c r="L658" s="29"/>
      <c r="M658" s="30" t="str">
        <f t="shared" ca="1" si="145"/>
        <v/>
      </c>
      <c r="N658" s="27"/>
      <c r="O658" s="47"/>
    </row>
    <row r="659" spans="1:15" ht="15" customHeight="1">
      <c r="A659" s="69">
        <v>46228</v>
      </c>
      <c r="B659" s="32">
        <f t="shared" si="146"/>
        <v>0.70833333333333293</v>
      </c>
      <c r="C659" s="26" t="s">
        <v>29</v>
      </c>
      <c r="D659" s="59" t="s">
        <v>30</v>
      </c>
      <c r="E659" s="59" t="s">
        <v>261</v>
      </c>
      <c r="F659" s="27">
        <v>12</v>
      </c>
      <c r="G659" s="34">
        <f t="shared" si="144"/>
        <v>50.400000000000006</v>
      </c>
      <c r="H659" s="33"/>
      <c r="I659" s="33"/>
      <c r="J659" s="33"/>
      <c r="K659" s="29"/>
      <c r="L659" s="29"/>
      <c r="M659" s="35" t="str">
        <f t="shared" ca="1" si="145"/>
        <v/>
      </c>
      <c r="N659" s="27"/>
      <c r="O659" s="47"/>
    </row>
    <row r="660" spans="1:15" ht="15" customHeight="1">
      <c r="A660" s="68">
        <v>46228</v>
      </c>
      <c r="B660" s="25">
        <f t="shared" si="146"/>
        <v>0.74999999999999956</v>
      </c>
      <c r="C660" s="26" t="s">
        <v>29</v>
      </c>
      <c r="D660" s="59" t="s">
        <v>30</v>
      </c>
      <c r="E660" s="59" t="s">
        <v>261</v>
      </c>
      <c r="F660" s="27">
        <v>1</v>
      </c>
      <c r="G660" s="28">
        <f t="shared" si="144"/>
        <v>4.2</v>
      </c>
      <c r="H660" s="26"/>
      <c r="I660" s="26"/>
      <c r="J660" s="26"/>
      <c r="K660" s="29"/>
      <c r="L660" s="29"/>
      <c r="M660" s="30" t="str">
        <f t="shared" ca="1" si="145"/>
        <v/>
      </c>
      <c r="N660" s="27"/>
      <c r="O660" s="47"/>
    </row>
    <row r="661" spans="1:15" ht="15" customHeight="1">
      <c r="A661" s="69">
        <v>46228</v>
      </c>
      <c r="B661" s="32">
        <f t="shared" si="146"/>
        <v>0.79166666666666619</v>
      </c>
      <c r="C661" s="26" t="s">
        <v>29</v>
      </c>
      <c r="D661" s="59" t="s">
        <v>30</v>
      </c>
      <c r="E661" s="59" t="s">
        <v>261</v>
      </c>
      <c r="F661" s="27">
        <v>0</v>
      </c>
      <c r="G661" s="34">
        <f t="shared" si="144"/>
        <v>0</v>
      </c>
      <c r="H661" s="33"/>
      <c r="I661" s="33"/>
      <c r="J661" s="33"/>
      <c r="K661" s="29"/>
      <c r="L661" s="29"/>
      <c r="M661" s="35" t="str">
        <f t="shared" ca="1" si="145"/>
        <v/>
      </c>
      <c r="N661" s="27"/>
      <c r="O661" s="47"/>
    </row>
    <row r="662" spans="1:15" ht="15.75" customHeight="1">
      <c r="A662" s="119" t="s">
        <v>236</v>
      </c>
      <c r="B662" s="120"/>
      <c r="C662" s="120"/>
      <c r="D662" s="120"/>
      <c r="E662" s="121">
        <f>SUM(E650:E661)</f>
        <v>0</v>
      </c>
      <c r="F662" s="36">
        <f>SUM(F650:F661)</f>
        <v>95</v>
      </c>
      <c r="G662" s="36">
        <f>SUM(G650:G661)</f>
        <v>406.99999999999994</v>
      </c>
      <c r="H662" s="37"/>
      <c r="I662" s="37"/>
      <c r="J662" s="37"/>
      <c r="K662" s="37"/>
      <c r="L662" s="37"/>
      <c r="M662" s="38">
        <f ca="1">IFERROR(SUM(M650:M661),"")</f>
        <v>0.12361111111111112</v>
      </c>
      <c r="N662" s="36" t="s">
        <v>237</v>
      </c>
      <c r="O662" s="39">
        <v>446880</v>
      </c>
    </row>
    <row r="663" spans="1:15" ht="15" customHeight="1">
      <c r="A663" s="69">
        <v>46228</v>
      </c>
      <c r="B663" s="32">
        <v>0.83333333333333304</v>
      </c>
      <c r="C663" s="33" t="s">
        <v>21</v>
      </c>
      <c r="D663" s="62" t="s">
        <v>30</v>
      </c>
      <c r="E663" s="62" t="s">
        <v>261</v>
      </c>
      <c r="F663" s="27">
        <v>10</v>
      </c>
      <c r="G663" s="34">
        <f t="shared" ref="G663:G674" si="147">IF(F663="","",IF(E663="PC 17",F663*4.2,IF(E663="PC 19",F663*5,"")))</f>
        <v>42</v>
      </c>
      <c r="H663" s="33" t="s">
        <v>20</v>
      </c>
      <c r="I663" s="33" t="s">
        <v>121</v>
      </c>
      <c r="J663" s="33" t="s">
        <v>113</v>
      </c>
      <c r="K663" s="29">
        <v>0.96527777777777779</v>
      </c>
      <c r="L663" s="29">
        <v>0.99305555555555558</v>
      </c>
      <c r="M663" s="35">
        <f t="shared" ref="M663:M674" ca="1" si="148">IFERROR(IF(K663="","",IF(L663="",MOD(NOW()-K663,1),IF(L663&gt;=K663,L663-K663,L663+1-K663))),"")</f>
        <v>2.777777777777779E-2</v>
      </c>
      <c r="N663" s="27"/>
      <c r="O663" s="47"/>
    </row>
    <row r="664" spans="1:15" ht="15" customHeight="1">
      <c r="A664" s="68">
        <v>46228</v>
      </c>
      <c r="B664" s="25">
        <f t="shared" ref="B664:B674" si="149">B663+TIME(0,60,0)</f>
        <v>0.87499999999999967</v>
      </c>
      <c r="C664" s="33" t="s">
        <v>21</v>
      </c>
      <c r="D664" s="62" t="s">
        <v>30</v>
      </c>
      <c r="E664" s="62" t="s">
        <v>261</v>
      </c>
      <c r="F664" s="27">
        <v>10</v>
      </c>
      <c r="G664" s="28">
        <f t="shared" si="147"/>
        <v>42</v>
      </c>
      <c r="H664" s="26" t="s">
        <v>20</v>
      </c>
      <c r="I664" s="26" t="s">
        <v>47</v>
      </c>
      <c r="J664" s="26" t="s">
        <v>36</v>
      </c>
      <c r="K664" s="29">
        <v>0.1111111111111111</v>
      </c>
      <c r="L664" s="29">
        <v>0.15486111111111112</v>
      </c>
      <c r="M664" s="30">
        <f t="shared" ca="1" si="148"/>
        <v>4.3750000000000011E-2</v>
      </c>
      <c r="N664" s="27" t="s">
        <v>378</v>
      </c>
      <c r="O664" s="47"/>
    </row>
    <row r="665" spans="1:15" ht="15" customHeight="1">
      <c r="A665" s="69">
        <v>46228</v>
      </c>
      <c r="B665" s="32">
        <f t="shared" si="149"/>
        <v>0.9166666666666663</v>
      </c>
      <c r="C665" s="33" t="s">
        <v>21</v>
      </c>
      <c r="D665" s="62" t="s">
        <v>30</v>
      </c>
      <c r="E665" s="62" t="s">
        <v>261</v>
      </c>
      <c r="F665" s="27">
        <v>10</v>
      </c>
      <c r="G665" s="34">
        <f t="shared" si="147"/>
        <v>42</v>
      </c>
      <c r="H665" s="33"/>
      <c r="I665" s="33"/>
      <c r="J665" s="33"/>
      <c r="K665" s="29"/>
      <c r="L665" s="29"/>
      <c r="M665" s="35" t="str">
        <f t="shared" ca="1" si="148"/>
        <v/>
      </c>
      <c r="N665" s="27"/>
      <c r="O665" s="47"/>
    </row>
    <row r="666" spans="1:15" ht="15" customHeight="1">
      <c r="A666" s="68">
        <v>46228</v>
      </c>
      <c r="B666" s="25">
        <f t="shared" si="149"/>
        <v>0.95833333333333293</v>
      </c>
      <c r="C666" s="33" t="s">
        <v>21</v>
      </c>
      <c r="D666" s="62" t="s">
        <v>30</v>
      </c>
      <c r="E666" s="62" t="s">
        <v>261</v>
      </c>
      <c r="F666" s="27">
        <v>12</v>
      </c>
      <c r="G666" s="28">
        <f t="shared" si="147"/>
        <v>50.400000000000006</v>
      </c>
      <c r="H666" s="26"/>
      <c r="I666" s="26"/>
      <c r="J666" s="26"/>
      <c r="K666" s="29"/>
      <c r="L666" s="29"/>
      <c r="M666" s="30" t="str">
        <f t="shared" ca="1" si="148"/>
        <v/>
      </c>
      <c r="N666" s="27"/>
      <c r="O666" s="47"/>
    </row>
    <row r="667" spans="1:15" ht="15" customHeight="1">
      <c r="A667" s="69">
        <v>46228</v>
      </c>
      <c r="B667" s="32">
        <f t="shared" si="149"/>
        <v>0.99999999999999956</v>
      </c>
      <c r="C667" s="33" t="s">
        <v>21</v>
      </c>
      <c r="D667" s="62" t="s">
        <v>30</v>
      </c>
      <c r="E667" s="62" t="s">
        <v>261</v>
      </c>
      <c r="F667" s="27">
        <v>3</v>
      </c>
      <c r="G667" s="34">
        <f t="shared" si="147"/>
        <v>12.600000000000001</v>
      </c>
      <c r="H667" s="33"/>
      <c r="I667" s="33"/>
      <c r="J667" s="33"/>
      <c r="K667" s="29"/>
      <c r="L667" s="29"/>
      <c r="M667" s="35" t="str">
        <f t="shared" ca="1" si="148"/>
        <v/>
      </c>
      <c r="N667" s="27"/>
      <c r="O667" s="47"/>
    </row>
    <row r="668" spans="1:15" ht="15" customHeight="1">
      <c r="A668" s="68">
        <v>46228</v>
      </c>
      <c r="B668" s="25">
        <f t="shared" si="149"/>
        <v>1.0416666666666663</v>
      </c>
      <c r="C668" s="33" t="s">
        <v>21</v>
      </c>
      <c r="D668" s="62" t="s">
        <v>30</v>
      </c>
      <c r="E668" s="62" t="s">
        <v>261</v>
      </c>
      <c r="F668" s="27">
        <v>7</v>
      </c>
      <c r="G668" s="28">
        <f t="shared" si="147"/>
        <v>29.400000000000002</v>
      </c>
      <c r="H668" s="26"/>
      <c r="I668" s="26"/>
      <c r="J668" s="26"/>
      <c r="K668" s="29"/>
      <c r="L668" s="29"/>
      <c r="M668" s="30" t="str">
        <f t="shared" ca="1" si="148"/>
        <v/>
      </c>
      <c r="N668" s="27"/>
      <c r="O668" s="47"/>
    </row>
    <row r="669" spans="1:15" ht="15" customHeight="1">
      <c r="A669" s="69">
        <v>46228</v>
      </c>
      <c r="B669" s="32">
        <f t="shared" si="149"/>
        <v>1.083333333333333</v>
      </c>
      <c r="C669" s="33" t="s">
        <v>21</v>
      </c>
      <c r="D669" s="62" t="s">
        <v>30</v>
      </c>
      <c r="E669" s="62" t="s">
        <v>261</v>
      </c>
      <c r="F669" s="27">
        <v>4</v>
      </c>
      <c r="G669" s="34">
        <f t="shared" si="147"/>
        <v>16.8</v>
      </c>
      <c r="H669" s="33"/>
      <c r="I669" s="33"/>
      <c r="J669" s="33"/>
      <c r="K669" s="29"/>
      <c r="L669" s="29"/>
      <c r="M669" s="35" t="str">
        <f t="shared" ca="1" si="148"/>
        <v/>
      </c>
      <c r="N669" s="27"/>
      <c r="O669" s="47"/>
    </row>
    <row r="670" spans="1:15" ht="15" customHeight="1">
      <c r="A670" s="68">
        <v>46228</v>
      </c>
      <c r="B670" s="25">
        <f t="shared" si="149"/>
        <v>1.1249999999999998</v>
      </c>
      <c r="C670" s="33" t="s">
        <v>21</v>
      </c>
      <c r="D670" s="62" t="s">
        <v>30</v>
      </c>
      <c r="E670" s="62" t="s">
        <v>261</v>
      </c>
      <c r="F670" s="27">
        <v>6</v>
      </c>
      <c r="G670" s="28">
        <f t="shared" si="147"/>
        <v>25.200000000000003</v>
      </c>
      <c r="H670" s="26"/>
      <c r="I670" s="26"/>
      <c r="J670" s="26"/>
      <c r="K670" s="29"/>
      <c r="L670" s="29"/>
      <c r="M670" s="30" t="str">
        <f t="shared" ca="1" si="148"/>
        <v/>
      </c>
      <c r="N670" s="27"/>
      <c r="O670" s="47"/>
    </row>
    <row r="671" spans="1:15" ht="15" customHeight="1">
      <c r="A671" s="69">
        <v>46228</v>
      </c>
      <c r="B671" s="32">
        <f t="shared" si="149"/>
        <v>1.1666666666666665</v>
      </c>
      <c r="C671" s="33" t="s">
        <v>21</v>
      </c>
      <c r="D671" s="62" t="s">
        <v>30</v>
      </c>
      <c r="E671" s="62" t="s">
        <v>261</v>
      </c>
      <c r="F671" s="27">
        <v>3</v>
      </c>
      <c r="G671" s="34">
        <f t="shared" si="147"/>
        <v>12.600000000000001</v>
      </c>
      <c r="H671" s="33"/>
      <c r="I671" s="33"/>
      <c r="J671" s="33"/>
      <c r="K671" s="29"/>
      <c r="L671" s="29"/>
      <c r="M671" s="35" t="str">
        <f t="shared" ca="1" si="148"/>
        <v/>
      </c>
      <c r="N671" s="27"/>
      <c r="O671" s="47"/>
    </row>
    <row r="672" spans="1:15" ht="15" customHeight="1">
      <c r="A672" s="68">
        <v>46228</v>
      </c>
      <c r="B672" s="25">
        <f t="shared" si="149"/>
        <v>1.2083333333333333</v>
      </c>
      <c r="C672" s="33" t="s">
        <v>21</v>
      </c>
      <c r="D672" s="62" t="s">
        <v>30</v>
      </c>
      <c r="E672" s="62" t="s">
        <v>261</v>
      </c>
      <c r="F672" s="27">
        <v>0</v>
      </c>
      <c r="G672" s="28">
        <f t="shared" si="147"/>
        <v>0</v>
      </c>
      <c r="H672" s="26"/>
      <c r="I672" s="26"/>
      <c r="J672" s="26"/>
      <c r="K672" s="29"/>
      <c r="L672" s="29"/>
      <c r="M672" s="30" t="str">
        <f t="shared" ca="1" si="148"/>
        <v/>
      </c>
      <c r="N672" s="27"/>
      <c r="O672" s="47"/>
    </row>
    <row r="673" spans="1:15" ht="15" customHeight="1">
      <c r="A673" s="69">
        <v>46228</v>
      </c>
      <c r="B673" s="32">
        <f t="shared" si="149"/>
        <v>1.25</v>
      </c>
      <c r="C673" s="33" t="s">
        <v>21</v>
      </c>
      <c r="D673" s="62" t="s">
        <v>30</v>
      </c>
      <c r="E673" s="62" t="s">
        <v>261</v>
      </c>
      <c r="F673" s="27">
        <v>5</v>
      </c>
      <c r="G673" s="34">
        <f t="shared" si="147"/>
        <v>21</v>
      </c>
      <c r="H673" s="33"/>
      <c r="I673" s="33"/>
      <c r="J673" s="33"/>
      <c r="K673" s="29"/>
      <c r="L673" s="29"/>
      <c r="M673" s="35" t="str">
        <f t="shared" ca="1" si="148"/>
        <v/>
      </c>
      <c r="N673" s="27"/>
      <c r="O673" s="47"/>
    </row>
    <row r="674" spans="1:15" ht="15" customHeight="1">
      <c r="A674" s="68">
        <v>46228</v>
      </c>
      <c r="B674" s="25">
        <f t="shared" si="149"/>
        <v>1.2916666666666667</v>
      </c>
      <c r="C674" s="33" t="s">
        <v>21</v>
      </c>
      <c r="D674" s="62" t="s">
        <v>30</v>
      </c>
      <c r="E674" s="62" t="s">
        <v>261</v>
      </c>
      <c r="F674" s="27">
        <v>3</v>
      </c>
      <c r="G674" s="28">
        <f t="shared" si="147"/>
        <v>12.600000000000001</v>
      </c>
      <c r="H674" s="26"/>
      <c r="I674" s="26"/>
      <c r="J674" s="26"/>
      <c r="K674" s="29"/>
      <c r="L674" s="29"/>
      <c r="M674" s="30" t="str">
        <f t="shared" ca="1" si="148"/>
        <v/>
      </c>
      <c r="N674" s="27"/>
      <c r="O674" s="47"/>
    </row>
    <row r="675" spans="1:15" ht="15.75" customHeight="1">
      <c r="A675" s="119" t="s">
        <v>238</v>
      </c>
      <c r="B675" s="120"/>
      <c r="C675" s="120"/>
      <c r="D675" s="120"/>
      <c r="E675" s="121">
        <f>SUM(E663:E674)</f>
        <v>0</v>
      </c>
      <c r="F675" s="36">
        <f>SUM(F663:F674)</f>
        <v>73</v>
      </c>
      <c r="G675" s="36">
        <f>SUM(G663:G674)</f>
        <v>306.60000000000008</v>
      </c>
      <c r="H675" s="37"/>
      <c r="I675" s="37"/>
      <c r="J675" s="37"/>
      <c r="K675" s="37"/>
      <c r="L675" s="37"/>
      <c r="M675" s="38">
        <f ca="1">IFERROR(SUM(M663:M674),"")</f>
        <v>7.1527777777777801E-2</v>
      </c>
      <c r="N675" s="36" t="s">
        <v>237</v>
      </c>
      <c r="O675" s="39">
        <v>323580</v>
      </c>
    </row>
    <row r="676" spans="1:15" ht="18" customHeight="1">
      <c r="A676" s="122" t="s">
        <v>239</v>
      </c>
      <c r="B676" s="123"/>
      <c r="C676" s="123"/>
      <c r="D676" s="123"/>
      <c r="E676" s="124">
        <f>E662+E675</f>
        <v>0</v>
      </c>
      <c r="F676" s="40">
        <f>F662+F675</f>
        <v>168</v>
      </c>
      <c r="G676" s="40">
        <f>G662+G675</f>
        <v>713.6</v>
      </c>
      <c r="H676" s="41"/>
      <c r="I676" s="41"/>
      <c r="J676" s="41"/>
      <c r="K676" s="41"/>
      <c r="L676" s="41"/>
      <c r="M676" s="42">
        <f ca="1">IFERROR(M662+M675,"")</f>
        <v>0.19513888888888892</v>
      </c>
      <c r="N676" s="40" t="s">
        <v>240</v>
      </c>
      <c r="O676" s="48">
        <f>IFERROR(O662+O675,"")</f>
        <v>770460</v>
      </c>
    </row>
    <row r="677" spans="1:15" ht="15" customHeight="1">
      <c r="A677" s="69">
        <v>46229</v>
      </c>
      <c r="B677" s="32">
        <v>0.33333333333333298</v>
      </c>
      <c r="C677" s="33" t="s">
        <v>29</v>
      </c>
      <c r="D677" s="62" t="s">
        <v>30</v>
      </c>
      <c r="E677" s="62" t="s">
        <v>261</v>
      </c>
      <c r="F677" s="27">
        <v>14</v>
      </c>
      <c r="G677" s="34">
        <f t="shared" ref="G677:G688" si="150">IF(F677="","",IF(E677="PC 17",F677*4.2,IF(E677="PC 19",F677*5,"")))</f>
        <v>58.800000000000004</v>
      </c>
      <c r="H677" s="33" t="s">
        <v>20</v>
      </c>
      <c r="I677" s="33" t="s">
        <v>47</v>
      </c>
      <c r="J677" s="33" t="s">
        <v>51</v>
      </c>
      <c r="K677" s="29">
        <v>0.37152777777777779</v>
      </c>
      <c r="L677" s="29">
        <v>0.37569444444444444</v>
      </c>
      <c r="M677" s="35">
        <f t="shared" ref="M677:M688" ca="1" si="151">IFERROR(IF(K677="","",IF(L677="",MOD(NOW()-K677,1),IF(L677&gt;=K677,L677-K677,L677+1-K677))),"")</f>
        <v>4.1666666666666519E-3</v>
      </c>
      <c r="N677" s="27"/>
      <c r="O677" s="47"/>
    </row>
    <row r="678" spans="1:15" ht="15" customHeight="1">
      <c r="A678" s="68">
        <v>46229</v>
      </c>
      <c r="B678" s="25">
        <f t="shared" ref="B678:B688" si="152">B677+TIME(0,60,0)</f>
        <v>0.37499999999999967</v>
      </c>
      <c r="C678" s="33" t="s">
        <v>29</v>
      </c>
      <c r="D678" s="62" t="s">
        <v>30</v>
      </c>
      <c r="E678" s="62" t="s">
        <v>261</v>
      </c>
      <c r="F678" s="27">
        <v>10</v>
      </c>
      <c r="G678" s="28">
        <f t="shared" si="150"/>
        <v>42</v>
      </c>
      <c r="H678" s="26" t="s">
        <v>19</v>
      </c>
      <c r="I678" s="26" t="s">
        <v>47</v>
      </c>
      <c r="J678" s="26" t="s">
        <v>27</v>
      </c>
      <c r="K678" s="29">
        <v>0.48055555555555557</v>
      </c>
      <c r="L678" s="29">
        <v>0.5</v>
      </c>
      <c r="M678" s="30">
        <f t="shared" ca="1" si="151"/>
        <v>1.9444444444444431E-2</v>
      </c>
      <c r="N678" s="27"/>
      <c r="O678" s="47"/>
    </row>
    <row r="679" spans="1:15" ht="15" customHeight="1">
      <c r="A679" s="69">
        <v>46229</v>
      </c>
      <c r="B679" s="32">
        <f t="shared" si="152"/>
        <v>0.41666666666666635</v>
      </c>
      <c r="C679" s="33" t="s">
        <v>29</v>
      </c>
      <c r="D679" s="62" t="s">
        <v>30</v>
      </c>
      <c r="E679" s="62" t="s">
        <v>261</v>
      </c>
      <c r="F679" s="27">
        <v>10</v>
      </c>
      <c r="G679" s="34">
        <f t="shared" si="150"/>
        <v>42</v>
      </c>
      <c r="H679" s="33"/>
      <c r="I679" s="33"/>
      <c r="J679" s="33"/>
      <c r="K679" s="29"/>
      <c r="L679" s="29"/>
      <c r="M679" s="35" t="str">
        <f t="shared" ca="1" si="151"/>
        <v/>
      </c>
      <c r="N679" s="27"/>
      <c r="O679" s="47"/>
    </row>
    <row r="680" spans="1:15" ht="15" customHeight="1">
      <c r="A680" s="68">
        <v>46229</v>
      </c>
      <c r="B680" s="25">
        <f t="shared" si="152"/>
        <v>0.45833333333333304</v>
      </c>
      <c r="C680" s="33" t="s">
        <v>29</v>
      </c>
      <c r="D680" s="62" t="s">
        <v>30</v>
      </c>
      <c r="E680" s="62" t="s">
        <v>261</v>
      </c>
      <c r="F680" s="27">
        <v>8</v>
      </c>
      <c r="G680" s="28">
        <f t="shared" si="150"/>
        <v>33.6</v>
      </c>
      <c r="H680" s="26"/>
      <c r="I680" s="26"/>
      <c r="J680" s="26"/>
      <c r="K680" s="29"/>
      <c r="L680" s="29"/>
      <c r="M680" s="30" t="str">
        <f t="shared" ca="1" si="151"/>
        <v/>
      </c>
      <c r="N680" s="27"/>
      <c r="O680" s="47"/>
    </row>
    <row r="681" spans="1:15" ht="15" customHeight="1">
      <c r="A681" s="69">
        <v>46229</v>
      </c>
      <c r="B681" s="32">
        <f t="shared" si="152"/>
        <v>0.49999999999999972</v>
      </c>
      <c r="C681" s="33" t="s">
        <v>29</v>
      </c>
      <c r="D681" s="62" t="s">
        <v>30</v>
      </c>
      <c r="E681" s="62" t="s">
        <v>261</v>
      </c>
      <c r="F681" s="27">
        <v>6</v>
      </c>
      <c r="G681" s="34">
        <f t="shared" si="150"/>
        <v>25.200000000000003</v>
      </c>
      <c r="H681" s="33"/>
      <c r="I681" s="33"/>
      <c r="J681" s="33"/>
      <c r="K681" s="29"/>
      <c r="L681" s="29"/>
      <c r="M681" s="35" t="str">
        <f t="shared" ca="1" si="151"/>
        <v/>
      </c>
      <c r="N681" s="27"/>
      <c r="O681" s="47"/>
    </row>
    <row r="682" spans="1:15" ht="15" customHeight="1">
      <c r="A682" s="68">
        <v>46229</v>
      </c>
      <c r="B682" s="25">
        <f t="shared" si="152"/>
        <v>0.54166666666666641</v>
      </c>
      <c r="C682" s="33" t="s">
        <v>29</v>
      </c>
      <c r="D682" s="62" t="s">
        <v>30</v>
      </c>
      <c r="E682" s="62" t="s">
        <v>261</v>
      </c>
      <c r="F682" s="27">
        <v>8</v>
      </c>
      <c r="G682" s="28">
        <f t="shared" si="150"/>
        <v>33.6</v>
      </c>
      <c r="H682" s="26"/>
      <c r="I682" s="26"/>
      <c r="J682" s="26"/>
      <c r="K682" s="29"/>
      <c r="L682" s="29"/>
      <c r="M682" s="30" t="str">
        <f t="shared" ca="1" si="151"/>
        <v/>
      </c>
      <c r="N682" s="27"/>
      <c r="O682" s="47"/>
    </row>
    <row r="683" spans="1:15" ht="15" customHeight="1">
      <c r="A683" s="69">
        <v>46229</v>
      </c>
      <c r="B683" s="32">
        <f t="shared" si="152"/>
        <v>0.58333333333333304</v>
      </c>
      <c r="C683" s="33" t="s">
        <v>29</v>
      </c>
      <c r="D683" s="62" t="s">
        <v>30</v>
      </c>
      <c r="E683" s="62" t="s">
        <v>261</v>
      </c>
      <c r="F683" s="27">
        <v>17</v>
      </c>
      <c r="G683" s="34">
        <f t="shared" si="150"/>
        <v>71.400000000000006</v>
      </c>
      <c r="H683" s="33"/>
      <c r="I683" s="33"/>
      <c r="J683" s="33"/>
      <c r="K683" s="29"/>
      <c r="L683" s="29"/>
      <c r="M683" s="35" t="str">
        <f t="shared" ca="1" si="151"/>
        <v/>
      </c>
      <c r="N683" s="27"/>
      <c r="O683" s="47"/>
    </row>
    <row r="684" spans="1:15" ht="15" customHeight="1">
      <c r="A684" s="68">
        <v>46229</v>
      </c>
      <c r="B684" s="25">
        <f t="shared" si="152"/>
        <v>0.62499999999999967</v>
      </c>
      <c r="C684" s="33" t="s">
        <v>29</v>
      </c>
      <c r="D684" s="62" t="s">
        <v>30</v>
      </c>
      <c r="E684" s="62" t="s">
        <v>261</v>
      </c>
      <c r="F684" s="27">
        <v>14</v>
      </c>
      <c r="G684" s="28">
        <f t="shared" si="150"/>
        <v>58.800000000000004</v>
      </c>
      <c r="H684" s="26"/>
      <c r="I684" s="26"/>
      <c r="J684" s="26"/>
      <c r="K684" s="29"/>
      <c r="L684" s="29"/>
      <c r="M684" s="30" t="str">
        <f t="shared" ca="1" si="151"/>
        <v/>
      </c>
      <c r="N684" s="27"/>
      <c r="O684" s="47"/>
    </row>
    <row r="685" spans="1:15" ht="15" customHeight="1">
      <c r="A685" s="69">
        <v>46229</v>
      </c>
      <c r="B685" s="32">
        <f t="shared" si="152"/>
        <v>0.6666666666666663</v>
      </c>
      <c r="C685" s="33" t="s">
        <v>29</v>
      </c>
      <c r="D685" s="62" t="s">
        <v>30</v>
      </c>
      <c r="E685" s="62" t="s">
        <v>261</v>
      </c>
      <c r="F685" s="27">
        <v>14</v>
      </c>
      <c r="G685" s="34">
        <f t="shared" si="150"/>
        <v>58.800000000000004</v>
      </c>
      <c r="H685" s="33"/>
      <c r="I685" s="33"/>
      <c r="J685" s="33"/>
      <c r="K685" s="29"/>
      <c r="L685" s="29"/>
      <c r="M685" s="35" t="str">
        <f t="shared" ca="1" si="151"/>
        <v/>
      </c>
      <c r="N685" s="27"/>
      <c r="O685" s="47"/>
    </row>
    <row r="686" spans="1:15" ht="15" customHeight="1">
      <c r="A686" s="68">
        <v>46229</v>
      </c>
      <c r="B686" s="25">
        <f t="shared" si="152"/>
        <v>0.70833333333333293</v>
      </c>
      <c r="C686" s="33" t="s">
        <v>29</v>
      </c>
      <c r="D686" s="62" t="s">
        <v>30</v>
      </c>
      <c r="E686" s="62" t="s">
        <v>261</v>
      </c>
      <c r="F686" s="27">
        <v>13</v>
      </c>
      <c r="G686" s="34">
        <f t="shared" si="150"/>
        <v>54.6</v>
      </c>
      <c r="H686" s="26"/>
      <c r="I686" s="26"/>
      <c r="J686" s="26"/>
      <c r="K686" s="29"/>
      <c r="L686" s="29"/>
      <c r="M686" s="30" t="str">
        <f t="shared" ca="1" si="151"/>
        <v/>
      </c>
      <c r="N686" s="27"/>
      <c r="O686" s="47"/>
    </row>
    <row r="687" spans="1:15" ht="15" customHeight="1">
      <c r="A687" s="69">
        <v>46229</v>
      </c>
      <c r="B687" s="32">
        <f t="shared" si="152"/>
        <v>0.74999999999999956</v>
      </c>
      <c r="C687" s="33" t="s">
        <v>29</v>
      </c>
      <c r="D687" s="62" t="s">
        <v>30</v>
      </c>
      <c r="E687" s="62" t="s">
        <v>261</v>
      </c>
      <c r="F687" s="27">
        <v>13</v>
      </c>
      <c r="G687" s="34">
        <f t="shared" si="150"/>
        <v>54.6</v>
      </c>
      <c r="H687" s="33"/>
      <c r="I687" s="33"/>
      <c r="J687" s="33"/>
      <c r="K687" s="29"/>
      <c r="L687" s="29"/>
      <c r="M687" s="35" t="str">
        <f t="shared" ca="1" si="151"/>
        <v/>
      </c>
      <c r="N687" s="27"/>
      <c r="O687" s="47"/>
    </row>
    <row r="688" spans="1:15" ht="15" customHeight="1">
      <c r="A688" s="68">
        <v>46229</v>
      </c>
      <c r="B688" s="25">
        <f t="shared" si="152"/>
        <v>0.79166666666666619</v>
      </c>
      <c r="C688" s="33" t="s">
        <v>29</v>
      </c>
      <c r="D688" s="62" t="s">
        <v>30</v>
      </c>
      <c r="E688" s="62" t="s">
        <v>261</v>
      </c>
      <c r="F688" s="27">
        <v>3</v>
      </c>
      <c r="G688" s="28">
        <f t="shared" si="150"/>
        <v>12.600000000000001</v>
      </c>
      <c r="H688" s="26"/>
      <c r="I688" s="26"/>
      <c r="J688" s="26"/>
      <c r="K688" s="29"/>
      <c r="L688" s="29"/>
      <c r="M688" s="30" t="str">
        <f t="shared" ca="1" si="151"/>
        <v/>
      </c>
      <c r="N688" s="27"/>
      <c r="O688" s="47"/>
    </row>
    <row r="689" spans="1:15" ht="15.75" customHeight="1">
      <c r="A689" s="119" t="s">
        <v>236</v>
      </c>
      <c r="B689" s="120"/>
      <c r="C689" s="120"/>
      <c r="D689" s="120"/>
      <c r="E689" s="121">
        <f>SUM(E677:E688)</f>
        <v>0</v>
      </c>
      <c r="F689" s="36">
        <f>SUM(F677:F688)</f>
        <v>130</v>
      </c>
      <c r="G689" s="36">
        <f>SUM(G677:G688)</f>
        <v>546.00000000000011</v>
      </c>
      <c r="H689" s="37"/>
      <c r="I689" s="37"/>
      <c r="J689" s="37"/>
      <c r="K689" s="37"/>
      <c r="L689" s="37"/>
      <c r="M689" s="38">
        <f ca="1">IFERROR(SUM(M677:M688),"")</f>
        <v>2.3611111111111083E-2</v>
      </c>
      <c r="N689" s="36" t="s">
        <v>237</v>
      </c>
      <c r="O689" s="39">
        <v>585300</v>
      </c>
    </row>
    <row r="690" spans="1:15" ht="15" customHeight="1">
      <c r="A690" s="68">
        <v>46229</v>
      </c>
      <c r="B690" s="25">
        <v>0.83333333333333304</v>
      </c>
      <c r="C690" s="26" t="s">
        <v>21</v>
      </c>
      <c r="D690" s="59" t="s">
        <v>30</v>
      </c>
      <c r="E690" s="59" t="s">
        <v>261</v>
      </c>
      <c r="F690" s="27">
        <v>10</v>
      </c>
      <c r="G690" s="28">
        <f t="shared" ref="G690:G701" si="153">IF(F690="","",IF(E690="PC 17",F690*4.2,IF(E690="PC 19",F690*5,"")))</f>
        <v>42</v>
      </c>
      <c r="H690" s="26" t="s">
        <v>19</v>
      </c>
      <c r="I690" s="26" t="s">
        <v>47</v>
      </c>
      <c r="J690" s="26" t="s">
        <v>27</v>
      </c>
      <c r="K690" s="29">
        <v>0.10416666666666667</v>
      </c>
      <c r="L690" s="29">
        <v>0.12291666666666666</v>
      </c>
      <c r="M690" s="30">
        <f t="shared" ref="M690:M701" ca="1" si="154">IFERROR(IF(K690="","",IF(L690="",MOD(NOW()-K690,1),IF(L690&gt;=K690,L690-K690,L690+1-K690))),"")</f>
        <v>1.8749999999999989E-2</v>
      </c>
      <c r="N690" s="27"/>
      <c r="O690" s="47"/>
    </row>
    <row r="691" spans="1:15" ht="15" customHeight="1">
      <c r="A691" s="69">
        <v>46229</v>
      </c>
      <c r="B691" s="32">
        <f t="shared" ref="B691:B701" si="155">B690+TIME(0,60,0)</f>
        <v>0.87499999999999967</v>
      </c>
      <c r="C691" s="26" t="s">
        <v>21</v>
      </c>
      <c r="D691" s="59" t="s">
        <v>30</v>
      </c>
      <c r="E691" s="59" t="s">
        <v>234</v>
      </c>
      <c r="F691" s="27">
        <v>4</v>
      </c>
      <c r="G691" s="34">
        <f t="shared" si="153"/>
        <v>20</v>
      </c>
      <c r="H691" s="33"/>
      <c r="I691" s="33"/>
      <c r="J691" s="33"/>
      <c r="K691" s="29"/>
      <c r="L691" s="29"/>
      <c r="M691" s="35" t="str">
        <f t="shared" ca="1" si="154"/>
        <v/>
      </c>
      <c r="N691" s="27"/>
      <c r="O691" s="47"/>
    </row>
    <row r="692" spans="1:15" ht="15" customHeight="1">
      <c r="A692" s="68">
        <v>46229</v>
      </c>
      <c r="B692" s="25">
        <f t="shared" si="155"/>
        <v>0.9166666666666663</v>
      </c>
      <c r="C692" s="26" t="s">
        <v>21</v>
      </c>
      <c r="D692" s="59" t="s">
        <v>30</v>
      </c>
      <c r="E692" s="59" t="s">
        <v>234</v>
      </c>
      <c r="F692" s="27">
        <v>0</v>
      </c>
      <c r="G692" s="28">
        <f t="shared" si="153"/>
        <v>0</v>
      </c>
      <c r="H692" s="26"/>
      <c r="I692" s="26"/>
      <c r="J692" s="26"/>
      <c r="K692" s="29"/>
      <c r="L692" s="29"/>
      <c r="M692" s="30" t="str">
        <f t="shared" ca="1" si="154"/>
        <v/>
      </c>
      <c r="N692" s="27"/>
      <c r="O692" s="47"/>
    </row>
    <row r="693" spans="1:15" ht="15" customHeight="1">
      <c r="A693" s="69">
        <v>46229</v>
      </c>
      <c r="B693" s="32">
        <f t="shared" si="155"/>
        <v>0.95833333333333293</v>
      </c>
      <c r="C693" s="26" t="s">
        <v>21</v>
      </c>
      <c r="D693" s="59" t="s">
        <v>30</v>
      </c>
      <c r="E693" s="59" t="s">
        <v>261</v>
      </c>
      <c r="F693" s="27">
        <v>7</v>
      </c>
      <c r="G693" s="34">
        <f t="shared" si="153"/>
        <v>29.400000000000002</v>
      </c>
      <c r="H693" s="33"/>
      <c r="I693" s="33"/>
      <c r="J693" s="33"/>
      <c r="K693" s="29"/>
      <c r="L693" s="29"/>
      <c r="M693" s="35" t="str">
        <f t="shared" ca="1" si="154"/>
        <v/>
      </c>
      <c r="N693" s="27"/>
      <c r="O693" s="47"/>
    </row>
    <row r="694" spans="1:15" ht="15" customHeight="1">
      <c r="A694" s="68">
        <v>46229</v>
      </c>
      <c r="B694" s="25">
        <f t="shared" si="155"/>
        <v>0.99999999999999956</v>
      </c>
      <c r="C694" s="26" t="s">
        <v>21</v>
      </c>
      <c r="D694" s="59" t="s">
        <v>30</v>
      </c>
      <c r="E694" s="59" t="s">
        <v>261</v>
      </c>
      <c r="F694" s="27">
        <v>8</v>
      </c>
      <c r="G694" s="28">
        <f t="shared" si="153"/>
        <v>33.6</v>
      </c>
      <c r="H694" s="26"/>
      <c r="I694" s="26"/>
      <c r="J694" s="26"/>
      <c r="K694" s="29"/>
      <c r="L694" s="29"/>
      <c r="M694" s="30" t="str">
        <f t="shared" ca="1" si="154"/>
        <v/>
      </c>
      <c r="N694" s="27"/>
      <c r="O694" s="47"/>
    </row>
    <row r="695" spans="1:15" ht="15" customHeight="1">
      <c r="A695" s="69">
        <v>46229</v>
      </c>
      <c r="B695" s="32">
        <f t="shared" si="155"/>
        <v>1.0416666666666663</v>
      </c>
      <c r="C695" s="26" t="s">
        <v>21</v>
      </c>
      <c r="D695" s="59" t="s">
        <v>30</v>
      </c>
      <c r="E695" s="59" t="s">
        <v>261</v>
      </c>
      <c r="F695" s="27">
        <v>15</v>
      </c>
      <c r="G695" s="34">
        <f t="shared" si="153"/>
        <v>63</v>
      </c>
      <c r="H695" s="33"/>
      <c r="I695" s="33"/>
      <c r="J695" s="33"/>
      <c r="K695" s="29"/>
      <c r="L695" s="29"/>
      <c r="M695" s="35" t="str">
        <f t="shared" ca="1" si="154"/>
        <v/>
      </c>
      <c r="N695" s="27"/>
      <c r="O695" s="47"/>
    </row>
    <row r="696" spans="1:15" ht="15" customHeight="1">
      <c r="A696" s="68">
        <v>46229</v>
      </c>
      <c r="B696" s="25">
        <f t="shared" si="155"/>
        <v>1.083333333333333</v>
      </c>
      <c r="C696" s="26" t="s">
        <v>21</v>
      </c>
      <c r="D696" s="59" t="s">
        <v>30</v>
      </c>
      <c r="E696" s="59" t="s">
        <v>261</v>
      </c>
      <c r="F696" s="27">
        <v>0</v>
      </c>
      <c r="G696" s="28">
        <f t="shared" si="153"/>
        <v>0</v>
      </c>
      <c r="H696" s="26"/>
      <c r="I696" s="26"/>
      <c r="J696" s="26"/>
      <c r="K696" s="29"/>
      <c r="L696" s="29"/>
      <c r="M696" s="30" t="str">
        <f t="shared" ca="1" si="154"/>
        <v/>
      </c>
      <c r="N696" s="27"/>
      <c r="O696" s="47"/>
    </row>
    <row r="697" spans="1:15" ht="15" customHeight="1">
      <c r="A697" s="69">
        <v>46229</v>
      </c>
      <c r="B697" s="32">
        <f t="shared" si="155"/>
        <v>1.1249999999999998</v>
      </c>
      <c r="C697" s="26" t="s">
        <v>21</v>
      </c>
      <c r="D697" s="59" t="s">
        <v>30</v>
      </c>
      <c r="E697" s="59" t="s">
        <v>261</v>
      </c>
      <c r="F697" s="27">
        <v>10</v>
      </c>
      <c r="G697" s="34">
        <f t="shared" si="153"/>
        <v>42</v>
      </c>
      <c r="H697" s="33"/>
      <c r="I697" s="33"/>
      <c r="J697" s="33"/>
      <c r="K697" s="29"/>
      <c r="L697" s="29"/>
      <c r="M697" s="35" t="str">
        <f t="shared" ca="1" si="154"/>
        <v/>
      </c>
      <c r="N697" s="27"/>
      <c r="O697" s="47"/>
    </row>
    <row r="698" spans="1:15" ht="15" customHeight="1">
      <c r="A698" s="68">
        <v>46229</v>
      </c>
      <c r="B698" s="25">
        <f t="shared" si="155"/>
        <v>1.1666666666666665</v>
      </c>
      <c r="C698" s="26" t="s">
        <v>21</v>
      </c>
      <c r="D698" s="59" t="s">
        <v>30</v>
      </c>
      <c r="E698" s="59" t="s">
        <v>261</v>
      </c>
      <c r="F698" s="27">
        <v>0</v>
      </c>
      <c r="G698" s="28">
        <f t="shared" si="153"/>
        <v>0</v>
      </c>
      <c r="H698" s="26"/>
      <c r="I698" s="26"/>
      <c r="J698" s="26"/>
      <c r="K698" s="29"/>
      <c r="L698" s="29"/>
      <c r="M698" s="30" t="str">
        <f t="shared" ca="1" si="154"/>
        <v/>
      </c>
      <c r="N698" s="27"/>
      <c r="O698" s="47"/>
    </row>
    <row r="699" spans="1:15" ht="15" customHeight="1">
      <c r="A699" s="69">
        <v>46229</v>
      </c>
      <c r="B699" s="32">
        <f t="shared" si="155"/>
        <v>1.2083333333333333</v>
      </c>
      <c r="C699" s="26" t="s">
        <v>21</v>
      </c>
      <c r="D699" s="59" t="s">
        <v>30</v>
      </c>
      <c r="E699" s="59" t="s">
        <v>261</v>
      </c>
      <c r="F699" s="27">
        <v>10</v>
      </c>
      <c r="G699" s="34">
        <f t="shared" si="153"/>
        <v>42</v>
      </c>
      <c r="H699" s="33"/>
      <c r="I699" s="33"/>
      <c r="J699" s="33"/>
      <c r="K699" s="29"/>
      <c r="L699" s="29"/>
      <c r="M699" s="35" t="str">
        <f t="shared" ca="1" si="154"/>
        <v/>
      </c>
      <c r="N699" s="27"/>
      <c r="O699" s="47"/>
    </row>
    <row r="700" spans="1:15" ht="15" customHeight="1">
      <c r="A700" s="68">
        <v>46229</v>
      </c>
      <c r="B700" s="25">
        <f t="shared" si="155"/>
        <v>1.25</v>
      </c>
      <c r="C700" s="26" t="s">
        <v>21</v>
      </c>
      <c r="D700" s="59" t="s">
        <v>30</v>
      </c>
      <c r="E700" s="59" t="s">
        <v>261</v>
      </c>
      <c r="F700" s="27">
        <v>5</v>
      </c>
      <c r="G700" s="28">
        <f t="shared" si="153"/>
        <v>21</v>
      </c>
      <c r="H700" s="26"/>
      <c r="I700" s="26"/>
      <c r="J700" s="26"/>
      <c r="K700" s="29"/>
      <c r="L700" s="29"/>
      <c r="M700" s="30" t="str">
        <f t="shared" ca="1" si="154"/>
        <v/>
      </c>
      <c r="N700" s="27"/>
      <c r="O700" s="47"/>
    </row>
    <row r="701" spans="1:15" ht="15" customHeight="1">
      <c r="A701" s="69">
        <v>46229</v>
      </c>
      <c r="B701" s="32">
        <f t="shared" si="155"/>
        <v>1.2916666666666667</v>
      </c>
      <c r="C701" s="26" t="s">
        <v>21</v>
      </c>
      <c r="D701" s="59" t="s">
        <v>30</v>
      </c>
      <c r="E701" s="59" t="s">
        <v>261</v>
      </c>
      <c r="F701" s="27">
        <v>5</v>
      </c>
      <c r="G701" s="34">
        <f t="shared" si="153"/>
        <v>21</v>
      </c>
      <c r="H701" s="33"/>
      <c r="I701" s="33"/>
      <c r="J701" s="33"/>
      <c r="K701" s="29"/>
      <c r="L701" s="29"/>
      <c r="M701" s="35" t="str">
        <f t="shared" ca="1" si="154"/>
        <v/>
      </c>
      <c r="N701" s="27"/>
      <c r="O701" s="47"/>
    </row>
    <row r="702" spans="1:15" ht="15.75" customHeight="1">
      <c r="A702" s="119" t="s">
        <v>238</v>
      </c>
      <c r="B702" s="120"/>
      <c r="C702" s="120"/>
      <c r="D702" s="120"/>
      <c r="E702" s="121">
        <f>SUM(E690:E701)</f>
        <v>0</v>
      </c>
      <c r="F702" s="36">
        <f>SUM(F690:F701)</f>
        <v>74</v>
      </c>
      <c r="G702" s="36">
        <f>SUM(G690:G701)</f>
        <v>314</v>
      </c>
      <c r="H702" s="37"/>
      <c r="I702" s="37"/>
      <c r="J702" s="37"/>
      <c r="K702" s="37"/>
      <c r="L702" s="37"/>
      <c r="M702" s="38">
        <f ca="1">IFERROR(SUM(M690:M701),"")</f>
        <v>1.8749999999999989E-2</v>
      </c>
      <c r="N702" s="36" t="s">
        <v>237</v>
      </c>
      <c r="O702" s="39">
        <v>349730</v>
      </c>
    </row>
    <row r="703" spans="1:15" ht="18" customHeight="1">
      <c r="A703" s="122" t="s">
        <v>239</v>
      </c>
      <c r="B703" s="123"/>
      <c r="C703" s="123"/>
      <c r="D703" s="123"/>
      <c r="E703" s="124">
        <f>E689+E702</f>
        <v>0</v>
      </c>
      <c r="F703" s="40">
        <f>F689+F702</f>
        <v>204</v>
      </c>
      <c r="G703" s="40">
        <f>G689+G702</f>
        <v>860.00000000000011</v>
      </c>
      <c r="H703" s="41"/>
      <c r="I703" s="41"/>
      <c r="J703" s="41"/>
      <c r="K703" s="41"/>
      <c r="L703" s="41"/>
      <c r="M703" s="42">
        <f ca="1">IFERROR(M689+M702,"")</f>
        <v>4.2361111111111072E-2</v>
      </c>
      <c r="N703" s="40" t="s">
        <v>240</v>
      </c>
      <c r="O703" s="48">
        <f>IFERROR(O689+O702,"")</f>
        <v>935030</v>
      </c>
    </row>
    <row r="704" spans="1:15" ht="15" customHeight="1">
      <c r="A704" s="68">
        <v>46230</v>
      </c>
      <c r="B704" s="25">
        <v>0.33333333333333298</v>
      </c>
      <c r="C704" s="26" t="s">
        <v>29</v>
      </c>
      <c r="D704" s="59" t="s">
        <v>30</v>
      </c>
      <c r="E704" s="59" t="s">
        <v>261</v>
      </c>
      <c r="F704" s="27">
        <v>8</v>
      </c>
      <c r="G704" s="28">
        <f t="shared" ref="G704:G715" si="156">IF(F704="","",IF(E704="PC 17",F704*4.2,IF(E704="PC 19",F704*5,"")))</f>
        <v>33.6</v>
      </c>
      <c r="H704" s="26" t="s">
        <v>17</v>
      </c>
      <c r="I704" s="26" t="s">
        <v>138</v>
      </c>
      <c r="J704" s="26" t="s">
        <v>115</v>
      </c>
      <c r="K704" s="29">
        <v>0.35486111111111113</v>
      </c>
      <c r="L704" s="29">
        <v>0.37083333333333335</v>
      </c>
      <c r="M704" s="30">
        <f t="shared" ref="M704:M715" ca="1" si="157">IFERROR(IF(K704="","",IF(L704="",MOD(NOW()-K704,1),IF(L704&gt;=K704,L704-K704,L704+1-K704))),"")</f>
        <v>1.5972222222222221E-2</v>
      </c>
      <c r="N704" s="27"/>
      <c r="O704" s="47"/>
    </row>
    <row r="705" spans="1:15" ht="15" customHeight="1">
      <c r="A705" s="69">
        <v>46230</v>
      </c>
      <c r="B705" s="32">
        <f t="shared" ref="B705:B715" si="158">B704+TIME(0,60,0)</f>
        <v>0.37499999999999967</v>
      </c>
      <c r="C705" s="26" t="s">
        <v>29</v>
      </c>
      <c r="D705" s="59" t="s">
        <v>30</v>
      </c>
      <c r="E705" s="59" t="s">
        <v>261</v>
      </c>
      <c r="F705" s="27">
        <v>7</v>
      </c>
      <c r="G705" s="34">
        <f t="shared" si="156"/>
        <v>29.400000000000002</v>
      </c>
      <c r="H705" s="33" t="s">
        <v>20</v>
      </c>
      <c r="I705" s="33" t="s">
        <v>47</v>
      </c>
      <c r="J705" s="33" t="s">
        <v>36</v>
      </c>
      <c r="K705" s="29">
        <v>0.61250000000000004</v>
      </c>
      <c r="L705" s="29">
        <v>0.66527777777777775</v>
      </c>
      <c r="M705" s="35">
        <f t="shared" ca="1" si="157"/>
        <v>5.2777777777777701E-2</v>
      </c>
      <c r="N705" s="27" t="s">
        <v>315</v>
      </c>
      <c r="O705" s="47"/>
    </row>
    <row r="706" spans="1:15" ht="15" customHeight="1">
      <c r="A706" s="68">
        <v>46230</v>
      </c>
      <c r="B706" s="25">
        <f t="shared" si="158"/>
        <v>0.41666666666666635</v>
      </c>
      <c r="C706" s="26" t="s">
        <v>29</v>
      </c>
      <c r="D706" s="59" t="s">
        <v>30</v>
      </c>
      <c r="E706" s="59" t="s">
        <v>261</v>
      </c>
      <c r="F706" s="27">
        <v>5</v>
      </c>
      <c r="G706" s="28">
        <f t="shared" si="156"/>
        <v>21</v>
      </c>
      <c r="H706" s="26" t="s">
        <v>20</v>
      </c>
      <c r="I706" s="26" t="s">
        <v>47</v>
      </c>
      <c r="J706" s="26" t="s">
        <v>36</v>
      </c>
      <c r="K706" s="29">
        <v>0.69305555555555554</v>
      </c>
      <c r="L706" s="29">
        <v>0.70833333333333337</v>
      </c>
      <c r="M706" s="30">
        <f t="shared" ca="1" si="157"/>
        <v>1.5277777777777835E-2</v>
      </c>
      <c r="N706" s="27"/>
      <c r="O706" s="47"/>
    </row>
    <row r="707" spans="1:15" ht="15" customHeight="1">
      <c r="A707" s="69">
        <v>46230</v>
      </c>
      <c r="B707" s="32">
        <f t="shared" si="158"/>
        <v>0.45833333333333304</v>
      </c>
      <c r="C707" s="26" t="s">
        <v>29</v>
      </c>
      <c r="D707" s="59" t="s">
        <v>30</v>
      </c>
      <c r="E707" s="59" t="s">
        <v>261</v>
      </c>
      <c r="F707" s="27">
        <v>15</v>
      </c>
      <c r="G707" s="34">
        <f t="shared" si="156"/>
        <v>63</v>
      </c>
      <c r="H707" s="33" t="s">
        <v>20</v>
      </c>
      <c r="I707" s="33" t="s">
        <v>47</v>
      </c>
      <c r="J707" s="33" t="s">
        <v>36</v>
      </c>
      <c r="K707" s="29">
        <v>0.72499999999999998</v>
      </c>
      <c r="L707" s="29">
        <v>0.74444444444444446</v>
      </c>
      <c r="M707" s="35">
        <f t="shared" ca="1" si="157"/>
        <v>1.9444444444444486E-2</v>
      </c>
      <c r="N707" s="27"/>
      <c r="O707" s="47"/>
    </row>
    <row r="708" spans="1:15" ht="15" customHeight="1">
      <c r="A708" s="68">
        <v>46230</v>
      </c>
      <c r="B708" s="25">
        <f t="shared" si="158"/>
        <v>0.49999999999999972</v>
      </c>
      <c r="C708" s="26" t="s">
        <v>29</v>
      </c>
      <c r="D708" s="59" t="s">
        <v>30</v>
      </c>
      <c r="E708" s="59" t="s">
        <v>261</v>
      </c>
      <c r="F708" s="27">
        <v>12</v>
      </c>
      <c r="G708" s="28">
        <f t="shared" si="156"/>
        <v>50.400000000000006</v>
      </c>
      <c r="H708" s="26"/>
      <c r="I708" s="26"/>
      <c r="J708" s="26"/>
      <c r="K708" s="29"/>
      <c r="L708" s="29"/>
      <c r="M708" s="30" t="str">
        <f t="shared" ca="1" si="157"/>
        <v/>
      </c>
      <c r="N708" s="27"/>
      <c r="O708" s="47"/>
    </row>
    <row r="709" spans="1:15" ht="15" customHeight="1">
      <c r="A709" s="69">
        <v>46230</v>
      </c>
      <c r="B709" s="32">
        <f t="shared" si="158"/>
        <v>0.54166666666666641</v>
      </c>
      <c r="C709" s="26" t="s">
        <v>29</v>
      </c>
      <c r="D709" s="59" t="s">
        <v>30</v>
      </c>
      <c r="E709" s="59" t="s">
        <v>261</v>
      </c>
      <c r="F709" s="27">
        <v>5</v>
      </c>
      <c r="G709" s="34">
        <f t="shared" si="156"/>
        <v>21</v>
      </c>
      <c r="H709" s="33"/>
      <c r="I709" s="33"/>
      <c r="J709" s="33"/>
      <c r="K709" s="29"/>
      <c r="L709" s="29"/>
      <c r="M709" s="35" t="str">
        <f t="shared" ca="1" si="157"/>
        <v/>
      </c>
      <c r="N709" s="27"/>
      <c r="O709" s="47"/>
    </row>
    <row r="710" spans="1:15" ht="15" customHeight="1">
      <c r="A710" s="68">
        <v>46230</v>
      </c>
      <c r="B710" s="25">
        <f t="shared" si="158"/>
        <v>0.58333333333333304</v>
      </c>
      <c r="C710" s="26" t="s">
        <v>29</v>
      </c>
      <c r="D710" s="59" t="s">
        <v>30</v>
      </c>
      <c r="E710" s="59" t="s">
        <v>261</v>
      </c>
      <c r="F710" s="27">
        <v>7</v>
      </c>
      <c r="G710" s="28">
        <f t="shared" si="156"/>
        <v>29.400000000000002</v>
      </c>
      <c r="H710" s="26"/>
      <c r="I710" s="26"/>
      <c r="J710" s="26"/>
      <c r="K710" s="29"/>
      <c r="L710" s="29"/>
      <c r="M710" s="30" t="str">
        <f t="shared" ca="1" si="157"/>
        <v/>
      </c>
      <c r="N710" s="27"/>
      <c r="O710" s="47"/>
    </row>
    <row r="711" spans="1:15" ht="15" customHeight="1">
      <c r="A711" s="69">
        <v>46230</v>
      </c>
      <c r="B711" s="32">
        <f t="shared" si="158"/>
        <v>0.62499999999999967</v>
      </c>
      <c r="C711" s="26" t="s">
        <v>29</v>
      </c>
      <c r="D711" s="59" t="s">
        <v>30</v>
      </c>
      <c r="E711" s="59" t="s">
        <v>261</v>
      </c>
      <c r="F711" s="27">
        <v>6</v>
      </c>
      <c r="G711" s="34">
        <f t="shared" si="156"/>
        <v>25.200000000000003</v>
      </c>
      <c r="H711" s="33"/>
      <c r="I711" s="33"/>
      <c r="J711" s="33"/>
      <c r="K711" s="29"/>
      <c r="L711" s="29"/>
      <c r="M711" s="35" t="str">
        <f t="shared" ca="1" si="157"/>
        <v/>
      </c>
      <c r="N711" s="27"/>
      <c r="O711" s="47"/>
    </row>
    <row r="712" spans="1:15" ht="15" customHeight="1">
      <c r="A712" s="68">
        <v>46230</v>
      </c>
      <c r="B712" s="25">
        <f t="shared" si="158"/>
        <v>0.6666666666666663</v>
      </c>
      <c r="C712" s="26" t="s">
        <v>29</v>
      </c>
      <c r="D712" s="59" t="s">
        <v>30</v>
      </c>
      <c r="E712" s="59" t="s">
        <v>261</v>
      </c>
      <c r="F712" s="27">
        <v>6</v>
      </c>
      <c r="G712" s="28">
        <f t="shared" si="156"/>
        <v>25.200000000000003</v>
      </c>
      <c r="H712" s="26"/>
      <c r="I712" s="26"/>
      <c r="J712" s="26"/>
      <c r="K712" s="29"/>
      <c r="L712" s="29"/>
      <c r="M712" s="30" t="str">
        <f t="shared" ca="1" si="157"/>
        <v/>
      </c>
      <c r="N712" s="27"/>
      <c r="O712" s="47"/>
    </row>
    <row r="713" spans="1:15" ht="15" customHeight="1">
      <c r="A713" s="69">
        <v>46230</v>
      </c>
      <c r="B713" s="32">
        <f t="shared" si="158"/>
        <v>0.70833333333333293</v>
      </c>
      <c r="C713" s="26" t="s">
        <v>29</v>
      </c>
      <c r="D713" s="59" t="s">
        <v>30</v>
      </c>
      <c r="E713" s="59" t="s">
        <v>261</v>
      </c>
      <c r="F713" s="27">
        <v>3</v>
      </c>
      <c r="G713" s="34">
        <f t="shared" si="156"/>
        <v>12.600000000000001</v>
      </c>
      <c r="H713" s="33"/>
      <c r="I713" s="33"/>
      <c r="J713" s="33"/>
      <c r="K713" s="29"/>
      <c r="L713" s="29"/>
      <c r="M713" s="35" t="str">
        <f t="shared" ca="1" si="157"/>
        <v/>
      </c>
      <c r="N713" s="27"/>
      <c r="O713" s="47"/>
    </row>
    <row r="714" spans="1:15" ht="15" customHeight="1">
      <c r="A714" s="68">
        <v>46230</v>
      </c>
      <c r="B714" s="25">
        <f t="shared" si="158"/>
        <v>0.74999999999999956</v>
      </c>
      <c r="C714" s="26" t="s">
        <v>29</v>
      </c>
      <c r="D714" s="59" t="s">
        <v>30</v>
      </c>
      <c r="E714" s="59" t="s">
        <v>261</v>
      </c>
      <c r="F714" s="27">
        <v>2</v>
      </c>
      <c r="G714" s="28">
        <f t="shared" si="156"/>
        <v>8.4</v>
      </c>
      <c r="H714" s="26"/>
      <c r="I714" s="26"/>
      <c r="J714" s="26"/>
      <c r="K714" s="29"/>
      <c r="L714" s="29"/>
      <c r="M714" s="30" t="str">
        <f t="shared" ca="1" si="157"/>
        <v/>
      </c>
      <c r="N714" s="27"/>
      <c r="O714" s="47"/>
    </row>
    <row r="715" spans="1:15" ht="15" customHeight="1">
      <c r="A715" s="69">
        <v>46230</v>
      </c>
      <c r="B715" s="32">
        <f t="shared" si="158"/>
        <v>0.79166666666666619</v>
      </c>
      <c r="C715" s="26" t="s">
        <v>29</v>
      </c>
      <c r="D715" s="59" t="s">
        <v>30</v>
      </c>
      <c r="E715" s="59" t="s">
        <v>261</v>
      </c>
      <c r="F715" s="27">
        <v>0</v>
      </c>
      <c r="G715" s="34">
        <f t="shared" si="156"/>
        <v>0</v>
      </c>
      <c r="H715" s="33"/>
      <c r="I715" s="33"/>
      <c r="J715" s="33"/>
      <c r="K715" s="29"/>
      <c r="L715" s="29"/>
      <c r="M715" s="35" t="str">
        <f t="shared" ca="1" si="157"/>
        <v/>
      </c>
      <c r="N715" s="27"/>
      <c r="O715" s="47"/>
    </row>
    <row r="716" spans="1:15" ht="15.75" customHeight="1">
      <c r="A716" s="119" t="s">
        <v>236</v>
      </c>
      <c r="B716" s="120"/>
      <c r="C716" s="120"/>
      <c r="D716" s="120"/>
      <c r="E716" s="121">
        <f>SUM(E704:E715)</f>
        <v>0</v>
      </c>
      <c r="F716" s="36">
        <f>SUM(F704:F715)</f>
        <v>76</v>
      </c>
      <c r="G716" s="36">
        <f>SUM(G704:G715)</f>
        <v>319.2</v>
      </c>
      <c r="H716" s="37"/>
      <c r="I716" s="37"/>
      <c r="J716" s="37"/>
      <c r="K716" s="37"/>
      <c r="L716" s="37"/>
      <c r="M716" s="38">
        <f ca="1">IFERROR(SUM(M704:M715),"")</f>
        <v>0.10347222222222224</v>
      </c>
      <c r="N716" s="36" t="s">
        <v>237</v>
      </c>
      <c r="O716" s="39">
        <v>333820</v>
      </c>
    </row>
    <row r="717" spans="1:15" ht="15" customHeight="1">
      <c r="A717" s="69">
        <v>46230</v>
      </c>
      <c r="B717" s="32">
        <v>0.83333333333333304</v>
      </c>
      <c r="C717" s="33" t="s">
        <v>21</v>
      </c>
      <c r="D717" s="62" t="s">
        <v>30</v>
      </c>
      <c r="E717" s="62" t="s">
        <v>261</v>
      </c>
      <c r="F717" s="27">
        <v>4</v>
      </c>
      <c r="G717" s="34">
        <f t="shared" ref="G717:G728" si="159">IF(F717="","",IF(E717="PC 17",F717*4.2,IF(E717="PC 19",F717*5,"")))</f>
        <v>16.8</v>
      </c>
      <c r="H717" s="33" t="s">
        <v>20</v>
      </c>
      <c r="I717" s="33" t="s">
        <v>121</v>
      </c>
      <c r="J717" s="33" t="s">
        <v>113</v>
      </c>
      <c r="K717" s="29">
        <v>0.81944444444444442</v>
      </c>
      <c r="L717" s="29">
        <v>0.83333333333333337</v>
      </c>
      <c r="M717" s="35">
        <f t="shared" ref="M717:M728" ca="1" si="160">IFERROR(IF(K717="","",IF(L717="",MOD(NOW()-K717,1),IF(L717&gt;=K717,L717-K717,L717+1-K717))),"")</f>
        <v>1.3888888888888951E-2</v>
      </c>
      <c r="N717" s="27"/>
      <c r="O717" s="47"/>
    </row>
    <row r="718" spans="1:15" ht="15" customHeight="1">
      <c r="A718" s="68">
        <v>46230</v>
      </c>
      <c r="B718" s="25">
        <f t="shared" ref="B718:B728" si="161">B717+TIME(0,60,0)</f>
        <v>0.87499999999999967</v>
      </c>
      <c r="C718" s="33" t="s">
        <v>21</v>
      </c>
      <c r="D718" s="62" t="s">
        <v>30</v>
      </c>
      <c r="E718" s="62" t="s">
        <v>234</v>
      </c>
      <c r="F718" s="27">
        <v>2</v>
      </c>
      <c r="G718" s="28">
        <f t="shared" si="159"/>
        <v>10</v>
      </c>
      <c r="H718" s="26"/>
      <c r="I718" s="26"/>
      <c r="J718" s="26"/>
      <c r="K718" s="29"/>
      <c r="L718" s="29"/>
      <c r="M718" s="30" t="str">
        <f t="shared" ca="1" si="160"/>
        <v/>
      </c>
      <c r="N718" s="27"/>
      <c r="O718" s="47"/>
    </row>
    <row r="719" spans="1:15" ht="15" customHeight="1">
      <c r="A719" s="69">
        <v>46230</v>
      </c>
      <c r="B719" s="32">
        <f t="shared" si="161"/>
        <v>0.9166666666666663</v>
      </c>
      <c r="C719" s="33" t="s">
        <v>21</v>
      </c>
      <c r="D719" s="62" t="s">
        <v>30</v>
      </c>
      <c r="E719" s="62" t="s">
        <v>261</v>
      </c>
      <c r="F719" s="27">
        <v>4</v>
      </c>
      <c r="G719" s="34">
        <f t="shared" si="159"/>
        <v>16.8</v>
      </c>
      <c r="H719" s="33"/>
      <c r="I719" s="33"/>
      <c r="J719" s="33"/>
      <c r="K719" s="29"/>
      <c r="L719" s="29"/>
      <c r="M719" s="35" t="str">
        <f t="shared" ca="1" si="160"/>
        <v/>
      </c>
      <c r="N719" s="27"/>
      <c r="O719" s="47"/>
    </row>
    <row r="720" spans="1:15" ht="15" customHeight="1">
      <c r="A720" s="68">
        <v>46230</v>
      </c>
      <c r="B720" s="25">
        <f t="shared" si="161"/>
        <v>0.95833333333333293</v>
      </c>
      <c r="C720" s="33" t="s">
        <v>21</v>
      </c>
      <c r="D720" s="62" t="s">
        <v>30</v>
      </c>
      <c r="E720" s="62" t="s">
        <v>261</v>
      </c>
      <c r="F720" s="27">
        <v>2</v>
      </c>
      <c r="G720" s="28">
        <f t="shared" si="159"/>
        <v>8.4</v>
      </c>
      <c r="H720" s="26"/>
      <c r="I720" s="26"/>
      <c r="J720" s="26"/>
      <c r="K720" s="29"/>
      <c r="L720" s="29"/>
      <c r="M720" s="30" t="str">
        <f t="shared" ca="1" si="160"/>
        <v/>
      </c>
      <c r="N720" s="27"/>
      <c r="O720" s="47"/>
    </row>
    <row r="721" spans="1:15" ht="15" customHeight="1">
      <c r="A721" s="69">
        <v>46230</v>
      </c>
      <c r="B721" s="32">
        <f t="shared" si="161"/>
        <v>0.99999999999999956</v>
      </c>
      <c r="C721" s="33" t="s">
        <v>21</v>
      </c>
      <c r="D721" s="62" t="s">
        <v>30</v>
      </c>
      <c r="E721" s="62" t="s">
        <v>261</v>
      </c>
      <c r="F721" s="27">
        <v>0</v>
      </c>
      <c r="G721" s="34">
        <f t="shared" si="159"/>
        <v>0</v>
      </c>
      <c r="H721" s="33"/>
      <c r="I721" s="33"/>
      <c r="J721" s="33"/>
      <c r="K721" s="29"/>
      <c r="L721" s="29"/>
      <c r="M721" s="35" t="str">
        <f t="shared" ca="1" si="160"/>
        <v/>
      </c>
      <c r="N721" s="27"/>
      <c r="O721" s="47"/>
    </row>
    <row r="722" spans="1:15" ht="15" customHeight="1">
      <c r="A722" s="68">
        <v>46230</v>
      </c>
      <c r="B722" s="25">
        <f t="shared" si="161"/>
        <v>1.0416666666666663</v>
      </c>
      <c r="C722" s="33" t="s">
        <v>21</v>
      </c>
      <c r="D722" s="62" t="s">
        <v>30</v>
      </c>
      <c r="E722" s="62" t="s">
        <v>261</v>
      </c>
      <c r="F722" s="27">
        <v>5</v>
      </c>
      <c r="G722" s="28">
        <f t="shared" si="159"/>
        <v>21</v>
      </c>
      <c r="H722" s="26"/>
      <c r="I722" s="26"/>
      <c r="J722" s="26"/>
      <c r="K722" s="29"/>
      <c r="L722" s="29"/>
      <c r="M722" s="30" t="str">
        <f t="shared" ca="1" si="160"/>
        <v/>
      </c>
      <c r="N722" s="27"/>
      <c r="O722" s="47"/>
    </row>
    <row r="723" spans="1:15" ht="15" customHeight="1">
      <c r="A723" s="69">
        <v>46230</v>
      </c>
      <c r="B723" s="32">
        <f t="shared" si="161"/>
        <v>1.083333333333333</v>
      </c>
      <c r="C723" s="33" t="s">
        <v>21</v>
      </c>
      <c r="D723" s="62" t="s">
        <v>30</v>
      </c>
      <c r="E723" s="62" t="s">
        <v>261</v>
      </c>
      <c r="F723" s="27">
        <v>4</v>
      </c>
      <c r="G723" s="34">
        <f t="shared" si="159"/>
        <v>16.8</v>
      </c>
      <c r="H723" s="33"/>
      <c r="I723" s="33"/>
      <c r="J723" s="33"/>
      <c r="K723" s="29"/>
      <c r="L723" s="29"/>
      <c r="M723" s="35" t="str">
        <f t="shared" ca="1" si="160"/>
        <v/>
      </c>
      <c r="N723" s="27"/>
      <c r="O723" s="47"/>
    </row>
    <row r="724" spans="1:15" ht="15" customHeight="1">
      <c r="A724" s="68">
        <v>46230</v>
      </c>
      <c r="B724" s="25">
        <f t="shared" si="161"/>
        <v>1.1249999999999998</v>
      </c>
      <c r="C724" s="33" t="s">
        <v>21</v>
      </c>
      <c r="D724" s="62" t="s">
        <v>30</v>
      </c>
      <c r="E724" s="62" t="s">
        <v>261</v>
      </c>
      <c r="F724" s="27">
        <v>2</v>
      </c>
      <c r="G724" s="28">
        <f t="shared" si="159"/>
        <v>8.4</v>
      </c>
      <c r="H724" s="26"/>
      <c r="I724" s="26"/>
      <c r="J724" s="26"/>
      <c r="K724" s="29"/>
      <c r="L724" s="29"/>
      <c r="M724" s="30" t="str">
        <f t="shared" ca="1" si="160"/>
        <v/>
      </c>
      <c r="N724" s="27"/>
      <c r="O724" s="47"/>
    </row>
    <row r="725" spans="1:15" ht="15" customHeight="1">
      <c r="A725" s="69">
        <v>46230</v>
      </c>
      <c r="B725" s="32">
        <f t="shared" si="161"/>
        <v>1.1666666666666665</v>
      </c>
      <c r="C725" s="33" t="s">
        <v>21</v>
      </c>
      <c r="D725" s="62" t="s">
        <v>30</v>
      </c>
      <c r="E725" s="62" t="s">
        <v>234</v>
      </c>
      <c r="F725" s="27">
        <v>4</v>
      </c>
      <c r="G725" s="34">
        <f t="shared" si="159"/>
        <v>20</v>
      </c>
      <c r="H725" s="33"/>
      <c r="I725" s="33"/>
      <c r="J725" s="33"/>
      <c r="K725" s="29"/>
      <c r="L725" s="29"/>
      <c r="M725" s="35" t="str">
        <f t="shared" ca="1" si="160"/>
        <v/>
      </c>
      <c r="N725" s="27"/>
      <c r="O725" s="47"/>
    </row>
    <row r="726" spans="1:15" ht="15" customHeight="1">
      <c r="A726" s="68">
        <v>46230</v>
      </c>
      <c r="B726" s="25">
        <f t="shared" si="161"/>
        <v>1.2083333333333333</v>
      </c>
      <c r="C726" s="33" t="s">
        <v>21</v>
      </c>
      <c r="D726" s="62" t="s">
        <v>30</v>
      </c>
      <c r="E726" s="62" t="s">
        <v>234</v>
      </c>
      <c r="F726" s="27">
        <v>6</v>
      </c>
      <c r="G726" s="28">
        <f t="shared" si="159"/>
        <v>30</v>
      </c>
      <c r="H726" s="26"/>
      <c r="I726" s="26"/>
      <c r="J726" s="26"/>
      <c r="K726" s="29"/>
      <c r="L726" s="29"/>
      <c r="M726" s="30" t="str">
        <f t="shared" ca="1" si="160"/>
        <v/>
      </c>
      <c r="N726" s="27"/>
      <c r="O726" s="47"/>
    </row>
    <row r="727" spans="1:15" ht="15" customHeight="1">
      <c r="A727" s="69">
        <v>46230</v>
      </c>
      <c r="B727" s="32">
        <f t="shared" si="161"/>
        <v>1.25</v>
      </c>
      <c r="C727" s="33" t="s">
        <v>21</v>
      </c>
      <c r="D727" s="62" t="s">
        <v>30</v>
      </c>
      <c r="E727" s="62" t="s">
        <v>234</v>
      </c>
      <c r="F727" s="27">
        <v>2</v>
      </c>
      <c r="G727" s="34">
        <f t="shared" si="159"/>
        <v>10</v>
      </c>
      <c r="H727" s="33"/>
      <c r="I727" s="33"/>
      <c r="J727" s="33"/>
      <c r="K727" s="29"/>
      <c r="L727" s="29"/>
      <c r="M727" s="35" t="str">
        <f t="shared" ca="1" si="160"/>
        <v/>
      </c>
      <c r="N727" s="27"/>
      <c r="O727" s="47"/>
    </row>
    <row r="728" spans="1:15" ht="15" customHeight="1">
      <c r="A728" s="68">
        <v>46230</v>
      </c>
      <c r="B728" s="25">
        <f t="shared" si="161"/>
        <v>1.2916666666666667</v>
      </c>
      <c r="C728" s="33" t="s">
        <v>21</v>
      </c>
      <c r="D728" s="62" t="s">
        <v>30</v>
      </c>
      <c r="E728" s="62" t="s">
        <v>261</v>
      </c>
      <c r="F728" s="27">
        <v>0</v>
      </c>
      <c r="G728" s="28">
        <f t="shared" si="159"/>
        <v>0</v>
      </c>
      <c r="H728" s="26"/>
      <c r="I728" s="26"/>
      <c r="J728" s="26"/>
      <c r="K728" s="29"/>
      <c r="L728" s="29"/>
      <c r="M728" s="30" t="str">
        <f t="shared" ca="1" si="160"/>
        <v/>
      </c>
      <c r="N728" s="27"/>
      <c r="O728" s="47"/>
    </row>
    <row r="729" spans="1:15" ht="15.75" customHeight="1">
      <c r="A729" s="119" t="s">
        <v>238</v>
      </c>
      <c r="B729" s="120"/>
      <c r="C729" s="120"/>
      <c r="D729" s="120"/>
      <c r="E729" s="121">
        <f>SUM(E717:E728)</f>
        <v>0</v>
      </c>
      <c r="F729" s="36">
        <f>SUM(F717:F728)</f>
        <v>35</v>
      </c>
      <c r="G729" s="36">
        <f>SUM(G717:G728)</f>
        <v>158.19999999999999</v>
      </c>
      <c r="H729" s="37"/>
      <c r="I729" s="37"/>
      <c r="J729" s="37"/>
      <c r="K729" s="37"/>
      <c r="L729" s="37"/>
      <c r="M729" s="38">
        <f ca="1">IFERROR(SUM(M717:M728),"")</f>
        <v>1.3888888888888951E-2</v>
      </c>
      <c r="N729" s="36" t="s">
        <v>237</v>
      </c>
      <c r="O729" s="39">
        <v>175420</v>
      </c>
    </row>
    <row r="730" spans="1:15" ht="18" customHeight="1">
      <c r="A730" s="122" t="s">
        <v>239</v>
      </c>
      <c r="B730" s="123"/>
      <c r="C730" s="123"/>
      <c r="D730" s="123"/>
      <c r="E730" s="124">
        <f>E716+E729</f>
        <v>0</v>
      </c>
      <c r="F730" s="40">
        <f>F716+F729</f>
        <v>111</v>
      </c>
      <c r="G730" s="40">
        <f>G716+G729</f>
        <v>477.4</v>
      </c>
      <c r="H730" s="41"/>
      <c r="I730" s="41"/>
      <c r="J730" s="41"/>
      <c r="K730" s="41"/>
      <c r="L730" s="41"/>
      <c r="M730" s="42">
        <f ca="1">IFERROR(M716+M729,"")</f>
        <v>0.11736111111111119</v>
      </c>
      <c r="N730" s="40" t="s">
        <v>240</v>
      </c>
      <c r="O730" s="48">
        <f>IFERROR(O716+O729,"")</f>
        <v>509240</v>
      </c>
    </row>
    <row r="731" spans="1:15" ht="15" customHeight="1">
      <c r="A731" s="69">
        <v>46231</v>
      </c>
      <c r="B731" s="32">
        <v>0.33333333333333298</v>
      </c>
      <c r="C731" s="33" t="s">
        <v>29</v>
      </c>
      <c r="D731" s="62" t="s">
        <v>46</v>
      </c>
      <c r="E731" s="62" t="s">
        <v>261</v>
      </c>
      <c r="F731" s="27">
        <v>1</v>
      </c>
      <c r="G731" s="34">
        <f t="shared" ref="G731:G742" si="162">IF(F731="","",IF(E731="PC 17",F731*4.2,IF(E731="PC 19",F731*5,"")))</f>
        <v>4.2</v>
      </c>
      <c r="H731" s="33" t="s">
        <v>20</v>
      </c>
      <c r="I731" s="33" t="s">
        <v>47</v>
      </c>
      <c r="J731" s="33" t="s">
        <v>36</v>
      </c>
      <c r="K731" s="29">
        <v>0.29375000000000001</v>
      </c>
      <c r="L731" s="29">
        <v>0.30902777777777779</v>
      </c>
      <c r="M731" s="35">
        <f t="shared" ref="M731:M742" ca="1" si="163">IFERROR(IF(K731="","",IF(L731="",MOD(NOW()-K731,1),IF(L731&gt;=K731,L731-K731,L731+1-K731))),"")</f>
        <v>1.5277777777777779E-2</v>
      </c>
      <c r="N731" s="27"/>
      <c r="O731" s="47"/>
    </row>
    <row r="732" spans="1:15" ht="15" customHeight="1">
      <c r="A732" s="68">
        <v>46231</v>
      </c>
      <c r="B732" s="25">
        <f t="shared" ref="B732:B742" si="164">B731+TIME(0,60,0)</f>
        <v>0.37499999999999967</v>
      </c>
      <c r="C732" s="33" t="s">
        <v>29</v>
      </c>
      <c r="D732" s="62" t="s">
        <v>46</v>
      </c>
      <c r="E732" s="59" t="s">
        <v>261</v>
      </c>
      <c r="F732" s="27">
        <v>10</v>
      </c>
      <c r="G732" s="28">
        <f t="shared" si="162"/>
        <v>42</v>
      </c>
      <c r="H732" s="26" t="s">
        <v>18</v>
      </c>
      <c r="I732" s="26" t="s">
        <v>47</v>
      </c>
      <c r="J732" s="26" t="s">
        <v>128</v>
      </c>
      <c r="K732" s="29">
        <v>0.4548611111111111</v>
      </c>
      <c r="L732" s="29">
        <v>0.48055555555555557</v>
      </c>
      <c r="M732" s="30">
        <f t="shared" ca="1" si="163"/>
        <v>2.5694444444444464E-2</v>
      </c>
      <c r="N732" s="27" t="s">
        <v>329</v>
      </c>
      <c r="O732" s="47"/>
    </row>
    <row r="733" spans="1:15" ht="15" customHeight="1">
      <c r="A733" s="69">
        <v>46231</v>
      </c>
      <c r="B733" s="32">
        <f t="shared" si="164"/>
        <v>0.41666666666666635</v>
      </c>
      <c r="C733" s="33" t="s">
        <v>29</v>
      </c>
      <c r="D733" s="62" t="s">
        <v>46</v>
      </c>
      <c r="E733" s="62" t="s">
        <v>261</v>
      </c>
      <c r="F733" s="27">
        <v>13</v>
      </c>
      <c r="G733" s="34">
        <f t="shared" si="162"/>
        <v>54.6</v>
      </c>
      <c r="H733" s="33" t="s">
        <v>20</v>
      </c>
      <c r="I733" s="33" t="s">
        <v>47</v>
      </c>
      <c r="J733" s="33" t="s">
        <v>181</v>
      </c>
      <c r="K733" s="29">
        <v>0.67500000000000004</v>
      </c>
      <c r="L733" s="29">
        <v>0.67777777777777781</v>
      </c>
      <c r="M733" s="35">
        <f t="shared" ca="1" si="163"/>
        <v>2.7777777777777679E-3</v>
      </c>
      <c r="N733" s="27"/>
      <c r="O733" s="47"/>
    </row>
    <row r="734" spans="1:15" ht="15" customHeight="1">
      <c r="A734" s="68">
        <v>46231</v>
      </c>
      <c r="B734" s="25">
        <f t="shared" si="164"/>
        <v>0.45833333333333304</v>
      </c>
      <c r="C734" s="33" t="s">
        <v>29</v>
      </c>
      <c r="D734" s="62" t="s">
        <v>46</v>
      </c>
      <c r="E734" s="59" t="s">
        <v>261</v>
      </c>
      <c r="F734" s="27">
        <v>6</v>
      </c>
      <c r="G734" s="28">
        <f t="shared" si="162"/>
        <v>25.200000000000003</v>
      </c>
      <c r="H734" s="26" t="s">
        <v>19</v>
      </c>
      <c r="I734" s="26" t="s">
        <v>47</v>
      </c>
      <c r="J734" s="26" t="s">
        <v>27</v>
      </c>
      <c r="K734" s="29">
        <v>0.67777777777777781</v>
      </c>
      <c r="L734" s="29">
        <v>0.68472222222222223</v>
      </c>
      <c r="M734" s="30">
        <f t="shared" ca="1" si="163"/>
        <v>6.9444444444444198E-3</v>
      </c>
      <c r="N734" s="27"/>
      <c r="O734" s="47"/>
    </row>
    <row r="735" spans="1:15" ht="15" customHeight="1">
      <c r="A735" s="69">
        <v>46231</v>
      </c>
      <c r="B735" s="32">
        <f t="shared" si="164"/>
        <v>0.49999999999999972</v>
      </c>
      <c r="C735" s="33" t="s">
        <v>29</v>
      </c>
      <c r="D735" s="62" t="s">
        <v>46</v>
      </c>
      <c r="E735" s="62" t="s">
        <v>261</v>
      </c>
      <c r="F735" s="27">
        <v>0</v>
      </c>
      <c r="G735" s="34">
        <f t="shared" si="162"/>
        <v>0</v>
      </c>
      <c r="H735" s="33" t="s">
        <v>18</v>
      </c>
      <c r="I735" s="33" t="s">
        <v>47</v>
      </c>
      <c r="J735" s="33" t="s">
        <v>128</v>
      </c>
      <c r="K735" s="29">
        <v>0.68472222222222223</v>
      </c>
      <c r="L735" s="29">
        <v>0.69861111111111107</v>
      </c>
      <c r="M735" s="35">
        <f t="shared" ca="1" si="163"/>
        <v>1.388888888888884E-2</v>
      </c>
      <c r="N735" s="27" t="s">
        <v>329</v>
      </c>
      <c r="O735" s="47"/>
    </row>
    <row r="736" spans="1:15" ht="15" customHeight="1">
      <c r="A736" s="68">
        <v>46231</v>
      </c>
      <c r="B736" s="25">
        <f t="shared" si="164"/>
        <v>0.54166666666666641</v>
      </c>
      <c r="C736" s="33" t="s">
        <v>29</v>
      </c>
      <c r="D736" s="62" t="s">
        <v>46</v>
      </c>
      <c r="E736" s="59" t="s">
        <v>261</v>
      </c>
      <c r="F736" s="27">
        <v>0</v>
      </c>
      <c r="G736" s="28">
        <f t="shared" si="162"/>
        <v>0</v>
      </c>
      <c r="H736" s="26"/>
      <c r="I736" s="26"/>
      <c r="J736" s="26"/>
      <c r="K736" s="29"/>
      <c r="L736" s="29"/>
      <c r="M736" s="30" t="str">
        <f t="shared" ca="1" si="163"/>
        <v/>
      </c>
      <c r="N736" s="27"/>
      <c r="O736" s="47"/>
    </row>
    <row r="737" spans="1:15" ht="15" customHeight="1">
      <c r="A737" s="69">
        <v>46231</v>
      </c>
      <c r="B737" s="32">
        <f t="shared" si="164"/>
        <v>0.58333333333333304</v>
      </c>
      <c r="C737" s="33" t="s">
        <v>29</v>
      </c>
      <c r="D737" s="62" t="s">
        <v>46</v>
      </c>
      <c r="E737" s="62" t="s">
        <v>261</v>
      </c>
      <c r="F737" s="27">
        <v>15</v>
      </c>
      <c r="G737" s="34">
        <f t="shared" si="162"/>
        <v>63</v>
      </c>
      <c r="H737" s="33"/>
      <c r="I737" s="33"/>
      <c r="J737" s="33"/>
      <c r="K737" s="29"/>
      <c r="L737" s="29"/>
      <c r="M737" s="35" t="str">
        <f t="shared" ca="1" si="163"/>
        <v/>
      </c>
      <c r="N737" s="27"/>
      <c r="O737" s="47"/>
    </row>
    <row r="738" spans="1:15" ht="15" customHeight="1">
      <c r="A738" s="68">
        <v>46231</v>
      </c>
      <c r="B738" s="25">
        <f t="shared" si="164"/>
        <v>0.62499999999999967</v>
      </c>
      <c r="C738" s="33" t="s">
        <v>29</v>
      </c>
      <c r="D738" s="62" t="s">
        <v>46</v>
      </c>
      <c r="E738" s="59" t="s">
        <v>261</v>
      </c>
      <c r="F738" s="27">
        <v>6</v>
      </c>
      <c r="G738" s="28">
        <f t="shared" si="162"/>
        <v>25.200000000000003</v>
      </c>
      <c r="H738" s="26"/>
      <c r="I738" s="26"/>
      <c r="J738" s="26"/>
      <c r="K738" s="29"/>
      <c r="L738" s="29"/>
      <c r="M738" s="30" t="str">
        <f t="shared" ca="1" si="163"/>
        <v/>
      </c>
      <c r="N738" s="27"/>
      <c r="O738" s="47"/>
    </row>
    <row r="739" spans="1:15" ht="15" customHeight="1">
      <c r="A739" s="69">
        <v>46231</v>
      </c>
      <c r="B739" s="32">
        <f t="shared" si="164"/>
        <v>0.6666666666666663</v>
      </c>
      <c r="C739" s="33" t="s">
        <v>29</v>
      </c>
      <c r="D739" s="62" t="s">
        <v>46</v>
      </c>
      <c r="E739" s="62" t="s">
        <v>261</v>
      </c>
      <c r="F739" s="27">
        <v>0</v>
      </c>
      <c r="G739" s="34">
        <f t="shared" si="162"/>
        <v>0</v>
      </c>
      <c r="H739" s="33"/>
      <c r="I739" s="33"/>
      <c r="J739" s="33"/>
      <c r="K739" s="29"/>
      <c r="L739" s="29"/>
      <c r="M739" s="35" t="str">
        <f t="shared" ca="1" si="163"/>
        <v/>
      </c>
      <c r="N739" s="27"/>
      <c r="O739" s="47"/>
    </row>
    <row r="740" spans="1:15" ht="15" customHeight="1">
      <c r="A740" s="68">
        <v>46231</v>
      </c>
      <c r="B740" s="25">
        <f t="shared" si="164"/>
        <v>0.70833333333333293</v>
      </c>
      <c r="C740" s="33" t="s">
        <v>29</v>
      </c>
      <c r="D740" s="62" t="s">
        <v>46</v>
      </c>
      <c r="E740" s="59" t="s">
        <v>261</v>
      </c>
      <c r="F740" s="27">
        <v>2</v>
      </c>
      <c r="G740" s="28">
        <f t="shared" si="162"/>
        <v>8.4</v>
      </c>
      <c r="H740" s="26"/>
      <c r="I740" s="26"/>
      <c r="J740" s="26"/>
      <c r="K740" s="29"/>
      <c r="L740" s="29"/>
      <c r="M740" s="30" t="str">
        <f t="shared" ca="1" si="163"/>
        <v/>
      </c>
      <c r="N740" s="27"/>
      <c r="O740" s="47"/>
    </row>
    <row r="741" spans="1:15" ht="15" customHeight="1">
      <c r="A741" s="69">
        <v>46231</v>
      </c>
      <c r="B741" s="32">
        <f t="shared" si="164"/>
        <v>0.74999999999999956</v>
      </c>
      <c r="C741" s="33" t="s">
        <v>29</v>
      </c>
      <c r="D741" s="62" t="s">
        <v>46</v>
      </c>
      <c r="E741" s="59" t="s">
        <v>261</v>
      </c>
      <c r="F741" s="27">
        <v>6</v>
      </c>
      <c r="G741" s="28">
        <f t="shared" si="162"/>
        <v>25.200000000000003</v>
      </c>
      <c r="H741" s="33"/>
      <c r="I741" s="33"/>
      <c r="J741" s="33"/>
      <c r="K741" s="29"/>
      <c r="L741" s="29"/>
      <c r="M741" s="35" t="str">
        <f t="shared" ca="1" si="163"/>
        <v/>
      </c>
      <c r="N741" s="27"/>
      <c r="O741" s="47"/>
    </row>
    <row r="742" spans="1:15" ht="15" customHeight="1">
      <c r="A742" s="68">
        <v>46231</v>
      </c>
      <c r="B742" s="25">
        <f t="shared" si="164"/>
        <v>0.79166666666666619</v>
      </c>
      <c r="C742" s="33" t="s">
        <v>29</v>
      </c>
      <c r="D742" s="62" t="s">
        <v>46</v>
      </c>
      <c r="E742" s="62" t="s">
        <v>261</v>
      </c>
      <c r="F742" s="27">
        <v>6</v>
      </c>
      <c r="G742" s="28">
        <f t="shared" si="162"/>
        <v>25.200000000000003</v>
      </c>
      <c r="H742" s="26"/>
      <c r="I742" s="26"/>
      <c r="J742" s="26"/>
      <c r="K742" s="29"/>
      <c r="L742" s="29"/>
      <c r="M742" s="30" t="str">
        <f t="shared" ca="1" si="163"/>
        <v/>
      </c>
      <c r="N742" s="27"/>
      <c r="O742" s="47"/>
    </row>
    <row r="743" spans="1:15" ht="15.75" customHeight="1">
      <c r="A743" s="119" t="s">
        <v>236</v>
      </c>
      <c r="B743" s="120"/>
      <c r="C743" s="120"/>
      <c r="D743" s="120"/>
      <c r="E743" s="121">
        <f>SUM(E731:E742)</f>
        <v>0</v>
      </c>
      <c r="F743" s="36">
        <f>SUM(F731:F742)</f>
        <v>65</v>
      </c>
      <c r="G743" s="36">
        <f>SUM(G731:G742)</f>
        <v>273</v>
      </c>
      <c r="H743" s="37"/>
      <c r="I743" s="37"/>
      <c r="J743" s="37"/>
      <c r="K743" s="37"/>
      <c r="L743" s="37"/>
      <c r="M743" s="38">
        <f ca="1">IFERROR(SUM(M731:M742),"")</f>
        <v>6.458333333333327E-2</v>
      </c>
      <c r="N743" s="36" t="s">
        <v>237</v>
      </c>
      <c r="O743" s="39">
        <v>272000</v>
      </c>
    </row>
    <row r="744" spans="1:15" ht="15" customHeight="1">
      <c r="A744" s="68">
        <v>46231</v>
      </c>
      <c r="B744" s="25">
        <v>0.83333333333333304</v>
      </c>
      <c r="C744" s="26" t="s">
        <v>21</v>
      </c>
      <c r="D744" s="59" t="s">
        <v>30</v>
      </c>
      <c r="E744" s="59" t="s">
        <v>261</v>
      </c>
      <c r="F744" s="27">
        <v>5</v>
      </c>
      <c r="G744" s="28">
        <f t="shared" ref="G744:G755" si="165">IF(F744="","",IF(E744="PC 17",F744*4.2,IF(E744="PC 19",F744*5,"")))</f>
        <v>21</v>
      </c>
      <c r="H744" s="26" t="s">
        <v>17</v>
      </c>
      <c r="I744" s="26"/>
      <c r="J744" s="26" t="s">
        <v>25</v>
      </c>
      <c r="K744" s="29">
        <v>0.88888888888888884</v>
      </c>
      <c r="L744" s="29">
        <v>0.92708333333333337</v>
      </c>
      <c r="M744" s="30">
        <f t="shared" ref="M744:M755" ca="1" si="166">IFERROR(IF(K744="","",IF(L744="",MOD(NOW()-K744,1),IF(L744&gt;=K744,L744-K744,L744+1-K744))),"")</f>
        <v>3.8194444444444531E-2</v>
      </c>
      <c r="N744" s="27"/>
      <c r="O744" s="47"/>
    </row>
    <row r="745" spans="1:15" ht="15" customHeight="1">
      <c r="A745" s="69">
        <v>46231</v>
      </c>
      <c r="B745" s="32">
        <f t="shared" ref="B745:B755" si="167">B744+TIME(0,60,0)</f>
        <v>0.87499999999999967</v>
      </c>
      <c r="C745" s="26" t="s">
        <v>21</v>
      </c>
      <c r="D745" s="59" t="s">
        <v>30</v>
      </c>
      <c r="E745" s="59" t="s">
        <v>261</v>
      </c>
      <c r="F745" s="27">
        <v>2</v>
      </c>
      <c r="G745" s="34">
        <f t="shared" si="165"/>
        <v>8.4</v>
      </c>
      <c r="H745" s="33" t="s">
        <v>20</v>
      </c>
      <c r="I745" s="33" t="s">
        <v>47</v>
      </c>
      <c r="J745" s="33" t="s">
        <v>28</v>
      </c>
      <c r="K745" s="29">
        <v>0.97222222222222221</v>
      </c>
      <c r="L745" s="29">
        <v>0.98124999999999996</v>
      </c>
      <c r="M745" s="35">
        <f t="shared" ca="1" si="166"/>
        <v>9.0277777777777457E-3</v>
      </c>
      <c r="N745" s="27" t="s">
        <v>379</v>
      </c>
      <c r="O745" s="47"/>
    </row>
    <row r="746" spans="1:15" ht="15" customHeight="1">
      <c r="A746" s="68">
        <v>46231</v>
      </c>
      <c r="B746" s="25">
        <f t="shared" si="167"/>
        <v>0.9166666666666663</v>
      </c>
      <c r="C746" s="26" t="s">
        <v>21</v>
      </c>
      <c r="D746" s="59" t="s">
        <v>30</v>
      </c>
      <c r="E746" s="59" t="s">
        <v>261</v>
      </c>
      <c r="F746" s="27">
        <v>4</v>
      </c>
      <c r="G746" s="28">
        <f t="shared" si="165"/>
        <v>16.8</v>
      </c>
      <c r="H746" s="26" t="s">
        <v>20</v>
      </c>
      <c r="I746" s="26" t="s">
        <v>47</v>
      </c>
      <c r="J746" s="26" t="s">
        <v>202</v>
      </c>
      <c r="K746" s="29">
        <v>5.1388888888888887E-2</v>
      </c>
      <c r="L746" s="29">
        <v>7.6388888888888895E-2</v>
      </c>
      <c r="M746" s="30">
        <f t="shared" ca="1" si="166"/>
        <v>2.5000000000000008E-2</v>
      </c>
      <c r="N746" s="27"/>
      <c r="O746" s="47"/>
    </row>
    <row r="747" spans="1:15" ht="15" customHeight="1">
      <c r="A747" s="69">
        <v>46231</v>
      </c>
      <c r="B747" s="32">
        <f t="shared" si="167"/>
        <v>0.95833333333333293</v>
      </c>
      <c r="C747" s="26" t="s">
        <v>21</v>
      </c>
      <c r="D747" s="59" t="s">
        <v>30</v>
      </c>
      <c r="E747" s="59" t="s">
        <v>261</v>
      </c>
      <c r="F747" s="27">
        <v>2</v>
      </c>
      <c r="G747" s="34">
        <f t="shared" si="165"/>
        <v>8.4</v>
      </c>
      <c r="H747" s="33" t="s">
        <v>20</v>
      </c>
      <c r="I747" s="33" t="s">
        <v>47</v>
      </c>
      <c r="J747" s="33" t="s">
        <v>202</v>
      </c>
      <c r="K747" s="29">
        <v>8.3333333333333329E-2</v>
      </c>
      <c r="L747" s="29">
        <v>9.7222222222222224E-2</v>
      </c>
      <c r="M747" s="35">
        <f t="shared" ca="1" si="166"/>
        <v>1.3888888888888895E-2</v>
      </c>
      <c r="N747" s="27" t="s">
        <v>380</v>
      </c>
      <c r="O747" s="47"/>
    </row>
    <row r="748" spans="1:15" ht="15" customHeight="1">
      <c r="A748" s="68">
        <v>46231</v>
      </c>
      <c r="B748" s="25">
        <f t="shared" si="167"/>
        <v>0.99999999999999956</v>
      </c>
      <c r="C748" s="26" t="s">
        <v>21</v>
      </c>
      <c r="D748" s="59" t="s">
        <v>30</v>
      </c>
      <c r="E748" s="59" t="s">
        <v>261</v>
      </c>
      <c r="F748" s="27">
        <v>3</v>
      </c>
      <c r="G748" s="28">
        <f t="shared" si="165"/>
        <v>12.600000000000001</v>
      </c>
      <c r="H748" s="26" t="s">
        <v>17</v>
      </c>
      <c r="I748" s="26"/>
      <c r="J748" s="26" t="s">
        <v>25</v>
      </c>
      <c r="K748" s="29">
        <v>0.11805555555555555</v>
      </c>
      <c r="L748" s="29">
        <v>0.1388888888888889</v>
      </c>
      <c r="M748" s="30">
        <f t="shared" ca="1" si="166"/>
        <v>2.0833333333333343E-2</v>
      </c>
      <c r="N748" s="27"/>
      <c r="O748" s="47"/>
    </row>
    <row r="749" spans="1:15" ht="15" customHeight="1">
      <c r="A749" s="69">
        <v>46231</v>
      </c>
      <c r="B749" s="32">
        <f t="shared" si="167"/>
        <v>1.0416666666666663</v>
      </c>
      <c r="C749" s="26" t="s">
        <v>21</v>
      </c>
      <c r="D749" s="59" t="s">
        <v>30</v>
      </c>
      <c r="E749" s="59" t="s">
        <v>261</v>
      </c>
      <c r="F749" s="27">
        <v>6</v>
      </c>
      <c r="G749" s="34">
        <f t="shared" si="165"/>
        <v>25.200000000000003</v>
      </c>
      <c r="H749" s="33" t="s">
        <v>20</v>
      </c>
      <c r="I749" s="33" t="s">
        <v>47</v>
      </c>
      <c r="J749" s="33" t="s">
        <v>36</v>
      </c>
      <c r="K749" s="29">
        <v>0.1388888888888889</v>
      </c>
      <c r="L749" s="29">
        <v>0.15277777777777779</v>
      </c>
      <c r="M749" s="35">
        <f t="shared" ca="1" si="166"/>
        <v>1.3888888888888895E-2</v>
      </c>
      <c r="N749" s="27"/>
      <c r="O749" s="47"/>
    </row>
    <row r="750" spans="1:15" ht="15" customHeight="1">
      <c r="A750" s="68">
        <v>46231</v>
      </c>
      <c r="B750" s="25">
        <f t="shared" si="167"/>
        <v>1.083333333333333</v>
      </c>
      <c r="C750" s="26" t="s">
        <v>21</v>
      </c>
      <c r="D750" s="59" t="s">
        <v>30</v>
      </c>
      <c r="E750" s="59" t="s">
        <v>261</v>
      </c>
      <c r="F750" s="27">
        <v>2</v>
      </c>
      <c r="G750" s="28">
        <f t="shared" si="165"/>
        <v>8.4</v>
      </c>
      <c r="H750" s="26" t="s">
        <v>20</v>
      </c>
      <c r="I750" s="26" t="s">
        <v>47</v>
      </c>
      <c r="J750" s="26" t="s">
        <v>36</v>
      </c>
      <c r="K750" s="29">
        <v>0.19930555555555557</v>
      </c>
      <c r="L750" s="29">
        <v>0.21875</v>
      </c>
      <c r="M750" s="30">
        <f t="shared" ca="1" si="166"/>
        <v>1.9444444444444431E-2</v>
      </c>
      <c r="N750" s="27"/>
      <c r="O750" s="47"/>
    </row>
    <row r="751" spans="1:15" ht="15" customHeight="1">
      <c r="A751" s="69">
        <v>46231</v>
      </c>
      <c r="B751" s="32">
        <f t="shared" si="167"/>
        <v>1.1249999999999998</v>
      </c>
      <c r="C751" s="26" t="s">
        <v>21</v>
      </c>
      <c r="D751" s="59" t="s">
        <v>30</v>
      </c>
      <c r="E751" s="59" t="s">
        <v>261</v>
      </c>
      <c r="F751" s="27">
        <v>4</v>
      </c>
      <c r="G751" s="34">
        <f t="shared" si="165"/>
        <v>16.8</v>
      </c>
      <c r="H751" s="33"/>
      <c r="I751" s="33"/>
      <c r="J751" s="33"/>
      <c r="K751" s="29"/>
      <c r="L751" s="29"/>
      <c r="M751" s="35" t="str">
        <f t="shared" ca="1" si="166"/>
        <v/>
      </c>
      <c r="N751" s="27"/>
      <c r="O751" s="47"/>
    </row>
    <row r="752" spans="1:15" ht="15" customHeight="1">
      <c r="A752" s="68">
        <v>46231</v>
      </c>
      <c r="B752" s="25">
        <f t="shared" si="167"/>
        <v>1.1666666666666665</v>
      </c>
      <c r="C752" s="26" t="s">
        <v>21</v>
      </c>
      <c r="D752" s="59" t="s">
        <v>30</v>
      </c>
      <c r="E752" s="59" t="s">
        <v>261</v>
      </c>
      <c r="F752" s="27">
        <v>0</v>
      </c>
      <c r="G752" s="28">
        <f t="shared" si="165"/>
        <v>0</v>
      </c>
      <c r="H752" s="26"/>
      <c r="I752" s="26"/>
      <c r="J752" s="26"/>
      <c r="K752" s="29"/>
      <c r="L752" s="29"/>
      <c r="M752" s="30" t="str">
        <f t="shared" ca="1" si="166"/>
        <v/>
      </c>
      <c r="N752" s="27"/>
      <c r="O752" s="47"/>
    </row>
    <row r="753" spans="1:15" ht="15" customHeight="1">
      <c r="A753" s="69">
        <v>46231</v>
      </c>
      <c r="B753" s="32">
        <f t="shared" si="167"/>
        <v>1.2083333333333333</v>
      </c>
      <c r="C753" s="26" t="s">
        <v>21</v>
      </c>
      <c r="D753" s="59" t="s">
        <v>30</v>
      </c>
      <c r="E753" s="59" t="s">
        <v>261</v>
      </c>
      <c r="F753" s="27">
        <v>4</v>
      </c>
      <c r="G753" s="34">
        <f t="shared" si="165"/>
        <v>16.8</v>
      </c>
      <c r="H753" s="33"/>
      <c r="I753" s="33"/>
      <c r="J753" s="33"/>
      <c r="K753" s="29"/>
      <c r="L753" s="29"/>
      <c r="M753" s="35" t="str">
        <f t="shared" ca="1" si="166"/>
        <v/>
      </c>
      <c r="N753" s="27"/>
      <c r="O753" s="47"/>
    </row>
    <row r="754" spans="1:15" ht="15" customHeight="1">
      <c r="A754" s="68">
        <v>46231</v>
      </c>
      <c r="B754" s="25">
        <f t="shared" si="167"/>
        <v>1.25</v>
      </c>
      <c r="C754" s="26" t="s">
        <v>21</v>
      </c>
      <c r="D754" s="59" t="s">
        <v>30</v>
      </c>
      <c r="E754" s="59" t="s">
        <v>261</v>
      </c>
      <c r="F754" s="27">
        <v>2</v>
      </c>
      <c r="G754" s="28">
        <f t="shared" si="165"/>
        <v>8.4</v>
      </c>
      <c r="H754" s="26"/>
      <c r="I754" s="26"/>
      <c r="J754" s="26"/>
      <c r="K754" s="29"/>
      <c r="L754" s="29"/>
      <c r="M754" s="30" t="str">
        <f t="shared" ca="1" si="166"/>
        <v/>
      </c>
      <c r="N754" s="27"/>
      <c r="O754" s="47"/>
    </row>
    <row r="755" spans="1:15" ht="15" customHeight="1">
      <c r="A755" s="69">
        <v>46231</v>
      </c>
      <c r="B755" s="32">
        <f t="shared" si="167"/>
        <v>1.2916666666666667</v>
      </c>
      <c r="C755" s="26" t="s">
        <v>21</v>
      </c>
      <c r="D755" s="59" t="s">
        <v>30</v>
      </c>
      <c r="E755" s="59" t="s">
        <v>261</v>
      </c>
      <c r="F755" s="27">
        <v>1</v>
      </c>
      <c r="G755" s="34">
        <f t="shared" si="165"/>
        <v>4.2</v>
      </c>
      <c r="H755" s="33"/>
      <c r="I755" s="33"/>
      <c r="J755" s="33"/>
      <c r="K755" s="29"/>
      <c r="L755" s="29"/>
      <c r="M755" s="35" t="str">
        <f t="shared" ca="1" si="166"/>
        <v/>
      </c>
      <c r="N755" s="27"/>
      <c r="O755" s="47"/>
    </row>
    <row r="756" spans="1:15" ht="15.75" customHeight="1">
      <c r="A756" s="119" t="s">
        <v>238</v>
      </c>
      <c r="B756" s="120"/>
      <c r="C756" s="120"/>
      <c r="D756" s="120"/>
      <c r="E756" s="121">
        <f>SUM(E744:E755)</f>
        <v>0</v>
      </c>
      <c r="F756" s="36">
        <f>SUM(F744:F755)</f>
        <v>35</v>
      </c>
      <c r="G756" s="36">
        <f>SUM(G744:G755)</f>
        <v>147</v>
      </c>
      <c r="H756" s="37"/>
      <c r="I756" s="37"/>
      <c r="J756" s="37"/>
      <c r="K756" s="37"/>
      <c r="L756" s="37"/>
      <c r="M756" s="38">
        <f ca="1">IFERROR(SUM(M744:M755),"")</f>
        <v>0.14027777777777783</v>
      </c>
      <c r="N756" s="36" t="s">
        <v>237</v>
      </c>
      <c r="O756" s="39">
        <v>154160</v>
      </c>
    </row>
    <row r="757" spans="1:15" ht="18" customHeight="1">
      <c r="A757" s="122" t="s">
        <v>239</v>
      </c>
      <c r="B757" s="123"/>
      <c r="C757" s="123"/>
      <c r="D757" s="123"/>
      <c r="E757" s="124">
        <f>E743+E756</f>
        <v>0</v>
      </c>
      <c r="F757" s="40">
        <f>F743+F756</f>
        <v>100</v>
      </c>
      <c r="G757" s="40">
        <f>G743+G756</f>
        <v>420</v>
      </c>
      <c r="H757" s="41"/>
      <c r="I757" s="41"/>
      <c r="J757" s="41"/>
      <c r="K757" s="41"/>
      <c r="L757" s="41"/>
      <c r="M757" s="42">
        <f ca="1">IFERROR(M743+M756,"")</f>
        <v>0.2048611111111111</v>
      </c>
      <c r="N757" s="40" t="s">
        <v>240</v>
      </c>
      <c r="O757" s="48">
        <f>IFERROR(O743+O756,"")</f>
        <v>426160</v>
      </c>
    </row>
    <row r="758" spans="1:15" ht="15" customHeight="1">
      <c r="A758" s="68">
        <v>46232</v>
      </c>
      <c r="B758" s="25">
        <v>0.33333333333333298</v>
      </c>
      <c r="C758" s="26" t="s">
        <v>29</v>
      </c>
      <c r="D758" s="59" t="s">
        <v>30</v>
      </c>
      <c r="E758" s="59" t="s">
        <v>261</v>
      </c>
      <c r="F758" s="27">
        <v>2</v>
      </c>
      <c r="G758" s="28">
        <f t="shared" ref="G758:G769" si="168">IF(F758="","",IF(E758="PC 17",F758*4.2,IF(E758="PC 19",F758*5,"")))</f>
        <v>8.4</v>
      </c>
      <c r="H758" s="26" t="s">
        <v>18</v>
      </c>
      <c r="I758" s="26" t="s">
        <v>47</v>
      </c>
      <c r="J758" s="26" t="s">
        <v>128</v>
      </c>
      <c r="K758" s="29">
        <v>0.29930555555555555</v>
      </c>
      <c r="L758" s="29">
        <v>0.31597222222222221</v>
      </c>
      <c r="M758" s="30">
        <f t="shared" ref="M758:M769" ca="1" si="169">IFERROR(IF(K758="","",IF(L758="",MOD(NOW()-K758,1),IF(L758&gt;=K758,L758-K758,L758+1-K758))),"")</f>
        <v>1.6666666666666663E-2</v>
      </c>
      <c r="N758" s="27" t="s">
        <v>381</v>
      </c>
      <c r="O758" s="47"/>
    </row>
    <row r="759" spans="1:15" ht="15" customHeight="1">
      <c r="A759" s="69">
        <v>46232</v>
      </c>
      <c r="B759" s="32">
        <f t="shared" ref="B759:B769" si="170">B758+TIME(0,60,0)</f>
        <v>0.37499999999999967</v>
      </c>
      <c r="C759" s="26" t="s">
        <v>29</v>
      </c>
      <c r="D759" s="59" t="s">
        <v>30</v>
      </c>
      <c r="E759" s="62" t="s">
        <v>261</v>
      </c>
      <c r="F759" s="27">
        <v>1</v>
      </c>
      <c r="G759" s="34">
        <f t="shared" si="168"/>
        <v>4.2</v>
      </c>
      <c r="H759" s="33" t="s">
        <v>20</v>
      </c>
      <c r="I759" s="33" t="s">
        <v>47</v>
      </c>
      <c r="J759" s="33" t="s">
        <v>36</v>
      </c>
      <c r="K759" s="29">
        <v>0.34236111111111112</v>
      </c>
      <c r="L759" s="29">
        <v>0.36458333333333331</v>
      </c>
      <c r="M759" s="35">
        <f t="shared" ca="1" si="169"/>
        <v>2.2222222222222199E-2</v>
      </c>
      <c r="N759" s="27"/>
      <c r="O759" s="47"/>
    </row>
    <row r="760" spans="1:15" ht="15" customHeight="1">
      <c r="A760" s="68">
        <v>46232</v>
      </c>
      <c r="B760" s="25">
        <f t="shared" si="170"/>
        <v>0.41666666666666635</v>
      </c>
      <c r="C760" s="26" t="s">
        <v>29</v>
      </c>
      <c r="D760" s="59" t="s">
        <v>30</v>
      </c>
      <c r="E760" s="59" t="s">
        <v>261</v>
      </c>
      <c r="F760" s="27">
        <v>5</v>
      </c>
      <c r="G760" s="28">
        <f t="shared" si="168"/>
        <v>21</v>
      </c>
      <c r="H760" s="26" t="s">
        <v>20</v>
      </c>
      <c r="I760" s="26" t="s">
        <v>155</v>
      </c>
      <c r="J760" s="26" t="s">
        <v>74</v>
      </c>
      <c r="K760" s="29">
        <v>0.37986111111111109</v>
      </c>
      <c r="L760" s="29">
        <v>0.38541666666666669</v>
      </c>
      <c r="M760" s="30">
        <f t="shared" ca="1" si="169"/>
        <v>5.5555555555555913E-3</v>
      </c>
      <c r="N760" s="27"/>
      <c r="O760" s="47"/>
    </row>
    <row r="761" spans="1:15" ht="15" customHeight="1">
      <c r="A761" s="69">
        <v>46232</v>
      </c>
      <c r="B761" s="32">
        <f t="shared" si="170"/>
        <v>0.45833333333333304</v>
      </c>
      <c r="C761" s="26" t="s">
        <v>29</v>
      </c>
      <c r="D761" s="59" t="s">
        <v>30</v>
      </c>
      <c r="E761" s="62" t="s">
        <v>261</v>
      </c>
      <c r="F761" s="27">
        <v>4</v>
      </c>
      <c r="G761" s="34">
        <f t="shared" si="168"/>
        <v>16.8</v>
      </c>
      <c r="H761" s="33" t="s">
        <v>18</v>
      </c>
      <c r="I761" s="33" t="s">
        <v>47</v>
      </c>
      <c r="J761" s="33" t="s">
        <v>128</v>
      </c>
      <c r="K761" s="29">
        <v>0.39861111111111114</v>
      </c>
      <c r="L761" s="29">
        <v>0.4201388888888889</v>
      </c>
      <c r="M761" s="35">
        <f t="shared" ca="1" si="169"/>
        <v>2.1527777777777757E-2</v>
      </c>
      <c r="N761" s="27" t="s">
        <v>329</v>
      </c>
      <c r="O761" s="47"/>
    </row>
    <row r="762" spans="1:15" ht="15" customHeight="1">
      <c r="A762" s="68">
        <v>46232</v>
      </c>
      <c r="B762" s="25">
        <f t="shared" si="170"/>
        <v>0.49999999999999972</v>
      </c>
      <c r="C762" s="26" t="s">
        <v>29</v>
      </c>
      <c r="D762" s="59" t="s">
        <v>30</v>
      </c>
      <c r="E762" s="59" t="s">
        <v>261</v>
      </c>
      <c r="F762" s="27">
        <v>8</v>
      </c>
      <c r="G762" s="28">
        <f t="shared" si="168"/>
        <v>33.6</v>
      </c>
      <c r="H762" s="26" t="s">
        <v>20</v>
      </c>
      <c r="I762" s="26" t="s">
        <v>155</v>
      </c>
      <c r="J762" s="26" t="s">
        <v>74</v>
      </c>
      <c r="K762" s="29">
        <v>0.52083333333333337</v>
      </c>
      <c r="L762" s="29">
        <v>0.52847222222222223</v>
      </c>
      <c r="M762" s="30">
        <f t="shared" ca="1" si="169"/>
        <v>7.6388888888888618E-3</v>
      </c>
      <c r="N762" s="27"/>
      <c r="O762" s="47"/>
    </row>
    <row r="763" spans="1:15" ht="15" customHeight="1">
      <c r="A763" s="69">
        <v>46232</v>
      </c>
      <c r="B763" s="32">
        <f t="shared" si="170"/>
        <v>0.54166666666666641</v>
      </c>
      <c r="C763" s="26" t="s">
        <v>29</v>
      </c>
      <c r="D763" s="59" t="s">
        <v>30</v>
      </c>
      <c r="E763" s="62" t="s">
        <v>234</v>
      </c>
      <c r="F763" s="27">
        <v>5</v>
      </c>
      <c r="G763" s="34">
        <f t="shared" si="168"/>
        <v>25</v>
      </c>
      <c r="H763" s="33" t="s">
        <v>20</v>
      </c>
      <c r="I763" s="33" t="s">
        <v>47</v>
      </c>
      <c r="J763" s="33" t="s">
        <v>51</v>
      </c>
      <c r="K763" s="29">
        <v>0.57361111111111107</v>
      </c>
      <c r="L763" s="29">
        <v>0.57708333333333328</v>
      </c>
      <c r="M763" s="35">
        <f t="shared" ca="1" si="169"/>
        <v>3.4722222222222099E-3</v>
      </c>
      <c r="N763" s="27"/>
      <c r="O763" s="47"/>
    </row>
    <row r="764" spans="1:15" ht="15" customHeight="1">
      <c r="A764" s="68">
        <v>46232</v>
      </c>
      <c r="B764" s="25">
        <f t="shared" si="170"/>
        <v>0.58333333333333304</v>
      </c>
      <c r="C764" s="26" t="s">
        <v>29</v>
      </c>
      <c r="D764" s="59" t="s">
        <v>30</v>
      </c>
      <c r="E764" s="59" t="s">
        <v>261</v>
      </c>
      <c r="F764" s="27">
        <v>1</v>
      </c>
      <c r="G764" s="28">
        <f t="shared" si="168"/>
        <v>4.2</v>
      </c>
      <c r="H764" s="26" t="s">
        <v>20</v>
      </c>
      <c r="I764" s="26" t="s">
        <v>47</v>
      </c>
      <c r="J764" s="26" t="s">
        <v>51</v>
      </c>
      <c r="K764" s="29">
        <v>0.61111111111111116</v>
      </c>
      <c r="L764" s="29">
        <v>0.61527777777777781</v>
      </c>
      <c r="M764" s="30">
        <f t="shared" ca="1" si="169"/>
        <v>4.1666666666666519E-3</v>
      </c>
      <c r="N764" s="27"/>
      <c r="O764" s="47"/>
    </row>
    <row r="765" spans="1:15" ht="15" customHeight="1">
      <c r="A765" s="69">
        <v>46232</v>
      </c>
      <c r="B765" s="32">
        <f t="shared" si="170"/>
        <v>0.62499999999999967</v>
      </c>
      <c r="C765" s="26" t="s">
        <v>29</v>
      </c>
      <c r="D765" s="59" t="s">
        <v>30</v>
      </c>
      <c r="E765" s="62" t="s">
        <v>261</v>
      </c>
      <c r="F765" s="27">
        <v>5</v>
      </c>
      <c r="G765" s="34">
        <f t="shared" si="168"/>
        <v>21</v>
      </c>
      <c r="H765" s="33" t="s">
        <v>20</v>
      </c>
      <c r="I765" s="33" t="s">
        <v>47</v>
      </c>
      <c r="J765" s="33" t="s">
        <v>51</v>
      </c>
      <c r="K765" s="29">
        <v>0.63888888888888884</v>
      </c>
      <c r="L765" s="29">
        <v>0.64236111111111116</v>
      </c>
      <c r="M765" s="35">
        <f t="shared" ca="1" si="169"/>
        <v>3.4722222222223209E-3</v>
      </c>
      <c r="N765" s="27"/>
      <c r="O765" s="47"/>
    </row>
    <row r="766" spans="1:15" ht="15" customHeight="1">
      <c r="A766" s="68">
        <v>46232</v>
      </c>
      <c r="B766" s="25">
        <f t="shared" si="170"/>
        <v>0.6666666666666663</v>
      </c>
      <c r="C766" s="26" t="s">
        <v>29</v>
      </c>
      <c r="D766" s="59" t="s">
        <v>30</v>
      </c>
      <c r="E766" s="59" t="s">
        <v>261</v>
      </c>
      <c r="F766" s="27">
        <v>0</v>
      </c>
      <c r="G766" s="28">
        <f t="shared" si="168"/>
        <v>0</v>
      </c>
      <c r="H766" s="26" t="s">
        <v>20</v>
      </c>
      <c r="I766" s="26" t="s">
        <v>47</v>
      </c>
      <c r="J766" s="26" t="s">
        <v>51</v>
      </c>
      <c r="K766" s="29">
        <v>0.66319444444444442</v>
      </c>
      <c r="L766" s="29">
        <v>0.66597222222222219</v>
      </c>
      <c r="M766" s="30">
        <f t="shared" ca="1" si="169"/>
        <v>2.7777777777777679E-3</v>
      </c>
      <c r="N766" s="27"/>
      <c r="O766" s="47"/>
    </row>
    <row r="767" spans="1:15" ht="15" customHeight="1">
      <c r="A767" s="69">
        <v>46232</v>
      </c>
      <c r="B767" s="32">
        <f t="shared" si="170"/>
        <v>0.70833333333333293</v>
      </c>
      <c r="C767" s="26" t="s">
        <v>29</v>
      </c>
      <c r="D767" s="59" t="s">
        <v>30</v>
      </c>
      <c r="E767" s="62" t="s">
        <v>261</v>
      </c>
      <c r="F767" s="27">
        <v>5</v>
      </c>
      <c r="G767" s="34">
        <f t="shared" si="168"/>
        <v>21</v>
      </c>
      <c r="H767" s="33" t="s">
        <v>17</v>
      </c>
      <c r="I767" s="33"/>
      <c r="J767" s="33" t="s">
        <v>86</v>
      </c>
      <c r="K767" s="29">
        <v>0.73541666666666672</v>
      </c>
      <c r="L767" s="29">
        <v>0.76041666666666663</v>
      </c>
      <c r="M767" s="35">
        <f t="shared" ca="1" si="169"/>
        <v>2.4999999999999911E-2</v>
      </c>
      <c r="N767" s="27" t="s">
        <v>382</v>
      </c>
      <c r="O767" s="47"/>
    </row>
    <row r="768" spans="1:15" ht="15" customHeight="1">
      <c r="A768" s="68">
        <v>46232</v>
      </c>
      <c r="B768" s="25">
        <f t="shared" si="170"/>
        <v>0.74999999999999956</v>
      </c>
      <c r="C768" s="26" t="s">
        <v>29</v>
      </c>
      <c r="D768" s="59" t="s">
        <v>30</v>
      </c>
      <c r="E768" s="59" t="s">
        <v>261</v>
      </c>
      <c r="F768" s="27">
        <v>5</v>
      </c>
      <c r="G768" s="28">
        <f t="shared" si="168"/>
        <v>21</v>
      </c>
      <c r="H768" s="26" t="s">
        <v>17</v>
      </c>
      <c r="I768" s="26"/>
      <c r="J768" s="26" t="s">
        <v>25</v>
      </c>
      <c r="K768" s="29">
        <v>0.76458333333333328</v>
      </c>
      <c r="L768" s="29">
        <v>0.76597222222222228</v>
      </c>
      <c r="M768" s="30">
        <f t="shared" ca="1" si="169"/>
        <v>1.388888888888995E-3</v>
      </c>
      <c r="N768" s="27"/>
      <c r="O768" s="47"/>
    </row>
    <row r="769" spans="1:15" ht="15" customHeight="1">
      <c r="A769" s="69">
        <v>46232</v>
      </c>
      <c r="B769" s="32">
        <f t="shared" si="170"/>
        <v>0.79166666666666619</v>
      </c>
      <c r="C769" s="26" t="s">
        <v>29</v>
      </c>
      <c r="D769" s="59" t="s">
        <v>30</v>
      </c>
      <c r="E769" s="62" t="s">
        <v>261</v>
      </c>
      <c r="F769" s="27">
        <v>0</v>
      </c>
      <c r="G769" s="34">
        <f t="shared" si="168"/>
        <v>0</v>
      </c>
      <c r="H769" s="33"/>
      <c r="I769" s="33"/>
      <c r="J769" s="33"/>
      <c r="K769" s="29"/>
      <c r="L769" s="29"/>
      <c r="M769" s="35" t="str">
        <f t="shared" ca="1" si="169"/>
        <v/>
      </c>
      <c r="N769" s="27"/>
      <c r="O769" s="47"/>
    </row>
    <row r="770" spans="1:15" ht="15.75" customHeight="1">
      <c r="A770" s="119" t="s">
        <v>236</v>
      </c>
      <c r="B770" s="120"/>
      <c r="C770" s="120"/>
      <c r="D770" s="120"/>
      <c r="E770" s="121">
        <f>SUM(E758:E769)</f>
        <v>0</v>
      </c>
      <c r="F770" s="36">
        <f>SUM(F758:F769)</f>
        <v>41</v>
      </c>
      <c r="G770" s="36">
        <f>SUM(G758:G769)</f>
        <v>176.2</v>
      </c>
      <c r="H770" s="37"/>
      <c r="I770" s="37"/>
      <c r="J770" s="37"/>
      <c r="K770" s="37"/>
      <c r="L770" s="37"/>
      <c r="M770" s="38">
        <f ca="1">IFERROR(SUM(M758:M769),"")</f>
        <v>0.11388888888888893</v>
      </c>
      <c r="N770" s="36" t="s">
        <v>237</v>
      </c>
      <c r="O770" s="39">
        <v>172140</v>
      </c>
    </row>
    <row r="771" spans="1:15" ht="15" customHeight="1">
      <c r="A771" s="69">
        <v>46232</v>
      </c>
      <c r="B771" s="32">
        <v>0.83333333333333304</v>
      </c>
      <c r="C771" s="33" t="s">
        <v>21</v>
      </c>
      <c r="D771" s="62" t="s">
        <v>22</v>
      </c>
      <c r="E771" s="62" t="s">
        <v>261</v>
      </c>
      <c r="F771" s="27">
        <v>10</v>
      </c>
      <c r="G771" s="34">
        <f t="shared" ref="G771:G782" si="171">IF(F771="","",IF(E771="PC 17",F771*4.2,IF(E771="PC 19",F771*5,"")))</f>
        <v>42</v>
      </c>
      <c r="H771" s="33" t="s">
        <v>20</v>
      </c>
      <c r="I771" s="33" t="s">
        <v>47</v>
      </c>
      <c r="J771" s="33" t="s">
        <v>51</v>
      </c>
      <c r="K771" s="29">
        <v>0.81666666666666665</v>
      </c>
      <c r="L771" s="29">
        <v>0.82291666666666663</v>
      </c>
      <c r="M771" s="35">
        <f t="shared" ref="M771:M782" ca="1" si="172">IFERROR(IF(K771="","",IF(L771="",MOD(NOW()-K771,1),IF(L771&gt;=K771,L771-K771,L771+1-K771))),"")</f>
        <v>6.2499999999999778E-3</v>
      </c>
      <c r="N771" s="27"/>
      <c r="O771" s="47"/>
    </row>
    <row r="772" spans="1:15" ht="15" customHeight="1">
      <c r="A772" s="68">
        <v>46232</v>
      </c>
      <c r="B772" s="25">
        <f t="shared" ref="B772:B782" si="173">B771+TIME(0,60,0)</f>
        <v>0.87499999999999967</v>
      </c>
      <c r="C772" s="33" t="s">
        <v>21</v>
      </c>
      <c r="D772" s="62" t="s">
        <v>22</v>
      </c>
      <c r="E772" s="62" t="s">
        <v>234</v>
      </c>
      <c r="F772" s="27">
        <v>5</v>
      </c>
      <c r="G772" s="28">
        <f t="shared" si="171"/>
        <v>25</v>
      </c>
      <c r="H772" s="26" t="s">
        <v>20</v>
      </c>
      <c r="I772" s="26" t="s">
        <v>47</v>
      </c>
      <c r="J772" s="26" t="s">
        <v>36</v>
      </c>
      <c r="K772" s="29">
        <v>0.89027777777777772</v>
      </c>
      <c r="L772" s="29">
        <v>0.91249999999999998</v>
      </c>
      <c r="M772" s="30">
        <f t="shared" ca="1" si="172"/>
        <v>2.2222222222222254E-2</v>
      </c>
      <c r="N772" s="27"/>
      <c r="O772" s="47"/>
    </row>
    <row r="773" spans="1:15" ht="15" customHeight="1">
      <c r="A773" s="69">
        <v>46232</v>
      </c>
      <c r="B773" s="32">
        <f t="shared" si="173"/>
        <v>0.9166666666666663</v>
      </c>
      <c r="C773" s="33" t="s">
        <v>21</v>
      </c>
      <c r="D773" s="62" t="s">
        <v>22</v>
      </c>
      <c r="E773" s="62" t="s">
        <v>261</v>
      </c>
      <c r="F773" s="27">
        <v>4</v>
      </c>
      <c r="G773" s="34">
        <f t="shared" si="171"/>
        <v>16.8</v>
      </c>
      <c r="H773" s="33" t="s">
        <v>20</v>
      </c>
      <c r="I773" s="33" t="s">
        <v>121</v>
      </c>
      <c r="J773" s="33" t="s">
        <v>113</v>
      </c>
      <c r="K773" s="29">
        <v>0.91874999999999996</v>
      </c>
      <c r="L773" s="29">
        <v>0.93402777777777779</v>
      </c>
      <c r="M773" s="35">
        <f t="shared" ca="1" si="172"/>
        <v>1.5277777777777835E-2</v>
      </c>
      <c r="N773" s="27"/>
      <c r="O773" s="47"/>
    </row>
    <row r="774" spans="1:15" ht="15" customHeight="1">
      <c r="A774" s="68">
        <v>46232</v>
      </c>
      <c r="B774" s="25">
        <f t="shared" si="173"/>
        <v>0.95833333333333293</v>
      </c>
      <c r="C774" s="33" t="s">
        <v>21</v>
      </c>
      <c r="D774" s="62" t="s">
        <v>22</v>
      </c>
      <c r="E774" s="62" t="s">
        <v>261</v>
      </c>
      <c r="F774" s="27">
        <v>6</v>
      </c>
      <c r="G774" s="28">
        <f t="shared" si="171"/>
        <v>25.200000000000003</v>
      </c>
      <c r="H774" s="26" t="s">
        <v>20</v>
      </c>
      <c r="I774" s="26" t="s">
        <v>121</v>
      </c>
      <c r="J774" s="26" t="s">
        <v>113</v>
      </c>
      <c r="K774" s="29">
        <v>0.97777777777777775</v>
      </c>
      <c r="L774" s="29">
        <v>0.99305555555555558</v>
      </c>
      <c r="M774" s="30">
        <f t="shared" ca="1" si="172"/>
        <v>1.5277777777777835E-2</v>
      </c>
      <c r="N774" s="27"/>
      <c r="O774" s="47"/>
    </row>
    <row r="775" spans="1:15" ht="15" customHeight="1">
      <c r="A775" s="69">
        <v>46232</v>
      </c>
      <c r="B775" s="32">
        <f t="shared" si="173"/>
        <v>0.99999999999999956</v>
      </c>
      <c r="C775" s="33" t="s">
        <v>21</v>
      </c>
      <c r="D775" s="62" t="s">
        <v>22</v>
      </c>
      <c r="E775" s="62" t="s">
        <v>261</v>
      </c>
      <c r="F775" s="27">
        <v>4</v>
      </c>
      <c r="G775" s="34">
        <f t="shared" si="171"/>
        <v>16.8</v>
      </c>
      <c r="H775" s="33" t="s">
        <v>20</v>
      </c>
      <c r="I775" s="33" t="s">
        <v>136</v>
      </c>
      <c r="J775" s="33" t="s">
        <v>74</v>
      </c>
      <c r="K775" s="29">
        <v>9.583333333333334E-2</v>
      </c>
      <c r="L775" s="29">
        <v>0.1388888888888889</v>
      </c>
      <c r="M775" s="35">
        <f t="shared" ca="1" si="172"/>
        <v>4.3055555555555555E-2</v>
      </c>
      <c r="N775" s="27" t="s">
        <v>345</v>
      </c>
      <c r="O775" s="47"/>
    </row>
    <row r="776" spans="1:15" ht="15" customHeight="1">
      <c r="A776" s="68">
        <v>46232</v>
      </c>
      <c r="B776" s="25">
        <f t="shared" si="173"/>
        <v>1.0416666666666663</v>
      </c>
      <c r="C776" s="33" t="s">
        <v>21</v>
      </c>
      <c r="D776" s="62" t="s">
        <v>22</v>
      </c>
      <c r="E776" s="62" t="s">
        <v>261</v>
      </c>
      <c r="F776" s="27">
        <v>2</v>
      </c>
      <c r="G776" s="28">
        <f t="shared" si="171"/>
        <v>8.4</v>
      </c>
      <c r="H776" s="26" t="s">
        <v>19</v>
      </c>
      <c r="I776" s="26" t="s">
        <v>47</v>
      </c>
      <c r="J776" s="26" t="s">
        <v>27</v>
      </c>
      <c r="K776" s="29">
        <v>0.22222222222222221</v>
      </c>
      <c r="L776" s="29">
        <v>0.23958333333333334</v>
      </c>
      <c r="M776" s="30">
        <f t="shared" ca="1" si="172"/>
        <v>1.7361111111111133E-2</v>
      </c>
      <c r="N776" s="27"/>
      <c r="O776" s="47"/>
    </row>
    <row r="777" spans="1:15" ht="15" customHeight="1">
      <c r="A777" s="69">
        <v>46232</v>
      </c>
      <c r="B777" s="32">
        <f t="shared" si="173"/>
        <v>1.083333333333333</v>
      </c>
      <c r="C777" s="33" t="s">
        <v>21</v>
      </c>
      <c r="D777" s="62" t="s">
        <v>22</v>
      </c>
      <c r="E777" s="62" t="s">
        <v>261</v>
      </c>
      <c r="F777" s="27">
        <v>6</v>
      </c>
      <c r="G777" s="34">
        <f t="shared" si="171"/>
        <v>25.200000000000003</v>
      </c>
      <c r="H777" s="33"/>
      <c r="I777" s="33"/>
      <c r="J777" s="33"/>
      <c r="K777" s="29"/>
      <c r="L777" s="29"/>
      <c r="M777" s="35" t="str">
        <f t="shared" ca="1" si="172"/>
        <v/>
      </c>
      <c r="N777" s="27"/>
      <c r="O777" s="47"/>
    </row>
    <row r="778" spans="1:15" ht="15" customHeight="1">
      <c r="A778" s="68">
        <v>46232</v>
      </c>
      <c r="B778" s="25">
        <f t="shared" si="173"/>
        <v>1.1249999999999998</v>
      </c>
      <c r="C778" s="33" t="s">
        <v>21</v>
      </c>
      <c r="D778" s="62" t="s">
        <v>22</v>
      </c>
      <c r="E778" s="62" t="s">
        <v>261</v>
      </c>
      <c r="F778" s="27">
        <v>10</v>
      </c>
      <c r="G778" s="28">
        <f t="shared" si="171"/>
        <v>42</v>
      </c>
      <c r="H778" s="26"/>
      <c r="I778" s="26"/>
      <c r="J778" s="26"/>
      <c r="K778" s="29"/>
      <c r="L778" s="29"/>
      <c r="M778" s="30" t="str">
        <f t="shared" ca="1" si="172"/>
        <v/>
      </c>
      <c r="N778" s="27"/>
      <c r="O778" s="47"/>
    </row>
    <row r="779" spans="1:15" ht="15" customHeight="1">
      <c r="A779" s="69">
        <v>46232</v>
      </c>
      <c r="B779" s="32">
        <f t="shared" si="173"/>
        <v>1.1666666666666665</v>
      </c>
      <c r="C779" s="33" t="s">
        <v>21</v>
      </c>
      <c r="D779" s="62" t="s">
        <v>30</v>
      </c>
      <c r="E779" s="62" t="s">
        <v>261</v>
      </c>
      <c r="F779" s="27">
        <v>4</v>
      </c>
      <c r="G779" s="34">
        <f t="shared" si="171"/>
        <v>16.8</v>
      </c>
      <c r="H779" s="33"/>
      <c r="I779" s="33"/>
      <c r="J779" s="33"/>
      <c r="K779" s="29"/>
      <c r="L779" s="29"/>
      <c r="M779" s="35" t="str">
        <f t="shared" ca="1" si="172"/>
        <v/>
      </c>
      <c r="N779" s="27"/>
      <c r="O779" s="47"/>
    </row>
    <row r="780" spans="1:15" ht="15" customHeight="1">
      <c r="A780" s="68">
        <v>46232</v>
      </c>
      <c r="B780" s="25">
        <f t="shared" si="173"/>
        <v>1.2083333333333333</v>
      </c>
      <c r="C780" s="33" t="s">
        <v>21</v>
      </c>
      <c r="D780" s="62" t="s">
        <v>30</v>
      </c>
      <c r="E780" s="62" t="s">
        <v>261</v>
      </c>
      <c r="F780" s="27">
        <v>5</v>
      </c>
      <c r="G780" s="28">
        <f t="shared" si="171"/>
        <v>21</v>
      </c>
      <c r="H780" s="26"/>
      <c r="I780" s="26"/>
      <c r="J780" s="26"/>
      <c r="K780" s="29"/>
      <c r="L780" s="29"/>
      <c r="M780" s="30" t="str">
        <f t="shared" ca="1" si="172"/>
        <v/>
      </c>
      <c r="N780" s="27"/>
      <c r="O780" s="47"/>
    </row>
    <row r="781" spans="1:15" ht="15" customHeight="1">
      <c r="A781" s="69">
        <v>46232</v>
      </c>
      <c r="B781" s="32">
        <f t="shared" si="173"/>
        <v>1.25</v>
      </c>
      <c r="C781" s="33" t="s">
        <v>21</v>
      </c>
      <c r="D781" s="62" t="s">
        <v>30</v>
      </c>
      <c r="E781" s="62" t="s">
        <v>261</v>
      </c>
      <c r="F781" s="27">
        <v>1</v>
      </c>
      <c r="G781" s="34">
        <f t="shared" si="171"/>
        <v>4.2</v>
      </c>
      <c r="H781" s="33"/>
      <c r="I781" s="33"/>
      <c r="J781" s="33"/>
      <c r="K781" s="29"/>
      <c r="L781" s="29"/>
      <c r="M781" s="35" t="str">
        <f t="shared" ca="1" si="172"/>
        <v/>
      </c>
      <c r="N781" s="27"/>
      <c r="O781" s="47"/>
    </row>
    <row r="782" spans="1:15" ht="15" customHeight="1">
      <c r="A782" s="68">
        <v>46232</v>
      </c>
      <c r="B782" s="25">
        <f t="shared" si="173"/>
        <v>1.2916666666666667</v>
      </c>
      <c r="C782" s="33" t="s">
        <v>21</v>
      </c>
      <c r="D782" s="62" t="s">
        <v>30</v>
      </c>
      <c r="E782" s="62" t="s">
        <v>261</v>
      </c>
      <c r="F782" s="27">
        <v>0</v>
      </c>
      <c r="G782" s="28">
        <f>IF(F782="","",IF(E782="PC 17",F782*4.2,IF(E782="PC 19",F782*5,"")))</f>
        <v>0</v>
      </c>
      <c r="H782" s="26"/>
      <c r="I782" s="26"/>
      <c r="J782" s="26"/>
      <c r="K782" s="29"/>
      <c r="L782" s="29"/>
      <c r="M782" s="30" t="str">
        <f t="shared" ca="1" si="172"/>
        <v/>
      </c>
      <c r="N782" s="27"/>
      <c r="O782" s="47"/>
    </row>
    <row r="783" spans="1:15" ht="15.75" customHeight="1">
      <c r="A783" s="119" t="s">
        <v>238</v>
      </c>
      <c r="B783" s="120"/>
      <c r="C783" s="120"/>
      <c r="D783" s="120"/>
      <c r="E783" s="121">
        <f>SUM(E771:E782)</f>
        <v>0</v>
      </c>
      <c r="F783" s="36">
        <f>SUM(F771:F782)</f>
        <v>57</v>
      </c>
      <c r="G783" s="36">
        <f>SUM(G771:G782)</f>
        <v>243.39999999999998</v>
      </c>
      <c r="H783" s="37"/>
      <c r="I783" s="37"/>
      <c r="J783" s="37"/>
      <c r="K783" s="37"/>
      <c r="L783" s="37"/>
      <c r="M783" s="38">
        <f ca="1">IFERROR(SUM(M771:M782),"")</f>
        <v>0.11944444444444459</v>
      </c>
      <c r="N783" s="36" t="s">
        <v>237</v>
      </c>
      <c r="O783" s="39">
        <v>265740</v>
      </c>
    </row>
    <row r="784" spans="1:15" ht="18" customHeight="1">
      <c r="A784" s="122" t="s">
        <v>239</v>
      </c>
      <c r="B784" s="123"/>
      <c r="C784" s="123"/>
      <c r="D784" s="123"/>
      <c r="E784" s="124">
        <f>E770+E783</f>
        <v>0</v>
      </c>
      <c r="F784" s="40">
        <f>F770+F783</f>
        <v>98</v>
      </c>
      <c r="G784" s="40">
        <f>G770+G783</f>
        <v>419.59999999999997</v>
      </c>
      <c r="H784" s="41"/>
      <c r="I784" s="41"/>
      <c r="J784" s="41"/>
      <c r="K784" s="41"/>
      <c r="L784" s="41"/>
      <c r="M784" s="42">
        <f ca="1">IFERROR(M770+M783,"")</f>
        <v>0.2333333333333335</v>
      </c>
      <c r="N784" s="40" t="s">
        <v>240</v>
      </c>
      <c r="O784" s="48">
        <f>IFERROR(O770+O783,"")</f>
        <v>437880</v>
      </c>
    </row>
    <row r="785" spans="1:15" ht="15" customHeight="1">
      <c r="A785" s="69">
        <v>46233</v>
      </c>
      <c r="B785" s="32">
        <v>0.33333333333333298</v>
      </c>
      <c r="C785" s="33" t="s">
        <v>29</v>
      </c>
      <c r="D785" s="62" t="s">
        <v>22</v>
      </c>
      <c r="E785" s="62" t="s">
        <v>261</v>
      </c>
      <c r="F785" s="27">
        <v>4</v>
      </c>
      <c r="G785" s="34">
        <f>IF(F785="","",IF(E785="PC 17",F785*4.2,IF(E785="PC 19",F785*5,"")))</f>
        <v>16.8</v>
      </c>
      <c r="H785" s="33" t="s">
        <v>18</v>
      </c>
      <c r="I785" s="33"/>
      <c r="J785" s="33" t="s">
        <v>219</v>
      </c>
      <c r="K785" s="29">
        <v>0.30763888888888891</v>
      </c>
      <c r="L785" s="29">
        <v>0.31666666666666665</v>
      </c>
      <c r="M785" s="35">
        <f t="shared" ref="M785:M796" ca="1" si="174">IFERROR(IF(K785="","",IF(L785="",MOD(NOW()-K785,1),IF(L785&gt;=K785,L785-K785,L785+1-K785))),"")</f>
        <v>9.0277777777777457E-3</v>
      </c>
      <c r="N785" s="27" t="s">
        <v>346</v>
      </c>
      <c r="O785" s="47"/>
    </row>
    <row r="786" spans="1:15" ht="15" customHeight="1">
      <c r="A786" s="68">
        <v>46233</v>
      </c>
      <c r="B786" s="25">
        <f t="shared" ref="B786:B796" si="175">B785+TIME(0,60,0)</f>
        <v>0.37499999999999967</v>
      </c>
      <c r="C786" s="33" t="s">
        <v>29</v>
      </c>
      <c r="D786" s="62" t="s">
        <v>22</v>
      </c>
      <c r="E786" s="59" t="s">
        <v>261</v>
      </c>
      <c r="F786" s="27">
        <v>11</v>
      </c>
      <c r="G786" s="34">
        <f t="shared" ref="G786:G809" si="176">IF(F786="","",IF(E786="PC 17",F786*4.2,IF(E786="PC 19",F786*5,"")))</f>
        <v>46.2</v>
      </c>
      <c r="H786" s="26" t="s">
        <v>20</v>
      </c>
      <c r="I786" s="26" t="s">
        <v>91</v>
      </c>
      <c r="J786" s="26" t="s">
        <v>207</v>
      </c>
      <c r="K786" s="29">
        <v>0.32291666666666669</v>
      </c>
      <c r="L786" s="29">
        <v>0.32500000000000001</v>
      </c>
      <c r="M786" s="30">
        <f t="shared" ca="1" si="174"/>
        <v>2.0833333333333259E-3</v>
      </c>
      <c r="N786" s="27" t="s">
        <v>347</v>
      </c>
      <c r="O786" s="47"/>
    </row>
    <row r="787" spans="1:15" ht="15" customHeight="1">
      <c r="A787" s="69">
        <v>46233</v>
      </c>
      <c r="B787" s="32">
        <f t="shared" si="175"/>
        <v>0.41666666666666635</v>
      </c>
      <c r="C787" s="33" t="s">
        <v>29</v>
      </c>
      <c r="D787" s="62" t="s">
        <v>22</v>
      </c>
      <c r="E787" s="62" t="s">
        <v>261</v>
      </c>
      <c r="F787" s="27">
        <v>9</v>
      </c>
      <c r="G787" s="34">
        <f t="shared" si="176"/>
        <v>37.800000000000004</v>
      </c>
      <c r="H787" s="33" t="s">
        <v>18</v>
      </c>
      <c r="I787" s="33" t="s">
        <v>47</v>
      </c>
      <c r="J787" s="33" t="s">
        <v>111</v>
      </c>
      <c r="K787" s="29">
        <v>0.40972222222222221</v>
      </c>
      <c r="L787" s="29">
        <v>0.4284722222222222</v>
      </c>
      <c r="M787" s="35">
        <f t="shared" ca="1" si="174"/>
        <v>1.8749999999999989E-2</v>
      </c>
      <c r="N787" s="27"/>
      <c r="O787" s="47"/>
    </row>
    <row r="788" spans="1:15" ht="15" customHeight="1">
      <c r="A788" s="68">
        <v>46233</v>
      </c>
      <c r="B788" s="25">
        <f t="shared" si="175"/>
        <v>0.45833333333333304</v>
      </c>
      <c r="C788" s="33" t="s">
        <v>29</v>
      </c>
      <c r="D788" s="62" t="s">
        <v>22</v>
      </c>
      <c r="E788" s="59" t="s">
        <v>261</v>
      </c>
      <c r="F788" s="27">
        <v>0</v>
      </c>
      <c r="G788" s="34">
        <f t="shared" si="176"/>
        <v>0</v>
      </c>
      <c r="H788" s="26" t="s">
        <v>19</v>
      </c>
      <c r="I788" s="26" t="s">
        <v>47</v>
      </c>
      <c r="J788" s="26" t="s">
        <v>35</v>
      </c>
      <c r="K788" s="29">
        <v>0.4284722222222222</v>
      </c>
      <c r="L788" s="29">
        <v>0.44930555555555557</v>
      </c>
      <c r="M788" s="30">
        <f t="shared" ca="1" si="174"/>
        <v>2.083333333333337E-2</v>
      </c>
      <c r="N788" s="27"/>
      <c r="O788" s="47"/>
    </row>
    <row r="789" spans="1:15" ht="15" customHeight="1">
      <c r="A789" s="69">
        <v>46233</v>
      </c>
      <c r="B789" s="32">
        <f t="shared" si="175"/>
        <v>0.49999999999999972</v>
      </c>
      <c r="C789" s="33" t="s">
        <v>29</v>
      </c>
      <c r="D789" s="62" t="s">
        <v>22</v>
      </c>
      <c r="E789" s="62" t="s">
        <v>234</v>
      </c>
      <c r="F789" s="27">
        <v>7</v>
      </c>
      <c r="G789" s="34">
        <f t="shared" si="176"/>
        <v>35</v>
      </c>
      <c r="H789" s="33" t="s">
        <v>18</v>
      </c>
      <c r="I789" s="33" t="s">
        <v>47</v>
      </c>
      <c r="J789" s="33" t="s">
        <v>128</v>
      </c>
      <c r="K789" s="29">
        <v>0.44930555555555557</v>
      </c>
      <c r="L789" s="29">
        <v>0.4597222222222222</v>
      </c>
      <c r="M789" s="35">
        <f t="shared" ca="1" si="174"/>
        <v>1.041666666666663E-2</v>
      </c>
      <c r="N789" s="27" t="s">
        <v>383</v>
      </c>
      <c r="O789" s="47"/>
    </row>
    <row r="790" spans="1:15" ht="15" customHeight="1">
      <c r="A790" s="68">
        <v>46233</v>
      </c>
      <c r="B790" s="25">
        <f t="shared" si="175"/>
        <v>0.54166666666666641</v>
      </c>
      <c r="C790" s="33" t="s">
        <v>29</v>
      </c>
      <c r="D790" s="62" t="s">
        <v>22</v>
      </c>
      <c r="E790" s="59" t="s">
        <v>261</v>
      </c>
      <c r="F790" s="27">
        <v>15</v>
      </c>
      <c r="G790" s="34">
        <f t="shared" si="176"/>
        <v>63</v>
      </c>
      <c r="H790" s="26" t="s">
        <v>16</v>
      </c>
      <c r="I790" s="26" t="s">
        <v>47</v>
      </c>
      <c r="J790" s="26" t="s">
        <v>32</v>
      </c>
      <c r="K790" s="29">
        <v>0.67708333333333337</v>
      </c>
      <c r="L790" s="29">
        <v>0.68055555555555558</v>
      </c>
      <c r="M790" s="30">
        <f t="shared" ca="1" si="174"/>
        <v>3.4722222222222099E-3</v>
      </c>
      <c r="N790" s="27"/>
      <c r="O790" s="47"/>
    </row>
    <row r="791" spans="1:15" ht="15" customHeight="1">
      <c r="A791" s="69">
        <v>46233</v>
      </c>
      <c r="B791" s="32">
        <f t="shared" si="175"/>
        <v>0.58333333333333304</v>
      </c>
      <c r="C791" s="33" t="s">
        <v>29</v>
      </c>
      <c r="D791" s="62" t="s">
        <v>22</v>
      </c>
      <c r="E791" s="62" t="s">
        <v>261</v>
      </c>
      <c r="F791" s="27">
        <v>8</v>
      </c>
      <c r="G791" s="34">
        <f t="shared" si="176"/>
        <v>33.6</v>
      </c>
      <c r="H791" s="33" t="s">
        <v>16</v>
      </c>
      <c r="I791" s="33" t="s">
        <v>141</v>
      </c>
      <c r="J791" s="33" t="s">
        <v>94</v>
      </c>
      <c r="K791" s="29">
        <v>0.68055555555555558</v>
      </c>
      <c r="L791" s="29">
        <v>0.70833333333333337</v>
      </c>
      <c r="M791" s="35">
        <f t="shared" ca="1" si="174"/>
        <v>2.777777777777779E-2</v>
      </c>
      <c r="N791" s="27"/>
      <c r="O791" s="47"/>
    </row>
    <row r="792" spans="1:15" ht="15" customHeight="1">
      <c r="A792" s="68">
        <v>46233</v>
      </c>
      <c r="B792" s="25">
        <f t="shared" si="175"/>
        <v>0.62499999999999967</v>
      </c>
      <c r="C792" s="33" t="s">
        <v>29</v>
      </c>
      <c r="D792" s="62" t="s">
        <v>22</v>
      </c>
      <c r="E792" s="59" t="s">
        <v>261</v>
      </c>
      <c r="F792" s="27">
        <v>7</v>
      </c>
      <c r="G792" s="34">
        <f t="shared" si="176"/>
        <v>29.400000000000002</v>
      </c>
      <c r="H792" s="26" t="s">
        <v>19</v>
      </c>
      <c r="I792" s="26" t="s">
        <v>47</v>
      </c>
      <c r="J792" s="26" t="s">
        <v>27</v>
      </c>
      <c r="K792" s="29">
        <v>0.69236111111111109</v>
      </c>
      <c r="L792" s="29">
        <v>0.70277777777777772</v>
      </c>
      <c r="M792" s="30">
        <f t="shared" ca="1" si="174"/>
        <v>1.041666666666663E-2</v>
      </c>
      <c r="N792" s="27" t="s">
        <v>329</v>
      </c>
      <c r="O792" s="47"/>
    </row>
    <row r="793" spans="1:15" ht="15" customHeight="1">
      <c r="A793" s="69">
        <v>46233</v>
      </c>
      <c r="B793" s="32">
        <f t="shared" si="175"/>
        <v>0.6666666666666663</v>
      </c>
      <c r="C793" s="33" t="s">
        <v>29</v>
      </c>
      <c r="D793" s="62" t="s">
        <v>22</v>
      </c>
      <c r="E793" s="62" t="s">
        <v>261</v>
      </c>
      <c r="F793" s="27">
        <v>20</v>
      </c>
      <c r="G793" s="34">
        <f t="shared" si="176"/>
        <v>84</v>
      </c>
      <c r="H793" s="33"/>
      <c r="I793" s="33"/>
      <c r="J793" s="33"/>
      <c r="K793" s="29"/>
      <c r="L793" s="29"/>
      <c r="M793" s="35" t="str">
        <f t="shared" ca="1" si="174"/>
        <v/>
      </c>
      <c r="N793" s="27"/>
      <c r="O793" s="47"/>
    </row>
    <row r="794" spans="1:15" ht="15" customHeight="1">
      <c r="A794" s="68">
        <v>46233</v>
      </c>
      <c r="B794" s="25">
        <f t="shared" si="175"/>
        <v>0.70833333333333293</v>
      </c>
      <c r="C794" s="33" t="s">
        <v>29</v>
      </c>
      <c r="D794" s="62" t="s">
        <v>22</v>
      </c>
      <c r="E794" s="59" t="s">
        <v>261</v>
      </c>
      <c r="F794" s="27">
        <v>2</v>
      </c>
      <c r="G794" s="34">
        <f t="shared" si="176"/>
        <v>8.4</v>
      </c>
      <c r="H794" s="26"/>
      <c r="I794" s="26"/>
      <c r="J794" s="26"/>
      <c r="K794" s="29"/>
      <c r="L794" s="29"/>
      <c r="M794" s="30" t="str">
        <f t="shared" ca="1" si="174"/>
        <v/>
      </c>
      <c r="N794" s="27"/>
      <c r="O794" s="47"/>
    </row>
    <row r="795" spans="1:15" ht="15" customHeight="1">
      <c r="A795" s="69">
        <v>46233</v>
      </c>
      <c r="B795" s="32">
        <f t="shared" si="175"/>
        <v>0.74999999999999956</v>
      </c>
      <c r="C795" s="33" t="s">
        <v>29</v>
      </c>
      <c r="D795" s="62" t="s">
        <v>22</v>
      </c>
      <c r="E795" s="62" t="s">
        <v>261</v>
      </c>
      <c r="F795" s="27">
        <v>6</v>
      </c>
      <c r="G795" s="34">
        <f t="shared" si="176"/>
        <v>25.200000000000003</v>
      </c>
      <c r="H795" s="33"/>
      <c r="I795" s="33"/>
      <c r="J795" s="33"/>
      <c r="K795" s="29"/>
      <c r="L795" s="29"/>
      <c r="M795" s="35" t="str">
        <f t="shared" ca="1" si="174"/>
        <v/>
      </c>
      <c r="N795" s="27"/>
      <c r="O795" s="47"/>
    </row>
    <row r="796" spans="1:15" ht="15" customHeight="1">
      <c r="A796" s="68">
        <v>46233</v>
      </c>
      <c r="B796" s="25">
        <f t="shared" si="175"/>
        <v>0.79166666666666619</v>
      </c>
      <c r="C796" s="33" t="s">
        <v>29</v>
      </c>
      <c r="D796" s="62" t="s">
        <v>22</v>
      </c>
      <c r="E796" s="59" t="s">
        <v>261</v>
      </c>
      <c r="F796" s="27">
        <v>5</v>
      </c>
      <c r="G796" s="34">
        <f t="shared" si="176"/>
        <v>21</v>
      </c>
      <c r="H796" s="26"/>
      <c r="I796" s="26"/>
      <c r="J796" s="26"/>
      <c r="K796" s="29"/>
      <c r="L796" s="29"/>
      <c r="M796" s="30" t="str">
        <f t="shared" ca="1" si="174"/>
        <v/>
      </c>
      <c r="N796" s="27"/>
      <c r="O796" s="47"/>
    </row>
    <row r="797" spans="1:15" ht="15.75" customHeight="1">
      <c r="A797" s="119" t="s">
        <v>236</v>
      </c>
      <c r="B797" s="120"/>
      <c r="C797" s="120"/>
      <c r="D797" s="120"/>
      <c r="E797" s="121">
        <f>SUM(E785:E796)</f>
        <v>0</v>
      </c>
      <c r="F797" s="36">
        <f>SUM(F785:F796)</f>
        <v>94</v>
      </c>
      <c r="G797" s="36">
        <f>SUM(G785:G796)</f>
        <v>400.4</v>
      </c>
      <c r="H797" s="37"/>
      <c r="I797" s="37"/>
      <c r="J797" s="37"/>
      <c r="K797" s="37"/>
      <c r="L797" s="37"/>
      <c r="M797" s="38">
        <f ca="1">IFERROR(SUM(M785:M796),"")</f>
        <v>0.10277777777777769</v>
      </c>
      <c r="N797" s="36" t="s">
        <v>237</v>
      </c>
      <c r="O797" s="39">
        <v>419450</v>
      </c>
    </row>
    <row r="798" spans="1:15" ht="15" customHeight="1">
      <c r="A798" s="68">
        <v>46233</v>
      </c>
      <c r="B798" s="25">
        <v>0.83333333333333304</v>
      </c>
      <c r="C798" s="26" t="s">
        <v>21</v>
      </c>
      <c r="D798" s="59" t="s">
        <v>22</v>
      </c>
      <c r="E798" s="59" t="s">
        <v>261</v>
      </c>
      <c r="F798" s="27">
        <v>4</v>
      </c>
      <c r="G798" s="34">
        <f t="shared" si="176"/>
        <v>16.8</v>
      </c>
      <c r="H798" s="26" t="s">
        <v>20</v>
      </c>
      <c r="I798" s="26" t="s">
        <v>47</v>
      </c>
      <c r="J798" s="26" t="s">
        <v>36</v>
      </c>
      <c r="K798" s="29">
        <v>0.90277777777777779</v>
      </c>
      <c r="L798" s="29">
        <v>0.92361111111111116</v>
      </c>
      <c r="M798" s="30">
        <f t="shared" ref="M798:M809" ca="1" si="177">IFERROR(IF(K798="","",IF(L798="",MOD(NOW()-K798,1),IF(L798&gt;=K798,L798-K798,L798+1-K798))),"")</f>
        <v>2.083333333333337E-2</v>
      </c>
      <c r="N798" s="27"/>
      <c r="O798" s="47"/>
    </row>
    <row r="799" spans="1:15" ht="15" customHeight="1">
      <c r="A799" s="69">
        <v>46233</v>
      </c>
      <c r="B799" s="32">
        <f t="shared" ref="B799:B809" si="178">B798+TIME(0,60,0)</f>
        <v>0.87499999999999967</v>
      </c>
      <c r="C799" s="26" t="s">
        <v>21</v>
      </c>
      <c r="D799" s="59" t="s">
        <v>22</v>
      </c>
      <c r="E799" s="59" t="s">
        <v>261</v>
      </c>
      <c r="F799" s="27">
        <v>2</v>
      </c>
      <c r="G799" s="34">
        <f t="shared" si="176"/>
        <v>8.4</v>
      </c>
      <c r="H799" s="33" t="s">
        <v>17</v>
      </c>
      <c r="I799" s="33"/>
      <c r="J799" s="33" t="s">
        <v>41</v>
      </c>
      <c r="K799" s="29">
        <v>0.22916666666666666</v>
      </c>
      <c r="L799" s="29">
        <v>0.2388888888888889</v>
      </c>
      <c r="M799" s="35">
        <f t="shared" ca="1" si="177"/>
        <v>9.7222222222222432E-3</v>
      </c>
      <c r="N799" s="27"/>
      <c r="O799" s="47"/>
    </row>
    <row r="800" spans="1:15" ht="15" customHeight="1">
      <c r="A800" s="68">
        <v>46233</v>
      </c>
      <c r="B800" s="25">
        <f t="shared" si="178"/>
        <v>0.9166666666666663</v>
      </c>
      <c r="C800" s="26" t="s">
        <v>21</v>
      </c>
      <c r="D800" s="59" t="s">
        <v>22</v>
      </c>
      <c r="E800" s="59" t="s">
        <v>261</v>
      </c>
      <c r="F800" s="27">
        <v>5</v>
      </c>
      <c r="G800" s="34">
        <f t="shared" si="176"/>
        <v>21</v>
      </c>
      <c r="H800" s="26"/>
      <c r="I800" s="26"/>
      <c r="J800" s="26"/>
      <c r="K800" s="29"/>
      <c r="L800" s="29"/>
      <c r="M800" s="30" t="str">
        <f t="shared" ca="1" si="177"/>
        <v/>
      </c>
      <c r="N800" s="27"/>
      <c r="O800" s="47"/>
    </row>
    <row r="801" spans="1:15" ht="15" customHeight="1">
      <c r="A801" s="69">
        <v>46233</v>
      </c>
      <c r="B801" s="32">
        <f t="shared" si="178"/>
        <v>0.95833333333333293</v>
      </c>
      <c r="C801" s="26" t="s">
        <v>21</v>
      </c>
      <c r="D801" s="59" t="s">
        <v>22</v>
      </c>
      <c r="E801" s="59" t="s">
        <v>261</v>
      </c>
      <c r="F801" s="27">
        <v>12</v>
      </c>
      <c r="G801" s="34">
        <f t="shared" si="176"/>
        <v>50.400000000000006</v>
      </c>
      <c r="H801" s="33"/>
      <c r="I801" s="33"/>
      <c r="J801" s="33"/>
      <c r="K801" s="29"/>
      <c r="L801" s="29"/>
      <c r="M801" s="35" t="str">
        <f t="shared" ca="1" si="177"/>
        <v/>
      </c>
      <c r="N801" s="27"/>
      <c r="O801" s="47"/>
    </row>
    <row r="802" spans="1:15" ht="15" customHeight="1">
      <c r="A802" s="68">
        <v>46233</v>
      </c>
      <c r="B802" s="25">
        <f t="shared" si="178"/>
        <v>0.99999999999999956</v>
      </c>
      <c r="C802" s="26" t="s">
        <v>21</v>
      </c>
      <c r="D802" s="59" t="s">
        <v>22</v>
      </c>
      <c r="E802" s="59" t="s">
        <v>261</v>
      </c>
      <c r="F802" s="27">
        <v>4</v>
      </c>
      <c r="G802" s="34">
        <f t="shared" si="176"/>
        <v>16.8</v>
      </c>
      <c r="H802" s="26"/>
      <c r="I802" s="26"/>
      <c r="J802" s="26"/>
      <c r="K802" s="29"/>
      <c r="L802" s="29"/>
      <c r="M802" s="30" t="str">
        <f t="shared" ca="1" si="177"/>
        <v/>
      </c>
      <c r="N802" s="27"/>
      <c r="O802" s="47"/>
    </row>
    <row r="803" spans="1:15" ht="15" customHeight="1">
      <c r="A803" s="69">
        <v>46233</v>
      </c>
      <c r="B803" s="32">
        <f t="shared" si="178"/>
        <v>1.0416666666666663</v>
      </c>
      <c r="C803" s="26" t="s">
        <v>21</v>
      </c>
      <c r="D803" s="59" t="s">
        <v>22</v>
      </c>
      <c r="E803" s="59" t="s">
        <v>261</v>
      </c>
      <c r="F803" s="27">
        <v>9</v>
      </c>
      <c r="G803" s="34">
        <f t="shared" si="176"/>
        <v>37.800000000000004</v>
      </c>
      <c r="H803" s="33"/>
      <c r="I803" s="33"/>
      <c r="J803" s="33"/>
      <c r="K803" s="29"/>
      <c r="L803" s="29"/>
      <c r="M803" s="35" t="str">
        <f t="shared" ca="1" si="177"/>
        <v/>
      </c>
      <c r="N803" s="27"/>
      <c r="O803" s="47"/>
    </row>
    <row r="804" spans="1:15" ht="15" customHeight="1">
      <c r="A804" s="68">
        <v>46233</v>
      </c>
      <c r="B804" s="25">
        <f t="shared" si="178"/>
        <v>1.083333333333333</v>
      </c>
      <c r="C804" s="26" t="s">
        <v>21</v>
      </c>
      <c r="D804" s="59" t="s">
        <v>22</v>
      </c>
      <c r="E804" s="59" t="s">
        <v>261</v>
      </c>
      <c r="F804" s="27">
        <v>2</v>
      </c>
      <c r="G804" s="34">
        <f t="shared" si="176"/>
        <v>8.4</v>
      </c>
      <c r="H804" s="26"/>
      <c r="I804" s="26"/>
      <c r="J804" s="26"/>
      <c r="K804" s="29"/>
      <c r="L804" s="29"/>
      <c r="M804" s="30" t="str">
        <f t="shared" ca="1" si="177"/>
        <v/>
      </c>
      <c r="N804" s="27"/>
      <c r="O804" s="47"/>
    </row>
    <row r="805" spans="1:15" ht="15" customHeight="1">
      <c r="A805" s="69">
        <v>46233</v>
      </c>
      <c r="B805" s="32">
        <f t="shared" si="178"/>
        <v>1.1249999999999998</v>
      </c>
      <c r="C805" s="26" t="s">
        <v>21</v>
      </c>
      <c r="D805" s="59" t="s">
        <v>22</v>
      </c>
      <c r="E805" s="59" t="s">
        <v>261</v>
      </c>
      <c r="F805" s="27">
        <v>7</v>
      </c>
      <c r="G805" s="34">
        <f t="shared" si="176"/>
        <v>29.400000000000002</v>
      </c>
      <c r="H805" s="33"/>
      <c r="I805" s="33"/>
      <c r="J805" s="33"/>
      <c r="K805" s="29"/>
      <c r="L805" s="29"/>
      <c r="M805" s="35" t="str">
        <f t="shared" ca="1" si="177"/>
        <v/>
      </c>
      <c r="N805" s="27"/>
      <c r="O805" s="47"/>
    </row>
    <row r="806" spans="1:15" ht="15" customHeight="1">
      <c r="A806" s="68">
        <v>46233</v>
      </c>
      <c r="B806" s="25">
        <f t="shared" si="178"/>
        <v>1.1666666666666665</v>
      </c>
      <c r="C806" s="26" t="s">
        <v>21</v>
      </c>
      <c r="D806" s="59" t="s">
        <v>22</v>
      </c>
      <c r="E806" s="59" t="s">
        <v>261</v>
      </c>
      <c r="F806" s="27">
        <v>7</v>
      </c>
      <c r="G806" s="34">
        <f t="shared" si="176"/>
        <v>29.400000000000002</v>
      </c>
      <c r="H806" s="26"/>
      <c r="I806" s="26"/>
      <c r="J806" s="26"/>
      <c r="K806" s="29"/>
      <c r="L806" s="29"/>
      <c r="M806" s="30" t="str">
        <f t="shared" ca="1" si="177"/>
        <v/>
      </c>
      <c r="N806" s="27"/>
      <c r="O806" s="47"/>
    </row>
    <row r="807" spans="1:15" ht="15" customHeight="1">
      <c r="A807" s="69">
        <v>46233</v>
      </c>
      <c r="B807" s="32">
        <f t="shared" si="178"/>
        <v>1.2083333333333333</v>
      </c>
      <c r="C807" s="26" t="s">
        <v>21</v>
      </c>
      <c r="D807" s="59" t="s">
        <v>22</v>
      </c>
      <c r="E807" s="59" t="s">
        <v>261</v>
      </c>
      <c r="F807" s="27">
        <v>6</v>
      </c>
      <c r="G807" s="34">
        <f t="shared" si="176"/>
        <v>25.200000000000003</v>
      </c>
      <c r="H807" s="33"/>
      <c r="I807" s="33"/>
      <c r="J807" s="33"/>
      <c r="K807" s="29"/>
      <c r="L807" s="29"/>
      <c r="M807" s="35" t="str">
        <f t="shared" ca="1" si="177"/>
        <v/>
      </c>
      <c r="N807" s="27"/>
      <c r="O807" s="47"/>
    </row>
    <row r="808" spans="1:15" ht="15" customHeight="1">
      <c r="A808" s="68">
        <v>46233</v>
      </c>
      <c r="B808" s="25">
        <f t="shared" si="178"/>
        <v>1.25</v>
      </c>
      <c r="C808" s="26" t="s">
        <v>21</v>
      </c>
      <c r="D808" s="59" t="s">
        <v>22</v>
      </c>
      <c r="E808" s="59" t="s">
        <v>261</v>
      </c>
      <c r="F808" s="27">
        <v>4</v>
      </c>
      <c r="G808" s="34">
        <f t="shared" si="176"/>
        <v>16.8</v>
      </c>
      <c r="H808" s="26"/>
      <c r="I808" s="26"/>
      <c r="J808" s="26"/>
      <c r="K808" s="29"/>
      <c r="L808" s="29"/>
      <c r="M808" s="30" t="str">
        <f t="shared" ca="1" si="177"/>
        <v/>
      </c>
      <c r="N808" s="27"/>
      <c r="O808" s="47"/>
    </row>
    <row r="809" spans="1:15" ht="15" customHeight="1">
      <c r="A809" s="69">
        <v>46233</v>
      </c>
      <c r="B809" s="32">
        <f t="shared" si="178"/>
        <v>1.2916666666666667</v>
      </c>
      <c r="C809" s="26" t="s">
        <v>21</v>
      </c>
      <c r="D809" s="59" t="s">
        <v>22</v>
      </c>
      <c r="E809" s="59" t="s">
        <v>261</v>
      </c>
      <c r="F809" s="27">
        <v>2</v>
      </c>
      <c r="G809" s="34">
        <f t="shared" si="176"/>
        <v>8.4</v>
      </c>
      <c r="H809" s="33"/>
      <c r="I809" s="33"/>
      <c r="J809" s="33"/>
      <c r="K809" s="29"/>
      <c r="L809" s="29"/>
      <c r="M809" s="35" t="str">
        <f t="shared" ca="1" si="177"/>
        <v/>
      </c>
      <c r="N809" s="27"/>
      <c r="O809" s="47"/>
    </row>
    <row r="810" spans="1:15" ht="15.75" customHeight="1">
      <c r="A810" s="119" t="s">
        <v>238</v>
      </c>
      <c r="B810" s="120"/>
      <c r="C810" s="120"/>
      <c r="D810" s="120"/>
      <c r="E810" s="121">
        <f>SUM(E798:E809)</f>
        <v>0</v>
      </c>
      <c r="F810" s="36">
        <f>SUM(F798:F809)</f>
        <v>64</v>
      </c>
      <c r="G810" s="36">
        <f>SUM(G798:G809)</f>
        <v>268.8</v>
      </c>
      <c r="H810" s="37"/>
      <c r="I810" s="37"/>
      <c r="J810" s="37"/>
      <c r="K810" s="37"/>
      <c r="L810" s="37"/>
      <c r="M810" s="38">
        <f ca="1">IFERROR(SUM(M798:M809),"")</f>
        <v>3.0555555555555614E-2</v>
      </c>
      <c r="N810" s="36" t="s">
        <v>237</v>
      </c>
      <c r="O810" s="39">
        <v>291990</v>
      </c>
    </row>
    <row r="811" spans="1:15" ht="18" customHeight="1">
      <c r="A811" s="122" t="s">
        <v>239</v>
      </c>
      <c r="B811" s="123"/>
      <c r="C811" s="123"/>
      <c r="D811" s="123"/>
      <c r="E811" s="124">
        <f>E797+E810</f>
        <v>0</v>
      </c>
      <c r="F811" s="40">
        <f>F797+F810</f>
        <v>158</v>
      </c>
      <c r="G811" s="40">
        <f>G797+G810</f>
        <v>669.2</v>
      </c>
      <c r="H811" s="41"/>
      <c r="I811" s="41"/>
      <c r="J811" s="41"/>
      <c r="K811" s="41"/>
      <c r="L811" s="41"/>
      <c r="M811" s="42">
        <f ca="1">IFERROR(M797+M810,"")</f>
        <v>0.1333333333333333</v>
      </c>
      <c r="N811" s="40" t="s">
        <v>240</v>
      </c>
      <c r="O811" s="43">
        <f>IFERROR(O797+O810,"")</f>
        <v>711440</v>
      </c>
    </row>
    <row r="812" spans="1:15" ht="15">
      <c r="A812" s="106">
        <v>46234</v>
      </c>
      <c r="B812" s="103">
        <v>0.33333333333333298</v>
      </c>
      <c r="C812" s="80" t="s">
        <v>45</v>
      </c>
      <c r="D812" s="99" t="s">
        <v>22</v>
      </c>
      <c r="E812" s="99" t="s">
        <v>261</v>
      </c>
      <c r="F812" s="100">
        <v>10</v>
      </c>
      <c r="G812" s="104">
        <f>IF(F812="","",IF(E812="PC 17",F812*4.2,IF(E812="PC 19",F812*5,"")))</f>
        <v>42</v>
      </c>
      <c r="H812" s="80" t="s">
        <v>19</v>
      </c>
      <c r="I812" s="80" t="s">
        <v>47</v>
      </c>
      <c r="J812" s="80" t="s">
        <v>27</v>
      </c>
      <c r="K812" s="98">
        <v>0.5</v>
      </c>
      <c r="L812" s="98">
        <v>0.52638888888888891</v>
      </c>
      <c r="M812" s="78">
        <f ca="1">IFERROR(IF(K812="","",IF(L812="",MOD(NOW()-K812,1),IF(L812&gt;=K812,L812-K812,L812+1-K812))),"")</f>
        <v>2.6388888888888906E-2</v>
      </c>
      <c r="N812" s="105"/>
      <c r="O812" s="47"/>
    </row>
    <row r="813" spans="1:15" ht="15">
      <c r="A813" s="102">
        <v>46234</v>
      </c>
      <c r="B813" s="107">
        <f>B812+TIME(0,60,0)</f>
        <v>0.37499999999999967</v>
      </c>
      <c r="C813" s="80" t="s">
        <v>45</v>
      </c>
      <c r="D813" s="99" t="s">
        <v>22</v>
      </c>
      <c r="E813" s="108" t="s">
        <v>261</v>
      </c>
      <c r="F813" s="100">
        <v>12</v>
      </c>
      <c r="G813" s="104">
        <f>IF(F813="","",IF(E813="PC 17",F813*4.2,IF(E813="PC 19",F813*5,"")))</f>
        <v>50.400000000000006</v>
      </c>
      <c r="H813" s="81" t="s">
        <v>18</v>
      </c>
      <c r="I813" s="81"/>
      <c r="J813" s="81" t="s">
        <v>128</v>
      </c>
      <c r="K813" s="98">
        <v>0.72986111111111107</v>
      </c>
      <c r="L813" s="98">
        <v>0.76111111111111107</v>
      </c>
      <c r="M813" s="79">
        <f ca="1">IFERROR(IF(K813="","",IF(L813="",MOD(NOW()-K813,1),IF(L813&gt;=K813,L813-K813,L813+1-K813))),"")</f>
        <v>3.125E-2</v>
      </c>
      <c r="N813" s="105"/>
      <c r="O813" s="47"/>
    </row>
    <row r="814" spans="1:15" ht="15">
      <c r="A814" s="106">
        <v>46234</v>
      </c>
      <c r="B814" s="103">
        <f>B813+TIME(0,60,0)</f>
        <v>0.41666666666666635</v>
      </c>
      <c r="C814" s="80" t="s">
        <v>45</v>
      </c>
      <c r="D814" s="99" t="s">
        <v>22</v>
      </c>
      <c r="E814" s="99" t="s">
        <v>261</v>
      </c>
      <c r="F814" s="100">
        <v>10</v>
      </c>
      <c r="G814" s="104">
        <f>IF(F814="","",IF(E814="PC 17",F814*4.2,IF(E814="PC 19",F814*5,"")))</f>
        <v>42</v>
      </c>
      <c r="H814" s="80"/>
      <c r="I814" s="80"/>
      <c r="J814" s="80"/>
      <c r="K814" s="98"/>
      <c r="L814" s="98"/>
      <c r="M814" s="78" t="str">
        <f ca="1">IFERROR(IF(K814="","",IF(L814="",MOD(NOW()-K814,1),IF(L814&gt;=K814,L814-K814,L814+1-K814))),"")</f>
        <v/>
      </c>
      <c r="N814" s="105"/>
      <c r="O814" s="47"/>
    </row>
    <row r="815" spans="1:15" ht="15">
      <c r="A815" s="102">
        <v>46234</v>
      </c>
      <c r="B815" s="107">
        <f>B814+TIME(0,60,0)</f>
        <v>0.45833333333333304</v>
      </c>
      <c r="C815" s="80" t="s">
        <v>45</v>
      </c>
      <c r="D815" s="99" t="s">
        <v>22</v>
      </c>
      <c r="E815" s="108" t="s">
        <v>261</v>
      </c>
      <c r="F815" s="100">
        <v>10</v>
      </c>
      <c r="G815" s="104">
        <f>IF(F815="","",IF(E815="PC 17",F815*4.2,IF(E815="PC 19",F815*5,"")))</f>
        <v>42</v>
      </c>
      <c r="H815" s="81"/>
      <c r="I815" s="81"/>
      <c r="J815" s="81"/>
      <c r="K815" s="98"/>
      <c r="L815" s="98"/>
      <c r="M815" s="79" t="str">
        <f ca="1">IFERROR(IF(K815="","",IF(L815="",MOD(NOW()-K815,1),IF(L815&gt;=K815,L815-K815,L815+1-K815))),"")</f>
        <v/>
      </c>
      <c r="N815" s="105"/>
      <c r="O815" s="47"/>
    </row>
    <row r="816" spans="1:15" ht="15">
      <c r="A816" s="106">
        <v>46234</v>
      </c>
      <c r="B816" s="103">
        <f>B815+TIME(0,60,0)</f>
        <v>0.49999999999999972</v>
      </c>
      <c r="C816" s="80" t="s">
        <v>45</v>
      </c>
      <c r="D816" s="99" t="s">
        <v>22</v>
      </c>
      <c r="E816" s="99" t="s">
        <v>261</v>
      </c>
      <c r="F816" s="100">
        <v>8</v>
      </c>
      <c r="G816" s="104">
        <f>IF(F816="","",IF(E816="PC 17",F816*4.2,IF(E816="PC 19",F816*5,"")))</f>
        <v>33.6</v>
      </c>
      <c r="H816" s="80"/>
      <c r="I816" s="80"/>
      <c r="J816" s="80"/>
      <c r="K816" s="98"/>
      <c r="L816" s="98"/>
      <c r="M816" s="78" t="str">
        <f ca="1">IFERROR(IF(K816="","",IF(L816="",MOD(NOW()-K816,1),IF(L816&gt;=K816,L816-K816,L816+1-K816))),"")</f>
        <v/>
      </c>
      <c r="N816" s="105"/>
      <c r="O816" s="47"/>
    </row>
    <row r="817" spans="1:15" ht="15">
      <c r="A817" s="102">
        <v>46234</v>
      </c>
      <c r="B817" s="107">
        <f>B816+TIME(0,60,0)</f>
        <v>0.54166666666666641</v>
      </c>
      <c r="C817" s="80" t="s">
        <v>45</v>
      </c>
      <c r="D817" s="99" t="s">
        <v>22</v>
      </c>
      <c r="E817" s="108" t="s">
        <v>261</v>
      </c>
      <c r="F817" s="100">
        <v>12</v>
      </c>
      <c r="G817" s="104">
        <f>IF(F817="","",IF(E817="PC 17",F817*4.2,IF(E817="PC 19",F817*5,"")))</f>
        <v>50.400000000000006</v>
      </c>
      <c r="H817" s="81"/>
      <c r="I817" s="81"/>
      <c r="J817" s="81"/>
      <c r="K817" s="98"/>
      <c r="L817" s="98"/>
      <c r="M817" s="79" t="str">
        <f ca="1">IFERROR(IF(K817="","",IF(L817="",MOD(NOW()-K817,1),IF(L817&gt;=K817,L817-K817,L817+1-K817))),"")</f>
        <v/>
      </c>
      <c r="N817" s="105"/>
      <c r="O817" s="47"/>
    </row>
    <row r="818" spans="1:15" ht="15">
      <c r="A818" s="106">
        <v>46234</v>
      </c>
      <c r="B818" s="103">
        <f>B817+TIME(0,60,0)</f>
        <v>0.58333333333333304</v>
      </c>
      <c r="C818" s="80" t="s">
        <v>45</v>
      </c>
      <c r="D818" s="99" t="s">
        <v>30</v>
      </c>
      <c r="E818" s="99" t="s">
        <v>261</v>
      </c>
      <c r="F818" s="100">
        <v>11</v>
      </c>
      <c r="G818" s="104">
        <f>IF(F818="","",IF(E818="PC 17",F818*4.2,IF(E818="PC 19",F818*5,"")))</f>
        <v>46.2</v>
      </c>
      <c r="H818" s="80"/>
      <c r="I818" s="80"/>
      <c r="J818" s="80"/>
      <c r="K818" s="98"/>
      <c r="L818" s="98"/>
      <c r="M818" s="78" t="str">
        <f ca="1">IFERROR(IF(K818="","",IF(L818="",MOD(NOW()-K818,1),IF(L818&gt;=K818,L818-K818,L818+1-K818))),"")</f>
        <v/>
      </c>
      <c r="N818" s="105"/>
      <c r="O818" s="47"/>
    </row>
    <row r="819" spans="1:15" ht="15">
      <c r="A819" s="102">
        <v>46234</v>
      </c>
      <c r="B819" s="107">
        <f>B818+TIME(0,60,0)</f>
        <v>0.62499999999999967</v>
      </c>
      <c r="C819" s="80" t="s">
        <v>45</v>
      </c>
      <c r="D819" s="99" t="s">
        <v>30</v>
      </c>
      <c r="E819" s="108" t="s">
        <v>261</v>
      </c>
      <c r="F819" s="100">
        <v>5</v>
      </c>
      <c r="G819" s="104">
        <f>IF(F819="","",IF(E819="PC 17",F819*4.2,IF(E819="PC 19",F819*5,"")))</f>
        <v>21</v>
      </c>
      <c r="H819" s="81"/>
      <c r="I819" s="81"/>
      <c r="J819" s="81"/>
      <c r="K819" s="98"/>
      <c r="L819" s="98"/>
      <c r="M819" s="79" t="str">
        <f ca="1">IFERROR(IF(K819="","",IF(L819="",MOD(NOW()-K819,1),IF(L819&gt;=K819,L819-K819,L819+1-K819))),"")</f>
        <v/>
      </c>
      <c r="N819" s="105"/>
      <c r="O819" s="47"/>
    </row>
    <row r="820" spans="1:15" ht="15">
      <c r="A820" s="106">
        <v>46234</v>
      </c>
      <c r="B820" s="103">
        <f>B819+TIME(0,60,0)</f>
        <v>0.6666666666666663</v>
      </c>
      <c r="C820" s="80" t="s">
        <v>45</v>
      </c>
      <c r="D820" s="99" t="s">
        <v>30</v>
      </c>
      <c r="E820" s="99" t="s">
        <v>261</v>
      </c>
      <c r="F820" s="100">
        <v>6</v>
      </c>
      <c r="G820" s="104">
        <f>IF(F820="","",IF(E820="PC 17",F820*4.2,IF(E820="PC 19",F820*5,"")))</f>
        <v>25.200000000000003</v>
      </c>
      <c r="H820" s="80"/>
      <c r="I820" s="80"/>
      <c r="J820" s="80"/>
      <c r="K820" s="98"/>
      <c r="L820" s="98"/>
      <c r="M820" s="78" t="str">
        <f ca="1">IFERROR(IF(K820="","",IF(L820="",MOD(NOW()-K820,1),IF(L820&gt;=K820,L820-K820,L820+1-K820))),"")</f>
        <v/>
      </c>
      <c r="N820" s="105"/>
      <c r="O820" s="47"/>
    </row>
    <row r="821" spans="1:15" ht="15">
      <c r="A821" s="102">
        <v>46234</v>
      </c>
      <c r="B821" s="107">
        <f>B820+TIME(0,60,0)</f>
        <v>0.70833333333333293</v>
      </c>
      <c r="C821" s="80" t="s">
        <v>45</v>
      </c>
      <c r="D821" s="99" t="s">
        <v>30</v>
      </c>
      <c r="E821" s="108" t="s">
        <v>261</v>
      </c>
      <c r="F821" s="100">
        <v>6</v>
      </c>
      <c r="G821" s="104">
        <f>IF(F821="","",IF(E821="PC 17",F821*4.2,IF(E821="PC 19",F821*5,"")))</f>
        <v>25.200000000000003</v>
      </c>
      <c r="H821" s="81"/>
      <c r="I821" s="81"/>
      <c r="J821" s="81"/>
      <c r="K821" s="98"/>
      <c r="L821" s="98"/>
      <c r="M821" s="79" t="str">
        <f ca="1">IFERROR(IF(K821="","",IF(L821="",MOD(NOW()-K821,1),IF(L821&gt;=K821,L821-K821,L821+1-K821))),"")</f>
        <v/>
      </c>
      <c r="N821" s="105"/>
      <c r="O821" s="47"/>
    </row>
    <row r="822" spans="1:15" ht="15">
      <c r="A822" s="106">
        <v>46234</v>
      </c>
      <c r="B822" s="103">
        <f>B821+TIME(0,60,0)</f>
        <v>0.74999999999999956</v>
      </c>
      <c r="C822" s="80" t="s">
        <v>45</v>
      </c>
      <c r="D822" s="99" t="s">
        <v>22</v>
      </c>
      <c r="E822" s="99" t="s">
        <v>261</v>
      </c>
      <c r="F822" s="100">
        <v>5</v>
      </c>
      <c r="G822" s="104">
        <f>IF(F822="","",IF(E822="PC 17",F822*4.2,IF(E822="PC 19",F822*5,"")))</f>
        <v>21</v>
      </c>
      <c r="H822" s="80"/>
      <c r="I822" s="80"/>
      <c r="J822" s="80"/>
      <c r="K822" s="98"/>
      <c r="L822" s="98"/>
      <c r="M822" s="78" t="str">
        <f ca="1">IFERROR(IF(K822="","",IF(L822="",MOD(NOW()-K822,1),IF(L822&gt;=K822,L822-K822,L822+1-K822))),"")</f>
        <v/>
      </c>
      <c r="N822" s="105"/>
      <c r="O822" s="47"/>
    </row>
    <row r="823" spans="1:15" ht="15">
      <c r="A823" s="102">
        <v>46234</v>
      </c>
      <c r="B823" s="107">
        <f>B822+TIME(0,60,0)</f>
        <v>0.79166666666666619</v>
      </c>
      <c r="C823" s="80" t="s">
        <v>45</v>
      </c>
      <c r="D823" s="99" t="s">
        <v>22</v>
      </c>
      <c r="E823" s="108" t="s">
        <v>261</v>
      </c>
      <c r="F823" s="100">
        <v>0</v>
      </c>
      <c r="G823" s="104">
        <f>IF(F823="","",IF(E823="PC 17",F823*4.2,IF(E823="PC 19",F823*5,"")))</f>
        <v>0</v>
      </c>
      <c r="H823" s="81"/>
      <c r="I823" s="81"/>
      <c r="J823" s="81"/>
      <c r="K823" s="98"/>
      <c r="L823" s="98"/>
      <c r="M823" s="79" t="str">
        <f ca="1">IFERROR(IF(K823="","",IF(L823="",MOD(NOW()-K823,1),IF(L823&gt;=K823,L823-K823,L823+1-K823))),"")</f>
        <v/>
      </c>
      <c r="N823" s="105"/>
      <c r="O823" s="47"/>
    </row>
    <row r="824" spans="1:15" ht="15">
      <c r="A824" s="113" t="s">
        <v>236</v>
      </c>
      <c r="B824" s="114"/>
      <c r="C824" s="114"/>
      <c r="D824" s="114"/>
      <c r="E824" s="115">
        <f>SUM(E812:E823)</f>
        <v>0</v>
      </c>
      <c r="F824" s="109">
        <f>SUM(F812:F823)</f>
        <v>95</v>
      </c>
      <c r="G824" s="109">
        <f>SUM(G812:G823)</f>
        <v>398.99999999999994</v>
      </c>
      <c r="H824" s="37"/>
      <c r="I824" s="37"/>
      <c r="J824" s="37"/>
      <c r="K824" s="37"/>
      <c r="L824" s="37"/>
      <c r="M824" s="110">
        <f ca="1">IFERROR(SUM(M812:M823),"")</f>
        <v>5.7638888888888906E-2</v>
      </c>
      <c r="N824" s="109" t="s">
        <v>237</v>
      </c>
      <c r="O824" s="77">
        <v>441270</v>
      </c>
    </row>
    <row r="825" spans="1:15" ht="15">
      <c r="A825" s="106">
        <v>46234</v>
      </c>
      <c r="B825" s="107">
        <v>0.83333333333333304</v>
      </c>
      <c r="C825" s="81" t="s">
        <v>29</v>
      </c>
      <c r="D825" s="108"/>
      <c r="E825" s="108"/>
      <c r="F825" s="100"/>
      <c r="G825" s="104" t="str">
        <f>IF(F825="","",IF(E825="PC 17",F825*4.2,IF(E825="PC 19",F825*5,"")))</f>
        <v/>
      </c>
      <c r="H825" s="81"/>
      <c r="I825" s="81"/>
      <c r="J825" s="81"/>
      <c r="K825" s="98"/>
      <c r="L825" s="98"/>
      <c r="M825" s="79" t="str">
        <f ca="1">IFERROR(IF(K825="","",IF(L825="",MOD(NOW()-K825,1),IF(L825&gt;=K825,L825-K825,L825+1-K825))),"")</f>
        <v/>
      </c>
      <c r="N825" s="105"/>
      <c r="O825" s="47"/>
    </row>
    <row r="826" spans="1:15" ht="15">
      <c r="A826" s="102">
        <v>46234</v>
      </c>
      <c r="B826" s="103">
        <f>B825+TIME(0,60,0)</f>
        <v>0.87499999999999967</v>
      </c>
      <c r="C826" s="81" t="s">
        <v>29</v>
      </c>
      <c r="D826" s="108"/>
      <c r="E826" s="108"/>
      <c r="F826" s="100"/>
      <c r="G826" s="104" t="str">
        <f>IF(F826="","",IF(E826="PC 17",F826*4.2,IF(E826="PC 19",F826*5,"")))</f>
        <v/>
      </c>
      <c r="H826" s="80"/>
      <c r="I826" s="80"/>
      <c r="J826" s="80"/>
      <c r="K826" s="98"/>
      <c r="L826" s="98"/>
      <c r="M826" s="78" t="str">
        <f ca="1">IFERROR(IF(K826="","",IF(L826="",MOD(NOW()-K826,1),IF(L826&gt;=K826,L826-K826,L826+1-K826))),"")</f>
        <v/>
      </c>
      <c r="N826" s="105"/>
      <c r="O826" s="47"/>
    </row>
    <row r="827" spans="1:15" ht="15">
      <c r="A827" s="106">
        <v>46234</v>
      </c>
      <c r="B827" s="107">
        <f>B826+TIME(0,60,0)</f>
        <v>0.9166666666666663</v>
      </c>
      <c r="C827" s="81" t="s">
        <v>29</v>
      </c>
      <c r="D827" s="108"/>
      <c r="E827" s="108"/>
      <c r="F827" s="100"/>
      <c r="G827" s="104" t="str">
        <f>IF(F827="","",IF(E827="PC 17",F827*4.2,IF(E827="PC 19",F827*5,"")))</f>
        <v/>
      </c>
      <c r="H827" s="81"/>
      <c r="I827" s="81"/>
      <c r="J827" s="81"/>
      <c r="K827" s="98"/>
      <c r="L827" s="98"/>
      <c r="M827" s="79" t="str">
        <f ca="1">IFERROR(IF(K827="","",IF(L827="",MOD(NOW()-K827,1),IF(L827&gt;=K827,L827-K827,L827+1-K827))),"")</f>
        <v/>
      </c>
      <c r="N827" s="105"/>
      <c r="O827" s="47"/>
    </row>
    <row r="828" spans="1:15" ht="15">
      <c r="A828" s="102">
        <v>46234</v>
      </c>
      <c r="B828" s="103">
        <f>B827+TIME(0,60,0)</f>
        <v>0.95833333333333293</v>
      </c>
      <c r="C828" s="81" t="s">
        <v>29</v>
      </c>
      <c r="D828" s="108"/>
      <c r="E828" s="108"/>
      <c r="F828" s="100"/>
      <c r="G828" s="104" t="str">
        <f>IF(F828="","",IF(E828="PC 17",F828*4.2,IF(E828="PC 19",F828*5,"")))</f>
        <v/>
      </c>
      <c r="H828" s="80"/>
      <c r="I828" s="80"/>
      <c r="J828" s="80"/>
      <c r="K828" s="98"/>
      <c r="L828" s="98"/>
      <c r="M828" s="78" t="str">
        <f ca="1">IFERROR(IF(K828="","",IF(L828="",MOD(NOW()-K828,1),IF(L828&gt;=K828,L828-K828,L828+1-K828))),"")</f>
        <v/>
      </c>
      <c r="N828" s="105"/>
      <c r="O828" s="47"/>
    </row>
    <row r="829" spans="1:15" ht="15">
      <c r="A829" s="106">
        <v>46234</v>
      </c>
      <c r="B829" s="107">
        <f>B828+TIME(0,60,0)</f>
        <v>0.99999999999999956</v>
      </c>
      <c r="C829" s="81" t="s">
        <v>29</v>
      </c>
      <c r="D829" s="108"/>
      <c r="E829" s="108"/>
      <c r="F829" s="100"/>
      <c r="G829" s="104" t="str">
        <f>IF(F829="","",IF(E829="PC 17",F829*4.2,IF(E829="PC 19",F829*5,"")))</f>
        <v/>
      </c>
      <c r="H829" s="81"/>
      <c r="I829" s="81"/>
      <c r="J829" s="81"/>
      <c r="K829" s="98"/>
      <c r="L829" s="98"/>
      <c r="M829" s="79" t="str">
        <f ca="1">IFERROR(IF(K829="","",IF(L829="",MOD(NOW()-K829,1),IF(L829&gt;=K829,L829-K829,L829+1-K829))),"")</f>
        <v/>
      </c>
      <c r="N829" s="105"/>
      <c r="O829" s="47"/>
    </row>
    <row r="830" spans="1:15" ht="15">
      <c r="A830" s="102">
        <v>46234</v>
      </c>
      <c r="B830" s="103">
        <f>B829+TIME(0,60,0)</f>
        <v>1.0416666666666663</v>
      </c>
      <c r="C830" s="81" t="s">
        <v>29</v>
      </c>
      <c r="D830" s="108"/>
      <c r="E830" s="108"/>
      <c r="F830" s="100"/>
      <c r="G830" s="104" t="str">
        <f>IF(F830="","",IF(E830="PC 17",F830*4.2,IF(E830="PC 19",F830*5,"")))</f>
        <v/>
      </c>
      <c r="H830" s="80"/>
      <c r="I830" s="80"/>
      <c r="J830" s="80"/>
      <c r="K830" s="98"/>
      <c r="L830" s="98"/>
      <c r="M830" s="78" t="str">
        <f ca="1">IFERROR(IF(K830="","",IF(L830="",MOD(NOW()-K830,1),IF(L830&gt;=K830,L830-K830,L830+1-K830))),"")</f>
        <v/>
      </c>
      <c r="N830" s="105"/>
      <c r="O830" s="47"/>
    </row>
    <row r="831" spans="1:15" ht="15">
      <c r="A831" s="106">
        <v>46234</v>
      </c>
      <c r="B831" s="107">
        <f>B830+TIME(0,60,0)</f>
        <v>1.083333333333333</v>
      </c>
      <c r="C831" s="81" t="s">
        <v>29</v>
      </c>
      <c r="D831" s="108"/>
      <c r="E831" s="108"/>
      <c r="F831" s="100"/>
      <c r="G831" s="104" t="str">
        <f>IF(F831="","",IF(E831="PC 17",F831*4.2,IF(E831="PC 19",F831*5,"")))</f>
        <v/>
      </c>
      <c r="H831" s="81"/>
      <c r="I831" s="81"/>
      <c r="J831" s="81"/>
      <c r="K831" s="98"/>
      <c r="L831" s="98"/>
      <c r="M831" s="79" t="str">
        <f ca="1">IFERROR(IF(K831="","",IF(L831="",MOD(NOW()-K831,1),IF(L831&gt;=K831,L831-K831,L831+1-K831))),"")</f>
        <v/>
      </c>
      <c r="N831" s="105"/>
      <c r="O831" s="47"/>
    </row>
    <row r="832" spans="1:15" ht="15">
      <c r="A832" s="102">
        <v>46234</v>
      </c>
      <c r="B832" s="103">
        <f>B831+TIME(0,60,0)</f>
        <v>1.1249999999999998</v>
      </c>
      <c r="C832" s="81" t="s">
        <v>29</v>
      </c>
      <c r="D832" s="108"/>
      <c r="E832" s="108"/>
      <c r="F832" s="100"/>
      <c r="G832" s="104" t="str">
        <f>IF(F832="","",IF(E832="PC 17",F832*4.2,IF(E832="PC 19",F832*5,"")))</f>
        <v/>
      </c>
      <c r="H832" s="80"/>
      <c r="I832" s="80"/>
      <c r="J832" s="80"/>
      <c r="K832" s="98"/>
      <c r="L832" s="98"/>
      <c r="M832" s="78" t="str">
        <f ca="1">IFERROR(IF(K832="","",IF(L832="",MOD(NOW()-K832,1),IF(L832&gt;=K832,L832-K832,L832+1-K832))),"")</f>
        <v/>
      </c>
      <c r="N832" s="105"/>
      <c r="O832" s="47"/>
    </row>
    <row r="833" spans="1:15" ht="15">
      <c r="A833" s="106">
        <v>46234</v>
      </c>
      <c r="B833" s="107">
        <f>B832+TIME(0,60,0)</f>
        <v>1.1666666666666665</v>
      </c>
      <c r="C833" s="81" t="s">
        <v>29</v>
      </c>
      <c r="D833" s="108"/>
      <c r="E833" s="108"/>
      <c r="F833" s="100"/>
      <c r="G833" s="104" t="str">
        <f>IF(F833="","",IF(E833="PC 17",F833*4.2,IF(E833="PC 19",F833*5,"")))</f>
        <v/>
      </c>
      <c r="H833" s="81"/>
      <c r="I833" s="81"/>
      <c r="J833" s="81"/>
      <c r="K833" s="98"/>
      <c r="L833" s="98"/>
      <c r="M833" s="79" t="str">
        <f ca="1">IFERROR(IF(K833="","",IF(L833="",MOD(NOW()-K833,1),IF(L833&gt;=K833,L833-K833,L833+1-K833))),"")</f>
        <v/>
      </c>
      <c r="N833" s="105"/>
      <c r="O833" s="47"/>
    </row>
    <row r="834" spans="1:15" ht="15">
      <c r="A834" s="102">
        <v>46234</v>
      </c>
      <c r="B834" s="103">
        <f>B833+TIME(0,60,0)</f>
        <v>1.2083333333333333</v>
      </c>
      <c r="C834" s="81" t="s">
        <v>29</v>
      </c>
      <c r="D834" s="108"/>
      <c r="E834" s="108"/>
      <c r="F834" s="100"/>
      <c r="G834" s="104" t="str">
        <f>IF(F834="","",IF(E834="PC 17",F834*4.2,IF(E834="PC 19",F834*5,"")))</f>
        <v/>
      </c>
      <c r="H834" s="80"/>
      <c r="I834" s="80"/>
      <c r="J834" s="80"/>
      <c r="K834" s="98"/>
      <c r="L834" s="98"/>
      <c r="M834" s="78" t="str">
        <f ca="1">IFERROR(IF(K834="","",IF(L834="",MOD(NOW()-K834,1),IF(L834&gt;=K834,L834-K834,L834+1-K834))),"")</f>
        <v/>
      </c>
      <c r="N834" s="105"/>
      <c r="O834" s="47"/>
    </row>
    <row r="835" spans="1:15" ht="15">
      <c r="A835" s="106">
        <v>46234</v>
      </c>
      <c r="B835" s="107">
        <f>B834+TIME(0,60,0)</f>
        <v>1.25</v>
      </c>
      <c r="C835" s="81" t="s">
        <v>29</v>
      </c>
      <c r="D835" s="108"/>
      <c r="E835" s="108"/>
      <c r="F835" s="100"/>
      <c r="G835" s="104" t="str">
        <f>IF(F835="","",IF(E835="PC 17",F835*4.2,IF(E835="PC 19",F835*5,"")))</f>
        <v/>
      </c>
      <c r="H835" s="81"/>
      <c r="I835" s="81"/>
      <c r="J835" s="81"/>
      <c r="K835" s="98"/>
      <c r="L835" s="98"/>
      <c r="M835" s="79" t="str">
        <f ca="1">IFERROR(IF(K835="","",IF(L835="",MOD(NOW()-K835,1),IF(L835&gt;=K835,L835-K835,L835+1-K835))),"")</f>
        <v/>
      </c>
      <c r="N835" s="105"/>
      <c r="O835" s="47"/>
    </row>
    <row r="836" spans="1:15" ht="15">
      <c r="A836" s="102">
        <v>46234</v>
      </c>
      <c r="B836" s="103">
        <f>B835+TIME(0,60,0)</f>
        <v>1.2916666666666667</v>
      </c>
      <c r="C836" s="81" t="s">
        <v>29</v>
      </c>
      <c r="D836" s="108"/>
      <c r="E836" s="108"/>
      <c r="F836" s="100"/>
      <c r="G836" s="104" t="str">
        <f>IF(F836="","",IF(E836="PC 17",F836*4.2,IF(E836="PC 19",F836*5,"")))</f>
        <v/>
      </c>
      <c r="H836" s="80"/>
      <c r="I836" s="80"/>
      <c r="J836" s="80"/>
      <c r="K836" s="98"/>
      <c r="L836" s="98"/>
      <c r="M836" s="78" t="str">
        <f ca="1">IFERROR(IF(K836="","",IF(L836="",MOD(NOW()-K836,1),IF(L836&gt;=K836,L836-K836,L836+1-K836))),"")</f>
        <v/>
      </c>
      <c r="N836" s="105"/>
      <c r="O836" s="47"/>
    </row>
    <row r="837" spans="1:15" ht="15">
      <c r="A837" s="113" t="s">
        <v>238</v>
      </c>
      <c r="B837" s="114"/>
      <c r="C837" s="114"/>
      <c r="D837" s="114"/>
      <c r="E837" s="115">
        <f>SUM(E825:E836)</f>
        <v>0</v>
      </c>
      <c r="F837" s="109">
        <f>SUM(F825:F836)</f>
        <v>0</v>
      </c>
      <c r="G837" s="109">
        <f>SUM(G825:G836)</f>
        <v>0</v>
      </c>
      <c r="H837" s="37"/>
      <c r="I837" s="37"/>
      <c r="J837" s="37"/>
      <c r="K837" s="37"/>
      <c r="L837" s="37"/>
      <c r="M837" s="110">
        <f ca="1">IFERROR(SUM(M825:M836),"")</f>
        <v>0</v>
      </c>
      <c r="N837" s="109" t="s">
        <v>237</v>
      </c>
      <c r="O837" s="77"/>
    </row>
    <row r="838" spans="1:15" ht="15">
      <c r="A838" s="116" t="s">
        <v>239</v>
      </c>
      <c r="B838" s="117"/>
      <c r="C838" s="117"/>
      <c r="D838" s="117"/>
      <c r="E838" s="118">
        <f>E824+E837</f>
        <v>0</v>
      </c>
      <c r="F838" s="111">
        <f>F824+F837</f>
        <v>95</v>
      </c>
      <c r="G838" s="111">
        <f>G824+G837</f>
        <v>398.99999999999994</v>
      </c>
      <c r="H838" s="41"/>
      <c r="I838" s="41"/>
      <c r="J838" s="41"/>
      <c r="K838" s="41"/>
      <c r="L838" s="41"/>
      <c r="M838" s="112">
        <f ca="1">IFERROR(M824+M837,"")</f>
        <v>5.7638888888888906E-2</v>
      </c>
      <c r="N838" s="111" t="s">
        <v>240</v>
      </c>
      <c r="O838" s="82">
        <f>IFERROR(O824+O837,"")</f>
        <v>441270</v>
      </c>
    </row>
  </sheetData>
  <mergeCells count="93">
    <mergeCell ref="A122:E122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11:E311"/>
    <mergeCell ref="A324:E324"/>
    <mergeCell ref="A419:E419"/>
    <mergeCell ref="A325:E325"/>
    <mergeCell ref="A338:E338"/>
    <mergeCell ref="A351:E351"/>
    <mergeCell ref="A352:E352"/>
    <mergeCell ref="A365:E365"/>
    <mergeCell ref="A378:E378"/>
    <mergeCell ref="A379:E379"/>
    <mergeCell ref="A392:E392"/>
    <mergeCell ref="A405:E405"/>
    <mergeCell ref="A406:E406"/>
    <mergeCell ref="A432:E432"/>
    <mergeCell ref="A433:E433"/>
    <mergeCell ref="A446:E446"/>
    <mergeCell ref="A459:E459"/>
    <mergeCell ref="A460:E460"/>
    <mergeCell ref="A473:E473"/>
    <mergeCell ref="A486:E486"/>
    <mergeCell ref="A487:E487"/>
    <mergeCell ref="A500:E500"/>
    <mergeCell ref="A513:E513"/>
    <mergeCell ref="A568:E568"/>
    <mergeCell ref="A581:E581"/>
    <mergeCell ref="A594:E594"/>
    <mergeCell ref="A595:E595"/>
    <mergeCell ref="A514:E514"/>
    <mergeCell ref="A527:E527"/>
    <mergeCell ref="A540:E540"/>
    <mergeCell ref="A541:E541"/>
    <mergeCell ref="A554:E554"/>
    <mergeCell ref="A770:E770"/>
    <mergeCell ref="A783:E783"/>
    <mergeCell ref="A702:E702"/>
    <mergeCell ref="A703:E703"/>
    <mergeCell ref="A716:E716"/>
    <mergeCell ref="A729:E729"/>
    <mergeCell ref="A730:E730"/>
    <mergeCell ref="A108:E108"/>
    <mergeCell ref="A109:E109"/>
    <mergeCell ref="A743:E743"/>
    <mergeCell ref="A756:E756"/>
    <mergeCell ref="A757:E757"/>
    <mergeCell ref="A649:E649"/>
    <mergeCell ref="A662:E662"/>
    <mergeCell ref="A675:E675"/>
    <mergeCell ref="A676:E676"/>
    <mergeCell ref="A689:E689"/>
    <mergeCell ref="A608:E608"/>
    <mergeCell ref="A621:E621"/>
    <mergeCell ref="A622:E622"/>
    <mergeCell ref="A635:E635"/>
    <mergeCell ref="A648:E648"/>
    <mergeCell ref="A567:E567"/>
    <mergeCell ref="A55:E55"/>
    <mergeCell ref="A68:E68"/>
    <mergeCell ref="A81:E81"/>
    <mergeCell ref="A82:E82"/>
    <mergeCell ref="A95:E95"/>
    <mergeCell ref="A14:E14"/>
    <mergeCell ref="A27:E27"/>
    <mergeCell ref="A28:E28"/>
    <mergeCell ref="A41:E41"/>
    <mergeCell ref="A54:E54"/>
    <mergeCell ref="A824:E824"/>
    <mergeCell ref="A837:E837"/>
    <mergeCell ref="A838:E838"/>
    <mergeCell ref="A784:E784"/>
    <mergeCell ref="A797:E797"/>
    <mergeCell ref="A810:E810"/>
    <mergeCell ref="A811:E811"/>
  </mergeCells>
  <dataValidations count="3">
    <dataValidation type="list" allowBlank="1" showErrorMessage="1" errorTitle="Valor inválido" error="Selecione PC 17 ou PC 19 da lista." sqref="E15:E26 E2:E13 E29:E380 E382:E514 E516:E838" xr:uid="{618DBFC7-9EE5-4350-9682-B167270E51D8}">
      <formula1>"PC 17,PC 19"</formula1>
      <formula2>0</formula2>
    </dataValidation>
    <dataValidation type="list" showErrorMessage="1" errorTitle="Atenção" error="Selecione primeiro o Tipo de Parada (col G) e depois escolha a Descrição da lista." sqref="J2:J900" xr:uid="{00000000-0002-0000-04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515" xr:uid="{27A13222-D10F-41D3-B598-F519813951BD}">
      <formula1>"PC 17;PC 01"</formula1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400-000002000000}">
          <x14:formula1>
            <xm:f>Cadastro!$A$4:$A$50</xm:f>
          </x14:formula1>
          <x14:formula2>
            <xm:f>0</xm:f>
          </x14:formula2>
          <xm:sqref>C15:C26 C2:C13 C29:C900</xm:sqref>
        </x14:dataValidation>
        <x14:dataValidation type="list" allowBlank="1" showErrorMessage="1" errorTitle="Valor inválido" error="Selecione da lista." xr:uid="{00000000-0002-0000-0400-000003000000}">
          <x14:formula1>
            <xm:f>Cadastro!$C$4:$C$10</xm:f>
          </x14:formula1>
          <x14:formula2>
            <xm:f>0</xm:f>
          </x14:formula2>
          <xm:sqref>D15:D26 D2:D13 D29:D294 D296:D900</xm:sqref>
        </x14:dataValidation>
        <x14:dataValidation type="list" allowBlank="1" showErrorMessage="1" errorTitle="Valor inválido" error="Selecione da lista." xr:uid="{00000000-0002-0000-0400-000005000000}">
          <x14:formula1>
            <xm:f>Cadastro!$G$4:$G$40</xm:f>
          </x14:formula1>
          <x14:formula2>
            <xm:f>0</xm:f>
          </x14:formula2>
          <xm:sqref>I2:I900</xm:sqref>
        </x14:dataValidation>
        <x14:dataValidation type="list" allowBlank="1" showErrorMessage="1" errorTitle="Valor inválido" error="Selecione da lista." xr:uid="{00000000-0002-0000-0400-000004000000}">
          <x14:formula1>
            <xm:f>Cadastro!$E$4:$E$10</xm:f>
          </x14:formula1>
          <x14:formula2>
            <xm:f>0</xm:f>
          </x14:formula2>
          <xm:sqref>H2:H30 H32:H900</xm:sqref>
        </x14:dataValidation>
      </x14:dataValidations>
    </ext>
  </extLst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>
    <tabColor rgb="FF4BACC6"/>
  </sheetPr>
  <dimension ref="A1:R838"/>
  <sheetViews>
    <sheetView showGridLines="0" zoomScale="50" zoomScaleNormal="50" workbookViewId="0">
      <pane ySplit="1" topLeftCell="A805" activePane="bottomLeft" state="frozen"/>
      <selection pane="bottomLeft" activeCell="C825" sqref="C825:C836"/>
    </sheetView>
  </sheetViews>
  <sheetFormatPr defaultColWidth="8.5703125" defaultRowHeight="14.45"/>
  <cols>
    <col min="1" max="1" width="13" style="75" customWidth="1"/>
    <col min="2" max="2" width="9" style="57" customWidth="1"/>
    <col min="3" max="3" width="14" style="57" customWidth="1"/>
    <col min="4" max="4" width="16" style="56" customWidth="1"/>
    <col min="5" max="5" width="16" style="57" customWidth="1"/>
    <col min="6" max="6" width="13" style="57" customWidth="1"/>
    <col min="7" max="7" width="14" style="57" customWidth="1"/>
    <col min="8" max="8" width="36" style="57" customWidth="1"/>
    <col min="9" max="9" width="25.140625" style="57" customWidth="1"/>
    <col min="10" max="10" width="48.42578125" style="57" customWidth="1"/>
    <col min="11" max="11" width="18.42578125" style="57" customWidth="1"/>
    <col min="12" max="12" width="14" style="58" customWidth="1"/>
    <col min="13" max="13" width="14" style="57" customWidth="1"/>
    <col min="14" max="14" width="52.5703125" style="57" customWidth="1"/>
    <col min="15" max="15" width="14" customWidth="1"/>
    <col min="16" max="16" width="9.42578125" bestFit="1" customWidth="1"/>
  </cols>
  <sheetData>
    <row r="1" spans="1:15" ht="37.5" customHeight="1">
      <c r="A1" s="67" t="s">
        <v>7</v>
      </c>
      <c r="B1" s="23" t="s">
        <v>223</v>
      </c>
      <c r="C1" s="23" t="s">
        <v>12</v>
      </c>
      <c r="D1" s="22" t="s">
        <v>13</v>
      </c>
      <c r="E1" s="22" t="s">
        <v>224</v>
      </c>
      <c r="F1" s="23" t="s">
        <v>225</v>
      </c>
      <c r="G1" s="23" t="s">
        <v>226</v>
      </c>
      <c r="H1" s="23" t="s">
        <v>14</v>
      </c>
      <c r="I1" s="23" t="s">
        <v>15</v>
      </c>
      <c r="J1" s="23" t="s">
        <v>227</v>
      </c>
      <c r="K1" s="23" t="s">
        <v>228</v>
      </c>
      <c r="L1" s="23" t="s">
        <v>229</v>
      </c>
      <c r="M1" s="24" t="s">
        <v>230</v>
      </c>
      <c r="N1" s="23" t="s">
        <v>231</v>
      </c>
      <c r="O1" s="23" t="s">
        <v>232</v>
      </c>
    </row>
    <row r="2" spans="1:15" ht="15" customHeight="1">
      <c r="A2" s="68">
        <v>46204</v>
      </c>
      <c r="B2" s="25">
        <v>0.33333333333333298</v>
      </c>
      <c r="C2" s="26" t="s">
        <v>29</v>
      </c>
      <c r="D2" s="59" t="s">
        <v>30</v>
      </c>
      <c r="E2" s="59" t="s">
        <v>261</v>
      </c>
      <c r="F2" s="27">
        <v>0</v>
      </c>
      <c r="G2" s="28">
        <f t="shared" ref="G2:G13" si="0">IF(F2="","",IF(E2="PC 17",F2*4.2,IF(E2="PC 19",F2*5,"")))</f>
        <v>0</v>
      </c>
      <c r="H2" s="26" t="s">
        <v>18</v>
      </c>
      <c r="I2" s="26" t="s">
        <v>139</v>
      </c>
      <c r="J2" s="26" t="s">
        <v>100</v>
      </c>
      <c r="K2" s="29">
        <v>0.29166666666666669</v>
      </c>
      <c r="L2" s="29">
        <v>0.38194444444444442</v>
      </c>
      <c r="M2" s="30">
        <f t="shared" ref="M2:M13" ca="1" si="1">IFERROR(IF(K2="","",IF(L2="",MOD(NOW()-K2,1),IF(L2&gt;=K2,L2-K2,L2+1-K2))),"")</f>
        <v>9.0277777777777735E-2</v>
      </c>
      <c r="N2" s="27" t="s">
        <v>384</v>
      </c>
      <c r="O2" s="60"/>
    </row>
    <row r="3" spans="1:15" ht="15" customHeight="1">
      <c r="A3" s="69">
        <v>46204</v>
      </c>
      <c r="B3" s="32">
        <f t="shared" ref="B3:B13" si="2">B2+TIME(0,60,0)</f>
        <v>0.37499999999999967</v>
      </c>
      <c r="C3" s="26" t="s">
        <v>29</v>
      </c>
      <c r="D3" s="59" t="s">
        <v>30</v>
      </c>
      <c r="E3" s="59" t="s">
        <v>261</v>
      </c>
      <c r="F3" s="27">
        <v>0</v>
      </c>
      <c r="G3" s="34">
        <f t="shared" si="0"/>
        <v>0</v>
      </c>
      <c r="H3" s="33" t="s">
        <v>18</v>
      </c>
      <c r="I3" s="33" t="s">
        <v>160</v>
      </c>
      <c r="J3" s="33" t="s">
        <v>34</v>
      </c>
      <c r="K3" s="29">
        <v>0.64583333333333337</v>
      </c>
      <c r="L3" s="29">
        <v>0.73611111111111116</v>
      </c>
      <c r="M3" s="35">
        <f t="shared" ca="1" si="1"/>
        <v>9.027777777777779E-2</v>
      </c>
      <c r="N3" s="27" t="s">
        <v>315</v>
      </c>
      <c r="O3" s="60"/>
    </row>
    <row r="4" spans="1:15" ht="15" customHeight="1">
      <c r="A4" s="68">
        <v>46204</v>
      </c>
      <c r="B4" s="25">
        <f t="shared" si="2"/>
        <v>0.41666666666666635</v>
      </c>
      <c r="C4" s="26" t="s">
        <v>29</v>
      </c>
      <c r="D4" s="59" t="s">
        <v>30</v>
      </c>
      <c r="E4" s="59" t="s">
        <v>261</v>
      </c>
      <c r="F4" s="27">
        <v>5</v>
      </c>
      <c r="G4" s="28">
        <f t="shared" si="0"/>
        <v>21</v>
      </c>
      <c r="H4" s="26" t="s">
        <v>18</v>
      </c>
      <c r="I4" s="26" t="s">
        <v>52</v>
      </c>
      <c r="J4" s="26" t="s">
        <v>191</v>
      </c>
      <c r="K4" s="29">
        <v>0.75138888888888888</v>
      </c>
      <c r="L4" s="29">
        <v>0.79166666666666663</v>
      </c>
      <c r="M4" s="30">
        <f t="shared" ca="1" si="1"/>
        <v>4.0277777777777746E-2</v>
      </c>
      <c r="N4" s="27"/>
      <c r="O4" s="60"/>
    </row>
    <row r="5" spans="1:15" ht="15" customHeight="1">
      <c r="A5" s="69">
        <v>46204</v>
      </c>
      <c r="B5" s="32">
        <f t="shared" si="2"/>
        <v>0.45833333333333304</v>
      </c>
      <c r="C5" s="26" t="s">
        <v>29</v>
      </c>
      <c r="D5" s="59" t="s">
        <v>30</v>
      </c>
      <c r="E5" s="59" t="s">
        <v>261</v>
      </c>
      <c r="F5" s="27">
        <v>10</v>
      </c>
      <c r="G5" s="34">
        <f t="shared" si="0"/>
        <v>42</v>
      </c>
      <c r="H5" s="33"/>
      <c r="I5" s="33"/>
      <c r="J5" s="33"/>
      <c r="K5" s="29"/>
      <c r="L5" s="29"/>
      <c r="M5" s="35" t="str">
        <f t="shared" ca="1" si="1"/>
        <v/>
      </c>
      <c r="N5" s="27"/>
      <c r="O5" s="60"/>
    </row>
    <row r="6" spans="1:15" ht="15" customHeight="1">
      <c r="A6" s="68">
        <v>46204</v>
      </c>
      <c r="B6" s="25">
        <f t="shared" si="2"/>
        <v>0.49999999999999972</v>
      </c>
      <c r="C6" s="26" t="s">
        <v>29</v>
      </c>
      <c r="D6" s="59" t="s">
        <v>30</v>
      </c>
      <c r="E6" s="59" t="s">
        <v>261</v>
      </c>
      <c r="F6" s="27">
        <v>12</v>
      </c>
      <c r="G6" s="28">
        <f t="shared" si="0"/>
        <v>50.400000000000006</v>
      </c>
      <c r="H6" s="26"/>
      <c r="I6" s="26"/>
      <c r="J6" s="26"/>
      <c r="K6" s="29"/>
      <c r="L6" s="29"/>
      <c r="M6" s="30" t="str">
        <f t="shared" ca="1" si="1"/>
        <v/>
      </c>
      <c r="N6" s="27"/>
      <c r="O6" s="60"/>
    </row>
    <row r="7" spans="1:15" ht="15" customHeight="1">
      <c r="A7" s="69">
        <v>46204</v>
      </c>
      <c r="B7" s="32">
        <f t="shared" si="2"/>
        <v>0.54166666666666641</v>
      </c>
      <c r="C7" s="26" t="s">
        <v>29</v>
      </c>
      <c r="D7" s="59" t="s">
        <v>30</v>
      </c>
      <c r="E7" s="59" t="s">
        <v>261</v>
      </c>
      <c r="F7" s="27">
        <v>3</v>
      </c>
      <c r="G7" s="34">
        <f t="shared" si="0"/>
        <v>12.600000000000001</v>
      </c>
      <c r="H7" s="33"/>
      <c r="I7" s="33"/>
      <c r="J7" s="33"/>
      <c r="K7" s="29"/>
      <c r="L7" s="29"/>
      <c r="M7" s="35" t="str">
        <f t="shared" ca="1" si="1"/>
        <v/>
      </c>
      <c r="N7" s="27"/>
      <c r="O7" s="60"/>
    </row>
    <row r="8" spans="1:15" ht="15" customHeight="1">
      <c r="A8" s="68">
        <v>46204</v>
      </c>
      <c r="B8" s="25">
        <f t="shared" si="2"/>
        <v>0.58333333333333304</v>
      </c>
      <c r="C8" s="26" t="s">
        <v>29</v>
      </c>
      <c r="D8" s="59" t="s">
        <v>30</v>
      </c>
      <c r="E8" s="59" t="s">
        <v>261</v>
      </c>
      <c r="F8" s="27">
        <v>11</v>
      </c>
      <c r="G8" s="28">
        <f t="shared" si="0"/>
        <v>46.2</v>
      </c>
      <c r="H8" s="26"/>
      <c r="I8" s="26"/>
      <c r="J8" s="26"/>
      <c r="K8" s="29"/>
      <c r="L8" s="29"/>
      <c r="M8" s="30" t="str">
        <f t="shared" ca="1" si="1"/>
        <v/>
      </c>
      <c r="N8" s="27"/>
      <c r="O8" s="60"/>
    </row>
    <row r="9" spans="1:15" ht="15" customHeight="1">
      <c r="A9" s="69">
        <v>46204</v>
      </c>
      <c r="B9" s="32">
        <f t="shared" si="2"/>
        <v>0.62499999999999967</v>
      </c>
      <c r="C9" s="26" t="s">
        <v>29</v>
      </c>
      <c r="D9" s="59" t="s">
        <v>30</v>
      </c>
      <c r="E9" s="59" t="s">
        <v>261</v>
      </c>
      <c r="F9" s="27">
        <v>16</v>
      </c>
      <c r="G9" s="34">
        <f t="shared" si="0"/>
        <v>67.2</v>
      </c>
      <c r="H9" s="33"/>
      <c r="I9" s="33"/>
      <c r="J9" s="33"/>
      <c r="K9" s="29"/>
      <c r="L9" s="29"/>
      <c r="M9" s="35" t="str">
        <f t="shared" ca="1" si="1"/>
        <v/>
      </c>
      <c r="N9" s="27"/>
      <c r="O9" s="60"/>
    </row>
    <row r="10" spans="1:15" ht="15" customHeight="1">
      <c r="A10" s="68">
        <v>46204</v>
      </c>
      <c r="B10" s="25">
        <f t="shared" si="2"/>
        <v>0.6666666666666663</v>
      </c>
      <c r="C10" s="26" t="s">
        <v>29</v>
      </c>
      <c r="D10" s="59" t="s">
        <v>30</v>
      </c>
      <c r="E10" s="59" t="s">
        <v>261</v>
      </c>
      <c r="F10" s="27">
        <v>2</v>
      </c>
      <c r="G10" s="28">
        <f t="shared" si="0"/>
        <v>8.4</v>
      </c>
      <c r="H10" s="26"/>
      <c r="I10" s="26"/>
      <c r="J10" s="26"/>
      <c r="K10" s="29"/>
      <c r="L10" s="29"/>
      <c r="M10" s="30" t="str">
        <f t="shared" ca="1" si="1"/>
        <v/>
      </c>
      <c r="N10" s="27"/>
      <c r="O10" s="60"/>
    </row>
    <row r="11" spans="1:15" ht="15" customHeight="1">
      <c r="A11" s="69">
        <v>46204</v>
      </c>
      <c r="B11" s="32">
        <f t="shared" si="2"/>
        <v>0.70833333333333293</v>
      </c>
      <c r="C11" s="26" t="s">
        <v>29</v>
      </c>
      <c r="D11" s="59" t="s">
        <v>30</v>
      </c>
      <c r="E11" s="59" t="s">
        <v>261</v>
      </c>
      <c r="F11" s="27">
        <v>0</v>
      </c>
      <c r="G11" s="34">
        <f t="shared" si="0"/>
        <v>0</v>
      </c>
      <c r="H11" s="33"/>
      <c r="I11" s="33"/>
      <c r="J11" s="33"/>
      <c r="K11" s="29"/>
      <c r="L11" s="29"/>
      <c r="M11" s="35" t="str">
        <f t="shared" ca="1" si="1"/>
        <v/>
      </c>
      <c r="N11" s="27"/>
      <c r="O11" s="60"/>
    </row>
    <row r="12" spans="1:15" ht="15" customHeight="1">
      <c r="A12" s="68">
        <v>46204</v>
      </c>
      <c r="B12" s="25">
        <f t="shared" si="2"/>
        <v>0.74999999999999956</v>
      </c>
      <c r="C12" s="26" t="s">
        <v>29</v>
      </c>
      <c r="D12" s="59" t="s">
        <v>30</v>
      </c>
      <c r="E12" s="59" t="s">
        <v>261</v>
      </c>
      <c r="F12" s="27">
        <v>5</v>
      </c>
      <c r="G12" s="28">
        <f t="shared" si="0"/>
        <v>21</v>
      </c>
      <c r="H12" s="26"/>
      <c r="I12" s="26"/>
      <c r="J12" s="26"/>
      <c r="K12" s="29"/>
      <c r="L12" s="29"/>
      <c r="M12" s="30" t="str">
        <f t="shared" ca="1" si="1"/>
        <v/>
      </c>
      <c r="N12" s="27"/>
      <c r="O12" s="60"/>
    </row>
    <row r="13" spans="1:15" ht="15" customHeight="1">
      <c r="A13" s="69">
        <v>46204</v>
      </c>
      <c r="B13" s="32">
        <f t="shared" si="2"/>
        <v>0.79166666666666619</v>
      </c>
      <c r="C13" s="26" t="s">
        <v>29</v>
      </c>
      <c r="D13" s="59" t="s">
        <v>30</v>
      </c>
      <c r="E13" s="59" t="s">
        <v>261</v>
      </c>
      <c r="F13" s="27">
        <v>0</v>
      </c>
      <c r="G13" s="34">
        <f t="shared" si="0"/>
        <v>0</v>
      </c>
      <c r="H13" s="33"/>
      <c r="I13" s="33"/>
      <c r="J13" s="33"/>
      <c r="K13" s="29"/>
      <c r="L13" s="29"/>
      <c r="M13" s="35" t="str">
        <f t="shared" ca="1" si="1"/>
        <v/>
      </c>
      <c r="N13" s="27"/>
      <c r="O13" s="60"/>
    </row>
    <row r="14" spans="1:15" ht="15.75" customHeight="1">
      <c r="A14" s="119" t="s">
        <v>236</v>
      </c>
      <c r="B14" s="120"/>
      <c r="C14" s="120"/>
      <c r="D14" s="120"/>
      <c r="E14" s="121"/>
      <c r="F14" s="36">
        <f>SUM(F2:F13)</f>
        <v>64</v>
      </c>
      <c r="G14" s="36">
        <f>SUM(G2:G13)</f>
        <v>268.79999999999995</v>
      </c>
      <c r="H14" s="37"/>
      <c r="I14" s="37"/>
      <c r="J14" s="37"/>
      <c r="K14" s="61"/>
      <c r="L14" s="61"/>
      <c r="M14" s="38">
        <f ca="1">IFERROR(SUM(M2:M13),"")</f>
        <v>0.22083333333333327</v>
      </c>
      <c r="N14" s="36" t="s">
        <v>237</v>
      </c>
      <c r="O14" s="39">
        <v>327070</v>
      </c>
    </row>
    <row r="15" spans="1:15" ht="15" customHeight="1">
      <c r="A15" s="69">
        <v>46204</v>
      </c>
      <c r="B15" s="32">
        <v>0.83333333333333304</v>
      </c>
      <c r="C15" s="33" t="s">
        <v>45</v>
      </c>
      <c r="D15" s="62" t="s">
        <v>30</v>
      </c>
      <c r="E15" s="62" t="s">
        <v>261</v>
      </c>
      <c r="F15" s="27">
        <v>5</v>
      </c>
      <c r="G15" s="34">
        <f t="shared" ref="G15:G26" si="3">IF(F15="","",IF(E15="PC 17",F15*4.2,IF(E15="PC 19",F15*5,"")))</f>
        <v>21</v>
      </c>
      <c r="H15" s="33" t="s">
        <v>19</v>
      </c>
      <c r="I15" s="33" t="s">
        <v>52</v>
      </c>
      <c r="J15" s="33" t="s">
        <v>50</v>
      </c>
      <c r="K15" s="29">
        <v>0.8305555555555556</v>
      </c>
      <c r="L15" s="29">
        <v>0.86111111111111116</v>
      </c>
      <c r="M15" s="35">
        <f t="shared" ref="M15:M26" ca="1" si="4">IFERROR(IF(K15="","",IF(L15="",MOD(NOW()-K15,1),IF(L15&gt;=K15,L15-K15,L15+1-K15))),"")</f>
        <v>3.0555555555555558E-2</v>
      </c>
      <c r="N15" s="27"/>
      <c r="O15" s="60"/>
    </row>
    <row r="16" spans="1:15" ht="15" customHeight="1">
      <c r="A16" s="68">
        <v>46204</v>
      </c>
      <c r="B16" s="25">
        <f t="shared" ref="B16:B26" si="5">B15+TIME(0,60,0)</f>
        <v>0.87499999999999967</v>
      </c>
      <c r="C16" s="33" t="s">
        <v>45</v>
      </c>
      <c r="D16" s="62" t="s">
        <v>30</v>
      </c>
      <c r="E16" s="62" t="s">
        <v>261</v>
      </c>
      <c r="F16" s="27">
        <v>0</v>
      </c>
      <c r="G16" s="28">
        <f t="shared" si="3"/>
        <v>0</v>
      </c>
      <c r="H16" s="26" t="s">
        <v>18</v>
      </c>
      <c r="I16" s="26" t="s">
        <v>52</v>
      </c>
      <c r="J16" s="26" t="s">
        <v>42</v>
      </c>
      <c r="K16" s="29">
        <v>0.91666666666666663</v>
      </c>
      <c r="L16" s="29">
        <v>0.95833333333333337</v>
      </c>
      <c r="M16" s="78">
        <f ca="1">IFERROR(IF(K16="","",IF(L16="",MOD(NOW()-K16,1),IF(L16&gt;=K16,L16-K16,L16+1-K16))),"")</f>
        <v>4.1666666666666741E-2</v>
      </c>
      <c r="N16" s="27" t="s">
        <v>385</v>
      </c>
      <c r="O16" s="60"/>
    </row>
    <row r="17" spans="1:15" ht="15" customHeight="1">
      <c r="A17" s="69">
        <v>46204</v>
      </c>
      <c r="B17" s="32">
        <f t="shared" si="5"/>
        <v>0.9166666666666663</v>
      </c>
      <c r="C17" s="33" t="s">
        <v>45</v>
      </c>
      <c r="D17" s="62" t="s">
        <v>30</v>
      </c>
      <c r="E17" s="62" t="s">
        <v>261</v>
      </c>
      <c r="F17" s="27">
        <v>2</v>
      </c>
      <c r="G17" s="34">
        <f t="shared" si="3"/>
        <v>8.4</v>
      </c>
      <c r="H17" s="33"/>
      <c r="I17" s="33"/>
      <c r="J17" s="33"/>
      <c r="K17" s="29"/>
      <c r="L17" s="29"/>
      <c r="M17" s="35" t="str">
        <f t="shared" ca="1" si="4"/>
        <v/>
      </c>
      <c r="N17" s="27"/>
      <c r="O17" s="60"/>
    </row>
    <row r="18" spans="1:15" ht="15" customHeight="1">
      <c r="A18" s="68">
        <v>46204</v>
      </c>
      <c r="B18" s="25">
        <f t="shared" si="5"/>
        <v>0.95833333333333293</v>
      </c>
      <c r="C18" s="33" t="s">
        <v>45</v>
      </c>
      <c r="D18" s="62" t="s">
        <v>30</v>
      </c>
      <c r="E18" s="62" t="s">
        <v>261</v>
      </c>
      <c r="F18" s="27">
        <v>12</v>
      </c>
      <c r="G18" s="28">
        <f t="shared" si="3"/>
        <v>50.400000000000006</v>
      </c>
      <c r="H18" s="26"/>
      <c r="I18" s="26"/>
      <c r="J18" s="26"/>
      <c r="K18" s="29"/>
      <c r="L18" s="29"/>
      <c r="M18" s="30" t="str">
        <f t="shared" ca="1" si="4"/>
        <v/>
      </c>
      <c r="N18" s="27"/>
      <c r="O18" s="60"/>
    </row>
    <row r="19" spans="1:15" ht="15" customHeight="1">
      <c r="A19" s="69">
        <v>46204</v>
      </c>
      <c r="B19" s="32">
        <f t="shared" si="5"/>
        <v>0.99999999999999956</v>
      </c>
      <c r="C19" s="33" t="s">
        <v>45</v>
      </c>
      <c r="D19" s="62" t="s">
        <v>30</v>
      </c>
      <c r="E19" s="62" t="s">
        <v>261</v>
      </c>
      <c r="F19" s="27">
        <v>0</v>
      </c>
      <c r="G19" s="34">
        <f t="shared" si="3"/>
        <v>0</v>
      </c>
      <c r="H19" s="33"/>
      <c r="I19" s="33"/>
      <c r="J19" s="33"/>
      <c r="K19" s="29"/>
      <c r="L19" s="29"/>
      <c r="M19" s="35" t="str">
        <f t="shared" ca="1" si="4"/>
        <v/>
      </c>
      <c r="N19" s="27"/>
      <c r="O19" s="60"/>
    </row>
    <row r="20" spans="1:15" ht="15" customHeight="1">
      <c r="A20" s="68">
        <v>46204</v>
      </c>
      <c r="B20" s="25">
        <f t="shared" si="5"/>
        <v>1.0416666666666663</v>
      </c>
      <c r="C20" s="33" t="s">
        <v>45</v>
      </c>
      <c r="D20" s="62" t="s">
        <v>30</v>
      </c>
      <c r="E20" s="62" t="s">
        <v>261</v>
      </c>
      <c r="F20" s="27">
        <v>1</v>
      </c>
      <c r="G20" s="28">
        <f t="shared" si="3"/>
        <v>4.2</v>
      </c>
      <c r="H20" s="26"/>
      <c r="I20" s="26"/>
      <c r="J20" s="26"/>
      <c r="K20" s="29"/>
      <c r="L20" s="29"/>
      <c r="M20" s="30" t="str">
        <f t="shared" ca="1" si="4"/>
        <v/>
      </c>
      <c r="N20" s="27"/>
      <c r="O20" s="60"/>
    </row>
    <row r="21" spans="1:15" ht="15" customHeight="1">
      <c r="A21" s="69">
        <v>46204</v>
      </c>
      <c r="B21" s="32">
        <f t="shared" si="5"/>
        <v>1.083333333333333</v>
      </c>
      <c r="C21" s="33" t="s">
        <v>45</v>
      </c>
      <c r="D21" s="62" t="s">
        <v>30</v>
      </c>
      <c r="E21" s="62" t="s">
        <v>261</v>
      </c>
      <c r="F21" s="27">
        <v>0</v>
      </c>
      <c r="G21" s="34">
        <f t="shared" si="3"/>
        <v>0</v>
      </c>
      <c r="H21" s="33"/>
      <c r="I21" s="33"/>
      <c r="J21" s="33"/>
      <c r="K21" s="29"/>
      <c r="L21" s="29"/>
      <c r="M21" s="35" t="str">
        <f t="shared" ca="1" si="4"/>
        <v/>
      </c>
      <c r="N21" s="27"/>
      <c r="O21" s="60"/>
    </row>
    <row r="22" spans="1:15" ht="15" customHeight="1">
      <c r="A22" s="68">
        <v>46204</v>
      </c>
      <c r="B22" s="25">
        <f t="shared" si="5"/>
        <v>1.1249999999999998</v>
      </c>
      <c r="C22" s="33" t="s">
        <v>45</v>
      </c>
      <c r="D22" s="62" t="s">
        <v>30</v>
      </c>
      <c r="E22" s="62" t="s">
        <v>261</v>
      </c>
      <c r="F22" s="27">
        <v>6</v>
      </c>
      <c r="G22" s="28">
        <f t="shared" si="3"/>
        <v>25.200000000000003</v>
      </c>
      <c r="H22" s="26"/>
      <c r="I22" s="26"/>
      <c r="J22" s="26"/>
      <c r="K22" s="29"/>
      <c r="L22" s="29"/>
      <c r="M22" s="30" t="str">
        <f t="shared" ca="1" si="4"/>
        <v/>
      </c>
      <c r="N22" s="27"/>
      <c r="O22" s="60"/>
    </row>
    <row r="23" spans="1:15" ht="15" customHeight="1">
      <c r="A23" s="69">
        <v>46204</v>
      </c>
      <c r="B23" s="32">
        <f t="shared" si="5"/>
        <v>1.1666666666666665</v>
      </c>
      <c r="C23" s="33" t="s">
        <v>45</v>
      </c>
      <c r="D23" s="62" t="s">
        <v>30</v>
      </c>
      <c r="E23" s="62" t="s">
        <v>261</v>
      </c>
      <c r="F23" s="27">
        <v>3</v>
      </c>
      <c r="G23" s="34">
        <f t="shared" si="3"/>
        <v>12.600000000000001</v>
      </c>
      <c r="H23" s="33"/>
      <c r="I23" s="33"/>
      <c r="J23" s="33"/>
      <c r="K23" s="29"/>
      <c r="L23" s="29"/>
      <c r="M23" s="35" t="str">
        <f t="shared" ca="1" si="4"/>
        <v/>
      </c>
      <c r="N23" s="27"/>
      <c r="O23" s="60"/>
    </row>
    <row r="24" spans="1:15" ht="15" customHeight="1">
      <c r="A24" s="68">
        <v>46204</v>
      </c>
      <c r="B24" s="25">
        <f t="shared" si="5"/>
        <v>1.2083333333333333</v>
      </c>
      <c r="C24" s="33" t="s">
        <v>45</v>
      </c>
      <c r="D24" s="62" t="s">
        <v>30</v>
      </c>
      <c r="E24" s="62" t="s">
        <v>261</v>
      </c>
      <c r="F24" s="27">
        <v>4</v>
      </c>
      <c r="G24" s="28">
        <f t="shared" si="3"/>
        <v>16.8</v>
      </c>
      <c r="H24" s="26"/>
      <c r="I24" s="26"/>
      <c r="J24" s="26"/>
      <c r="K24" s="29"/>
      <c r="L24" s="29"/>
      <c r="M24" s="30" t="str">
        <f t="shared" ca="1" si="4"/>
        <v/>
      </c>
      <c r="N24" s="27"/>
      <c r="O24" s="60"/>
    </row>
    <row r="25" spans="1:15" ht="15" customHeight="1">
      <c r="A25" s="69">
        <v>46204</v>
      </c>
      <c r="B25" s="32">
        <f t="shared" si="5"/>
        <v>1.25</v>
      </c>
      <c r="C25" s="33" t="s">
        <v>45</v>
      </c>
      <c r="D25" s="62" t="s">
        <v>30</v>
      </c>
      <c r="E25" s="62" t="s">
        <v>261</v>
      </c>
      <c r="F25" s="27">
        <v>10</v>
      </c>
      <c r="G25" s="34">
        <f t="shared" si="3"/>
        <v>42</v>
      </c>
      <c r="H25" s="33"/>
      <c r="I25" s="33"/>
      <c r="J25" s="33"/>
      <c r="K25" s="29"/>
      <c r="L25" s="29"/>
      <c r="M25" s="35" t="str">
        <f t="shared" ca="1" si="4"/>
        <v/>
      </c>
      <c r="N25" s="27"/>
      <c r="O25" s="60"/>
    </row>
    <row r="26" spans="1:15" ht="15" customHeight="1">
      <c r="A26" s="68">
        <v>46204</v>
      </c>
      <c r="B26" s="25">
        <f t="shared" si="5"/>
        <v>1.2916666666666667</v>
      </c>
      <c r="C26" s="33" t="s">
        <v>45</v>
      </c>
      <c r="D26" s="62" t="s">
        <v>30</v>
      </c>
      <c r="E26" s="62" t="s">
        <v>261</v>
      </c>
      <c r="F26" s="27">
        <v>0</v>
      </c>
      <c r="G26" s="28">
        <f t="shared" si="3"/>
        <v>0</v>
      </c>
      <c r="H26" s="26"/>
      <c r="I26" s="26"/>
      <c r="J26" s="26"/>
      <c r="K26" s="29"/>
      <c r="L26" s="29"/>
      <c r="M26" s="30" t="str">
        <f t="shared" ca="1" si="4"/>
        <v/>
      </c>
      <c r="N26" s="27"/>
      <c r="O26" s="60"/>
    </row>
    <row r="27" spans="1:15" ht="15.75" customHeight="1">
      <c r="A27" s="119" t="s">
        <v>238</v>
      </c>
      <c r="B27" s="120"/>
      <c r="C27" s="120"/>
      <c r="D27" s="120"/>
      <c r="E27" s="121"/>
      <c r="F27" s="36">
        <f>SUM(F15:F26)</f>
        <v>43</v>
      </c>
      <c r="G27" s="36">
        <f>SUM(G15:G26)</f>
        <v>180.60000000000002</v>
      </c>
      <c r="H27" s="37"/>
      <c r="I27" s="37"/>
      <c r="J27" s="37"/>
      <c r="K27" s="61"/>
      <c r="L27" s="61"/>
      <c r="M27" s="38">
        <f ca="1">IFERROR(SUM(M15:M26),"")</f>
        <v>7.2222222222222299E-2</v>
      </c>
      <c r="N27" s="36" t="s">
        <v>237</v>
      </c>
      <c r="O27" s="39">
        <v>202230</v>
      </c>
    </row>
    <row r="28" spans="1:15" ht="18" customHeight="1">
      <c r="A28" s="122" t="s">
        <v>239</v>
      </c>
      <c r="B28" s="123"/>
      <c r="C28" s="123"/>
      <c r="D28" s="123"/>
      <c r="E28" s="124"/>
      <c r="F28" s="40">
        <f>F14+F27</f>
        <v>107</v>
      </c>
      <c r="G28" s="40">
        <f>G14+G27</f>
        <v>449.4</v>
      </c>
      <c r="H28" s="41"/>
      <c r="I28" s="41"/>
      <c r="J28" s="41"/>
      <c r="K28" s="63"/>
      <c r="L28" s="63"/>
      <c r="M28" s="42">
        <f ca="1">IFERROR(M14+M27,"")</f>
        <v>0.29305555555555557</v>
      </c>
      <c r="N28" s="40" t="s">
        <v>240</v>
      </c>
      <c r="O28" s="48">
        <f>IFERROR(O14+O27,"")</f>
        <v>529300</v>
      </c>
    </row>
    <row r="29" spans="1:15" ht="15" customHeight="1">
      <c r="A29" s="68">
        <v>46205</v>
      </c>
      <c r="B29" s="25">
        <v>0.33333333333333298</v>
      </c>
      <c r="C29" s="26" t="s">
        <v>21</v>
      </c>
      <c r="D29" s="59" t="s">
        <v>30</v>
      </c>
      <c r="E29" s="59" t="s">
        <v>261</v>
      </c>
      <c r="F29" s="27">
        <v>12</v>
      </c>
      <c r="G29" s="28">
        <f t="shared" ref="G29:G40" si="6">IF(F29="","",IF(E29="PC 17",F29*4.2,IF(E29="PC 19",F29*5,"")))</f>
        <v>50.400000000000006</v>
      </c>
      <c r="H29" s="33" t="s">
        <v>18</v>
      </c>
      <c r="I29" s="33" t="s">
        <v>127</v>
      </c>
      <c r="J29" s="33" t="s">
        <v>195</v>
      </c>
      <c r="K29" s="29">
        <v>0.34027777777777779</v>
      </c>
      <c r="L29" s="29">
        <v>0.40763888888888888</v>
      </c>
      <c r="M29" s="30">
        <f t="shared" ref="M29:M40" ca="1" si="7">IFERROR(IF(K29="","",IF(L29="",MOD(NOW()-K29,1),IF(L29&gt;=K29,L29-K29,L29+1-K29))),"")</f>
        <v>6.7361111111111094E-2</v>
      </c>
      <c r="N29" s="27" t="s">
        <v>386</v>
      </c>
      <c r="O29" s="60"/>
    </row>
    <row r="30" spans="1:15" ht="15" customHeight="1">
      <c r="A30" s="69">
        <v>46205</v>
      </c>
      <c r="B30" s="32">
        <f t="shared" ref="B30:B40" si="8">B29+TIME(0,60,0)</f>
        <v>0.37499999999999967</v>
      </c>
      <c r="C30" s="26" t="s">
        <v>21</v>
      </c>
      <c r="D30" s="59" t="s">
        <v>30</v>
      </c>
      <c r="E30" s="59" t="s">
        <v>261</v>
      </c>
      <c r="F30" s="27">
        <v>0</v>
      </c>
      <c r="G30" s="34">
        <f t="shared" si="6"/>
        <v>0</v>
      </c>
      <c r="H30" s="26" t="s">
        <v>18</v>
      </c>
      <c r="I30" s="26" t="s">
        <v>52</v>
      </c>
      <c r="J30" s="26" t="s">
        <v>34</v>
      </c>
      <c r="K30" s="29">
        <v>0.41875000000000001</v>
      </c>
      <c r="L30" s="29">
        <v>0.45</v>
      </c>
      <c r="M30" s="35">
        <f t="shared" ca="1" si="7"/>
        <v>3.125E-2</v>
      </c>
      <c r="N30" s="27"/>
      <c r="O30" s="60"/>
    </row>
    <row r="31" spans="1:15" ht="15" customHeight="1">
      <c r="A31" s="68">
        <v>46205</v>
      </c>
      <c r="B31" s="25">
        <f t="shared" si="8"/>
        <v>0.41666666666666635</v>
      </c>
      <c r="C31" s="26" t="s">
        <v>21</v>
      </c>
      <c r="D31" s="59" t="s">
        <v>30</v>
      </c>
      <c r="E31" s="59" t="s">
        <v>261</v>
      </c>
      <c r="F31" s="27">
        <v>4</v>
      </c>
      <c r="G31" s="28">
        <f t="shared" si="6"/>
        <v>16.8</v>
      </c>
      <c r="H31" s="33" t="s">
        <v>18</v>
      </c>
      <c r="I31" s="33" t="s">
        <v>52</v>
      </c>
      <c r="J31" s="33" t="s">
        <v>34</v>
      </c>
      <c r="K31" s="29">
        <v>0.46111111111111114</v>
      </c>
      <c r="L31" s="29">
        <v>0.4861111111111111</v>
      </c>
      <c r="M31" s="30">
        <f t="shared" ca="1" si="7"/>
        <v>2.4999999999999967E-2</v>
      </c>
      <c r="N31" s="27"/>
      <c r="O31" s="60"/>
    </row>
    <row r="32" spans="1:15" ht="15" customHeight="1">
      <c r="A32" s="69">
        <v>46205</v>
      </c>
      <c r="B32" s="32">
        <f t="shared" si="8"/>
        <v>0.45833333333333304</v>
      </c>
      <c r="C32" s="26" t="s">
        <v>21</v>
      </c>
      <c r="D32" s="59" t="s">
        <v>30</v>
      </c>
      <c r="E32" s="59" t="s">
        <v>261</v>
      </c>
      <c r="F32" s="27">
        <v>0</v>
      </c>
      <c r="G32" s="34">
        <f t="shared" si="6"/>
        <v>0</v>
      </c>
      <c r="H32" s="26" t="s">
        <v>20</v>
      </c>
      <c r="I32" s="26" t="s">
        <v>52</v>
      </c>
      <c r="J32" s="26" t="s">
        <v>51</v>
      </c>
      <c r="K32" s="29">
        <v>0.48680555555555555</v>
      </c>
      <c r="L32" s="29">
        <v>0.49583333333333335</v>
      </c>
      <c r="M32" s="35">
        <f t="shared" ca="1" si="7"/>
        <v>9.0277777777778012E-3</v>
      </c>
      <c r="N32" s="27"/>
      <c r="O32" s="60"/>
    </row>
    <row r="33" spans="1:15" ht="15" customHeight="1">
      <c r="A33" s="68">
        <v>46205</v>
      </c>
      <c r="B33" s="25">
        <f t="shared" si="8"/>
        <v>0.49999999999999972</v>
      </c>
      <c r="C33" s="26" t="s">
        <v>21</v>
      </c>
      <c r="D33" s="59" t="s">
        <v>30</v>
      </c>
      <c r="E33" s="59" t="s">
        <v>261</v>
      </c>
      <c r="F33" s="27">
        <v>9</v>
      </c>
      <c r="G33" s="28">
        <f t="shared" si="6"/>
        <v>37.800000000000004</v>
      </c>
      <c r="H33" s="33" t="s">
        <v>17</v>
      </c>
      <c r="I33" s="33"/>
      <c r="J33" s="33" t="s">
        <v>25</v>
      </c>
      <c r="K33" s="29">
        <v>0.55138888888888893</v>
      </c>
      <c r="L33" s="29">
        <v>0.55972222222222223</v>
      </c>
      <c r="M33" s="30">
        <f t="shared" ca="1" si="7"/>
        <v>8.3333333333333037E-3</v>
      </c>
      <c r="N33" s="27"/>
      <c r="O33" s="60"/>
    </row>
    <row r="34" spans="1:15" ht="15" customHeight="1">
      <c r="A34" s="69">
        <v>46205</v>
      </c>
      <c r="B34" s="32">
        <f t="shared" si="8"/>
        <v>0.54166666666666641</v>
      </c>
      <c r="C34" s="26" t="s">
        <v>21</v>
      </c>
      <c r="D34" s="59" t="s">
        <v>30</v>
      </c>
      <c r="E34" s="59" t="s">
        <v>261</v>
      </c>
      <c r="F34" s="27">
        <v>15</v>
      </c>
      <c r="G34" s="34">
        <f t="shared" si="6"/>
        <v>63</v>
      </c>
      <c r="H34" s="26" t="s">
        <v>19</v>
      </c>
      <c r="I34" s="26" t="s">
        <v>52</v>
      </c>
      <c r="J34" s="26" t="s">
        <v>27</v>
      </c>
      <c r="K34" s="29">
        <v>0.57708333333333328</v>
      </c>
      <c r="L34" s="29">
        <v>0.59791666666666665</v>
      </c>
      <c r="M34" s="35">
        <f t="shared" ca="1" si="7"/>
        <v>2.083333333333337E-2</v>
      </c>
      <c r="N34" s="27" t="s">
        <v>387</v>
      </c>
      <c r="O34" s="60"/>
    </row>
    <row r="35" spans="1:15" ht="15" customHeight="1">
      <c r="A35" s="68">
        <v>46205</v>
      </c>
      <c r="B35" s="25">
        <f t="shared" si="8"/>
        <v>0.58333333333333304</v>
      </c>
      <c r="C35" s="26" t="s">
        <v>21</v>
      </c>
      <c r="D35" s="59" t="s">
        <v>30</v>
      </c>
      <c r="E35" s="59" t="s">
        <v>261</v>
      </c>
      <c r="F35" s="27">
        <v>0</v>
      </c>
      <c r="G35" s="28">
        <f t="shared" si="6"/>
        <v>0</v>
      </c>
      <c r="H35" s="33" t="s">
        <v>20</v>
      </c>
      <c r="I35" s="33" t="s">
        <v>150</v>
      </c>
      <c r="J35" s="33" t="s">
        <v>180</v>
      </c>
      <c r="K35" s="29">
        <v>0.60763888888888884</v>
      </c>
      <c r="L35" s="29">
        <v>0.64583333333333337</v>
      </c>
      <c r="M35" s="30">
        <f t="shared" ca="1" si="7"/>
        <v>3.8194444444444531E-2</v>
      </c>
      <c r="N35" s="27"/>
      <c r="O35" s="60"/>
    </row>
    <row r="36" spans="1:15" ht="15" customHeight="1">
      <c r="A36" s="69">
        <v>46205</v>
      </c>
      <c r="B36" s="32">
        <f t="shared" si="8"/>
        <v>0.62499999999999967</v>
      </c>
      <c r="C36" s="26" t="s">
        <v>21</v>
      </c>
      <c r="D36" s="59" t="s">
        <v>30</v>
      </c>
      <c r="E36" s="59" t="s">
        <v>261</v>
      </c>
      <c r="F36" s="27">
        <v>0</v>
      </c>
      <c r="G36" s="34">
        <f t="shared" si="6"/>
        <v>0</v>
      </c>
      <c r="H36" s="26" t="s">
        <v>20</v>
      </c>
      <c r="I36" s="26" t="s">
        <v>150</v>
      </c>
      <c r="J36" s="26" t="s">
        <v>74</v>
      </c>
      <c r="K36" s="29">
        <v>0.65625</v>
      </c>
      <c r="L36" s="29">
        <v>0.68055555555555558</v>
      </c>
      <c r="M36" s="35">
        <f t="shared" ca="1" si="7"/>
        <v>2.430555555555558E-2</v>
      </c>
      <c r="N36" s="27"/>
      <c r="O36" s="60"/>
    </row>
    <row r="37" spans="1:15" ht="15" customHeight="1">
      <c r="A37" s="68">
        <v>46205</v>
      </c>
      <c r="B37" s="25">
        <f t="shared" si="8"/>
        <v>0.6666666666666663</v>
      </c>
      <c r="C37" s="26" t="s">
        <v>21</v>
      </c>
      <c r="D37" s="59" t="s">
        <v>30</v>
      </c>
      <c r="E37" s="59" t="s">
        <v>261</v>
      </c>
      <c r="F37" s="27">
        <v>10</v>
      </c>
      <c r="G37" s="28">
        <f t="shared" si="6"/>
        <v>42</v>
      </c>
      <c r="H37" s="33"/>
      <c r="I37" s="33"/>
      <c r="J37" s="33"/>
      <c r="K37" s="29"/>
      <c r="L37" s="29"/>
      <c r="M37" s="30" t="str">
        <f t="shared" ca="1" si="7"/>
        <v/>
      </c>
      <c r="N37" s="27"/>
      <c r="O37" s="60"/>
    </row>
    <row r="38" spans="1:15" ht="15" customHeight="1">
      <c r="A38" s="69">
        <v>46205</v>
      </c>
      <c r="B38" s="32">
        <f t="shared" si="8"/>
        <v>0.70833333333333293</v>
      </c>
      <c r="C38" s="26" t="s">
        <v>21</v>
      </c>
      <c r="D38" s="59" t="s">
        <v>30</v>
      </c>
      <c r="E38" s="59" t="s">
        <v>261</v>
      </c>
      <c r="F38" s="27">
        <v>0</v>
      </c>
      <c r="G38" s="34">
        <f t="shared" si="6"/>
        <v>0</v>
      </c>
      <c r="H38" s="26"/>
      <c r="I38" s="26"/>
      <c r="J38" s="26"/>
      <c r="K38" s="29"/>
      <c r="L38" s="29"/>
      <c r="M38" s="35" t="str">
        <f t="shared" ca="1" si="7"/>
        <v/>
      </c>
      <c r="N38" s="27"/>
      <c r="O38" s="60"/>
    </row>
    <row r="39" spans="1:15" ht="15" customHeight="1">
      <c r="A39" s="68">
        <v>46205</v>
      </c>
      <c r="B39" s="25">
        <f t="shared" si="8"/>
        <v>0.74999999999999956</v>
      </c>
      <c r="C39" s="26" t="s">
        <v>21</v>
      </c>
      <c r="D39" s="59" t="s">
        <v>30</v>
      </c>
      <c r="E39" s="59" t="s">
        <v>261</v>
      </c>
      <c r="F39" s="27">
        <v>30</v>
      </c>
      <c r="G39" s="28">
        <f t="shared" si="6"/>
        <v>126</v>
      </c>
      <c r="H39" s="33"/>
      <c r="I39" s="33"/>
      <c r="J39" s="33"/>
      <c r="K39" s="29"/>
      <c r="L39" s="29"/>
      <c r="M39" s="30" t="str">
        <f t="shared" ca="1" si="7"/>
        <v/>
      </c>
      <c r="N39" s="27"/>
      <c r="O39" s="60"/>
    </row>
    <row r="40" spans="1:15" ht="15" customHeight="1">
      <c r="A40" s="69">
        <v>46205</v>
      </c>
      <c r="B40" s="32">
        <f t="shared" si="8"/>
        <v>0.79166666666666619</v>
      </c>
      <c r="C40" s="26" t="s">
        <v>21</v>
      </c>
      <c r="D40" s="59" t="s">
        <v>30</v>
      </c>
      <c r="E40" s="59" t="s">
        <v>261</v>
      </c>
      <c r="F40" s="27">
        <v>5</v>
      </c>
      <c r="G40" s="34">
        <f t="shared" si="6"/>
        <v>21</v>
      </c>
      <c r="H40" s="26"/>
      <c r="I40" s="26"/>
      <c r="J40" s="26"/>
      <c r="K40" s="29"/>
      <c r="L40" s="29"/>
      <c r="M40" s="35" t="str">
        <f t="shared" ca="1" si="7"/>
        <v/>
      </c>
      <c r="N40" s="27"/>
      <c r="O40" s="60"/>
    </row>
    <row r="41" spans="1:15" ht="15.75" customHeight="1">
      <c r="A41" s="119" t="s">
        <v>236</v>
      </c>
      <c r="B41" s="120"/>
      <c r="C41" s="120"/>
      <c r="D41" s="120"/>
      <c r="E41" s="121">
        <f>SUM(E29:E40)</f>
        <v>0</v>
      </c>
      <c r="F41" s="36">
        <f>SUM(F29:F40)</f>
        <v>85</v>
      </c>
      <c r="G41" s="36">
        <f>SUM(G29:G40)</f>
        <v>357</v>
      </c>
      <c r="H41" s="37"/>
      <c r="I41" s="37"/>
      <c r="J41" s="37"/>
      <c r="K41" s="61"/>
      <c r="L41" s="61"/>
      <c r="M41" s="38">
        <f ca="1">IFERROR(SUM(M29:M40),"")</f>
        <v>0.22430555555555565</v>
      </c>
      <c r="N41" s="36" t="s">
        <v>237</v>
      </c>
      <c r="O41" s="39">
        <v>304990</v>
      </c>
    </row>
    <row r="42" spans="1:15" ht="15" customHeight="1">
      <c r="A42" s="69">
        <v>46205</v>
      </c>
      <c r="B42" s="32">
        <v>0.83333333333333304</v>
      </c>
      <c r="C42" s="33" t="s">
        <v>45</v>
      </c>
      <c r="D42" s="62" t="s">
        <v>30</v>
      </c>
      <c r="E42" s="62" t="s">
        <v>261</v>
      </c>
      <c r="F42" s="27">
        <v>30</v>
      </c>
      <c r="G42" s="34">
        <f t="shared" ref="G42:G53" si="9">IF(F42="","",IF(E42="PC 17",F42*4.2,IF(E42="PC 19",F42*5,"")))</f>
        <v>126</v>
      </c>
      <c r="H42" s="26" t="s">
        <v>20</v>
      </c>
      <c r="I42" s="26" t="s">
        <v>57</v>
      </c>
      <c r="J42" s="26" t="s">
        <v>28</v>
      </c>
      <c r="K42" s="29">
        <v>0.8125</v>
      </c>
      <c r="L42" s="29">
        <v>0.86458333333333337</v>
      </c>
      <c r="M42" s="35">
        <f t="shared" ref="M42:M53" ca="1" si="10">IFERROR(IF(K42="","",IF(L42="",MOD(NOW()-K42,1),IF(L42&gt;=K42,L42-K42,L42+1-K42))),"")</f>
        <v>5.208333333333337E-2</v>
      </c>
      <c r="N42" s="27"/>
      <c r="O42" s="60"/>
    </row>
    <row r="43" spans="1:15" ht="15" customHeight="1">
      <c r="A43" s="68">
        <v>46205</v>
      </c>
      <c r="B43" s="25">
        <f t="shared" ref="B43:B53" si="11">B42+TIME(0,60,0)</f>
        <v>0.87499999999999967</v>
      </c>
      <c r="C43" s="33" t="s">
        <v>45</v>
      </c>
      <c r="D43" s="62" t="s">
        <v>30</v>
      </c>
      <c r="E43" s="62" t="s">
        <v>261</v>
      </c>
      <c r="F43" s="27">
        <v>0</v>
      </c>
      <c r="G43" s="28">
        <f t="shared" si="9"/>
        <v>0</v>
      </c>
      <c r="H43" s="33" t="s">
        <v>19</v>
      </c>
      <c r="I43" s="33" t="s">
        <v>57</v>
      </c>
      <c r="J43" s="33" t="s">
        <v>35</v>
      </c>
      <c r="K43" s="29">
        <v>0.18402777777777779</v>
      </c>
      <c r="L43" s="29">
        <v>0.20833333333333334</v>
      </c>
      <c r="M43" s="35">
        <f t="shared" ca="1" si="10"/>
        <v>2.4305555555555552E-2</v>
      </c>
      <c r="N43" s="27"/>
      <c r="O43" s="60"/>
    </row>
    <row r="44" spans="1:15" ht="15" customHeight="1">
      <c r="A44" s="69">
        <v>46205</v>
      </c>
      <c r="B44" s="32">
        <f t="shared" si="11"/>
        <v>0.9166666666666663</v>
      </c>
      <c r="C44" s="33" t="s">
        <v>45</v>
      </c>
      <c r="D44" s="62" t="s">
        <v>30</v>
      </c>
      <c r="E44" s="62" t="s">
        <v>261</v>
      </c>
      <c r="F44" s="27">
        <v>11</v>
      </c>
      <c r="G44" s="34">
        <f t="shared" si="9"/>
        <v>46.2</v>
      </c>
      <c r="H44" s="26"/>
      <c r="I44" s="26"/>
      <c r="J44" s="26"/>
      <c r="K44" s="29"/>
      <c r="L44" s="29"/>
      <c r="M44" s="35" t="str">
        <f t="shared" ca="1" si="10"/>
        <v/>
      </c>
      <c r="N44" s="27"/>
      <c r="O44" s="60"/>
    </row>
    <row r="45" spans="1:15" ht="15" customHeight="1">
      <c r="A45" s="68">
        <v>46205</v>
      </c>
      <c r="B45" s="25">
        <f t="shared" si="11"/>
        <v>0.95833333333333293</v>
      </c>
      <c r="C45" s="33" t="s">
        <v>45</v>
      </c>
      <c r="D45" s="62" t="s">
        <v>30</v>
      </c>
      <c r="E45" s="62" t="s">
        <v>261</v>
      </c>
      <c r="F45" s="27">
        <v>14</v>
      </c>
      <c r="G45" s="28">
        <f t="shared" si="9"/>
        <v>58.800000000000004</v>
      </c>
      <c r="H45" s="33"/>
      <c r="I45" s="33"/>
      <c r="J45" s="33"/>
      <c r="K45" s="29"/>
      <c r="L45" s="29"/>
      <c r="M45" s="35" t="str">
        <f t="shared" ca="1" si="10"/>
        <v/>
      </c>
      <c r="N45" s="27"/>
      <c r="O45" s="60"/>
    </row>
    <row r="46" spans="1:15" ht="15" customHeight="1">
      <c r="A46" s="69">
        <v>46205</v>
      </c>
      <c r="B46" s="32">
        <f t="shared" si="11"/>
        <v>0.99999999999999956</v>
      </c>
      <c r="C46" s="33" t="s">
        <v>45</v>
      </c>
      <c r="D46" s="62" t="s">
        <v>30</v>
      </c>
      <c r="E46" s="62" t="s">
        <v>261</v>
      </c>
      <c r="F46" s="27">
        <v>13</v>
      </c>
      <c r="G46" s="34">
        <f t="shared" si="9"/>
        <v>54.6</v>
      </c>
      <c r="H46" s="26"/>
      <c r="I46" s="26"/>
      <c r="J46" s="26"/>
      <c r="K46" s="29"/>
      <c r="L46" s="29"/>
      <c r="M46" s="35" t="str">
        <f t="shared" ca="1" si="10"/>
        <v/>
      </c>
      <c r="N46" s="27"/>
      <c r="O46" s="60"/>
    </row>
    <row r="47" spans="1:15" ht="15" customHeight="1">
      <c r="A47" s="68">
        <v>46205</v>
      </c>
      <c r="B47" s="25">
        <f t="shared" si="11"/>
        <v>1.0416666666666663</v>
      </c>
      <c r="C47" s="33" t="s">
        <v>45</v>
      </c>
      <c r="D47" s="62" t="s">
        <v>30</v>
      </c>
      <c r="E47" s="62" t="s">
        <v>261</v>
      </c>
      <c r="F47" s="27">
        <v>18</v>
      </c>
      <c r="G47" s="28">
        <f t="shared" si="9"/>
        <v>75.600000000000009</v>
      </c>
      <c r="H47" s="33"/>
      <c r="I47" s="33"/>
      <c r="J47" s="33"/>
      <c r="K47" s="29"/>
      <c r="L47" s="29"/>
      <c r="M47" s="35" t="str">
        <f t="shared" ca="1" si="10"/>
        <v/>
      </c>
      <c r="N47" s="27"/>
      <c r="O47" s="60"/>
    </row>
    <row r="48" spans="1:15" ht="15" customHeight="1">
      <c r="A48" s="69">
        <v>46205</v>
      </c>
      <c r="B48" s="32">
        <f t="shared" si="11"/>
        <v>1.083333333333333</v>
      </c>
      <c r="C48" s="33" t="s">
        <v>45</v>
      </c>
      <c r="D48" s="62" t="s">
        <v>30</v>
      </c>
      <c r="E48" s="62" t="s">
        <v>261</v>
      </c>
      <c r="F48" s="27">
        <v>4</v>
      </c>
      <c r="G48" s="34">
        <f t="shared" si="9"/>
        <v>16.8</v>
      </c>
      <c r="H48" s="26"/>
      <c r="I48" s="26"/>
      <c r="J48" s="26"/>
      <c r="K48" s="29"/>
      <c r="L48" s="29"/>
      <c r="M48" s="35" t="str">
        <f t="shared" ca="1" si="10"/>
        <v/>
      </c>
      <c r="N48" s="27"/>
      <c r="O48" s="60"/>
    </row>
    <row r="49" spans="1:15" ht="15" customHeight="1">
      <c r="A49" s="68">
        <v>46205</v>
      </c>
      <c r="B49" s="25">
        <f t="shared" si="11"/>
        <v>1.1249999999999998</v>
      </c>
      <c r="C49" s="33" t="s">
        <v>45</v>
      </c>
      <c r="D49" s="62" t="s">
        <v>30</v>
      </c>
      <c r="E49" s="62" t="s">
        <v>261</v>
      </c>
      <c r="F49" s="27">
        <v>17</v>
      </c>
      <c r="G49" s="28">
        <f t="shared" si="9"/>
        <v>71.400000000000006</v>
      </c>
      <c r="H49" s="33"/>
      <c r="I49" s="33"/>
      <c r="J49" s="33"/>
      <c r="K49" s="29"/>
      <c r="L49" s="29"/>
      <c r="M49" s="35" t="str">
        <f t="shared" ca="1" si="10"/>
        <v/>
      </c>
      <c r="N49" s="27"/>
      <c r="O49" s="60"/>
    </row>
    <row r="50" spans="1:15" ht="15" customHeight="1">
      <c r="A50" s="69">
        <v>46205</v>
      </c>
      <c r="B50" s="32">
        <f t="shared" si="11"/>
        <v>1.1666666666666665</v>
      </c>
      <c r="C50" s="33" t="s">
        <v>45</v>
      </c>
      <c r="D50" s="62" t="s">
        <v>30</v>
      </c>
      <c r="E50" s="62" t="s">
        <v>261</v>
      </c>
      <c r="F50" s="27">
        <v>13</v>
      </c>
      <c r="G50" s="34">
        <f t="shared" si="9"/>
        <v>54.6</v>
      </c>
      <c r="H50" s="26"/>
      <c r="I50" s="26"/>
      <c r="J50" s="26"/>
      <c r="K50" s="29"/>
      <c r="L50" s="29"/>
      <c r="M50" s="35" t="str">
        <f t="shared" ca="1" si="10"/>
        <v/>
      </c>
      <c r="N50" s="27"/>
      <c r="O50" s="60"/>
    </row>
    <row r="51" spans="1:15" ht="15" customHeight="1">
      <c r="A51" s="68">
        <v>46205</v>
      </c>
      <c r="B51" s="25">
        <f t="shared" si="11"/>
        <v>1.2083333333333333</v>
      </c>
      <c r="C51" s="33" t="s">
        <v>45</v>
      </c>
      <c r="D51" s="62" t="s">
        <v>30</v>
      </c>
      <c r="E51" s="62" t="s">
        <v>261</v>
      </c>
      <c r="F51" s="27">
        <v>0</v>
      </c>
      <c r="G51" s="28">
        <f t="shared" si="9"/>
        <v>0</v>
      </c>
      <c r="H51" s="33"/>
      <c r="I51" s="33"/>
      <c r="J51" s="33"/>
      <c r="K51" s="29"/>
      <c r="L51" s="29"/>
      <c r="M51" s="35" t="str">
        <f t="shared" ca="1" si="10"/>
        <v/>
      </c>
      <c r="N51" s="27"/>
      <c r="O51" s="60"/>
    </row>
    <row r="52" spans="1:15" ht="15" customHeight="1">
      <c r="A52" s="69">
        <v>46205</v>
      </c>
      <c r="B52" s="32">
        <f t="shared" si="11"/>
        <v>1.25</v>
      </c>
      <c r="C52" s="33" t="s">
        <v>45</v>
      </c>
      <c r="D52" s="62" t="s">
        <v>30</v>
      </c>
      <c r="E52" s="62" t="s">
        <v>261</v>
      </c>
      <c r="F52" s="27">
        <v>4</v>
      </c>
      <c r="G52" s="34">
        <f t="shared" si="9"/>
        <v>16.8</v>
      </c>
      <c r="H52" s="26"/>
      <c r="I52" s="26"/>
      <c r="J52" s="26"/>
      <c r="K52" s="29"/>
      <c r="L52" s="29"/>
      <c r="M52" s="35" t="str">
        <f t="shared" ca="1" si="10"/>
        <v/>
      </c>
      <c r="N52" s="27"/>
      <c r="O52" s="60"/>
    </row>
    <row r="53" spans="1:15" ht="15" customHeight="1">
      <c r="A53" s="68">
        <v>46205</v>
      </c>
      <c r="B53" s="25">
        <f t="shared" si="11"/>
        <v>1.2916666666666667</v>
      </c>
      <c r="C53" s="33" t="s">
        <v>45</v>
      </c>
      <c r="D53" s="62" t="s">
        <v>30</v>
      </c>
      <c r="E53" s="62" t="s">
        <v>261</v>
      </c>
      <c r="F53" s="27">
        <v>4</v>
      </c>
      <c r="G53" s="28">
        <f t="shared" si="9"/>
        <v>16.8</v>
      </c>
      <c r="H53" s="33"/>
      <c r="I53" s="33"/>
      <c r="J53" s="33"/>
      <c r="K53" s="29"/>
      <c r="L53" s="29"/>
      <c r="M53" s="35" t="str">
        <f t="shared" ca="1" si="10"/>
        <v/>
      </c>
      <c r="N53" s="27"/>
      <c r="O53" s="60"/>
    </row>
    <row r="54" spans="1:15" ht="15.75" customHeight="1">
      <c r="A54" s="119" t="s">
        <v>238</v>
      </c>
      <c r="B54" s="120"/>
      <c r="C54" s="120"/>
      <c r="D54" s="120"/>
      <c r="E54" s="121">
        <f>SUM(E42:E53)</f>
        <v>0</v>
      </c>
      <c r="F54" s="36">
        <f>SUM(F42:F53)</f>
        <v>128</v>
      </c>
      <c r="G54" s="36">
        <f>SUM(G42:G53)</f>
        <v>537.6</v>
      </c>
      <c r="H54" s="37"/>
      <c r="I54" s="37"/>
      <c r="J54" s="37"/>
      <c r="K54" s="61"/>
      <c r="L54" s="61"/>
      <c r="M54" s="38">
        <f ca="1">IFERROR(SUM(M42:M53),"")</f>
        <v>7.6388888888888923E-2</v>
      </c>
      <c r="N54" s="36" t="s">
        <v>237</v>
      </c>
      <c r="O54" s="39">
        <v>473910</v>
      </c>
    </row>
    <row r="55" spans="1:15" ht="18" customHeight="1">
      <c r="A55" s="122" t="s">
        <v>239</v>
      </c>
      <c r="B55" s="123"/>
      <c r="C55" s="123"/>
      <c r="D55" s="123"/>
      <c r="E55" s="124">
        <f>E41+E54</f>
        <v>0</v>
      </c>
      <c r="F55" s="40">
        <f>F41+F54</f>
        <v>213</v>
      </c>
      <c r="G55" s="40">
        <f>G41+G54</f>
        <v>894.6</v>
      </c>
      <c r="H55" s="41"/>
      <c r="I55" s="41"/>
      <c r="J55" s="41"/>
      <c r="K55" s="63"/>
      <c r="L55" s="63"/>
      <c r="M55" s="42">
        <f ca="1">IFERROR(M41+M54,"")</f>
        <v>0.3006944444444446</v>
      </c>
      <c r="N55" s="40" t="s">
        <v>240</v>
      </c>
      <c r="O55" s="48">
        <f>IFERROR(O41+O54,"")</f>
        <v>778900</v>
      </c>
    </row>
    <row r="56" spans="1:15" ht="15" customHeight="1">
      <c r="A56" s="68">
        <v>46206</v>
      </c>
      <c r="B56" s="25">
        <v>0.33333333333333298</v>
      </c>
      <c r="C56" s="26" t="s">
        <v>29</v>
      </c>
      <c r="D56" s="59" t="s">
        <v>30</v>
      </c>
      <c r="E56" s="59" t="s">
        <v>261</v>
      </c>
      <c r="F56" s="27">
        <v>20</v>
      </c>
      <c r="G56" s="28">
        <f t="shared" ref="G56:G67" si="12">IF(F56="","",IF(E56="PC 17",F56*4.2,IF(E56="PC 19",F56*5,"")))</f>
        <v>84</v>
      </c>
      <c r="H56" s="26" t="s">
        <v>20</v>
      </c>
      <c r="I56" s="26" t="s">
        <v>52</v>
      </c>
      <c r="J56" s="26" t="s">
        <v>51</v>
      </c>
      <c r="K56" s="29">
        <v>0.30208333333333331</v>
      </c>
      <c r="L56" s="29">
        <v>0.3125</v>
      </c>
      <c r="M56" s="30">
        <f t="shared" ref="M56:M67" ca="1" si="13">IFERROR(IF(K56="","",IF(L56="",MOD(NOW()-K56,1),IF(L56&gt;=K56,L56-K56,L56+1-K56))),"")</f>
        <v>1.0416666666666685E-2</v>
      </c>
      <c r="N56" s="27"/>
      <c r="O56" s="60"/>
    </row>
    <row r="57" spans="1:15" ht="15" customHeight="1">
      <c r="A57" s="69">
        <v>46206</v>
      </c>
      <c r="B57" s="32">
        <f t="shared" ref="B57:B67" si="14">B56+TIME(0,60,0)</f>
        <v>0.37499999999999967</v>
      </c>
      <c r="C57" s="26" t="s">
        <v>29</v>
      </c>
      <c r="D57" s="59" t="s">
        <v>30</v>
      </c>
      <c r="E57" s="59" t="s">
        <v>261</v>
      </c>
      <c r="F57" s="27">
        <v>15</v>
      </c>
      <c r="G57" s="34">
        <f t="shared" si="12"/>
        <v>63</v>
      </c>
      <c r="H57" s="33" t="s">
        <v>19</v>
      </c>
      <c r="I57" s="33" t="s">
        <v>57</v>
      </c>
      <c r="J57" s="33" t="s">
        <v>27</v>
      </c>
      <c r="K57" s="29">
        <v>0.35416666666666669</v>
      </c>
      <c r="L57" s="29">
        <v>0.37361111111111112</v>
      </c>
      <c r="M57" s="35">
        <f t="shared" ca="1" si="13"/>
        <v>1.9444444444444431E-2</v>
      </c>
      <c r="N57" s="27"/>
      <c r="O57" s="60"/>
    </row>
    <row r="58" spans="1:15" ht="15" customHeight="1">
      <c r="A58" s="68">
        <v>46206</v>
      </c>
      <c r="B58" s="25">
        <f t="shared" si="14"/>
        <v>0.41666666666666635</v>
      </c>
      <c r="C58" s="26" t="s">
        <v>29</v>
      </c>
      <c r="D58" s="59" t="s">
        <v>30</v>
      </c>
      <c r="E58" s="59" t="s">
        <v>261</v>
      </c>
      <c r="F58" s="27">
        <v>15</v>
      </c>
      <c r="G58" s="28">
        <f t="shared" si="12"/>
        <v>63</v>
      </c>
      <c r="H58" s="26" t="s">
        <v>19</v>
      </c>
      <c r="I58" s="26" t="s">
        <v>57</v>
      </c>
      <c r="J58" s="26" t="s">
        <v>27</v>
      </c>
      <c r="K58" s="29" t="s">
        <v>388</v>
      </c>
      <c r="L58" s="29">
        <v>0.54097222222222219</v>
      </c>
      <c r="M58" s="30" t="str">
        <f t="shared" ca="1" si="13"/>
        <v/>
      </c>
      <c r="N58" s="27" t="s">
        <v>389</v>
      </c>
      <c r="O58" s="60"/>
    </row>
    <row r="59" spans="1:15" ht="15" customHeight="1">
      <c r="A59" s="69">
        <v>46206</v>
      </c>
      <c r="B59" s="32">
        <f t="shared" si="14"/>
        <v>0.45833333333333304</v>
      </c>
      <c r="C59" s="26" t="s">
        <v>29</v>
      </c>
      <c r="D59" s="59" t="s">
        <v>30</v>
      </c>
      <c r="E59" s="59" t="s">
        <v>261</v>
      </c>
      <c r="F59" s="27">
        <v>31</v>
      </c>
      <c r="G59" s="34">
        <f t="shared" si="12"/>
        <v>130.20000000000002</v>
      </c>
      <c r="H59" s="33" t="s">
        <v>19</v>
      </c>
      <c r="I59" s="33" t="s">
        <v>52</v>
      </c>
      <c r="J59" s="33" t="s">
        <v>27</v>
      </c>
      <c r="K59" s="29">
        <v>0.72013888888888888</v>
      </c>
      <c r="L59" s="29">
        <v>0.75</v>
      </c>
      <c r="M59" s="35">
        <f t="shared" ca="1" si="13"/>
        <v>2.9861111111111116E-2</v>
      </c>
      <c r="N59" s="27"/>
      <c r="O59" s="60"/>
    </row>
    <row r="60" spans="1:15" ht="15" customHeight="1">
      <c r="A60" s="68">
        <v>46206</v>
      </c>
      <c r="B60" s="25">
        <f t="shared" si="14"/>
        <v>0.49999999999999972</v>
      </c>
      <c r="C60" s="26" t="s">
        <v>29</v>
      </c>
      <c r="D60" s="59" t="s">
        <v>30</v>
      </c>
      <c r="E60" s="59" t="s">
        <v>261</v>
      </c>
      <c r="F60" s="27">
        <v>14</v>
      </c>
      <c r="G60" s="28">
        <f t="shared" si="12"/>
        <v>58.800000000000004</v>
      </c>
      <c r="H60" s="26"/>
      <c r="I60" s="26"/>
      <c r="J60" s="26"/>
      <c r="K60" s="29"/>
      <c r="L60" s="29"/>
      <c r="M60" s="30" t="str">
        <f t="shared" ca="1" si="13"/>
        <v/>
      </c>
      <c r="N60" s="27"/>
      <c r="O60" s="60"/>
    </row>
    <row r="61" spans="1:15" ht="15" customHeight="1">
      <c r="A61" s="69">
        <v>46206</v>
      </c>
      <c r="B61" s="32">
        <f t="shared" si="14"/>
        <v>0.54166666666666641</v>
      </c>
      <c r="C61" s="26" t="s">
        <v>29</v>
      </c>
      <c r="D61" s="59" t="s">
        <v>30</v>
      </c>
      <c r="E61" s="59" t="s">
        <v>261</v>
      </c>
      <c r="F61" s="27">
        <v>17</v>
      </c>
      <c r="G61" s="34">
        <f t="shared" si="12"/>
        <v>71.400000000000006</v>
      </c>
      <c r="H61" s="33"/>
      <c r="I61" s="33"/>
      <c r="J61" s="33"/>
      <c r="K61" s="29"/>
      <c r="L61" s="29"/>
      <c r="M61" s="35" t="str">
        <f t="shared" ca="1" si="13"/>
        <v/>
      </c>
      <c r="N61" s="27"/>
      <c r="O61" s="60"/>
    </row>
    <row r="62" spans="1:15" ht="15" customHeight="1">
      <c r="A62" s="68">
        <v>46206</v>
      </c>
      <c r="B62" s="25">
        <f t="shared" si="14"/>
        <v>0.58333333333333304</v>
      </c>
      <c r="C62" s="26" t="s">
        <v>29</v>
      </c>
      <c r="D62" s="59" t="s">
        <v>30</v>
      </c>
      <c r="E62" s="59" t="s">
        <v>261</v>
      </c>
      <c r="F62" s="27">
        <v>9</v>
      </c>
      <c r="G62" s="28">
        <f t="shared" si="12"/>
        <v>37.800000000000004</v>
      </c>
      <c r="H62" s="26"/>
      <c r="I62" s="26"/>
      <c r="J62" s="26"/>
      <c r="K62" s="29"/>
      <c r="L62" s="29"/>
      <c r="M62" s="30" t="str">
        <f t="shared" ca="1" si="13"/>
        <v/>
      </c>
      <c r="N62" s="27"/>
      <c r="O62" s="60"/>
    </row>
    <row r="63" spans="1:15" ht="15" customHeight="1">
      <c r="A63" s="69">
        <v>46206</v>
      </c>
      <c r="B63" s="32">
        <f t="shared" si="14"/>
        <v>0.62499999999999967</v>
      </c>
      <c r="C63" s="26" t="s">
        <v>29</v>
      </c>
      <c r="D63" s="59" t="s">
        <v>30</v>
      </c>
      <c r="E63" s="59" t="s">
        <v>261</v>
      </c>
      <c r="F63" s="27">
        <v>13</v>
      </c>
      <c r="G63" s="34">
        <f t="shared" si="12"/>
        <v>54.6</v>
      </c>
      <c r="H63" s="33"/>
      <c r="I63" s="33"/>
      <c r="J63" s="33"/>
      <c r="K63" s="29"/>
      <c r="L63" s="29"/>
      <c r="M63" s="35" t="str">
        <f t="shared" ca="1" si="13"/>
        <v/>
      </c>
      <c r="N63" s="27"/>
      <c r="O63" s="60"/>
    </row>
    <row r="64" spans="1:15" ht="15" customHeight="1">
      <c r="A64" s="68">
        <v>46206</v>
      </c>
      <c r="B64" s="25">
        <f t="shared" si="14"/>
        <v>0.6666666666666663</v>
      </c>
      <c r="C64" s="26" t="s">
        <v>29</v>
      </c>
      <c r="D64" s="59" t="s">
        <v>30</v>
      </c>
      <c r="E64" s="59" t="s">
        <v>261</v>
      </c>
      <c r="F64" s="27">
        <v>24</v>
      </c>
      <c r="G64" s="28">
        <f t="shared" si="12"/>
        <v>100.80000000000001</v>
      </c>
      <c r="H64" s="26"/>
      <c r="I64" s="26"/>
      <c r="J64" s="26"/>
      <c r="K64" s="29"/>
      <c r="L64" s="29"/>
      <c r="M64" s="30" t="str">
        <f t="shared" ca="1" si="13"/>
        <v/>
      </c>
      <c r="N64" s="27"/>
      <c r="O64" s="60"/>
    </row>
    <row r="65" spans="1:15" ht="15" customHeight="1">
      <c r="A65" s="69">
        <v>46206</v>
      </c>
      <c r="B65" s="32">
        <f t="shared" si="14"/>
        <v>0.70833333333333293</v>
      </c>
      <c r="C65" s="26" t="s">
        <v>29</v>
      </c>
      <c r="D65" s="59" t="s">
        <v>30</v>
      </c>
      <c r="E65" s="59" t="s">
        <v>261</v>
      </c>
      <c r="F65" s="27">
        <v>30</v>
      </c>
      <c r="G65" s="34">
        <f t="shared" si="12"/>
        <v>126</v>
      </c>
      <c r="H65" s="33"/>
      <c r="I65" s="33"/>
      <c r="J65" s="33"/>
      <c r="K65" s="29"/>
      <c r="L65" s="29"/>
      <c r="M65" s="35" t="str">
        <f t="shared" ca="1" si="13"/>
        <v/>
      </c>
      <c r="N65" s="27"/>
      <c r="O65" s="60"/>
    </row>
    <row r="66" spans="1:15" ht="15" customHeight="1">
      <c r="A66" s="68">
        <v>46206</v>
      </c>
      <c r="B66" s="25">
        <f t="shared" si="14"/>
        <v>0.74999999999999956</v>
      </c>
      <c r="C66" s="26" t="s">
        <v>29</v>
      </c>
      <c r="D66" s="59" t="s">
        <v>30</v>
      </c>
      <c r="E66" s="59" t="s">
        <v>261</v>
      </c>
      <c r="F66" s="27">
        <v>0</v>
      </c>
      <c r="G66" s="28">
        <f t="shared" si="12"/>
        <v>0</v>
      </c>
      <c r="H66" s="26"/>
      <c r="I66" s="26"/>
      <c r="J66" s="26"/>
      <c r="K66" s="29"/>
      <c r="L66" s="29"/>
      <c r="M66" s="30" t="str">
        <f t="shared" ca="1" si="13"/>
        <v/>
      </c>
      <c r="N66" s="27"/>
      <c r="O66" s="60"/>
    </row>
    <row r="67" spans="1:15" ht="15" customHeight="1">
      <c r="A67" s="69">
        <v>46206</v>
      </c>
      <c r="B67" s="32">
        <f t="shared" si="14"/>
        <v>0.79166666666666619</v>
      </c>
      <c r="C67" s="26" t="s">
        <v>29</v>
      </c>
      <c r="D67" s="59" t="s">
        <v>30</v>
      </c>
      <c r="E67" s="59" t="s">
        <v>261</v>
      </c>
      <c r="F67" s="27">
        <v>7</v>
      </c>
      <c r="G67" s="34">
        <f t="shared" si="12"/>
        <v>29.400000000000002</v>
      </c>
      <c r="H67" s="33"/>
      <c r="I67" s="33"/>
      <c r="J67" s="33"/>
      <c r="K67" s="29"/>
      <c r="L67" s="29"/>
      <c r="M67" s="35" t="str">
        <f t="shared" ca="1" si="13"/>
        <v/>
      </c>
      <c r="N67" s="27"/>
      <c r="O67" s="60"/>
    </row>
    <row r="68" spans="1:15" ht="15.75" customHeight="1">
      <c r="A68" s="119" t="s">
        <v>236</v>
      </c>
      <c r="B68" s="120"/>
      <c r="C68" s="120"/>
      <c r="D68" s="120"/>
      <c r="E68" s="121">
        <f>SUM(E56:E67)</f>
        <v>0</v>
      </c>
      <c r="F68" s="36">
        <f>SUM(F56:F67)</f>
        <v>195</v>
      </c>
      <c r="G68" s="36">
        <f>SUM(G56:G67)</f>
        <v>819.00000000000011</v>
      </c>
      <c r="H68" s="37"/>
      <c r="I68" s="37"/>
      <c r="J68" s="37"/>
      <c r="K68" s="61"/>
      <c r="L68" s="61"/>
      <c r="M68" s="38">
        <f ca="1">IFERROR(SUM(M56:M67),"")</f>
        <v>5.9722222222222232E-2</v>
      </c>
      <c r="N68" s="36" t="s">
        <v>237</v>
      </c>
      <c r="O68" s="39">
        <v>763370</v>
      </c>
    </row>
    <row r="69" spans="1:15" ht="15" customHeight="1">
      <c r="A69" s="69">
        <v>46206</v>
      </c>
      <c r="B69" s="32">
        <v>0.83333333333333304</v>
      </c>
      <c r="C69" s="33" t="s">
        <v>21</v>
      </c>
      <c r="D69" s="62" t="s">
        <v>30</v>
      </c>
      <c r="E69" s="62" t="s">
        <v>261</v>
      </c>
      <c r="F69" s="27">
        <v>27</v>
      </c>
      <c r="G69" s="34">
        <f t="shared" ref="G69:G80" si="15">IF(F69="","",IF(E69="PC 17",F69*4.2,IF(E69="PC 19",F69*5,"")))</f>
        <v>113.4</v>
      </c>
      <c r="H69" s="33" t="s">
        <v>20</v>
      </c>
      <c r="I69" s="33" t="s">
        <v>52</v>
      </c>
      <c r="J69" s="33" t="s">
        <v>51</v>
      </c>
      <c r="K69" s="29">
        <v>0.83819444444444446</v>
      </c>
      <c r="L69" s="29">
        <v>0.84097222222222223</v>
      </c>
      <c r="M69" s="35">
        <f t="shared" ref="M69:M80" ca="1" si="16">IFERROR(IF(K69="","",IF(L69="",MOD(NOW()-K69,1),IF(L69&gt;=K69,L69-K69,L69+1-K69))),"")</f>
        <v>2.7777777777777679E-3</v>
      </c>
      <c r="N69" s="27"/>
      <c r="O69" s="60"/>
    </row>
    <row r="70" spans="1:15" ht="15" customHeight="1">
      <c r="A70" s="68">
        <v>46206</v>
      </c>
      <c r="B70" s="25">
        <f t="shared" ref="B70:B80" si="17">B69+TIME(0,60,0)</f>
        <v>0.87499999999999967</v>
      </c>
      <c r="C70" s="33" t="s">
        <v>21</v>
      </c>
      <c r="D70" s="62" t="s">
        <v>30</v>
      </c>
      <c r="E70" s="62" t="s">
        <v>261</v>
      </c>
      <c r="F70" s="27">
        <v>19</v>
      </c>
      <c r="G70" s="28">
        <f t="shared" si="15"/>
        <v>79.8</v>
      </c>
      <c r="H70" s="26" t="s">
        <v>20</v>
      </c>
      <c r="I70" s="26" t="s">
        <v>52</v>
      </c>
      <c r="J70" s="26" t="s">
        <v>51</v>
      </c>
      <c r="K70" s="29">
        <v>0.86805555555555558</v>
      </c>
      <c r="L70" s="29">
        <v>0.88958333333333328</v>
      </c>
      <c r="M70" s="30">
        <f t="shared" ca="1" si="16"/>
        <v>2.1527777777777701E-2</v>
      </c>
      <c r="N70" s="27" t="s">
        <v>329</v>
      </c>
      <c r="O70" s="60"/>
    </row>
    <row r="71" spans="1:15" ht="15" customHeight="1">
      <c r="A71" s="69">
        <v>46206</v>
      </c>
      <c r="B71" s="32">
        <f t="shared" si="17"/>
        <v>0.9166666666666663</v>
      </c>
      <c r="C71" s="33" t="s">
        <v>21</v>
      </c>
      <c r="D71" s="62" t="s">
        <v>30</v>
      </c>
      <c r="E71" s="62" t="s">
        <v>261</v>
      </c>
      <c r="F71" s="27">
        <v>12</v>
      </c>
      <c r="G71" s="34">
        <f t="shared" si="15"/>
        <v>50.400000000000006</v>
      </c>
      <c r="H71" s="33" t="s">
        <v>18</v>
      </c>
      <c r="I71" s="33" t="s">
        <v>127</v>
      </c>
      <c r="J71" s="33" t="s">
        <v>197</v>
      </c>
      <c r="K71" s="29">
        <v>0.89236111111111116</v>
      </c>
      <c r="L71" s="29">
        <v>0.90625</v>
      </c>
      <c r="M71" s="35">
        <f t="shared" ca="1" si="16"/>
        <v>1.388888888888884E-2</v>
      </c>
      <c r="N71" s="27"/>
      <c r="O71" s="60"/>
    </row>
    <row r="72" spans="1:15" ht="15" customHeight="1">
      <c r="A72" s="68">
        <v>46206</v>
      </c>
      <c r="B72" s="25">
        <f t="shared" si="17"/>
        <v>0.95833333333333293</v>
      </c>
      <c r="C72" s="33" t="s">
        <v>21</v>
      </c>
      <c r="D72" s="62" t="s">
        <v>30</v>
      </c>
      <c r="E72" s="62" t="s">
        <v>261</v>
      </c>
      <c r="F72" s="27">
        <v>9</v>
      </c>
      <c r="G72" s="28">
        <f t="shared" si="15"/>
        <v>37.800000000000004</v>
      </c>
      <c r="H72" s="26" t="s">
        <v>20</v>
      </c>
      <c r="I72" s="26" t="s">
        <v>52</v>
      </c>
      <c r="J72" s="26" t="s">
        <v>165</v>
      </c>
      <c r="K72" s="29">
        <v>0.90972222222222221</v>
      </c>
      <c r="L72" s="29">
        <v>0.94097222222222221</v>
      </c>
      <c r="M72" s="30">
        <f t="shared" ca="1" si="16"/>
        <v>3.125E-2</v>
      </c>
      <c r="N72" s="27" t="s">
        <v>390</v>
      </c>
      <c r="O72" s="60"/>
    </row>
    <row r="73" spans="1:15" ht="15" customHeight="1">
      <c r="A73" s="69">
        <v>46206</v>
      </c>
      <c r="B73" s="32">
        <f t="shared" si="17"/>
        <v>0.99999999999999956</v>
      </c>
      <c r="C73" s="33" t="s">
        <v>21</v>
      </c>
      <c r="D73" s="62" t="s">
        <v>30</v>
      </c>
      <c r="E73" s="62" t="s">
        <v>261</v>
      </c>
      <c r="F73" s="27">
        <v>9</v>
      </c>
      <c r="G73" s="34">
        <f t="shared" si="15"/>
        <v>37.800000000000004</v>
      </c>
      <c r="H73" s="33" t="s">
        <v>20</v>
      </c>
      <c r="I73" s="33" t="s">
        <v>52</v>
      </c>
      <c r="J73" s="33" t="s">
        <v>165</v>
      </c>
      <c r="K73" s="29">
        <v>0.95416666666666672</v>
      </c>
      <c r="L73" s="29">
        <v>0.97916666666666663</v>
      </c>
      <c r="M73" s="35">
        <f t="shared" ca="1" si="16"/>
        <v>2.4999999999999911E-2</v>
      </c>
      <c r="N73" s="27" t="s">
        <v>391</v>
      </c>
      <c r="O73" s="60"/>
    </row>
    <row r="74" spans="1:15" ht="15" customHeight="1">
      <c r="A74" s="68">
        <v>46206</v>
      </c>
      <c r="B74" s="25">
        <f t="shared" si="17"/>
        <v>1.0416666666666663</v>
      </c>
      <c r="C74" s="33" t="s">
        <v>21</v>
      </c>
      <c r="D74" s="62" t="s">
        <v>30</v>
      </c>
      <c r="E74" s="62" t="s">
        <v>261</v>
      </c>
      <c r="F74" s="27">
        <v>31</v>
      </c>
      <c r="G74" s="28">
        <f t="shared" si="15"/>
        <v>130.20000000000002</v>
      </c>
      <c r="H74" s="26" t="s">
        <v>19</v>
      </c>
      <c r="I74" s="26" t="s">
        <v>52</v>
      </c>
      <c r="J74" s="33" t="s">
        <v>35</v>
      </c>
      <c r="K74" s="29">
        <v>4.4444444444444446E-2</v>
      </c>
      <c r="L74" s="29">
        <v>0.10486111111111111</v>
      </c>
      <c r="M74" s="30">
        <f t="shared" ca="1" si="16"/>
        <v>6.0416666666666667E-2</v>
      </c>
      <c r="N74" s="27" t="s">
        <v>392</v>
      </c>
      <c r="O74" s="60"/>
    </row>
    <row r="75" spans="1:15" ht="15" customHeight="1">
      <c r="A75" s="69">
        <v>46206</v>
      </c>
      <c r="B75" s="32">
        <f t="shared" si="17"/>
        <v>1.083333333333333</v>
      </c>
      <c r="C75" s="33" t="s">
        <v>21</v>
      </c>
      <c r="D75" s="62" t="s">
        <v>30</v>
      </c>
      <c r="E75" s="62" t="s">
        <v>261</v>
      </c>
      <c r="F75" s="27">
        <v>8</v>
      </c>
      <c r="G75" s="34">
        <f>IF(F75="","",IF(E75="PC 17",F75*4.2,IF(E75="PC 19",F75*5,"")))</f>
        <v>33.6</v>
      </c>
      <c r="H75" s="33" t="s">
        <v>20</v>
      </c>
      <c r="I75" s="33" t="s">
        <v>57</v>
      </c>
      <c r="J75" s="33" t="s">
        <v>165</v>
      </c>
      <c r="K75" s="29">
        <v>0.10902777777777778</v>
      </c>
      <c r="L75" s="29">
        <v>0.12569444444444444</v>
      </c>
      <c r="M75" s="35">
        <f t="shared" ca="1" si="16"/>
        <v>1.6666666666666663E-2</v>
      </c>
      <c r="N75" s="27" t="s">
        <v>393</v>
      </c>
      <c r="O75" s="60"/>
    </row>
    <row r="76" spans="1:15" ht="15" customHeight="1">
      <c r="A76" s="68">
        <v>46206</v>
      </c>
      <c r="B76" s="25">
        <f t="shared" si="17"/>
        <v>1.1249999999999998</v>
      </c>
      <c r="C76" s="33" t="s">
        <v>21</v>
      </c>
      <c r="D76" s="62" t="s">
        <v>30</v>
      </c>
      <c r="E76" s="62" t="s">
        <v>261</v>
      </c>
      <c r="F76" s="27">
        <v>1</v>
      </c>
      <c r="G76" s="28">
        <f t="shared" si="15"/>
        <v>4.2</v>
      </c>
      <c r="H76" s="26" t="s">
        <v>20</v>
      </c>
      <c r="I76" s="26" t="s">
        <v>150</v>
      </c>
      <c r="J76" s="26" t="s">
        <v>183</v>
      </c>
      <c r="K76" s="29">
        <v>0.13194444444444445</v>
      </c>
      <c r="L76" s="29">
        <v>0.22222222222222221</v>
      </c>
      <c r="M76" s="30">
        <f t="shared" ca="1" si="16"/>
        <v>9.0277777777777762E-2</v>
      </c>
      <c r="N76" s="27"/>
      <c r="O76" s="60"/>
    </row>
    <row r="77" spans="1:15" ht="15" customHeight="1">
      <c r="A77" s="69">
        <v>46206</v>
      </c>
      <c r="B77" s="32">
        <f t="shared" si="17"/>
        <v>1.1666666666666665</v>
      </c>
      <c r="C77" s="33" t="s">
        <v>21</v>
      </c>
      <c r="D77" s="62" t="s">
        <v>30</v>
      </c>
      <c r="E77" s="62" t="s">
        <v>261</v>
      </c>
      <c r="F77" s="27">
        <v>4</v>
      </c>
      <c r="G77" s="34">
        <f t="shared" si="15"/>
        <v>16.8</v>
      </c>
      <c r="H77" s="33" t="s">
        <v>20</v>
      </c>
      <c r="I77" s="33" t="s">
        <v>52</v>
      </c>
      <c r="J77" s="33" t="s">
        <v>51</v>
      </c>
      <c r="K77" s="29">
        <v>0.23958333333333334</v>
      </c>
      <c r="L77" s="29">
        <v>0.25694444444444442</v>
      </c>
      <c r="M77" s="35">
        <f t="shared" ca="1" si="16"/>
        <v>1.7361111111111077E-2</v>
      </c>
      <c r="N77" s="27"/>
      <c r="O77" s="60"/>
    </row>
    <row r="78" spans="1:15" ht="15" customHeight="1">
      <c r="A78" s="68">
        <v>46206</v>
      </c>
      <c r="B78" s="25">
        <f t="shared" si="17"/>
        <v>1.2083333333333333</v>
      </c>
      <c r="C78" s="33" t="s">
        <v>21</v>
      </c>
      <c r="D78" s="62" t="s">
        <v>30</v>
      </c>
      <c r="E78" s="62" t="s">
        <v>261</v>
      </c>
      <c r="F78" s="27">
        <v>0</v>
      </c>
      <c r="G78" s="28">
        <f t="shared" si="15"/>
        <v>0</v>
      </c>
      <c r="H78" s="26"/>
      <c r="I78" s="26"/>
      <c r="J78" s="26"/>
      <c r="K78" s="29"/>
      <c r="L78" s="29"/>
      <c r="M78" s="30" t="str">
        <f t="shared" ca="1" si="16"/>
        <v/>
      </c>
      <c r="N78" s="27"/>
      <c r="O78" s="60"/>
    </row>
    <row r="79" spans="1:15" ht="15" customHeight="1">
      <c r="A79" s="69">
        <v>46206</v>
      </c>
      <c r="B79" s="32">
        <f t="shared" si="17"/>
        <v>1.25</v>
      </c>
      <c r="C79" s="33" t="s">
        <v>21</v>
      </c>
      <c r="D79" s="62" t="s">
        <v>30</v>
      </c>
      <c r="E79" s="62" t="s">
        <v>261</v>
      </c>
      <c r="F79" s="27">
        <v>7</v>
      </c>
      <c r="G79" s="34">
        <f t="shared" si="15"/>
        <v>29.400000000000002</v>
      </c>
      <c r="H79" s="33"/>
      <c r="I79" s="33"/>
      <c r="J79" s="33"/>
      <c r="K79" s="29"/>
      <c r="L79" s="29"/>
      <c r="M79" s="35" t="str">
        <f t="shared" ca="1" si="16"/>
        <v/>
      </c>
      <c r="N79" s="27"/>
      <c r="O79" s="60"/>
    </row>
    <row r="80" spans="1:15" ht="15" customHeight="1">
      <c r="A80" s="68">
        <v>46206</v>
      </c>
      <c r="B80" s="25">
        <f t="shared" si="17"/>
        <v>1.2916666666666667</v>
      </c>
      <c r="C80" s="33" t="s">
        <v>21</v>
      </c>
      <c r="D80" s="62" t="s">
        <v>22</v>
      </c>
      <c r="E80" s="62" t="s">
        <v>261</v>
      </c>
      <c r="F80" s="27">
        <v>5</v>
      </c>
      <c r="G80" s="28">
        <f t="shared" si="15"/>
        <v>21</v>
      </c>
      <c r="H80" s="26"/>
      <c r="I80" s="26"/>
      <c r="J80" s="26"/>
      <c r="K80" s="29"/>
      <c r="L80" s="29"/>
      <c r="M80" s="30" t="str">
        <f t="shared" ca="1" si="16"/>
        <v/>
      </c>
      <c r="N80" s="27"/>
      <c r="O80" s="60"/>
    </row>
    <row r="81" spans="1:15" ht="15.75" customHeight="1">
      <c r="A81" s="119" t="s">
        <v>238</v>
      </c>
      <c r="B81" s="120"/>
      <c r="C81" s="120"/>
      <c r="D81" s="120"/>
      <c r="E81" s="121">
        <f>SUM(E69:E80)</f>
        <v>0</v>
      </c>
      <c r="F81" s="36">
        <f>SUM(F69:F80)</f>
        <v>132</v>
      </c>
      <c r="G81" s="36">
        <f>SUM(G69:G80)</f>
        <v>554.4</v>
      </c>
      <c r="H81" s="37"/>
      <c r="I81" s="37"/>
      <c r="J81" s="37"/>
      <c r="K81" s="61"/>
      <c r="L81" s="61"/>
      <c r="M81" s="38">
        <f ca="1">IFERROR(SUM(M69:M80),"")</f>
        <v>0.27916666666666634</v>
      </c>
      <c r="N81" s="36" t="s">
        <v>237</v>
      </c>
      <c r="O81" s="39">
        <v>565120</v>
      </c>
    </row>
    <row r="82" spans="1:15" ht="18" customHeight="1">
      <c r="A82" s="122" t="s">
        <v>239</v>
      </c>
      <c r="B82" s="123"/>
      <c r="C82" s="123"/>
      <c r="D82" s="123"/>
      <c r="E82" s="124">
        <f>E68+E81</f>
        <v>0</v>
      </c>
      <c r="F82" s="40">
        <f>F68+F81</f>
        <v>327</v>
      </c>
      <c r="G82" s="40">
        <f>G68+G81</f>
        <v>1373.4</v>
      </c>
      <c r="H82" s="41"/>
      <c r="I82" s="41"/>
      <c r="J82" s="41"/>
      <c r="K82" s="63"/>
      <c r="L82" s="63"/>
      <c r="M82" s="42">
        <f ca="1">IFERROR(M68+M81,"")</f>
        <v>0.33888888888888857</v>
      </c>
      <c r="N82" s="40" t="s">
        <v>240</v>
      </c>
      <c r="O82" s="48">
        <f>IFERROR(O68+O81,"")</f>
        <v>1328490</v>
      </c>
    </row>
    <row r="83" spans="1:15" ht="15" customHeight="1">
      <c r="A83" s="68">
        <v>46207</v>
      </c>
      <c r="B83" s="25">
        <v>0.33333333333333298</v>
      </c>
      <c r="C83" s="26" t="s">
        <v>29</v>
      </c>
      <c r="D83" s="59" t="s">
        <v>22</v>
      </c>
      <c r="E83" s="59" t="s">
        <v>261</v>
      </c>
      <c r="F83" s="27">
        <v>0</v>
      </c>
      <c r="G83" s="28">
        <f t="shared" ref="G83:G94" si="18">IF(F83="","",IF(E83="PC 17",F83*4.2,IF(E83="PC 19",F83*5,"")))</f>
        <v>0</v>
      </c>
      <c r="H83" s="33" t="s">
        <v>19</v>
      </c>
      <c r="I83" s="33" t="s">
        <v>52</v>
      </c>
      <c r="J83" s="33" t="s">
        <v>27</v>
      </c>
      <c r="K83" s="29">
        <v>0.29166666666666669</v>
      </c>
      <c r="L83" s="29">
        <v>0.46527777777777779</v>
      </c>
      <c r="M83" s="30">
        <f t="shared" ref="M83:M94" ca="1" si="19">IFERROR(IF(K83="","",IF(L83="",MOD(NOW()-K83,1),IF(L83&gt;=K83,L83-K83,L83+1-K83))),"")</f>
        <v>0.1736111111111111</v>
      </c>
      <c r="N83" s="27" t="s">
        <v>394</v>
      </c>
      <c r="O83" s="60"/>
    </row>
    <row r="84" spans="1:15" ht="15" customHeight="1">
      <c r="A84" s="69">
        <v>46207</v>
      </c>
      <c r="B84" s="32">
        <f t="shared" ref="B84:B94" si="20">B83+TIME(0,60,0)</f>
        <v>0.37499999999999967</v>
      </c>
      <c r="C84" s="26" t="s">
        <v>29</v>
      </c>
      <c r="D84" s="59" t="s">
        <v>22</v>
      </c>
      <c r="E84" s="59" t="s">
        <v>261</v>
      </c>
      <c r="F84" s="27">
        <v>3</v>
      </c>
      <c r="G84" s="34">
        <f t="shared" si="18"/>
        <v>12.600000000000001</v>
      </c>
      <c r="H84" s="26" t="s">
        <v>20</v>
      </c>
      <c r="I84" s="26" t="s">
        <v>52</v>
      </c>
      <c r="J84" s="26" t="s">
        <v>56</v>
      </c>
      <c r="K84" s="29">
        <v>0.7319444444444444</v>
      </c>
      <c r="L84" s="29">
        <v>0.74652777777777779</v>
      </c>
      <c r="M84" s="35">
        <f t="shared" ca="1" si="19"/>
        <v>1.4583333333333393E-2</v>
      </c>
      <c r="N84" s="27"/>
      <c r="O84" s="60"/>
    </row>
    <row r="85" spans="1:15" ht="15" customHeight="1">
      <c r="A85" s="68">
        <v>46207</v>
      </c>
      <c r="B85" s="25">
        <f t="shared" si="20"/>
        <v>0.41666666666666635</v>
      </c>
      <c r="C85" s="26" t="s">
        <v>29</v>
      </c>
      <c r="D85" s="59" t="s">
        <v>22</v>
      </c>
      <c r="E85" s="59" t="s">
        <v>261</v>
      </c>
      <c r="F85" s="27">
        <v>0</v>
      </c>
      <c r="G85" s="28">
        <f t="shared" si="18"/>
        <v>0</v>
      </c>
      <c r="H85" s="33"/>
      <c r="I85" s="33"/>
      <c r="J85" s="33"/>
      <c r="K85" s="29"/>
      <c r="L85" s="29"/>
      <c r="M85" s="30" t="str">
        <f t="shared" ca="1" si="19"/>
        <v/>
      </c>
      <c r="N85" s="27"/>
      <c r="O85" s="60"/>
    </row>
    <row r="86" spans="1:15" ht="15" customHeight="1">
      <c r="A86" s="69">
        <v>46207</v>
      </c>
      <c r="B86" s="32">
        <f t="shared" si="20"/>
        <v>0.45833333333333304</v>
      </c>
      <c r="C86" s="26" t="s">
        <v>29</v>
      </c>
      <c r="D86" s="59" t="s">
        <v>22</v>
      </c>
      <c r="E86" s="59" t="s">
        <v>261</v>
      </c>
      <c r="F86" s="27">
        <v>0</v>
      </c>
      <c r="G86" s="34">
        <f t="shared" si="18"/>
        <v>0</v>
      </c>
      <c r="H86" s="26"/>
      <c r="I86" s="26"/>
      <c r="J86" s="26"/>
      <c r="K86" s="29"/>
      <c r="L86" s="29"/>
      <c r="M86" s="35" t="str">
        <f t="shared" ca="1" si="19"/>
        <v/>
      </c>
      <c r="N86" s="27"/>
      <c r="O86" s="60"/>
    </row>
    <row r="87" spans="1:15" ht="15" customHeight="1">
      <c r="A87" s="68">
        <v>46207</v>
      </c>
      <c r="B87" s="25">
        <f t="shared" si="20"/>
        <v>0.49999999999999972</v>
      </c>
      <c r="C87" s="26" t="s">
        <v>29</v>
      </c>
      <c r="D87" s="59" t="s">
        <v>22</v>
      </c>
      <c r="E87" s="59" t="s">
        <v>261</v>
      </c>
      <c r="F87" s="27">
        <v>12</v>
      </c>
      <c r="G87" s="28">
        <f t="shared" si="18"/>
        <v>50.400000000000006</v>
      </c>
      <c r="H87" s="33"/>
      <c r="I87" s="33"/>
      <c r="J87" s="33"/>
      <c r="K87" s="29"/>
      <c r="L87" s="29"/>
      <c r="M87" s="30" t="str">
        <f t="shared" ca="1" si="19"/>
        <v/>
      </c>
      <c r="N87" s="27"/>
      <c r="O87" s="60"/>
    </row>
    <row r="88" spans="1:15" ht="15" customHeight="1">
      <c r="A88" s="69">
        <v>46207</v>
      </c>
      <c r="B88" s="32">
        <f t="shared" si="20"/>
        <v>0.54166666666666641</v>
      </c>
      <c r="C88" s="26" t="s">
        <v>29</v>
      </c>
      <c r="D88" s="59" t="s">
        <v>22</v>
      </c>
      <c r="E88" s="59" t="s">
        <v>234</v>
      </c>
      <c r="F88" s="27">
        <v>26</v>
      </c>
      <c r="G88" s="34">
        <f t="shared" si="18"/>
        <v>130</v>
      </c>
      <c r="H88" s="26"/>
      <c r="I88" s="26"/>
      <c r="J88" s="26"/>
      <c r="K88" s="29"/>
      <c r="L88" s="29"/>
      <c r="M88" s="35" t="str">
        <f t="shared" ca="1" si="19"/>
        <v/>
      </c>
      <c r="N88" s="27"/>
      <c r="O88" s="60"/>
    </row>
    <row r="89" spans="1:15" ht="15" customHeight="1">
      <c r="A89" s="68">
        <v>46207</v>
      </c>
      <c r="B89" s="25">
        <f t="shared" si="20"/>
        <v>0.58333333333333304</v>
      </c>
      <c r="C89" s="26" t="s">
        <v>29</v>
      </c>
      <c r="D89" s="59" t="s">
        <v>22</v>
      </c>
      <c r="E89" s="59" t="s">
        <v>234</v>
      </c>
      <c r="F89" s="27">
        <v>21</v>
      </c>
      <c r="G89" s="28">
        <f t="shared" si="18"/>
        <v>105</v>
      </c>
      <c r="H89" s="33"/>
      <c r="I89" s="33"/>
      <c r="J89" s="33"/>
      <c r="K89" s="29"/>
      <c r="L89" s="29"/>
      <c r="M89" s="30" t="str">
        <f t="shared" ca="1" si="19"/>
        <v/>
      </c>
      <c r="N89" s="27"/>
      <c r="O89" s="60"/>
    </row>
    <row r="90" spans="1:15" ht="15" customHeight="1">
      <c r="A90" s="69">
        <v>46207</v>
      </c>
      <c r="B90" s="32">
        <f t="shared" si="20"/>
        <v>0.62499999999999967</v>
      </c>
      <c r="C90" s="26" t="s">
        <v>29</v>
      </c>
      <c r="D90" s="59" t="s">
        <v>22</v>
      </c>
      <c r="E90" s="59" t="s">
        <v>234</v>
      </c>
      <c r="F90" s="27">
        <v>15</v>
      </c>
      <c r="G90" s="34">
        <f t="shared" si="18"/>
        <v>75</v>
      </c>
      <c r="H90" s="26"/>
      <c r="I90" s="26"/>
      <c r="J90" s="26"/>
      <c r="K90" s="29"/>
      <c r="L90" s="29"/>
      <c r="M90" s="35" t="str">
        <f t="shared" ca="1" si="19"/>
        <v/>
      </c>
      <c r="N90" s="27"/>
      <c r="O90" s="60"/>
    </row>
    <row r="91" spans="1:15" ht="15" customHeight="1">
      <c r="A91" s="68">
        <v>46207</v>
      </c>
      <c r="B91" s="25">
        <f t="shared" si="20"/>
        <v>0.6666666666666663</v>
      </c>
      <c r="C91" s="26" t="s">
        <v>29</v>
      </c>
      <c r="D91" s="59" t="s">
        <v>30</v>
      </c>
      <c r="E91" s="59" t="s">
        <v>234</v>
      </c>
      <c r="F91" s="27">
        <v>17</v>
      </c>
      <c r="G91" s="28">
        <f t="shared" si="18"/>
        <v>85</v>
      </c>
      <c r="H91" s="33"/>
      <c r="I91" s="33"/>
      <c r="J91" s="33"/>
      <c r="K91" s="29"/>
      <c r="L91" s="29"/>
      <c r="M91" s="30" t="str">
        <f t="shared" ca="1" si="19"/>
        <v/>
      </c>
      <c r="N91" s="27"/>
      <c r="O91" s="60"/>
    </row>
    <row r="92" spans="1:15" ht="15" customHeight="1">
      <c r="A92" s="69">
        <v>46207</v>
      </c>
      <c r="B92" s="32">
        <f t="shared" si="20"/>
        <v>0.70833333333333293</v>
      </c>
      <c r="C92" s="26" t="s">
        <v>29</v>
      </c>
      <c r="D92" s="59" t="s">
        <v>30</v>
      </c>
      <c r="E92" s="59" t="s">
        <v>234</v>
      </c>
      <c r="F92" s="27">
        <v>46</v>
      </c>
      <c r="G92" s="34">
        <f t="shared" si="18"/>
        <v>230</v>
      </c>
      <c r="H92" s="26"/>
      <c r="I92" s="26"/>
      <c r="J92" s="26"/>
      <c r="K92" s="29"/>
      <c r="L92" s="29"/>
      <c r="M92" s="35" t="str">
        <f t="shared" ca="1" si="19"/>
        <v/>
      </c>
      <c r="N92" s="27"/>
      <c r="O92" s="60"/>
    </row>
    <row r="93" spans="1:15" ht="15" customHeight="1">
      <c r="A93" s="68">
        <v>46207</v>
      </c>
      <c r="B93" s="25">
        <f t="shared" si="20"/>
        <v>0.74999999999999956</v>
      </c>
      <c r="C93" s="26" t="s">
        <v>29</v>
      </c>
      <c r="D93" s="59" t="s">
        <v>30</v>
      </c>
      <c r="E93" s="59" t="s">
        <v>234</v>
      </c>
      <c r="F93" s="27">
        <v>3</v>
      </c>
      <c r="G93" s="28">
        <f t="shared" si="18"/>
        <v>15</v>
      </c>
      <c r="H93" s="33"/>
      <c r="I93" s="33"/>
      <c r="J93" s="33"/>
      <c r="K93" s="29"/>
      <c r="L93" s="29"/>
      <c r="M93" s="30" t="str">
        <f t="shared" ca="1" si="19"/>
        <v/>
      </c>
      <c r="N93" s="27"/>
      <c r="O93" s="60"/>
    </row>
    <row r="94" spans="1:15" ht="15" customHeight="1">
      <c r="A94" s="69">
        <v>46207</v>
      </c>
      <c r="B94" s="32">
        <f t="shared" si="20"/>
        <v>0.79166666666666619</v>
      </c>
      <c r="C94" s="26" t="s">
        <v>29</v>
      </c>
      <c r="D94" s="59" t="s">
        <v>30</v>
      </c>
      <c r="E94" s="59" t="s">
        <v>234</v>
      </c>
      <c r="F94" s="27">
        <v>0</v>
      </c>
      <c r="G94" s="34">
        <f t="shared" si="18"/>
        <v>0</v>
      </c>
      <c r="H94" s="26"/>
      <c r="I94" s="26"/>
      <c r="J94" s="26"/>
      <c r="K94" s="29"/>
      <c r="L94" s="29"/>
      <c r="M94" s="35" t="str">
        <f t="shared" ca="1" si="19"/>
        <v/>
      </c>
      <c r="N94" s="27"/>
      <c r="O94" s="60"/>
    </row>
    <row r="95" spans="1:15" ht="15.75" customHeight="1">
      <c r="A95" s="119" t="s">
        <v>236</v>
      </c>
      <c r="B95" s="120"/>
      <c r="C95" s="120"/>
      <c r="D95" s="120"/>
      <c r="E95" s="121">
        <f>SUM(E83:E94)</f>
        <v>0</v>
      </c>
      <c r="F95" s="36">
        <f>SUM(F83:F94)</f>
        <v>143</v>
      </c>
      <c r="G95" s="36">
        <f>SUM(G83:G94)</f>
        <v>703</v>
      </c>
      <c r="H95" s="37"/>
      <c r="I95" s="37"/>
      <c r="J95" s="37"/>
      <c r="K95" s="61"/>
      <c r="L95" s="61"/>
      <c r="M95" s="38">
        <f ca="1">IFERROR(SUM(M83:M94),"")</f>
        <v>0.1881944444444445</v>
      </c>
      <c r="N95" s="36" t="s">
        <v>237</v>
      </c>
      <c r="O95" s="39">
        <v>776910</v>
      </c>
    </row>
    <row r="96" spans="1:15" ht="15" customHeight="1">
      <c r="A96" s="69">
        <v>46207</v>
      </c>
      <c r="B96" s="32">
        <v>0.83333333333333304</v>
      </c>
      <c r="C96" s="33" t="s">
        <v>21</v>
      </c>
      <c r="D96" s="62" t="s">
        <v>30</v>
      </c>
      <c r="E96" s="62" t="s">
        <v>261</v>
      </c>
      <c r="F96" s="27">
        <v>21</v>
      </c>
      <c r="G96" s="34">
        <f t="shared" ref="G96:G107" si="21">IF(F96="","",IF(E96="PC 17",F96*4.2,IF(E96="PC 19",F96*5,"")))</f>
        <v>88.2</v>
      </c>
      <c r="H96" s="26" t="s">
        <v>19</v>
      </c>
      <c r="I96" s="26" t="s">
        <v>160</v>
      </c>
      <c r="J96" s="26" t="s">
        <v>27</v>
      </c>
      <c r="K96" s="29">
        <v>0.85069444444444442</v>
      </c>
      <c r="L96" s="29">
        <v>0.86597222222222225</v>
      </c>
      <c r="M96" s="35">
        <f t="shared" ref="M96:M107" ca="1" si="22">IFERROR(IF(K96="","",IF(L96="",MOD(NOW()-K96,1),IF(L96&gt;=K96,L96-K96,L96+1-K96))),"")</f>
        <v>1.5277777777777835E-2</v>
      </c>
      <c r="N96" s="27"/>
      <c r="O96" s="60"/>
    </row>
    <row r="97" spans="1:15" ht="15" customHeight="1">
      <c r="A97" s="68">
        <v>46207</v>
      </c>
      <c r="B97" s="25">
        <f t="shared" ref="B97:B107" si="23">B96+TIME(0,60,0)</f>
        <v>0.87499999999999967</v>
      </c>
      <c r="C97" s="33" t="s">
        <v>21</v>
      </c>
      <c r="D97" s="62" t="s">
        <v>30</v>
      </c>
      <c r="E97" s="62" t="s">
        <v>261</v>
      </c>
      <c r="F97" s="27">
        <v>0</v>
      </c>
      <c r="G97" s="28">
        <f t="shared" si="21"/>
        <v>0</v>
      </c>
      <c r="H97" s="33" t="s">
        <v>20</v>
      </c>
      <c r="I97" s="33" t="s">
        <v>52</v>
      </c>
      <c r="J97" s="33" t="s">
        <v>62</v>
      </c>
      <c r="K97" s="29">
        <v>0.95138888888888884</v>
      </c>
      <c r="L97" s="29">
        <v>0.97083333333333333</v>
      </c>
      <c r="M97" s="30">
        <f t="shared" ca="1" si="22"/>
        <v>1.9444444444444486E-2</v>
      </c>
      <c r="N97" s="27"/>
      <c r="O97" s="60"/>
    </row>
    <row r="98" spans="1:15" ht="15" customHeight="1">
      <c r="A98" s="69">
        <v>46207</v>
      </c>
      <c r="B98" s="32">
        <f t="shared" si="23"/>
        <v>0.9166666666666663</v>
      </c>
      <c r="C98" s="33" t="s">
        <v>21</v>
      </c>
      <c r="D98" s="62" t="s">
        <v>30</v>
      </c>
      <c r="E98" s="62" t="s">
        <v>261</v>
      </c>
      <c r="F98" s="27">
        <v>20</v>
      </c>
      <c r="G98" s="34">
        <f>IF(F98="","",IF(E98="PC 17",F98*4.2,IF(E98="PC 19",F98*5,"")))</f>
        <v>84</v>
      </c>
      <c r="H98" s="26" t="s">
        <v>18</v>
      </c>
      <c r="I98" s="26" t="s">
        <v>75</v>
      </c>
      <c r="J98" s="26" t="s">
        <v>199</v>
      </c>
      <c r="K98" s="29">
        <v>0.99791666666666667</v>
      </c>
      <c r="L98" s="29">
        <v>0.29166666666666669</v>
      </c>
      <c r="M98" s="35">
        <f t="shared" ca="1" si="22"/>
        <v>0.29375000000000007</v>
      </c>
      <c r="N98" s="27"/>
      <c r="O98" s="60"/>
    </row>
    <row r="99" spans="1:15" ht="15" customHeight="1">
      <c r="A99" s="68">
        <v>46207</v>
      </c>
      <c r="B99" s="25">
        <f t="shared" si="23"/>
        <v>0.95833333333333293</v>
      </c>
      <c r="C99" s="33" t="s">
        <v>21</v>
      </c>
      <c r="D99" s="62" t="s">
        <v>30</v>
      </c>
      <c r="E99" s="62" t="s">
        <v>261</v>
      </c>
      <c r="F99" s="27">
        <v>22</v>
      </c>
      <c r="G99" s="28">
        <f t="shared" si="21"/>
        <v>92.4</v>
      </c>
      <c r="H99" s="33"/>
      <c r="I99" s="33"/>
      <c r="J99" s="33"/>
      <c r="K99" s="29"/>
      <c r="L99" s="29"/>
      <c r="M99" s="30" t="str">
        <f t="shared" ca="1" si="22"/>
        <v/>
      </c>
      <c r="N99" s="27"/>
      <c r="O99" s="60"/>
    </row>
    <row r="100" spans="1:15" ht="15" customHeight="1">
      <c r="A100" s="69">
        <v>46207</v>
      </c>
      <c r="B100" s="32">
        <f t="shared" si="23"/>
        <v>0.99999999999999956</v>
      </c>
      <c r="C100" s="33" t="s">
        <v>21</v>
      </c>
      <c r="D100" s="62" t="s">
        <v>30</v>
      </c>
      <c r="E100" s="62" t="s">
        <v>261</v>
      </c>
      <c r="F100" s="27">
        <v>22</v>
      </c>
      <c r="G100" s="34">
        <f t="shared" si="21"/>
        <v>92.4</v>
      </c>
      <c r="H100" s="26"/>
      <c r="I100" s="26"/>
      <c r="J100" s="26"/>
      <c r="K100" s="29"/>
      <c r="L100" s="29"/>
      <c r="M100" s="35" t="str">
        <f t="shared" ca="1" si="22"/>
        <v/>
      </c>
      <c r="N100" s="27"/>
      <c r="O100" s="60"/>
    </row>
    <row r="101" spans="1:15" ht="15" customHeight="1">
      <c r="A101" s="68">
        <v>46207</v>
      </c>
      <c r="B101" s="25">
        <f t="shared" si="23"/>
        <v>1.0416666666666663</v>
      </c>
      <c r="C101" s="33" t="s">
        <v>21</v>
      </c>
      <c r="D101" s="62" t="s">
        <v>30</v>
      </c>
      <c r="E101" s="62" t="s">
        <v>261</v>
      </c>
      <c r="F101" s="27">
        <v>0</v>
      </c>
      <c r="G101" s="28">
        <f t="shared" si="21"/>
        <v>0</v>
      </c>
      <c r="H101" s="33"/>
      <c r="I101" s="33"/>
      <c r="J101" s="33"/>
      <c r="K101" s="29"/>
      <c r="L101" s="29"/>
      <c r="M101" s="30" t="str">
        <f t="shared" ca="1" si="22"/>
        <v/>
      </c>
      <c r="N101" s="27"/>
      <c r="O101" s="60"/>
    </row>
    <row r="102" spans="1:15" ht="15" customHeight="1">
      <c r="A102" s="69">
        <v>46207</v>
      </c>
      <c r="B102" s="32">
        <f t="shared" si="23"/>
        <v>1.083333333333333</v>
      </c>
      <c r="C102" s="33" t="s">
        <v>21</v>
      </c>
      <c r="D102" s="62" t="s">
        <v>30</v>
      </c>
      <c r="E102" s="62" t="s">
        <v>261</v>
      </c>
      <c r="F102" s="27">
        <v>0</v>
      </c>
      <c r="G102" s="34">
        <f t="shared" si="21"/>
        <v>0</v>
      </c>
      <c r="H102" s="26"/>
      <c r="I102" s="26"/>
      <c r="J102" s="26"/>
      <c r="K102" s="29"/>
      <c r="L102" s="29"/>
      <c r="M102" s="35" t="str">
        <f t="shared" ca="1" si="22"/>
        <v/>
      </c>
      <c r="N102" s="27"/>
      <c r="O102" s="60"/>
    </row>
    <row r="103" spans="1:15" ht="15" customHeight="1">
      <c r="A103" s="68">
        <v>46207</v>
      </c>
      <c r="B103" s="25">
        <f t="shared" si="23"/>
        <v>1.1249999999999998</v>
      </c>
      <c r="C103" s="33" t="s">
        <v>21</v>
      </c>
      <c r="D103" s="62" t="s">
        <v>30</v>
      </c>
      <c r="E103" s="62" t="s">
        <v>261</v>
      </c>
      <c r="F103" s="27">
        <v>0</v>
      </c>
      <c r="G103" s="28">
        <f t="shared" si="21"/>
        <v>0</v>
      </c>
      <c r="H103" s="33"/>
      <c r="I103" s="33"/>
      <c r="J103" s="33"/>
      <c r="K103" s="29"/>
      <c r="L103" s="29"/>
      <c r="M103" s="30" t="str">
        <f t="shared" ca="1" si="22"/>
        <v/>
      </c>
      <c r="N103" s="27"/>
      <c r="O103" s="60"/>
    </row>
    <row r="104" spans="1:15" ht="15" customHeight="1">
      <c r="A104" s="69">
        <v>46207</v>
      </c>
      <c r="B104" s="32">
        <f t="shared" si="23"/>
        <v>1.1666666666666665</v>
      </c>
      <c r="C104" s="33" t="s">
        <v>21</v>
      </c>
      <c r="D104" s="62" t="s">
        <v>30</v>
      </c>
      <c r="E104" s="62" t="s">
        <v>261</v>
      </c>
      <c r="F104" s="27">
        <v>0</v>
      </c>
      <c r="G104" s="34">
        <f t="shared" si="21"/>
        <v>0</v>
      </c>
      <c r="H104" s="26"/>
      <c r="I104" s="26"/>
      <c r="J104" s="26"/>
      <c r="K104" s="29"/>
      <c r="L104" s="29"/>
      <c r="M104" s="35" t="str">
        <f t="shared" ca="1" si="22"/>
        <v/>
      </c>
      <c r="N104" s="27"/>
      <c r="O104" s="60"/>
    </row>
    <row r="105" spans="1:15" ht="15" customHeight="1">
      <c r="A105" s="68">
        <v>46207</v>
      </c>
      <c r="B105" s="25">
        <f t="shared" si="23"/>
        <v>1.2083333333333333</v>
      </c>
      <c r="C105" s="33" t="s">
        <v>21</v>
      </c>
      <c r="D105" s="62" t="s">
        <v>30</v>
      </c>
      <c r="E105" s="62" t="s">
        <v>261</v>
      </c>
      <c r="F105" s="27">
        <v>0</v>
      </c>
      <c r="G105" s="28">
        <f t="shared" si="21"/>
        <v>0</v>
      </c>
      <c r="H105" s="33"/>
      <c r="I105" s="33"/>
      <c r="J105" s="33"/>
      <c r="K105" s="29"/>
      <c r="L105" s="29"/>
      <c r="M105" s="30" t="str">
        <f t="shared" ca="1" si="22"/>
        <v/>
      </c>
      <c r="N105" s="27"/>
      <c r="O105" s="60"/>
    </row>
    <row r="106" spans="1:15" ht="15" customHeight="1">
      <c r="A106" s="69">
        <v>46207</v>
      </c>
      <c r="B106" s="32">
        <f t="shared" si="23"/>
        <v>1.25</v>
      </c>
      <c r="C106" s="33" t="s">
        <v>21</v>
      </c>
      <c r="D106" s="62" t="s">
        <v>30</v>
      </c>
      <c r="E106" s="62" t="s">
        <v>261</v>
      </c>
      <c r="F106" s="27">
        <v>0</v>
      </c>
      <c r="G106" s="34">
        <f t="shared" si="21"/>
        <v>0</v>
      </c>
      <c r="H106" s="26"/>
      <c r="I106" s="26"/>
      <c r="J106" s="26"/>
      <c r="K106" s="29"/>
      <c r="L106" s="29"/>
      <c r="M106" s="35" t="str">
        <f t="shared" ca="1" si="22"/>
        <v/>
      </c>
      <c r="N106" s="27"/>
      <c r="O106" s="60"/>
    </row>
    <row r="107" spans="1:15" ht="15" customHeight="1">
      <c r="A107" s="68">
        <v>46207</v>
      </c>
      <c r="B107" s="25">
        <f t="shared" si="23"/>
        <v>1.2916666666666667</v>
      </c>
      <c r="C107" s="33" t="s">
        <v>21</v>
      </c>
      <c r="D107" s="62" t="s">
        <v>30</v>
      </c>
      <c r="E107" s="62" t="s">
        <v>261</v>
      </c>
      <c r="F107" s="27">
        <v>0</v>
      </c>
      <c r="G107" s="28">
        <f t="shared" si="21"/>
        <v>0</v>
      </c>
      <c r="H107" s="33"/>
      <c r="I107" s="33"/>
      <c r="J107" s="33"/>
      <c r="K107" s="29"/>
      <c r="L107" s="29"/>
      <c r="M107" s="30" t="str">
        <f t="shared" ca="1" si="22"/>
        <v/>
      </c>
      <c r="N107" s="27"/>
      <c r="O107" s="60"/>
    </row>
    <row r="108" spans="1:15" ht="15.75" customHeight="1">
      <c r="A108" s="119" t="s">
        <v>238</v>
      </c>
      <c r="B108" s="120"/>
      <c r="C108" s="120"/>
      <c r="D108" s="120"/>
      <c r="E108" s="121">
        <f>SUM(E96:E107)</f>
        <v>0</v>
      </c>
      <c r="F108" s="36">
        <f>SUM(F96:F107)</f>
        <v>85</v>
      </c>
      <c r="G108" s="36">
        <f>SUM(G96:G107)</f>
        <v>357</v>
      </c>
      <c r="H108" s="37"/>
      <c r="I108" s="37"/>
      <c r="J108" s="37"/>
      <c r="K108" s="61"/>
      <c r="L108" s="61"/>
      <c r="M108" s="38">
        <f ca="1">IFERROR(SUM(M96:M107),"")</f>
        <v>0.32847222222222239</v>
      </c>
      <c r="N108" s="36" t="s">
        <v>237</v>
      </c>
      <c r="O108" s="39">
        <v>558590</v>
      </c>
    </row>
    <row r="109" spans="1:15" ht="18" customHeight="1">
      <c r="A109" s="122" t="s">
        <v>239</v>
      </c>
      <c r="B109" s="123"/>
      <c r="C109" s="123"/>
      <c r="D109" s="123"/>
      <c r="E109" s="124">
        <f>E95+E108</f>
        <v>0</v>
      </c>
      <c r="F109" s="40">
        <f>F95+F108</f>
        <v>228</v>
      </c>
      <c r="G109" s="40">
        <f>G95+G108</f>
        <v>1060</v>
      </c>
      <c r="H109" s="41"/>
      <c r="I109" s="41"/>
      <c r="J109" s="41"/>
      <c r="K109" s="63"/>
      <c r="L109" s="63"/>
      <c r="M109" s="42">
        <f ca="1">IFERROR(M95+M108,"")</f>
        <v>0.51666666666666683</v>
      </c>
      <c r="N109" s="40" t="s">
        <v>240</v>
      </c>
      <c r="O109" s="48">
        <f>IFERROR(O95+O108,"")</f>
        <v>1335500</v>
      </c>
    </row>
    <row r="110" spans="1:15" ht="15" customHeight="1">
      <c r="A110" s="68">
        <v>46208</v>
      </c>
      <c r="B110" s="25">
        <v>0.33333333333333298</v>
      </c>
      <c r="C110" s="26" t="s">
        <v>29</v>
      </c>
      <c r="D110" s="59" t="s">
        <v>30</v>
      </c>
      <c r="E110" s="59" t="s">
        <v>261</v>
      </c>
      <c r="F110" s="27">
        <v>0</v>
      </c>
      <c r="G110" s="28">
        <f t="shared" ref="G110:G121" si="24">IF(F110="","",IF(E110="PC 17",F110*4.2,IF(E110="PC 19",F110*5,"")))</f>
        <v>0</v>
      </c>
      <c r="H110" s="26" t="s">
        <v>18</v>
      </c>
      <c r="I110" s="26" t="s">
        <v>75</v>
      </c>
      <c r="J110" s="26" t="s">
        <v>199</v>
      </c>
      <c r="K110" s="29">
        <v>0.29166666666666669</v>
      </c>
      <c r="L110" s="29">
        <v>0.65694444444444444</v>
      </c>
      <c r="M110" s="30">
        <f t="shared" ref="M110:M121" ca="1" si="25">IFERROR(IF(K110="","",IF(L110="",MOD(NOW()-K110,1),IF(L110&gt;=K110,L110-K110,L110+1-K110))),"")</f>
        <v>0.36527777777777776</v>
      </c>
      <c r="N110" s="27" t="s">
        <v>395</v>
      </c>
      <c r="O110" s="60"/>
    </row>
    <row r="111" spans="1:15" ht="15" customHeight="1">
      <c r="A111" s="69">
        <v>46208</v>
      </c>
      <c r="B111" s="32">
        <f t="shared" ref="B111:B121" si="26">B110+TIME(0,60,0)</f>
        <v>0.37499999999999967</v>
      </c>
      <c r="C111" s="26" t="s">
        <v>29</v>
      </c>
      <c r="D111" s="59" t="s">
        <v>30</v>
      </c>
      <c r="E111" s="59" t="s">
        <v>261</v>
      </c>
      <c r="F111" s="27">
        <v>0</v>
      </c>
      <c r="G111" s="34">
        <f t="shared" si="24"/>
        <v>0</v>
      </c>
      <c r="H111" s="33" t="s">
        <v>20</v>
      </c>
      <c r="I111" s="33" t="s">
        <v>52</v>
      </c>
      <c r="J111" s="33" t="s">
        <v>51</v>
      </c>
      <c r="K111" s="29">
        <v>0.71736111111111112</v>
      </c>
      <c r="L111" s="29">
        <v>0.71944444444444444</v>
      </c>
      <c r="M111" s="35">
        <f t="shared" ca="1" si="25"/>
        <v>2.0833333333333259E-3</v>
      </c>
      <c r="N111" s="27"/>
      <c r="O111" s="60"/>
    </row>
    <row r="112" spans="1:15" ht="15" customHeight="1">
      <c r="A112" s="68">
        <v>46208</v>
      </c>
      <c r="B112" s="25">
        <f t="shared" si="26"/>
        <v>0.41666666666666635</v>
      </c>
      <c r="C112" s="26" t="s">
        <v>29</v>
      </c>
      <c r="D112" s="59" t="s">
        <v>30</v>
      </c>
      <c r="E112" s="59" t="s">
        <v>261</v>
      </c>
      <c r="F112" s="27">
        <v>0</v>
      </c>
      <c r="G112" s="28">
        <f t="shared" si="24"/>
        <v>0</v>
      </c>
      <c r="H112" s="26"/>
      <c r="I112" s="26"/>
      <c r="J112" s="26"/>
      <c r="K112" s="29"/>
      <c r="L112" s="29"/>
      <c r="M112" s="30" t="str">
        <f t="shared" ca="1" si="25"/>
        <v/>
      </c>
      <c r="N112" s="27"/>
      <c r="O112" s="60"/>
    </row>
    <row r="113" spans="1:15" ht="15" customHeight="1">
      <c r="A113" s="69">
        <v>46208</v>
      </c>
      <c r="B113" s="32">
        <f t="shared" si="26"/>
        <v>0.45833333333333304</v>
      </c>
      <c r="C113" s="26" t="s">
        <v>29</v>
      </c>
      <c r="D113" s="59" t="s">
        <v>30</v>
      </c>
      <c r="E113" s="59" t="s">
        <v>261</v>
      </c>
      <c r="F113" s="27">
        <v>0</v>
      </c>
      <c r="G113" s="34">
        <f t="shared" si="24"/>
        <v>0</v>
      </c>
      <c r="H113" s="33"/>
      <c r="I113" s="33"/>
      <c r="J113" s="33"/>
      <c r="K113" s="29"/>
      <c r="L113" s="29"/>
      <c r="M113" s="35" t="str">
        <f t="shared" ca="1" si="25"/>
        <v/>
      </c>
      <c r="N113" s="27"/>
      <c r="O113" s="60"/>
    </row>
    <row r="114" spans="1:15" ht="15" customHeight="1">
      <c r="A114" s="68">
        <v>46208</v>
      </c>
      <c r="B114" s="25">
        <f t="shared" si="26"/>
        <v>0.49999999999999972</v>
      </c>
      <c r="C114" s="26" t="s">
        <v>29</v>
      </c>
      <c r="D114" s="59" t="s">
        <v>30</v>
      </c>
      <c r="E114" s="59" t="s">
        <v>261</v>
      </c>
      <c r="F114" s="27">
        <v>0</v>
      </c>
      <c r="G114" s="28">
        <f t="shared" si="24"/>
        <v>0</v>
      </c>
      <c r="H114" s="26"/>
      <c r="I114" s="26"/>
      <c r="J114" s="26"/>
      <c r="K114" s="29"/>
      <c r="L114" s="29"/>
      <c r="M114" s="30" t="str">
        <f t="shared" ca="1" si="25"/>
        <v/>
      </c>
      <c r="N114" s="27"/>
      <c r="O114" s="60"/>
    </row>
    <row r="115" spans="1:15" ht="15" customHeight="1">
      <c r="A115" s="69">
        <v>46208</v>
      </c>
      <c r="B115" s="32">
        <f t="shared" si="26"/>
        <v>0.54166666666666641</v>
      </c>
      <c r="C115" s="26" t="s">
        <v>29</v>
      </c>
      <c r="D115" s="59" t="s">
        <v>30</v>
      </c>
      <c r="E115" s="59" t="s">
        <v>261</v>
      </c>
      <c r="F115" s="27">
        <v>0</v>
      </c>
      <c r="G115" s="34">
        <f t="shared" si="24"/>
        <v>0</v>
      </c>
      <c r="H115" s="33"/>
      <c r="I115" s="33"/>
      <c r="J115" s="33"/>
      <c r="K115" s="29"/>
      <c r="L115" s="29"/>
      <c r="M115" s="35" t="str">
        <f t="shared" ca="1" si="25"/>
        <v/>
      </c>
      <c r="N115" s="27"/>
      <c r="O115" s="60"/>
    </row>
    <row r="116" spans="1:15" ht="15" customHeight="1">
      <c r="A116" s="68">
        <v>46208</v>
      </c>
      <c r="B116" s="25">
        <f t="shared" si="26"/>
        <v>0.58333333333333304</v>
      </c>
      <c r="C116" s="26" t="s">
        <v>29</v>
      </c>
      <c r="D116" s="59" t="s">
        <v>30</v>
      </c>
      <c r="E116" s="59" t="s">
        <v>261</v>
      </c>
      <c r="F116" s="27">
        <v>0</v>
      </c>
      <c r="G116" s="28">
        <f t="shared" si="24"/>
        <v>0</v>
      </c>
      <c r="H116" s="26"/>
      <c r="I116" s="26"/>
      <c r="J116" s="26"/>
      <c r="K116" s="29"/>
      <c r="L116" s="29"/>
      <c r="M116" s="30" t="str">
        <f t="shared" ca="1" si="25"/>
        <v/>
      </c>
      <c r="N116" s="27"/>
      <c r="O116" s="60"/>
    </row>
    <row r="117" spans="1:15" ht="15" customHeight="1">
      <c r="A117" s="69">
        <v>46208</v>
      </c>
      <c r="B117" s="32">
        <f t="shared" si="26"/>
        <v>0.62499999999999967</v>
      </c>
      <c r="C117" s="26" t="s">
        <v>29</v>
      </c>
      <c r="D117" s="59" t="s">
        <v>30</v>
      </c>
      <c r="E117" s="59" t="s">
        <v>261</v>
      </c>
      <c r="F117" s="27">
        <v>0</v>
      </c>
      <c r="G117" s="34">
        <f t="shared" si="24"/>
        <v>0</v>
      </c>
      <c r="H117" s="33"/>
      <c r="I117" s="33"/>
      <c r="J117" s="33"/>
      <c r="K117" s="29"/>
      <c r="L117" s="29"/>
      <c r="M117" s="35" t="str">
        <f t="shared" ca="1" si="25"/>
        <v/>
      </c>
      <c r="N117" s="27"/>
      <c r="O117" s="60"/>
    </row>
    <row r="118" spans="1:15" ht="15" customHeight="1">
      <c r="A118" s="68">
        <v>46208</v>
      </c>
      <c r="B118" s="25">
        <f t="shared" si="26"/>
        <v>0.6666666666666663</v>
      </c>
      <c r="C118" s="26" t="s">
        <v>29</v>
      </c>
      <c r="D118" s="59" t="s">
        <v>30</v>
      </c>
      <c r="E118" s="59" t="s">
        <v>261</v>
      </c>
      <c r="F118" s="27">
        <v>10</v>
      </c>
      <c r="G118" s="28">
        <f t="shared" si="24"/>
        <v>42</v>
      </c>
      <c r="H118" s="26"/>
      <c r="I118" s="26"/>
      <c r="J118" s="26"/>
      <c r="K118" s="29"/>
      <c r="L118" s="29"/>
      <c r="M118" s="30" t="str">
        <f t="shared" ca="1" si="25"/>
        <v/>
      </c>
      <c r="N118" s="27"/>
      <c r="O118" s="60"/>
    </row>
    <row r="119" spans="1:15" ht="15" customHeight="1">
      <c r="A119" s="69">
        <v>46208</v>
      </c>
      <c r="B119" s="32">
        <f t="shared" si="26"/>
        <v>0.70833333333333293</v>
      </c>
      <c r="C119" s="26" t="s">
        <v>29</v>
      </c>
      <c r="D119" s="59" t="s">
        <v>30</v>
      </c>
      <c r="E119" s="59" t="s">
        <v>261</v>
      </c>
      <c r="F119" s="27">
        <v>22</v>
      </c>
      <c r="G119" s="34">
        <f t="shared" si="24"/>
        <v>92.4</v>
      </c>
      <c r="H119" s="33"/>
      <c r="I119" s="33"/>
      <c r="J119" s="33"/>
      <c r="K119" s="29"/>
      <c r="L119" s="29"/>
      <c r="M119" s="35" t="str">
        <f t="shared" ca="1" si="25"/>
        <v/>
      </c>
      <c r="N119" s="27"/>
      <c r="O119" s="60"/>
    </row>
    <row r="120" spans="1:15" ht="15" customHeight="1">
      <c r="A120" s="68">
        <v>46208</v>
      </c>
      <c r="B120" s="25">
        <f t="shared" si="26"/>
        <v>0.74999999999999956</v>
      </c>
      <c r="C120" s="26" t="s">
        <v>29</v>
      </c>
      <c r="D120" s="59" t="s">
        <v>30</v>
      </c>
      <c r="E120" s="59" t="s">
        <v>261</v>
      </c>
      <c r="F120" s="27">
        <v>18</v>
      </c>
      <c r="G120" s="28">
        <f t="shared" si="24"/>
        <v>75.600000000000009</v>
      </c>
      <c r="H120" s="26"/>
      <c r="I120" s="26"/>
      <c r="J120" s="26"/>
      <c r="K120" s="29"/>
      <c r="L120" s="29"/>
      <c r="M120" s="30" t="str">
        <f t="shared" ca="1" si="25"/>
        <v/>
      </c>
      <c r="N120" s="27"/>
      <c r="O120" s="60"/>
    </row>
    <row r="121" spans="1:15" ht="15" customHeight="1">
      <c r="A121" s="69">
        <v>46208</v>
      </c>
      <c r="B121" s="32">
        <f t="shared" si="26"/>
        <v>0.79166666666666619</v>
      </c>
      <c r="C121" s="26" t="s">
        <v>29</v>
      </c>
      <c r="D121" s="59" t="s">
        <v>30</v>
      </c>
      <c r="E121" s="59" t="s">
        <v>261</v>
      </c>
      <c r="F121" s="27">
        <v>4</v>
      </c>
      <c r="G121" s="34">
        <f t="shared" si="24"/>
        <v>16.8</v>
      </c>
      <c r="H121" s="33"/>
      <c r="I121" s="33"/>
      <c r="J121" s="33"/>
      <c r="K121" s="29"/>
      <c r="L121" s="29"/>
      <c r="M121" s="35" t="str">
        <f t="shared" ca="1" si="25"/>
        <v/>
      </c>
      <c r="N121" s="27"/>
      <c r="O121" s="60"/>
    </row>
    <row r="122" spans="1:15" ht="15.75" customHeight="1">
      <c r="A122" s="119" t="s">
        <v>236</v>
      </c>
      <c r="B122" s="120"/>
      <c r="C122" s="120"/>
      <c r="D122" s="120"/>
      <c r="E122" s="121">
        <f>SUM(E110:E121)</f>
        <v>0</v>
      </c>
      <c r="F122" s="36">
        <f>SUM(F110:F121)</f>
        <v>54</v>
      </c>
      <c r="G122" s="36">
        <f>SUM(G110:G121)</f>
        <v>226.8</v>
      </c>
      <c r="H122" s="37"/>
      <c r="I122" s="37"/>
      <c r="J122" s="37"/>
      <c r="K122" s="61"/>
      <c r="L122" s="61"/>
      <c r="M122" s="38">
        <f ca="1">IFERROR(SUM(M110:M121),"")</f>
        <v>0.36736111111111108</v>
      </c>
      <c r="N122" s="36" t="s">
        <v>237</v>
      </c>
      <c r="O122" s="39">
        <v>274450</v>
      </c>
    </row>
    <row r="123" spans="1:15" ht="15" customHeight="1">
      <c r="A123" s="69">
        <v>46208</v>
      </c>
      <c r="B123" s="32">
        <v>0.83333333333333304</v>
      </c>
      <c r="C123" s="33" t="s">
        <v>21</v>
      </c>
      <c r="D123" s="62" t="s">
        <v>30</v>
      </c>
      <c r="E123" s="62" t="s">
        <v>234</v>
      </c>
      <c r="F123" s="27">
        <v>5</v>
      </c>
      <c r="G123" s="34">
        <f t="shared" ref="G123:G134" si="27">IF(F123="","",IF(E123="PC 17",F123*4.2,IF(E123="PC 19",F123*5,"")))</f>
        <v>25</v>
      </c>
      <c r="H123" s="33" t="s">
        <v>18</v>
      </c>
      <c r="I123" s="33" t="s">
        <v>75</v>
      </c>
      <c r="J123" s="33" t="s">
        <v>100</v>
      </c>
      <c r="K123" s="29">
        <v>0.79166666666666663</v>
      </c>
      <c r="L123" s="29">
        <v>0.85069444444444442</v>
      </c>
      <c r="M123" s="35">
        <f t="shared" ref="M123:M134" ca="1" si="28">IFERROR(IF(K123="","",IF(L123="",MOD(NOW()-K123,1),IF(L123&gt;=K123,L123-K123,L123+1-K123))),"")</f>
        <v>5.902777777777779E-2</v>
      </c>
      <c r="N123" s="27"/>
      <c r="O123" s="60"/>
    </row>
    <row r="124" spans="1:15" ht="15" customHeight="1">
      <c r="A124" s="68">
        <v>46208</v>
      </c>
      <c r="B124" s="25">
        <f t="shared" ref="B124:B134" si="29">B123+TIME(0,60,0)</f>
        <v>0.87499999999999967</v>
      </c>
      <c r="C124" s="33" t="s">
        <v>21</v>
      </c>
      <c r="D124" s="62" t="s">
        <v>30</v>
      </c>
      <c r="E124" s="62" t="s">
        <v>234</v>
      </c>
      <c r="F124" s="27">
        <v>14</v>
      </c>
      <c r="G124" s="28">
        <f t="shared" si="27"/>
        <v>70</v>
      </c>
      <c r="H124" s="26" t="s">
        <v>20</v>
      </c>
      <c r="I124" s="26" t="s">
        <v>52</v>
      </c>
      <c r="J124" s="26" t="s">
        <v>28</v>
      </c>
      <c r="K124" s="29">
        <v>0.96180555555555558</v>
      </c>
      <c r="L124" s="29">
        <v>0.98611111111111116</v>
      </c>
      <c r="M124" s="30">
        <f t="shared" ca="1" si="28"/>
        <v>2.430555555555558E-2</v>
      </c>
      <c r="N124" s="27" t="s">
        <v>396</v>
      </c>
      <c r="O124" s="60"/>
    </row>
    <row r="125" spans="1:15" ht="15" customHeight="1">
      <c r="A125" s="69">
        <v>46208</v>
      </c>
      <c r="B125" s="32">
        <f t="shared" si="29"/>
        <v>0.9166666666666663</v>
      </c>
      <c r="C125" s="33" t="s">
        <v>21</v>
      </c>
      <c r="D125" s="62" t="s">
        <v>30</v>
      </c>
      <c r="E125" s="62" t="s">
        <v>234</v>
      </c>
      <c r="F125" s="27">
        <v>20</v>
      </c>
      <c r="G125" s="34">
        <f t="shared" si="27"/>
        <v>100</v>
      </c>
      <c r="H125" s="33" t="s">
        <v>18</v>
      </c>
      <c r="I125" s="33" t="s">
        <v>127</v>
      </c>
      <c r="J125" s="33" t="s">
        <v>203</v>
      </c>
      <c r="K125" s="29">
        <v>0.99583333333333335</v>
      </c>
      <c r="L125" s="29">
        <v>4.583333333333333E-2</v>
      </c>
      <c r="M125" s="35">
        <f t="shared" ca="1" si="28"/>
        <v>5.0000000000000044E-2</v>
      </c>
      <c r="N125" s="27" t="s">
        <v>397</v>
      </c>
      <c r="O125" s="60"/>
    </row>
    <row r="126" spans="1:15" ht="15" customHeight="1">
      <c r="A126" s="68">
        <v>46208</v>
      </c>
      <c r="B126" s="25">
        <f t="shared" si="29"/>
        <v>0.95833333333333293</v>
      </c>
      <c r="C126" s="33" t="s">
        <v>21</v>
      </c>
      <c r="D126" s="62" t="s">
        <v>30</v>
      </c>
      <c r="E126" s="62" t="s">
        <v>234</v>
      </c>
      <c r="F126" s="27">
        <v>23</v>
      </c>
      <c r="G126" s="28">
        <f t="shared" si="27"/>
        <v>115</v>
      </c>
      <c r="H126" s="26" t="s">
        <v>19</v>
      </c>
      <c r="I126" s="26" t="s">
        <v>160</v>
      </c>
      <c r="J126" s="26" t="s">
        <v>27</v>
      </c>
      <c r="K126" s="29">
        <v>7.2916666666666671E-2</v>
      </c>
      <c r="L126" s="29">
        <v>8.3333333333333329E-2</v>
      </c>
      <c r="M126" s="30">
        <f t="shared" ca="1" si="28"/>
        <v>1.0416666666666657E-2</v>
      </c>
      <c r="N126" s="27"/>
      <c r="O126" s="60"/>
    </row>
    <row r="127" spans="1:15" ht="15" customHeight="1">
      <c r="A127" s="69">
        <v>46208</v>
      </c>
      <c r="B127" s="32">
        <f t="shared" si="29"/>
        <v>0.99999999999999956</v>
      </c>
      <c r="C127" s="33" t="s">
        <v>21</v>
      </c>
      <c r="D127" s="62" t="s">
        <v>30</v>
      </c>
      <c r="E127" s="62" t="s">
        <v>234</v>
      </c>
      <c r="F127" s="27">
        <v>9</v>
      </c>
      <c r="G127" s="34">
        <f t="shared" si="27"/>
        <v>45</v>
      </c>
      <c r="H127" s="33" t="s">
        <v>20</v>
      </c>
      <c r="I127" s="33"/>
      <c r="J127" s="33" t="s">
        <v>192</v>
      </c>
      <c r="K127" s="29">
        <v>8.3333333333333329E-2</v>
      </c>
      <c r="L127" s="29">
        <v>0.1388888888888889</v>
      </c>
      <c r="M127" s="35">
        <f t="shared" ca="1" si="28"/>
        <v>5.5555555555555566E-2</v>
      </c>
      <c r="N127" s="27"/>
      <c r="O127" s="60"/>
    </row>
    <row r="128" spans="1:15" ht="15" customHeight="1">
      <c r="A128" s="68">
        <v>46208</v>
      </c>
      <c r="B128" s="25">
        <f t="shared" si="29"/>
        <v>1.0416666666666663</v>
      </c>
      <c r="C128" s="33" t="s">
        <v>21</v>
      </c>
      <c r="D128" s="62" t="s">
        <v>30</v>
      </c>
      <c r="E128" s="62" t="s">
        <v>234</v>
      </c>
      <c r="F128" s="27">
        <v>0</v>
      </c>
      <c r="G128" s="28">
        <f t="shared" si="27"/>
        <v>0</v>
      </c>
      <c r="H128" s="26" t="s">
        <v>19</v>
      </c>
      <c r="I128" s="26" t="s">
        <v>52</v>
      </c>
      <c r="J128" s="26" t="s">
        <v>78</v>
      </c>
      <c r="K128" s="29">
        <v>0.24930555555555556</v>
      </c>
      <c r="L128" s="29"/>
      <c r="M128" s="30">
        <f t="shared" ca="1" si="28"/>
        <v>0.58560543981730007</v>
      </c>
      <c r="N128" s="27"/>
      <c r="O128" s="60"/>
    </row>
    <row r="129" spans="1:18" ht="15" customHeight="1">
      <c r="A129" s="69">
        <v>46208</v>
      </c>
      <c r="B129" s="32">
        <f t="shared" si="29"/>
        <v>1.083333333333333</v>
      </c>
      <c r="C129" s="33" t="s">
        <v>21</v>
      </c>
      <c r="D129" s="62" t="s">
        <v>30</v>
      </c>
      <c r="E129" s="62" t="s">
        <v>234</v>
      </c>
      <c r="F129" s="27">
        <v>19</v>
      </c>
      <c r="G129" s="34">
        <f t="shared" si="27"/>
        <v>95</v>
      </c>
      <c r="H129" s="33"/>
      <c r="I129" s="33"/>
      <c r="J129" s="33"/>
      <c r="K129" s="29"/>
      <c r="L129" s="29"/>
      <c r="M129" s="35" t="str">
        <f t="shared" ca="1" si="28"/>
        <v/>
      </c>
      <c r="N129" s="27" t="s">
        <v>290</v>
      </c>
      <c r="O129" s="60"/>
    </row>
    <row r="130" spans="1:18" ht="15" customHeight="1">
      <c r="A130" s="68">
        <v>46208</v>
      </c>
      <c r="B130" s="25">
        <f t="shared" si="29"/>
        <v>1.1249999999999998</v>
      </c>
      <c r="C130" s="33" t="s">
        <v>21</v>
      </c>
      <c r="D130" s="62" t="s">
        <v>30</v>
      </c>
      <c r="E130" s="62" t="s">
        <v>234</v>
      </c>
      <c r="F130" s="27"/>
      <c r="G130" s="28" t="str">
        <f t="shared" si="27"/>
        <v/>
      </c>
      <c r="H130" s="26"/>
      <c r="I130" s="26"/>
      <c r="J130" s="26"/>
      <c r="K130" s="29"/>
      <c r="L130" s="29"/>
      <c r="M130" s="30" t="str">
        <f t="shared" ca="1" si="28"/>
        <v/>
      </c>
      <c r="N130" s="27"/>
      <c r="O130" s="60"/>
    </row>
    <row r="131" spans="1:18" ht="15" customHeight="1">
      <c r="A131" s="69">
        <v>46208</v>
      </c>
      <c r="B131" s="32">
        <f t="shared" si="29"/>
        <v>1.1666666666666665</v>
      </c>
      <c r="C131" s="33" t="s">
        <v>21</v>
      </c>
      <c r="D131" s="62" t="s">
        <v>30</v>
      </c>
      <c r="E131" s="62" t="s">
        <v>234</v>
      </c>
      <c r="F131" s="27"/>
      <c r="G131" s="34" t="str">
        <f t="shared" si="27"/>
        <v/>
      </c>
      <c r="H131" s="33"/>
      <c r="I131" s="33"/>
      <c r="J131" s="33"/>
      <c r="K131" s="29"/>
      <c r="L131" s="29"/>
      <c r="M131" s="35" t="str">
        <f t="shared" ca="1" si="28"/>
        <v/>
      </c>
      <c r="N131" s="27"/>
      <c r="O131" s="60"/>
    </row>
    <row r="132" spans="1:18" ht="15" customHeight="1">
      <c r="A132" s="68">
        <v>46208</v>
      </c>
      <c r="B132" s="25">
        <f t="shared" si="29"/>
        <v>1.2083333333333333</v>
      </c>
      <c r="C132" s="33" t="s">
        <v>21</v>
      </c>
      <c r="D132" s="62" t="s">
        <v>30</v>
      </c>
      <c r="E132" s="62" t="s">
        <v>234</v>
      </c>
      <c r="F132" s="27"/>
      <c r="G132" s="28" t="str">
        <f t="shared" si="27"/>
        <v/>
      </c>
      <c r="H132" s="26"/>
      <c r="I132" s="26"/>
      <c r="J132" s="26"/>
      <c r="K132" s="29"/>
      <c r="L132" s="29"/>
      <c r="M132" s="30" t="str">
        <f t="shared" ca="1" si="28"/>
        <v/>
      </c>
      <c r="N132" s="27"/>
      <c r="O132" s="60"/>
    </row>
    <row r="133" spans="1:18" ht="15" customHeight="1">
      <c r="A133" s="69">
        <v>46208</v>
      </c>
      <c r="B133" s="32">
        <f t="shared" si="29"/>
        <v>1.25</v>
      </c>
      <c r="C133" s="33" t="s">
        <v>21</v>
      </c>
      <c r="D133" s="62" t="s">
        <v>30</v>
      </c>
      <c r="E133" s="62" t="s">
        <v>234</v>
      </c>
      <c r="F133" s="27"/>
      <c r="G133" s="34" t="str">
        <f t="shared" si="27"/>
        <v/>
      </c>
      <c r="H133" s="33"/>
      <c r="I133" s="33"/>
      <c r="J133" s="33"/>
      <c r="K133" s="29"/>
      <c r="L133" s="29"/>
      <c r="M133" s="35" t="str">
        <f t="shared" ca="1" si="28"/>
        <v/>
      </c>
      <c r="N133" s="27"/>
      <c r="O133" s="60"/>
    </row>
    <row r="134" spans="1:18" ht="15" customHeight="1">
      <c r="A134" s="68">
        <v>46208</v>
      </c>
      <c r="B134" s="25">
        <f t="shared" si="29"/>
        <v>1.2916666666666667</v>
      </c>
      <c r="C134" s="33" t="s">
        <v>21</v>
      </c>
      <c r="D134" s="62" t="s">
        <v>30</v>
      </c>
      <c r="E134" s="62" t="s">
        <v>234</v>
      </c>
      <c r="F134" s="27"/>
      <c r="G134" s="28" t="str">
        <f t="shared" si="27"/>
        <v/>
      </c>
      <c r="H134" s="26"/>
      <c r="I134" s="26"/>
      <c r="J134" s="26"/>
      <c r="K134" s="29"/>
      <c r="L134" s="29"/>
      <c r="M134" s="30" t="str">
        <f t="shared" ca="1" si="28"/>
        <v/>
      </c>
      <c r="N134" s="27"/>
      <c r="O134" s="60"/>
    </row>
    <row r="135" spans="1:18" ht="15.75" customHeight="1">
      <c r="A135" s="119" t="s">
        <v>238</v>
      </c>
      <c r="B135" s="120"/>
      <c r="C135" s="120"/>
      <c r="D135" s="120"/>
      <c r="E135" s="121">
        <f>SUM(E123:E134)</f>
        <v>0</v>
      </c>
      <c r="F135" s="36">
        <f>SUM(F123:F134)</f>
        <v>90</v>
      </c>
      <c r="G135" s="36">
        <f>SUM(G123:G134)</f>
        <v>450</v>
      </c>
      <c r="H135" s="37"/>
      <c r="I135" s="37"/>
      <c r="J135" s="37"/>
      <c r="K135" s="61"/>
      <c r="L135" s="61"/>
      <c r="M135" s="38">
        <f ca="1">IFERROR(SUM(M123:M134),"")</f>
        <v>0.78491099537285569</v>
      </c>
      <c r="N135" s="36" t="s">
        <v>237</v>
      </c>
      <c r="O135" s="39">
        <v>729290</v>
      </c>
    </row>
    <row r="136" spans="1:18" ht="18" customHeight="1">
      <c r="A136" s="122" t="s">
        <v>239</v>
      </c>
      <c r="B136" s="123"/>
      <c r="C136" s="123"/>
      <c r="D136" s="123"/>
      <c r="E136" s="124">
        <f>E122+E135</f>
        <v>0</v>
      </c>
      <c r="F136" s="40">
        <f>F122+F135</f>
        <v>144</v>
      </c>
      <c r="G136" s="40">
        <f>G122+G135</f>
        <v>676.8</v>
      </c>
      <c r="H136" s="41"/>
      <c r="I136" s="41"/>
      <c r="J136" s="41"/>
      <c r="K136" s="63"/>
      <c r="L136" s="63"/>
      <c r="M136" s="42">
        <f ca="1">IFERROR(M122+M135,"")</f>
        <v>1.1522721064839667</v>
      </c>
      <c r="N136" s="40" t="s">
        <v>240</v>
      </c>
      <c r="O136" s="48">
        <f>IFERROR(O122+O135,"")</f>
        <v>1003740</v>
      </c>
    </row>
    <row r="137" spans="1:18" ht="15" customHeight="1">
      <c r="A137" s="69">
        <v>46209</v>
      </c>
      <c r="B137" s="32">
        <v>0.33333333333333298</v>
      </c>
      <c r="C137" s="33" t="s">
        <v>29</v>
      </c>
      <c r="D137" s="62" t="s">
        <v>30</v>
      </c>
      <c r="E137" s="62" t="s">
        <v>234</v>
      </c>
      <c r="F137" s="27">
        <v>28</v>
      </c>
      <c r="G137" s="34">
        <f t="shared" ref="G137:G148" si="30">IF(F137="","",IF(E137="PC 17",F137*4.2,IF(E137="PC 19",F137*5,"")))</f>
        <v>140</v>
      </c>
      <c r="H137" s="33" t="s">
        <v>20</v>
      </c>
      <c r="I137" s="33" t="s">
        <v>52</v>
      </c>
      <c r="J137" s="33" t="s">
        <v>28</v>
      </c>
      <c r="K137" s="29">
        <v>0.31666666666666665</v>
      </c>
      <c r="L137" s="29">
        <v>0.32291666666666669</v>
      </c>
      <c r="M137" s="35">
        <f t="shared" ref="M137:M148" ca="1" si="31">IFERROR(IF(K137="","",IF(L137="",MOD(NOW()-K137,1),IF(L137&gt;=K137,L137-K137,L137+1-K137))),"")</f>
        <v>6.2500000000000333E-3</v>
      </c>
      <c r="N137" s="27"/>
      <c r="O137" s="31"/>
    </row>
    <row r="138" spans="1:18" ht="15" customHeight="1">
      <c r="A138" s="68">
        <v>46209</v>
      </c>
      <c r="B138" s="25">
        <f t="shared" ref="B138:B148" si="32">B137+TIME(0,60,0)</f>
        <v>0.37499999999999967</v>
      </c>
      <c r="C138" s="33" t="s">
        <v>29</v>
      </c>
      <c r="D138" s="62" t="s">
        <v>30</v>
      </c>
      <c r="E138" s="62" t="s">
        <v>234</v>
      </c>
      <c r="F138" s="27">
        <v>28</v>
      </c>
      <c r="G138" s="28">
        <f t="shared" si="30"/>
        <v>140</v>
      </c>
      <c r="H138" s="26" t="s">
        <v>20</v>
      </c>
      <c r="I138" s="26" t="s">
        <v>52</v>
      </c>
      <c r="J138" s="26" t="s">
        <v>51</v>
      </c>
      <c r="K138" s="29">
        <v>0.3298611111111111</v>
      </c>
      <c r="L138" s="29">
        <v>0.33333333333333331</v>
      </c>
      <c r="M138" s="30">
        <f t="shared" ca="1" si="31"/>
        <v>3.4722222222222099E-3</v>
      </c>
      <c r="N138" s="27"/>
      <c r="O138" s="31"/>
    </row>
    <row r="139" spans="1:18" ht="15" customHeight="1">
      <c r="A139" s="69">
        <v>46209</v>
      </c>
      <c r="B139" s="32">
        <f t="shared" si="32"/>
        <v>0.41666666666666635</v>
      </c>
      <c r="C139" s="33" t="s">
        <v>29</v>
      </c>
      <c r="D139" s="62" t="s">
        <v>30</v>
      </c>
      <c r="E139" s="62" t="s">
        <v>234</v>
      </c>
      <c r="F139" s="27">
        <v>28</v>
      </c>
      <c r="G139" s="34">
        <f t="shared" si="30"/>
        <v>140</v>
      </c>
      <c r="H139" s="33" t="s">
        <v>19</v>
      </c>
      <c r="I139" s="33" t="s">
        <v>160</v>
      </c>
      <c r="J139" s="33" t="s">
        <v>27</v>
      </c>
      <c r="K139" s="29">
        <v>0.59444444444444444</v>
      </c>
      <c r="L139" s="29">
        <v>0.62222222222222223</v>
      </c>
      <c r="M139" s="35">
        <f t="shared" ca="1" si="31"/>
        <v>2.777777777777779E-2</v>
      </c>
      <c r="N139" s="27" t="s">
        <v>398</v>
      </c>
      <c r="O139" s="31"/>
    </row>
    <row r="140" spans="1:18" ht="15" customHeight="1">
      <c r="A140" s="68">
        <v>46209</v>
      </c>
      <c r="B140" s="25">
        <f t="shared" si="32"/>
        <v>0.45833333333333304</v>
      </c>
      <c r="C140" s="33" t="s">
        <v>29</v>
      </c>
      <c r="D140" s="62" t="s">
        <v>30</v>
      </c>
      <c r="E140" s="62" t="s">
        <v>234</v>
      </c>
      <c r="F140" s="27">
        <v>27</v>
      </c>
      <c r="G140" s="28">
        <f t="shared" si="30"/>
        <v>135</v>
      </c>
      <c r="H140" s="26" t="s">
        <v>16</v>
      </c>
      <c r="I140" s="26"/>
      <c r="J140" s="26" t="s">
        <v>292</v>
      </c>
      <c r="K140" s="29">
        <v>0.71597222222222223</v>
      </c>
      <c r="L140" s="29">
        <v>0.74375000000000002</v>
      </c>
      <c r="M140" s="30">
        <f t="shared" ca="1" si="31"/>
        <v>2.777777777777779E-2</v>
      </c>
      <c r="N140" s="27"/>
      <c r="O140" s="31"/>
    </row>
    <row r="141" spans="1:18" ht="15" customHeight="1">
      <c r="A141" s="69">
        <v>46209</v>
      </c>
      <c r="B141" s="32">
        <f t="shared" si="32"/>
        <v>0.49999999999999972</v>
      </c>
      <c r="C141" s="33" t="s">
        <v>29</v>
      </c>
      <c r="D141" s="62" t="s">
        <v>30</v>
      </c>
      <c r="E141" s="62" t="s">
        <v>234</v>
      </c>
      <c r="F141" s="27">
        <v>23</v>
      </c>
      <c r="G141" s="34">
        <f t="shared" si="30"/>
        <v>115</v>
      </c>
      <c r="H141" s="33"/>
      <c r="I141" s="33"/>
      <c r="J141" s="33"/>
      <c r="K141" s="29"/>
      <c r="L141" s="29"/>
      <c r="M141" s="35" t="str">
        <f t="shared" ca="1" si="31"/>
        <v/>
      </c>
      <c r="N141" s="27"/>
      <c r="O141" s="31"/>
    </row>
    <row r="142" spans="1:18" ht="15" customHeight="1">
      <c r="A142" s="68">
        <v>46209</v>
      </c>
      <c r="B142" s="25">
        <f t="shared" si="32"/>
        <v>0.54166666666666641</v>
      </c>
      <c r="C142" s="33" t="s">
        <v>29</v>
      </c>
      <c r="D142" s="62" t="s">
        <v>30</v>
      </c>
      <c r="E142" s="62" t="s">
        <v>234</v>
      </c>
      <c r="F142" s="27">
        <v>10</v>
      </c>
      <c r="G142" s="28">
        <f t="shared" si="30"/>
        <v>50</v>
      </c>
      <c r="H142" s="26"/>
      <c r="I142" s="26"/>
      <c r="J142" s="26"/>
      <c r="K142" s="29"/>
      <c r="L142" s="29"/>
      <c r="M142" s="30" t="str">
        <f t="shared" ca="1" si="31"/>
        <v/>
      </c>
      <c r="N142" s="27"/>
      <c r="O142" s="31"/>
      <c r="R142" s="66"/>
    </row>
    <row r="143" spans="1:18" ht="15" customHeight="1">
      <c r="A143" s="69">
        <v>46209</v>
      </c>
      <c r="B143" s="32">
        <f t="shared" si="32"/>
        <v>0.58333333333333304</v>
      </c>
      <c r="C143" s="33" t="s">
        <v>29</v>
      </c>
      <c r="D143" s="62" t="s">
        <v>30</v>
      </c>
      <c r="E143" s="62" t="s">
        <v>234</v>
      </c>
      <c r="F143" s="27">
        <v>13</v>
      </c>
      <c r="G143" s="34">
        <f t="shared" si="30"/>
        <v>65</v>
      </c>
      <c r="H143" s="33"/>
      <c r="I143" s="33"/>
      <c r="J143" s="33"/>
      <c r="K143" s="29"/>
      <c r="L143" s="29"/>
      <c r="M143" s="35" t="str">
        <f t="shared" ca="1" si="31"/>
        <v/>
      </c>
      <c r="N143" s="27"/>
      <c r="O143" s="31"/>
    </row>
    <row r="144" spans="1:18" ht="15" customHeight="1">
      <c r="A144" s="68">
        <v>46209</v>
      </c>
      <c r="B144" s="25">
        <f t="shared" si="32"/>
        <v>0.62499999999999967</v>
      </c>
      <c r="C144" s="33" t="s">
        <v>29</v>
      </c>
      <c r="D144" s="62" t="s">
        <v>30</v>
      </c>
      <c r="E144" s="62" t="s">
        <v>234</v>
      </c>
      <c r="F144" s="27">
        <v>12</v>
      </c>
      <c r="G144" s="28">
        <f t="shared" si="30"/>
        <v>60</v>
      </c>
      <c r="H144" s="26"/>
      <c r="I144" s="26"/>
      <c r="J144" s="26"/>
      <c r="K144" s="29"/>
      <c r="L144" s="29"/>
      <c r="M144" s="30" t="str">
        <f t="shared" ca="1" si="31"/>
        <v/>
      </c>
      <c r="N144" s="27"/>
      <c r="O144" s="31"/>
    </row>
    <row r="145" spans="1:15" ht="15" customHeight="1">
      <c r="A145" s="69">
        <v>46209</v>
      </c>
      <c r="B145" s="32">
        <f t="shared" si="32"/>
        <v>0.6666666666666663</v>
      </c>
      <c r="C145" s="33" t="s">
        <v>29</v>
      </c>
      <c r="D145" s="62" t="s">
        <v>30</v>
      </c>
      <c r="E145" s="62" t="s">
        <v>234</v>
      </c>
      <c r="F145" s="27">
        <v>17</v>
      </c>
      <c r="G145" s="34">
        <f t="shared" si="30"/>
        <v>85</v>
      </c>
      <c r="H145" s="33"/>
      <c r="I145" s="33"/>
      <c r="J145" s="33"/>
      <c r="K145" s="29"/>
      <c r="L145" s="29"/>
      <c r="M145" s="35" t="str">
        <f t="shared" ca="1" si="31"/>
        <v/>
      </c>
      <c r="N145" s="27"/>
      <c r="O145" s="31"/>
    </row>
    <row r="146" spans="1:15" ht="15" customHeight="1">
      <c r="A146" s="68">
        <v>46209</v>
      </c>
      <c r="B146" s="25">
        <f t="shared" si="32"/>
        <v>0.70833333333333293</v>
      </c>
      <c r="C146" s="33" t="s">
        <v>29</v>
      </c>
      <c r="D146" s="62" t="s">
        <v>30</v>
      </c>
      <c r="E146" s="62" t="s">
        <v>234</v>
      </c>
      <c r="F146" s="27">
        <v>25</v>
      </c>
      <c r="G146" s="28">
        <f t="shared" si="30"/>
        <v>125</v>
      </c>
      <c r="H146" s="26"/>
      <c r="I146" s="26"/>
      <c r="J146" s="26"/>
      <c r="K146" s="29"/>
      <c r="L146" s="29"/>
      <c r="M146" s="30" t="str">
        <f t="shared" ca="1" si="31"/>
        <v/>
      </c>
      <c r="N146" s="27"/>
      <c r="O146" s="31"/>
    </row>
    <row r="147" spans="1:15" ht="15" customHeight="1">
      <c r="A147" s="69">
        <v>46209</v>
      </c>
      <c r="B147" s="32">
        <f t="shared" si="32"/>
        <v>0.74999999999999956</v>
      </c>
      <c r="C147" s="33" t="s">
        <v>29</v>
      </c>
      <c r="D147" s="62" t="s">
        <v>30</v>
      </c>
      <c r="E147" s="62" t="s">
        <v>234</v>
      </c>
      <c r="F147" s="27">
        <v>0</v>
      </c>
      <c r="G147" s="34">
        <f t="shared" si="30"/>
        <v>0</v>
      </c>
      <c r="H147" s="33"/>
      <c r="I147" s="33"/>
      <c r="J147" s="33"/>
      <c r="K147" s="29"/>
      <c r="L147" s="29"/>
      <c r="M147" s="35" t="str">
        <f t="shared" ca="1" si="31"/>
        <v/>
      </c>
      <c r="N147" s="27"/>
      <c r="O147" s="31"/>
    </row>
    <row r="148" spans="1:15" ht="15" customHeight="1">
      <c r="A148" s="68">
        <v>46209</v>
      </c>
      <c r="B148" s="25">
        <f t="shared" si="32"/>
        <v>0.79166666666666619</v>
      </c>
      <c r="C148" s="33" t="s">
        <v>29</v>
      </c>
      <c r="D148" s="62" t="s">
        <v>30</v>
      </c>
      <c r="E148" s="62" t="s">
        <v>234</v>
      </c>
      <c r="F148" s="27">
        <v>10</v>
      </c>
      <c r="G148" s="28">
        <f t="shared" si="30"/>
        <v>50</v>
      </c>
      <c r="H148" s="26"/>
      <c r="I148" s="26"/>
      <c r="J148" s="26"/>
      <c r="K148" s="29"/>
      <c r="L148" s="29"/>
      <c r="M148" s="30" t="str">
        <f t="shared" ca="1" si="31"/>
        <v/>
      </c>
      <c r="N148" s="27"/>
      <c r="O148" s="31"/>
    </row>
    <row r="149" spans="1:15" ht="15.75" customHeight="1">
      <c r="A149" s="119" t="s">
        <v>236</v>
      </c>
      <c r="B149" s="120"/>
      <c r="C149" s="120"/>
      <c r="D149" s="120"/>
      <c r="E149" s="121">
        <f>SUM(E137:E148)</f>
        <v>0</v>
      </c>
      <c r="F149" s="36">
        <f>SUM(F137:F148)</f>
        <v>221</v>
      </c>
      <c r="G149" s="36">
        <f>SUM(G137:G148)</f>
        <v>1105</v>
      </c>
      <c r="H149" s="37"/>
      <c r="I149" s="37"/>
      <c r="J149" s="37"/>
      <c r="K149" s="61"/>
      <c r="L149" s="61"/>
      <c r="M149" s="38">
        <f ca="1">IFERROR(SUM(M137:M148),"")</f>
        <v>6.5277777777777823E-2</v>
      </c>
      <c r="N149" s="36" t="s">
        <v>237</v>
      </c>
      <c r="O149" s="39">
        <v>1058340</v>
      </c>
    </row>
    <row r="150" spans="1:15" ht="15" customHeight="1">
      <c r="A150" s="68">
        <v>46209</v>
      </c>
      <c r="B150" s="25">
        <v>0.83333333333333304</v>
      </c>
      <c r="C150" s="26" t="s">
        <v>21</v>
      </c>
      <c r="D150" s="59" t="s">
        <v>30</v>
      </c>
      <c r="E150" s="59" t="s">
        <v>234</v>
      </c>
      <c r="F150" s="27">
        <v>16</v>
      </c>
      <c r="G150" s="28">
        <f t="shared" ref="G150:G161" si="33">IF(F150="","",IF(E150="PC 17",F150*4.2,IF(E150="PC 19",F150*5,"")))</f>
        <v>80</v>
      </c>
      <c r="H150" s="26" t="s">
        <v>20</v>
      </c>
      <c r="I150" s="26" t="s">
        <v>52</v>
      </c>
      <c r="J150" s="26" t="s">
        <v>354</v>
      </c>
      <c r="K150" s="29">
        <v>0.84166666666666667</v>
      </c>
      <c r="L150" s="29">
        <v>0.85277777777777775</v>
      </c>
      <c r="M150" s="30">
        <f t="shared" ref="M150:M161" ca="1" si="34">IFERROR(IF(K150="","",IF(L150="",MOD(NOW()-K150,1),IF(L150&gt;=K150,L150-K150,L150+1-K150))),"")</f>
        <v>1.1111111111111072E-2</v>
      </c>
      <c r="N150" s="27"/>
      <c r="O150" s="31"/>
    </row>
    <row r="151" spans="1:15" ht="15" customHeight="1">
      <c r="A151" s="69">
        <v>46209</v>
      </c>
      <c r="B151" s="32">
        <f t="shared" ref="B151:B161" si="35">B150+TIME(0,60,0)</f>
        <v>0.87499999999999967</v>
      </c>
      <c r="C151" s="26" t="s">
        <v>21</v>
      </c>
      <c r="D151" s="59" t="s">
        <v>30</v>
      </c>
      <c r="E151" s="59" t="s">
        <v>234</v>
      </c>
      <c r="F151" s="27">
        <v>14</v>
      </c>
      <c r="G151" s="34">
        <f t="shared" si="33"/>
        <v>70</v>
      </c>
      <c r="H151" s="33" t="s">
        <v>20</v>
      </c>
      <c r="I151" s="33" t="s">
        <v>57</v>
      </c>
      <c r="J151" s="33" t="s">
        <v>51</v>
      </c>
      <c r="K151" s="29">
        <v>0.87152777777777779</v>
      </c>
      <c r="L151" s="29">
        <v>0.87986111111111109</v>
      </c>
      <c r="M151" s="35">
        <f t="shared" ca="1" si="34"/>
        <v>8.3333333333333037E-3</v>
      </c>
      <c r="N151" s="27"/>
      <c r="O151" s="31"/>
    </row>
    <row r="152" spans="1:15" ht="15" customHeight="1">
      <c r="A152" s="68">
        <v>46209</v>
      </c>
      <c r="B152" s="25">
        <f t="shared" si="35"/>
        <v>0.9166666666666663</v>
      </c>
      <c r="C152" s="26" t="s">
        <v>21</v>
      </c>
      <c r="D152" s="59" t="s">
        <v>30</v>
      </c>
      <c r="E152" s="59" t="s">
        <v>261</v>
      </c>
      <c r="F152" s="27">
        <v>18</v>
      </c>
      <c r="G152" s="28">
        <f t="shared" si="33"/>
        <v>75.600000000000009</v>
      </c>
      <c r="H152" s="26" t="s">
        <v>20</v>
      </c>
      <c r="I152" s="26" t="s">
        <v>52</v>
      </c>
      <c r="J152" s="26" t="s">
        <v>165</v>
      </c>
      <c r="K152" s="29">
        <v>0.89583333333333337</v>
      </c>
      <c r="L152" s="29">
        <v>0.91666666666666663</v>
      </c>
      <c r="M152" s="30">
        <f t="shared" ca="1" si="34"/>
        <v>2.0833333333333259E-2</v>
      </c>
      <c r="N152" s="27" t="s">
        <v>399</v>
      </c>
      <c r="O152" s="31"/>
    </row>
    <row r="153" spans="1:15" ht="15" customHeight="1">
      <c r="A153" s="69">
        <v>46209</v>
      </c>
      <c r="B153" s="32">
        <f t="shared" si="35"/>
        <v>0.95833333333333293</v>
      </c>
      <c r="C153" s="26" t="s">
        <v>21</v>
      </c>
      <c r="D153" s="59" t="s">
        <v>30</v>
      </c>
      <c r="E153" s="59" t="s">
        <v>261</v>
      </c>
      <c r="F153" s="27">
        <v>15</v>
      </c>
      <c r="G153" s="34">
        <f t="shared" si="33"/>
        <v>63</v>
      </c>
      <c r="H153" s="33" t="s">
        <v>19</v>
      </c>
      <c r="I153" s="33" t="s">
        <v>57</v>
      </c>
      <c r="J153" s="33" t="s">
        <v>27</v>
      </c>
      <c r="K153" s="29">
        <v>0.12708333333333333</v>
      </c>
      <c r="L153" s="29">
        <v>0.14583333333333334</v>
      </c>
      <c r="M153" s="35">
        <f t="shared" ca="1" si="34"/>
        <v>1.8750000000000017E-2</v>
      </c>
      <c r="N153" s="27"/>
      <c r="O153" s="31"/>
    </row>
    <row r="154" spans="1:15" ht="15" customHeight="1">
      <c r="A154" s="68">
        <v>46209</v>
      </c>
      <c r="B154" s="25">
        <f t="shared" si="35"/>
        <v>0.99999999999999956</v>
      </c>
      <c r="C154" s="26" t="s">
        <v>21</v>
      </c>
      <c r="D154" s="59" t="s">
        <v>30</v>
      </c>
      <c r="E154" s="59" t="s">
        <v>261</v>
      </c>
      <c r="F154" s="27">
        <v>10</v>
      </c>
      <c r="G154" s="28">
        <f t="shared" si="33"/>
        <v>42</v>
      </c>
      <c r="H154" s="26"/>
      <c r="I154" s="26"/>
      <c r="J154" s="26" t="s">
        <v>27</v>
      </c>
      <c r="K154" s="29"/>
      <c r="L154" s="29"/>
      <c r="M154" s="30" t="str">
        <f t="shared" ca="1" si="34"/>
        <v/>
      </c>
      <c r="N154" s="27"/>
      <c r="O154" s="31"/>
    </row>
    <row r="155" spans="1:15" ht="15" customHeight="1">
      <c r="A155" s="69">
        <v>46209</v>
      </c>
      <c r="B155" s="32">
        <f t="shared" si="35"/>
        <v>1.0416666666666663</v>
      </c>
      <c r="C155" s="26" t="s">
        <v>21</v>
      </c>
      <c r="D155" s="59" t="s">
        <v>30</v>
      </c>
      <c r="E155" s="59" t="s">
        <v>261</v>
      </c>
      <c r="F155" s="27">
        <v>23</v>
      </c>
      <c r="G155" s="34">
        <f t="shared" si="33"/>
        <v>96.600000000000009</v>
      </c>
      <c r="H155" s="33"/>
      <c r="I155" s="33"/>
      <c r="J155" s="33"/>
      <c r="K155" s="29"/>
      <c r="L155" s="29"/>
      <c r="M155" s="35" t="str">
        <f t="shared" ca="1" si="34"/>
        <v/>
      </c>
      <c r="N155" s="27"/>
      <c r="O155" s="31"/>
    </row>
    <row r="156" spans="1:15" ht="15" customHeight="1">
      <c r="A156" s="68">
        <v>46209</v>
      </c>
      <c r="B156" s="25">
        <f t="shared" si="35"/>
        <v>1.083333333333333</v>
      </c>
      <c r="C156" s="26" t="s">
        <v>21</v>
      </c>
      <c r="D156" s="59" t="s">
        <v>30</v>
      </c>
      <c r="E156" s="59" t="s">
        <v>261</v>
      </c>
      <c r="F156" s="27">
        <v>14</v>
      </c>
      <c r="G156" s="28">
        <f t="shared" si="33"/>
        <v>58.800000000000004</v>
      </c>
      <c r="H156" s="26"/>
      <c r="I156" s="26"/>
      <c r="J156" s="26"/>
      <c r="K156" s="29"/>
      <c r="L156" s="29"/>
      <c r="M156" s="30" t="str">
        <f t="shared" ca="1" si="34"/>
        <v/>
      </c>
      <c r="N156" s="27"/>
      <c r="O156" s="31"/>
    </row>
    <row r="157" spans="1:15" ht="15" customHeight="1">
      <c r="A157" s="69">
        <v>46209</v>
      </c>
      <c r="B157" s="32">
        <f t="shared" si="35"/>
        <v>1.1249999999999998</v>
      </c>
      <c r="C157" s="26" t="s">
        <v>21</v>
      </c>
      <c r="D157" s="59" t="s">
        <v>30</v>
      </c>
      <c r="E157" s="59" t="s">
        <v>261</v>
      </c>
      <c r="F157" s="27">
        <v>11</v>
      </c>
      <c r="G157" s="34">
        <f t="shared" si="33"/>
        <v>46.2</v>
      </c>
      <c r="H157" s="33"/>
      <c r="I157" s="33"/>
      <c r="J157" s="33"/>
      <c r="K157" s="29"/>
      <c r="L157" s="29"/>
      <c r="M157" s="35" t="str">
        <f t="shared" ca="1" si="34"/>
        <v/>
      </c>
      <c r="N157" s="27"/>
      <c r="O157" s="31"/>
    </row>
    <row r="158" spans="1:15" ht="15" customHeight="1">
      <c r="A158" s="68">
        <v>46209</v>
      </c>
      <c r="B158" s="25">
        <f t="shared" si="35"/>
        <v>1.1666666666666665</v>
      </c>
      <c r="C158" s="26" t="s">
        <v>21</v>
      </c>
      <c r="D158" s="59" t="s">
        <v>30</v>
      </c>
      <c r="E158" s="59" t="s">
        <v>261</v>
      </c>
      <c r="F158" s="27">
        <v>13</v>
      </c>
      <c r="G158" s="28">
        <f t="shared" si="33"/>
        <v>54.6</v>
      </c>
      <c r="H158" s="26"/>
      <c r="I158" s="26"/>
      <c r="J158" s="26"/>
      <c r="K158" s="29"/>
      <c r="L158" s="29"/>
      <c r="M158" s="30" t="str">
        <f t="shared" ca="1" si="34"/>
        <v/>
      </c>
      <c r="N158" s="27"/>
      <c r="O158" s="31"/>
    </row>
    <row r="159" spans="1:15" ht="15" customHeight="1">
      <c r="A159" s="69">
        <v>46209</v>
      </c>
      <c r="B159" s="32">
        <f t="shared" si="35"/>
        <v>1.2083333333333333</v>
      </c>
      <c r="C159" s="26" t="s">
        <v>21</v>
      </c>
      <c r="D159" s="59" t="s">
        <v>30</v>
      </c>
      <c r="E159" s="59" t="s">
        <v>261</v>
      </c>
      <c r="F159" s="27">
        <v>16</v>
      </c>
      <c r="G159" s="34">
        <f t="shared" si="33"/>
        <v>67.2</v>
      </c>
      <c r="H159" s="33"/>
      <c r="I159" s="33"/>
      <c r="J159" s="33"/>
      <c r="K159" s="29"/>
      <c r="L159" s="29"/>
      <c r="M159" s="35" t="str">
        <f t="shared" ca="1" si="34"/>
        <v/>
      </c>
      <c r="N159" s="27"/>
      <c r="O159" s="31"/>
    </row>
    <row r="160" spans="1:15" ht="15" customHeight="1">
      <c r="A160" s="68">
        <v>46209</v>
      </c>
      <c r="B160" s="25">
        <f t="shared" si="35"/>
        <v>1.25</v>
      </c>
      <c r="C160" s="26" t="s">
        <v>21</v>
      </c>
      <c r="D160" s="59" t="s">
        <v>30</v>
      </c>
      <c r="E160" s="59" t="s">
        <v>261</v>
      </c>
      <c r="F160" s="27">
        <v>22</v>
      </c>
      <c r="G160" s="28">
        <f t="shared" si="33"/>
        <v>92.4</v>
      </c>
      <c r="H160" s="26"/>
      <c r="I160" s="26"/>
      <c r="J160" s="26"/>
      <c r="K160" s="29"/>
      <c r="L160" s="29"/>
      <c r="M160" s="30" t="str">
        <f t="shared" ca="1" si="34"/>
        <v/>
      </c>
      <c r="N160" s="27"/>
      <c r="O160" s="31"/>
    </row>
    <row r="161" spans="1:15" ht="15" customHeight="1">
      <c r="A161" s="69">
        <v>46209</v>
      </c>
      <c r="B161" s="32">
        <f t="shared" si="35"/>
        <v>1.2916666666666667</v>
      </c>
      <c r="C161" s="26" t="s">
        <v>21</v>
      </c>
      <c r="D161" s="59" t="s">
        <v>22</v>
      </c>
      <c r="E161" s="59" t="s">
        <v>261</v>
      </c>
      <c r="F161" s="27">
        <v>8</v>
      </c>
      <c r="G161" s="34">
        <f t="shared" si="33"/>
        <v>33.6</v>
      </c>
      <c r="H161" s="33"/>
      <c r="I161" s="33"/>
      <c r="J161" s="33"/>
      <c r="K161" s="29"/>
      <c r="L161" s="29"/>
      <c r="M161" s="35" t="str">
        <f t="shared" ca="1" si="34"/>
        <v/>
      </c>
      <c r="N161" s="27"/>
      <c r="O161" s="31"/>
    </row>
    <row r="162" spans="1:15" ht="15.75" customHeight="1">
      <c r="A162" s="119" t="s">
        <v>238</v>
      </c>
      <c r="B162" s="120"/>
      <c r="C162" s="120"/>
      <c r="D162" s="120"/>
      <c r="E162" s="121">
        <f>SUM(E150:E161)</f>
        <v>0</v>
      </c>
      <c r="F162" s="36">
        <f>SUM(F150:F161)</f>
        <v>180</v>
      </c>
      <c r="G162" s="36">
        <f>SUM(G150:G161)</f>
        <v>780.00000000000011</v>
      </c>
      <c r="H162" s="37"/>
      <c r="I162" s="37"/>
      <c r="J162" s="37"/>
      <c r="K162" s="61"/>
      <c r="L162" s="61"/>
      <c r="M162" s="38">
        <f ca="1">IFERROR(SUM(M150:M161),"")</f>
        <v>5.9027777777777651E-2</v>
      </c>
      <c r="N162" s="36" t="s">
        <v>237</v>
      </c>
      <c r="O162" s="39">
        <v>697320</v>
      </c>
    </row>
    <row r="163" spans="1:15" ht="18" customHeight="1">
      <c r="A163" s="122" t="s">
        <v>239</v>
      </c>
      <c r="B163" s="123"/>
      <c r="C163" s="123"/>
      <c r="D163" s="123"/>
      <c r="E163" s="124">
        <f>E149+E162</f>
        <v>0</v>
      </c>
      <c r="F163" s="40">
        <f>F149+F162</f>
        <v>401</v>
      </c>
      <c r="G163" s="40">
        <f>G149+G162</f>
        <v>1885</v>
      </c>
      <c r="H163" s="41"/>
      <c r="I163" s="41"/>
      <c r="J163" s="41"/>
      <c r="K163" s="63"/>
      <c r="L163" s="63"/>
      <c r="M163" s="42">
        <f ca="1">IFERROR(M149+M162,"")</f>
        <v>0.12430555555555547</v>
      </c>
      <c r="N163" s="40" t="s">
        <v>240</v>
      </c>
      <c r="O163" s="43">
        <f>IFERROR(O149+O162,"")</f>
        <v>1755660</v>
      </c>
    </row>
    <row r="164" spans="1:15" ht="15" customHeight="1">
      <c r="A164" s="68">
        <v>46210</v>
      </c>
      <c r="B164" s="25">
        <v>0.33333333333333298</v>
      </c>
      <c r="C164" s="26" t="s">
        <v>29</v>
      </c>
      <c r="D164" s="59" t="s">
        <v>38</v>
      </c>
      <c r="E164" s="59" t="s">
        <v>234</v>
      </c>
      <c r="F164" s="27">
        <v>13</v>
      </c>
      <c r="G164" s="28">
        <f t="shared" ref="G164:G175" si="36">IF(F164="","",IF(E164="PC 17",F164*4.2,IF(E164="PC 19",F164*5,"")))</f>
        <v>65</v>
      </c>
      <c r="H164" s="26" t="s">
        <v>19</v>
      </c>
      <c r="I164" s="26" t="s">
        <v>52</v>
      </c>
      <c r="J164" s="26" t="s">
        <v>27</v>
      </c>
      <c r="K164" s="29">
        <v>0.38472222222222224</v>
      </c>
      <c r="L164" s="29">
        <v>0.3972222222222222</v>
      </c>
      <c r="M164" s="30">
        <f t="shared" ref="M164:M175" ca="1" si="37">IFERROR(IF(K164="","",IF(L164="",MOD(NOW()-K164,1),IF(L164&gt;=K164,L164-K164,L164+1-K164))),"")</f>
        <v>1.2499999999999956E-2</v>
      </c>
      <c r="N164" s="27"/>
      <c r="O164" s="31"/>
    </row>
    <row r="165" spans="1:15" ht="15" customHeight="1">
      <c r="A165" s="69">
        <v>46210</v>
      </c>
      <c r="B165" s="32">
        <f t="shared" ref="B165:B175" si="38">B164+TIME(0,60,0)</f>
        <v>0.37499999999999967</v>
      </c>
      <c r="C165" s="26" t="s">
        <v>29</v>
      </c>
      <c r="D165" s="59" t="s">
        <v>38</v>
      </c>
      <c r="E165" s="62" t="s">
        <v>261</v>
      </c>
      <c r="F165" s="27">
        <v>20</v>
      </c>
      <c r="G165" s="34">
        <f t="shared" si="36"/>
        <v>84</v>
      </c>
      <c r="H165" s="33" t="s">
        <v>20</v>
      </c>
      <c r="I165" s="33" t="s">
        <v>139</v>
      </c>
      <c r="J165" s="33" t="s">
        <v>74</v>
      </c>
      <c r="K165" s="29">
        <v>0.63263888888888886</v>
      </c>
      <c r="L165" s="29">
        <v>0.64375000000000004</v>
      </c>
      <c r="M165" s="35">
        <f t="shared" ca="1" si="37"/>
        <v>1.1111111111111183E-2</v>
      </c>
      <c r="N165" s="27"/>
      <c r="O165" s="31"/>
    </row>
    <row r="166" spans="1:15" ht="15" customHeight="1">
      <c r="A166" s="68">
        <v>46210</v>
      </c>
      <c r="B166" s="25">
        <f t="shared" si="38"/>
        <v>0.41666666666666635</v>
      </c>
      <c r="C166" s="26" t="s">
        <v>29</v>
      </c>
      <c r="D166" s="59" t="s">
        <v>38</v>
      </c>
      <c r="E166" s="59" t="s">
        <v>261</v>
      </c>
      <c r="F166" s="27">
        <v>10</v>
      </c>
      <c r="G166" s="28">
        <f t="shared" si="36"/>
        <v>42</v>
      </c>
      <c r="H166" s="26" t="s">
        <v>19</v>
      </c>
      <c r="I166" s="26" t="s">
        <v>139</v>
      </c>
      <c r="J166" s="26" t="s">
        <v>61</v>
      </c>
      <c r="K166" s="29">
        <v>0.65625</v>
      </c>
      <c r="L166" s="29">
        <v>0.66805555555555551</v>
      </c>
      <c r="M166" s="30">
        <f t="shared" ca="1" si="37"/>
        <v>1.1805555555555514E-2</v>
      </c>
      <c r="N166" s="27"/>
      <c r="O166" s="31"/>
    </row>
    <row r="167" spans="1:15" ht="15" customHeight="1">
      <c r="A167" s="69">
        <v>46210</v>
      </c>
      <c r="B167" s="32">
        <f t="shared" si="38"/>
        <v>0.45833333333333304</v>
      </c>
      <c r="C167" s="26" t="s">
        <v>29</v>
      </c>
      <c r="D167" s="59" t="s">
        <v>22</v>
      </c>
      <c r="E167" s="62" t="s">
        <v>261</v>
      </c>
      <c r="F167" s="27">
        <v>10</v>
      </c>
      <c r="G167" s="34">
        <f t="shared" si="36"/>
        <v>42</v>
      </c>
      <c r="H167" s="33" t="s">
        <v>19</v>
      </c>
      <c r="I167" s="33" t="s">
        <v>57</v>
      </c>
      <c r="J167" s="33" t="s">
        <v>27</v>
      </c>
      <c r="K167" s="29">
        <v>0.68194444444444446</v>
      </c>
      <c r="L167" s="29">
        <v>0.69374999999999998</v>
      </c>
      <c r="M167" s="35">
        <f t="shared" ca="1" si="37"/>
        <v>1.1805555555555514E-2</v>
      </c>
      <c r="N167" s="27"/>
      <c r="O167" s="31"/>
    </row>
    <row r="168" spans="1:15" ht="15" customHeight="1">
      <c r="A168" s="68">
        <v>46210</v>
      </c>
      <c r="B168" s="25">
        <f t="shared" si="38"/>
        <v>0.49999999999999972</v>
      </c>
      <c r="C168" s="26" t="s">
        <v>29</v>
      </c>
      <c r="D168" s="59" t="s">
        <v>22</v>
      </c>
      <c r="E168" s="59" t="s">
        <v>261</v>
      </c>
      <c r="F168" s="27">
        <v>26</v>
      </c>
      <c r="G168" s="28">
        <f t="shared" si="36"/>
        <v>109.2</v>
      </c>
      <c r="H168" s="26" t="s">
        <v>20</v>
      </c>
      <c r="I168" s="26" t="s">
        <v>52</v>
      </c>
      <c r="J168" s="26" t="s">
        <v>36</v>
      </c>
      <c r="K168" s="29">
        <v>0.75486111111111109</v>
      </c>
      <c r="L168" s="29">
        <v>0.77083333333333337</v>
      </c>
      <c r="M168" s="30">
        <f t="shared" ca="1" si="37"/>
        <v>1.5972222222222276E-2</v>
      </c>
      <c r="N168" s="27" t="s">
        <v>400</v>
      </c>
      <c r="O168" s="31"/>
    </row>
    <row r="169" spans="1:15" ht="15" customHeight="1">
      <c r="A169" s="69">
        <v>46210</v>
      </c>
      <c r="B169" s="32">
        <f t="shared" si="38"/>
        <v>0.54166666666666641</v>
      </c>
      <c r="C169" s="26" t="s">
        <v>29</v>
      </c>
      <c r="D169" s="59" t="s">
        <v>22</v>
      </c>
      <c r="E169" s="62" t="s">
        <v>261</v>
      </c>
      <c r="F169" s="27">
        <v>20</v>
      </c>
      <c r="G169" s="34">
        <f t="shared" si="36"/>
        <v>84</v>
      </c>
      <c r="H169" s="33"/>
      <c r="I169" s="33"/>
      <c r="J169" s="33"/>
      <c r="K169" s="29"/>
      <c r="L169" s="29"/>
      <c r="M169" s="35" t="str">
        <f t="shared" ca="1" si="37"/>
        <v/>
      </c>
      <c r="N169" s="27"/>
      <c r="O169" s="31"/>
    </row>
    <row r="170" spans="1:15" ht="15" customHeight="1">
      <c r="A170" s="68">
        <v>46210</v>
      </c>
      <c r="B170" s="25">
        <f t="shared" si="38"/>
        <v>0.58333333333333304</v>
      </c>
      <c r="C170" s="26" t="s">
        <v>29</v>
      </c>
      <c r="D170" s="59" t="s">
        <v>22</v>
      </c>
      <c r="E170" s="59" t="s">
        <v>261</v>
      </c>
      <c r="F170" s="27">
        <v>20</v>
      </c>
      <c r="G170" s="28">
        <f t="shared" si="36"/>
        <v>84</v>
      </c>
      <c r="H170" s="26"/>
      <c r="I170" s="26"/>
      <c r="J170" s="26"/>
      <c r="K170" s="29"/>
      <c r="L170" s="29"/>
      <c r="M170" s="30" t="str">
        <f t="shared" ca="1" si="37"/>
        <v/>
      </c>
      <c r="N170" s="27"/>
      <c r="O170" s="31"/>
    </row>
    <row r="171" spans="1:15" ht="15" customHeight="1">
      <c r="A171" s="69">
        <v>46210</v>
      </c>
      <c r="B171" s="32">
        <f t="shared" si="38"/>
        <v>0.62499999999999967</v>
      </c>
      <c r="C171" s="26" t="s">
        <v>29</v>
      </c>
      <c r="D171" s="59" t="s">
        <v>22</v>
      </c>
      <c r="E171" s="62" t="s">
        <v>261</v>
      </c>
      <c r="F171" s="27">
        <v>12</v>
      </c>
      <c r="G171" s="34">
        <f t="shared" si="36"/>
        <v>50.400000000000006</v>
      </c>
      <c r="H171" s="33"/>
      <c r="I171" s="33"/>
      <c r="J171" s="33"/>
      <c r="K171" s="29"/>
      <c r="L171" s="29"/>
      <c r="M171" s="35" t="str">
        <f t="shared" ca="1" si="37"/>
        <v/>
      </c>
      <c r="N171" s="27"/>
      <c r="O171" s="31"/>
    </row>
    <row r="172" spans="1:15" ht="15" customHeight="1">
      <c r="A172" s="68">
        <v>46210</v>
      </c>
      <c r="B172" s="25">
        <f t="shared" si="38"/>
        <v>0.6666666666666663</v>
      </c>
      <c r="C172" s="26" t="s">
        <v>29</v>
      </c>
      <c r="D172" s="59" t="s">
        <v>22</v>
      </c>
      <c r="E172" s="59" t="s">
        <v>261</v>
      </c>
      <c r="F172" s="27">
        <v>8</v>
      </c>
      <c r="G172" s="28">
        <f t="shared" si="36"/>
        <v>33.6</v>
      </c>
      <c r="H172" s="26"/>
      <c r="I172" s="26"/>
      <c r="J172" s="26"/>
      <c r="K172" s="29"/>
      <c r="L172" s="29"/>
      <c r="M172" s="30" t="str">
        <f t="shared" ca="1" si="37"/>
        <v/>
      </c>
      <c r="N172" s="27"/>
      <c r="O172" s="31"/>
    </row>
    <row r="173" spans="1:15" ht="15" customHeight="1">
      <c r="A173" s="69">
        <v>46210</v>
      </c>
      <c r="B173" s="32">
        <f t="shared" si="38"/>
        <v>0.70833333333333293</v>
      </c>
      <c r="C173" s="26" t="s">
        <v>29</v>
      </c>
      <c r="D173" s="59" t="s">
        <v>22</v>
      </c>
      <c r="E173" s="62" t="s">
        <v>261</v>
      </c>
      <c r="F173" s="27">
        <v>10</v>
      </c>
      <c r="G173" s="34">
        <f t="shared" si="36"/>
        <v>42</v>
      </c>
      <c r="H173" s="33"/>
      <c r="I173" s="33"/>
      <c r="J173" s="33"/>
      <c r="K173" s="29"/>
      <c r="L173" s="29"/>
      <c r="M173" s="35" t="str">
        <f t="shared" ca="1" si="37"/>
        <v/>
      </c>
      <c r="N173" s="27"/>
      <c r="O173" s="31"/>
    </row>
    <row r="174" spans="1:15" ht="15" customHeight="1">
      <c r="A174" s="68">
        <v>46210</v>
      </c>
      <c r="B174" s="25">
        <f t="shared" si="38"/>
        <v>0.74999999999999956</v>
      </c>
      <c r="C174" s="26" t="s">
        <v>29</v>
      </c>
      <c r="D174" s="59" t="s">
        <v>22</v>
      </c>
      <c r="E174" s="59" t="s">
        <v>261</v>
      </c>
      <c r="F174" s="27">
        <v>20</v>
      </c>
      <c r="G174" s="28">
        <f t="shared" si="36"/>
        <v>84</v>
      </c>
      <c r="H174" s="26"/>
      <c r="I174" s="26"/>
      <c r="J174" s="26"/>
      <c r="K174" s="29"/>
      <c r="L174" s="29"/>
      <c r="M174" s="30" t="str">
        <f t="shared" ca="1" si="37"/>
        <v/>
      </c>
      <c r="N174" s="27"/>
      <c r="O174" s="31"/>
    </row>
    <row r="175" spans="1:15" ht="15" customHeight="1">
      <c r="A175" s="69">
        <v>46210</v>
      </c>
      <c r="B175" s="32">
        <f t="shared" si="38"/>
        <v>0.79166666666666619</v>
      </c>
      <c r="C175" s="26" t="s">
        <v>29</v>
      </c>
      <c r="D175" s="59" t="s">
        <v>22</v>
      </c>
      <c r="E175" s="62" t="s">
        <v>261</v>
      </c>
      <c r="F175" s="27">
        <v>0</v>
      </c>
      <c r="G175" s="34">
        <f t="shared" si="36"/>
        <v>0</v>
      </c>
      <c r="H175" s="33"/>
      <c r="I175" s="33"/>
      <c r="J175" s="33"/>
      <c r="K175" s="29"/>
      <c r="L175" s="29"/>
      <c r="M175" s="35" t="str">
        <f t="shared" ca="1" si="37"/>
        <v/>
      </c>
      <c r="N175" s="27"/>
      <c r="O175" s="31"/>
    </row>
    <row r="176" spans="1:15" ht="15.75" customHeight="1">
      <c r="A176" s="119" t="s">
        <v>236</v>
      </c>
      <c r="B176" s="120"/>
      <c r="C176" s="120"/>
      <c r="D176" s="120"/>
      <c r="E176" s="121">
        <f>SUM(E164:E175)</f>
        <v>0</v>
      </c>
      <c r="F176" s="36">
        <f>SUM(F164:F175)</f>
        <v>169</v>
      </c>
      <c r="G176" s="36">
        <f>SUM(G164:G175)</f>
        <v>720.2</v>
      </c>
      <c r="H176" s="37"/>
      <c r="I176" s="37"/>
      <c r="J176" s="37"/>
      <c r="K176" s="61"/>
      <c r="L176" s="61"/>
      <c r="M176" s="38">
        <f ca="1">IFERROR(SUM(M164:M175),"")</f>
        <v>6.3194444444444442E-2</v>
      </c>
      <c r="N176" s="36" t="s">
        <v>237</v>
      </c>
      <c r="O176" s="39">
        <v>500370</v>
      </c>
    </row>
    <row r="177" spans="1:15" ht="15" customHeight="1">
      <c r="A177" s="69">
        <v>46210</v>
      </c>
      <c r="B177" s="32">
        <v>0.83333333333333304</v>
      </c>
      <c r="C177" s="33" t="s">
        <v>21</v>
      </c>
      <c r="D177" s="62" t="s">
        <v>22</v>
      </c>
      <c r="E177" s="62" t="s">
        <v>261</v>
      </c>
      <c r="F177" s="27">
        <v>32</v>
      </c>
      <c r="G177" s="34">
        <f t="shared" ref="G177:G188" si="39">IF(F177="","",IF(E177="PC 17",F177*4.2,IF(E177="PC 19",F177*5,"")))</f>
        <v>134.4</v>
      </c>
      <c r="H177" s="33" t="s">
        <v>19</v>
      </c>
      <c r="I177" s="33" t="s">
        <v>160</v>
      </c>
      <c r="J177" s="33" t="s">
        <v>27</v>
      </c>
      <c r="K177" s="29">
        <v>5.5555555555555552E-2</v>
      </c>
      <c r="L177" s="29">
        <v>6.9444444444444448E-2</v>
      </c>
      <c r="M177" s="35">
        <f t="shared" ref="M177:M188" ca="1" si="40">IFERROR(IF(K177="","",IF(L177="",MOD(NOW()-K177,1),IF(L177&gt;=K177,L177-K177,L177+1-K177))),"")</f>
        <v>1.3888888888888895E-2</v>
      </c>
      <c r="N177" s="27"/>
      <c r="O177" s="31"/>
    </row>
    <row r="178" spans="1:15" ht="15" customHeight="1">
      <c r="A178" s="68">
        <v>46210</v>
      </c>
      <c r="B178" s="25">
        <f t="shared" ref="B178:B188" si="41">B177+TIME(0,60,0)</f>
        <v>0.87499999999999967</v>
      </c>
      <c r="C178" s="33" t="s">
        <v>21</v>
      </c>
      <c r="D178" s="62" t="s">
        <v>22</v>
      </c>
      <c r="E178" s="62" t="s">
        <v>261</v>
      </c>
      <c r="F178" s="27">
        <v>16</v>
      </c>
      <c r="G178" s="28">
        <f t="shared" si="39"/>
        <v>67.2</v>
      </c>
      <c r="H178" s="26" t="s">
        <v>20</v>
      </c>
      <c r="I178" s="26" t="s">
        <v>139</v>
      </c>
      <c r="J178" s="26" t="s">
        <v>74</v>
      </c>
      <c r="K178" s="29">
        <v>0.13194444444444445</v>
      </c>
      <c r="L178" s="29">
        <v>0.15277777777777779</v>
      </c>
      <c r="M178" s="30">
        <f t="shared" ca="1" si="40"/>
        <v>2.0833333333333343E-2</v>
      </c>
      <c r="N178" s="27"/>
      <c r="O178" s="31"/>
    </row>
    <row r="179" spans="1:15" ht="15" customHeight="1">
      <c r="A179" s="69">
        <v>46210</v>
      </c>
      <c r="B179" s="32">
        <f t="shared" si="41"/>
        <v>0.9166666666666663</v>
      </c>
      <c r="C179" s="33" t="s">
        <v>21</v>
      </c>
      <c r="D179" s="62" t="s">
        <v>22</v>
      </c>
      <c r="E179" s="62" t="s">
        <v>261</v>
      </c>
      <c r="F179" s="27">
        <v>20</v>
      </c>
      <c r="G179" s="34">
        <f t="shared" si="39"/>
        <v>84</v>
      </c>
      <c r="H179" s="33" t="s">
        <v>20</v>
      </c>
      <c r="I179" s="33" t="s">
        <v>139</v>
      </c>
      <c r="J179" s="26" t="s">
        <v>74</v>
      </c>
      <c r="K179" s="29">
        <v>0.21249999999999999</v>
      </c>
      <c r="L179" s="29">
        <v>0.22708333333333333</v>
      </c>
      <c r="M179" s="35">
        <f t="shared" ca="1" si="40"/>
        <v>1.4583333333333337E-2</v>
      </c>
      <c r="N179" s="27"/>
      <c r="O179" s="31"/>
    </row>
    <row r="180" spans="1:15" ht="15" customHeight="1">
      <c r="A180" s="68">
        <v>46210</v>
      </c>
      <c r="B180" s="25">
        <f t="shared" si="41"/>
        <v>0.95833333333333293</v>
      </c>
      <c r="C180" s="33" t="s">
        <v>21</v>
      </c>
      <c r="D180" s="62" t="s">
        <v>22</v>
      </c>
      <c r="E180" s="62" t="s">
        <v>261</v>
      </c>
      <c r="F180" s="27">
        <v>30</v>
      </c>
      <c r="G180" s="28">
        <f t="shared" si="39"/>
        <v>126</v>
      </c>
      <c r="H180" s="26"/>
      <c r="I180" s="26"/>
      <c r="J180" s="26"/>
      <c r="K180" s="29"/>
      <c r="L180" s="29"/>
      <c r="M180" s="30" t="str">
        <f t="shared" ca="1" si="40"/>
        <v/>
      </c>
      <c r="N180" s="27"/>
      <c r="O180" s="31"/>
    </row>
    <row r="181" spans="1:15" ht="15" customHeight="1">
      <c r="A181" s="69">
        <v>46210</v>
      </c>
      <c r="B181" s="32">
        <f t="shared" si="41"/>
        <v>0.99999999999999956</v>
      </c>
      <c r="C181" s="33" t="s">
        <v>21</v>
      </c>
      <c r="D181" s="62" t="s">
        <v>22</v>
      </c>
      <c r="E181" s="62" t="s">
        <v>261</v>
      </c>
      <c r="F181" s="27">
        <v>21</v>
      </c>
      <c r="G181" s="34">
        <f t="shared" si="39"/>
        <v>88.2</v>
      </c>
      <c r="H181" s="33"/>
      <c r="I181" s="33"/>
      <c r="J181" s="33"/>
      <c r="K181" s="29"/>
      <c r="L181" s="29"/>
      <c r="M181" s="35" t="str">
        <f t="shared" ca="1" si="40"/>
        <v/>
      </c>
      <c r="N181" s="27"/>
      <c r="O181" s="31"/>
    </row>
    <row r="182" spans="1:15" ht="15" customHeight="1">
      <c r="A182" s="68">
        <v>46210</v>
      </c>
      <c r="B182" s="25">
        <f t="shared" si="41"/>
        <v>1.0416666666666663</v>
      </c>
      <c r="C182" s="33" t="s">
        <v>21</v>
      </c>
      <c r="D182" s="62" t="s">
        <v>22</v>
      </c>
      <c r="E182" s="62" t="s">
        <v>261</v>
      </c>
      <c r="F182" s="27">
        <v>15</v>
      </c>
      <c r="G182" s="28">
        <f t="shared" si="39"/>
        <v>63</v>
      </c>
      <c r="H182" s="26"/>
      <c r="I182" s="26"/>
      <c r="J182" s="26"/>
      <c r="K182" s="29"/>
      <c r="L182" s="29"/>
      <c r="M182" s="30" t="str">
        <f t="shared" ca="1" si="40"/>
        <v/>
      </c>
      <c r="N182" s="27"/>
      <c r="O182" s="31"/>
    </row>
    <row r="183" spans="1:15" ht="15" customHeight="1">
      <c r="A183" s="69">
        <v>46210</v>
      </c>
      <c r="B183" s="32">
        <f t="shared" si="41"/>
        <v>1.083333333333333</v>
      </c>
      <c r="C183" s="33" t="s">
        <v>21</v>
      </c>
      <c r="D183" s="62" t="s">
        <v>22</v>
      </c>
      <c r="E183" s="62" t="s">
        <v>261</v>
      </c>
      <c r="F183" s="27">
        <v>13</v>
      </c>
      <c r="G183" s="34">
        <f t="shared" si="39"/>
        <v>54.6</v>
      </c>
      <c r="H183" s="33"/>
      <c r="I183" s="33"/>
      <c r="J183" s="33"/>
      <c r="K183" s="29"/>
      <c r="L183" s="29"/>
      <c r="M183" s="35" t="str">
        <f t="shared" ca="1" si="40"/>
        <v/>
      </c>
      <c r="N183" s="27"/>
      <c r="O183" s="31"/>
    </row>
    <row r="184" spans="1:15" ht="15" customHeight="1">
      <c r="A184" s="68">
        <v>46210</v>
      </c>
      <c r="B184" s="25">
        <f t="shared" si="41"/>
        <v>1.1249999999999998</v>
      </c>
      <c r="C184" s="33" t="s">
        <v>21</v>
      </c>
      <c r="D184" s="62" t="s">
        <v>22</v>
      </c>
      <c r="E184" s="62" t="s">
        <v>261</v>
      </c>
      <c r="F184" s="27">
        <v>17</v>
      </c>
      <c r="G184" s="28">
        <f t="shared" si="39"/>
        <v>71.400000000000006</v>
      </c>
      <c r="H184" s="26"/>
      <c r="I184" s="26"/>
      <c r="J184" s="26"/>
      <c r="K184" s="29"/>
      <c r="L184" s="29"/>
      <c r="M184" s="30" t="str">
        <f t="shared" ca="1" si="40"/>
        <v/>
      </c>
      <c r="N184" s="27"/>
      <c r="O184" s="31"/>
    </row>
    <row r="185" spans="1:15" ht="15" customHeight="1">
      <c r="A185" s="69">
        <v>46210</v>
      </c>
      <c r="B185" s="32">
        <f t="shared" si="41"/>
        <v>1.1666666666666665</v>
      </c>
      <c r="C185" s="33" t="s">
        <v>21</v>
      </c>
      <c r="D185" s="62" t="s">
        <v>22</v>
      </c>
      <c r="E185" s="62" t="s">
        <v>261</v>
      </c>
      <c r="F185" s="27">
        <v>7</v>
      </c>
      <c r="G185" s="34">
        <f t="shared" si="39"/>
        <v>29.400000000000002</v>
      </c>
      <c r="H185" s="33"/>
      <c r="I185" s="33"/>
      <c r="J185" s="33"/>
      <c r="K185" s="29"/>
      <c r="L185" s="29"/>
      <c r="M185" s="35" t="str">
        <f t="shared" ca="1" si="40"/>
        <v/>
      </c>
      <c r="N185" s="27"/>
      <c r="O185" s="31"/>
    </row>
    <row r="186" spans="1:15" ht="15" customHeight="1">
      <c r="A186" s="68">
        <v>46210</v>
      </c>
      <c r="B186" s="25">
        <f t="shared" si="41"/>
        <v>1.2083333333333333</v>
      </c>
      <c r="C186" s="33" t="s">
        <v>21</v>
      </c>
      <c r="D186" s="62" t="s">
        <v>22</v>
      </c>
      <c r="E186" s="62" t="s">
        <v>261</v>
      </c>
      <c r="F186" s="27">
        <v>22</v>
      </c>
      <c r="G186" s="28">
        <f t="shared" si="39"/>
        <v>92.4</v>
      </c>
      <c r="H186" s="26"/>
      <c r="I186" s="26"/>
      <c r="J186" s="26"/>
      <c r="K186" s="29"/>
      <c r="L186" s="29"/>
      <c r="M186" s="30" t="str">
        <f t="shared" ca="1" si="40"/>
        <v/>
      </c>
      <c r="N186" s="27"/>
      <c r="O186" s="31"/>
    </row>
    <row r="187" spans="1:15" ht="15" customHeight="1">
      <c r="A187" s="69">
        <v>46210</v>
      </c>
      <c r="B187" s="32">
        <f t="shared" si="41"/>
        <v>1.25</v>
      </c>
      <c r="C187" s="33" t="s">
        <v>21</v>
      </c>
      <c r="D187" s="62" t="s">
        <v>22</v>
      </c>
      <c r="E187" s="62" t="s">
        <v>261</v>
      </c>
      <c r="F187" s="27">
        <v>15</v>
      </c>
      <c r="G187" s="34">
        <f t="shared" si="39"/>
        <v>63</v>
      </c>
      <c r="H187" s="33"/>
      <c r="I187" s="33"/>
      <c r="J187" s="33"/>
      <c r="K187" s="29"/>
      <c r="L187" s="29"/>
      <c r="M187" s="35" t="str">
        <f t="shared" ca="1" si="40"/>
        <v/>
      </c>
      <c r="N187" s="27"/>
      <c r="O187" s="31"/>
    </row>
    <row r="188" spans="1:15" ht="15" customHeight="1">
      <c r="A188" s="68">
        <v>46210</v>
      </c>
      <c r="B188" s="25">
        <f t="shared" si="41"/>
        <v>1.2916666666666667</v>
      </c>
      <c r="C188" s="33" t="s">
        <v>21</v>
      </c>
      <c r="D188" s="62" t="s">
        <v>22</v>
      </c>
      <c r="E188" s="62" t="s">
        <v>261</v>
      </c>
      <c r="F188" s="27">
        <v>9</v>
      </c>
      <c r="G188" s="28">
        <f t="shared" si="39"/>
        <v>37.800000000000004</v>
      </c>
      <c r="H188" s="26"/>
      <c r="I188" s="26"/>
      <c r="J188" s="26"/>
      <c r="K188" s="29"/>
      <c r="L188" s="29"/>
      <c r="M188" s="30" t="str">
        <f t="shared" ca="1" si="40"/>
        <v/>
      </c>
      <c r="N188" s="27"/>
      <c r="O188" s="31"/>
    </row>
    <row r="189" spans="1:15" ht="15.75" customHeight="1">
      <c r="A189" s="119" t="s">
        <v>238</v>
      </c>
      <c r="B189" s="120"/>
      <c r="C189" s="120"/>
      <c r="D189" s="120"/>
      <c r="E189" s="121">
        <f>SUM(E177:E188)</f>
        <v>0</v>
      </c>
      <c r="F189" s="36">
        <f>SUM(F177:F188)</f>
        <v>217</v>
      </c>
      <c r="G189" s="36">
        <f>SUM(G177:G188)</f>
        <v>911.39999999999986</v>
      </c>
      <c r="H189" s="37"/>
      <c r="I189" s="37"/>
      <c r="J189" s="37"/>
      <c r="K189" s="61"/>
      <c r="L189" s="61"/>
      <c r="M189" s="38">
        <f ca="1">IFERROR(SUM(M177:M188),"")</f>
        <v>4.9305555555555575E-2</v>
      </c>
      <c r="N189" s="36" t="s">
        <v>237</v>
      </c>
      <c r="O189" s="39">
        <v>973580</v>
      </c>
    </row>
    <row r="190" spans="1:15" ht="18" customHeight="1">
      <c r="A190" s="122" t="s">
        <v>239</v>
      </c>
      <c r="B190" s="123"/>
      <c r="C190" s="123"/>
      <c r="D190" s="123"/>
      <c r="E190" s="124">
        <f>E176+E189</f>
        <v>0</v>
      </c>
      <c r="F190" s="40">
        <f>F176+F189</f>
        <v>386</v>
      </c>
      <c r="G190" s="40">
        <f>G176+G189</f>
        <v>1631.6</v>
      </c>
      <c r="H190" s="41"/>
      <c r="I190" s="41"/>
      <c r="J190" s="41"/>
      <c r="K190" s="63"/>
      <c r="L190" s="63"/>
      <c r="M190" s="42">
        <f ca="1">IFERROR(M176+M189,"")</f>
        <v>0.11250000000000002</v>
      </c>
      <c r="N190" s="40" t="s">
        <v>240</v>
      </c>
      <c r="O190" s="43">
        <f>IFERROR(O176+O189,"")</f>
        <v>1473950</v>
      </c>
    </row>
    <row r="191" spans="1:15" ht="15" customHeight="1">
      <c r="A191" s="69">
        <v>46211</v>
      </c>
      <c r="B191" s="32">
        <v>0.33333333333333298</v>
      </c>
      <c r="C191" s="33" t="s">
        <v>29</v>
      </c>
      <c r="D191" s="62" t="s">
        <v>22</v>
      </c>
      <c r="E191" s="62" t="s">
        <v>261</v>
      </c>
      <c r="F191" s="27">
        <v>20</v>
      </c>
      <c r="G191" s="34">
        <f t="shared" ref="G191:G202" si="42">IF(F191="","",IF(E191="PC 17",F191*4.2,IF(E191="PC 19",F191*5,"")))</f>
        <v>84</v>
      </c>
      <c r="H191" s="33" t="s">
        <v>18</v>
      </c>
      <c r="I191" s="33" t="s">
        <v>141</v>
      </c>
      <c r="J191" s="33" t="s">
        <v>128</v>
      </c>
      <c r="K191" s="29">
        <v>0.34722222222222221</v>
      </c>
      <c r="L191" s="29">
        <v>0.35416666666666669</v>
      </c>
      <c r="M191" s="35">
        <f t="shared" ref="M191:M202" ca="1" si="43">IFERROR(IF(K191="","",IF(L191="",MOD(NOW()-K191,1),IF(L191&gt;=K191,L191-K191,L191+1-K191))),"")</f>
        <v>6.9444444444444753E-3</v>
      </c>
      <c r="N191" s="27"/>
      <c r="O191" s="31"/>
    </row>
    <row r="192" spans="1:15" ht="15" customHeight="1">
      <c r="A192" s="68">
        <v>46211</v>
      </c>
      <c r="B192" s="25">
        <f t="shared" ref="B192:B202" si="44">B191+TIME(0,60,0)</f>
        <v>0.37499999999999967</v>
      </c>
      <c r="C192" s="33" t="s">
        <v>29</v>
      </c>
      <c r="D192" s="62" t="s">
        <v>22</v>
      </c>
      <c r="E192" s="62" t="s">
        <v>261</v>
      </c>
      <c r="F192" s="27">
        <v>15</v>
      </c>
      <c r="G192" s="28">
        <f t="shared" si="42"/>
        <v>63</v>
      </c>
      <c r="H192" s="26" t="s">
        <v>19</v>
      </c>
      <c r="I192" s="26" t="s">
        <v>160</v>
      </c>
      <c r="J192" s="26" t="s">
        <v>27</v>
      </c>
      <c r="K192" s="29">
        <v>0.40625</v>
      </c>
      <c r="L192" s="29">
        <v>0.42499999999999999</v>
      </c>
      <c r="M192" s="30">
        <f t="shared" ca="1" si="43"/>
        <v>1.8749999999999989E-2</v>
      </c>
      <c r="N192" s="27"/>
      <c r="O192" s="31"/>
    </row>
    <row r="193" spans="1:15" ht="15" customHeight="1">
      <c r="A193" s="69">
        <v>46211</v>
      </c>
      <c r="B193" s="32">
        <f t="shared" si="44"/>
        <v>0.41666666666666635</v>
      </c>
      <c r="C193" s="33" t="s">
        <v>29</v>
      </c>
      <c r="D193" s="62" t="s">
        <v>22</v>
      </c>
      <c r="E193" s="62" t="s">
        <v>261</v>
      </c>
      <c r="F193" s="27">
        <v>15</v>
      </c>
      <c r="G193" s="34">
        <f t="shared" si="42"/>
        <v>63</v>
      </c>
      <c r="H193" s="33" t="s">
        <v>18</v>
      </c>
      <c r="I193" s="33" t="s">
        <v>139</v>
      </c>
      <c r="J193" s="33" t="s">
        <v>88</v>
      </c>
      <c r="K193" s="29">
        <v>0.62777777777777777</v>
      </c>
      <c r="L193" s="29">
        <v>0.76041666666666663</v>
      </c>
      <c r="M193" s="35">
        <f t="shared" ca="1" si="43"/>
        <v>0.13263888888888886</v>
      </c>
      <c r="N193" s="27" t="s">
        <v>401</v>
      </c>
      <c r="O193" s="31"/>
    </row>
    <row r="194" spans="1:15" ht="15" customHeight="1">
      <c r="A194" s="68">
        <v>46211</v>
      </c>
      <c r="B194" s="25">
        <f t="shared" si="44"/>
        <v>0.45833333333333304</v>
      </c>
      <c r="C194" s="33" t="s">
        <v>29</v>
      </c>
      <c r="D194" s="62" t="s">
        <v>22</v>
      </c>
      <c r="E194" s="62" t="s">
        <v>261</v>
      </c>
      <c r="F194" s="27">
        <v>15</v>
      </c>
      <c r="G194" s="28">
        <f t="shared" si="42"/>
        <v>63</v>
      </c>
      <c r="H194" s="26" t="s">
        <v>19</v>
      </c>
      <c r="I194" s="26" t="s">
        <v>160</v>
      </c>
      <c r="J194" s="26" t="s">
        <v>27</v>
      </c>
      <c r="K194" s="29">
        <v>0.62777777777777777</v>
      </c>
      <c r="L194" s="29">
        <v>0.66666666666666663</v>
      </c>
      <c r="M194" s="30">
        <f t="shared" ca="1" si="43"/>
        <v>3.8888888888888862E-2</v>
      </c>
      <c r="N194" s="27" t="s">
        <v>402</v>
      </c>
      <c r="O194" s="31"/>
    </row>
    <row r="195" spans="1:15" ht="15" customHeight="1">
      <c r="A195" s="69">
        <v>46211</v>
      </c>
      <c r="B195" s="32">
        <f t="shared" si="44"/>
        <v>0.49999999999999972</v>
      </c>
      <c r="C195" s="33" t="s">
        <v>29</v>
      </c>
      <c r="D195" s="62" t="s">
        <v>22</v>
      </c>
      <c r="E195" s="62" t="s">
        <v>261</v>
      </c>
      <c r="F195" s="27">
        <v>20</v>
      </c>
      <c r="G195" s="34">
        <f t="shared" si="42"/>
        <v>84</v>
      </c>
      <c r="H195" s="33"/>
      <c r="I195" s="33"/>
      <c r="J195" s="33"/>
      <c r="K195" s="29"/>
      <c r="L195" s="29"/>
      <c r="M195" s="35" t="str">
        <f t="shared" ca="1" si="43"/>
        <v/>
      </c>
      <c r="N195" s="27"/>
      <c r="O195" s="31"/>
    </row>
    <row r="196" spans="1:15" ht="15" customHeight="1">
      <c r="A196" s="68">
        <v>46211</v>
      </c>
      <c r="B196" s="25">
        <f t="shared" si="44"/>
        <v>0.54166666666666641</v>
      </c>
      <c r="C196" s="33" t="s">
        <v>29</v>
      </c>
      <c r="D196" s="62" t="s">
        <v>22</v>
      </c>
      <c r="E196" s="62" t="s">
        <v>261</v>
      </c>
      <c r="F196" s="27">
        <v>20</v>
      </c>
      <c r="G196" s="28">
        <f t="shared" si="42"/>
        <v>84</v>
      </c>
      <c r="H196" s="26"/>
      <c r="I196" s="26"/>
      <c r="J196" s="26"/>
      <c r="K196" s="29"/>
      <c r="L196" s="29"/>
      <c r="M196" s="30" t="str">
        <f t="shared" ca="1" si="43"/>
        <v/>
      </c>
      <c r="N196" s="27"/>
      <c r="O196" s="31"/>
    </row>
    <row r="197" spans="1:15" ht="15" customHeight="1">
      <c r="A197" s="69">
        <v>46211</v>
      </c>
      <c r="B197" s="32">
        <f t="shared" si="44"/>
        <v>0.58333333333333304</v>
      </c>
      <c r="C197" s="33" t="s">
        <v>29</v>
      </c>
      <c r="D197" s="62" t="s">
        <v>22</v>
      </c>
      <c r="E197" s="62" t="s">
        <v>261</v>
      </c>
      <c r="F197" s="27">
        <v>20</v>
      </c>
      <c r="G197" s="34">
        <f t="shared" si="42"/>
        <v>84</v>
      </c>
      <c r="H197" s="33"/>
      <c r="I197" s="33"/>
      <c r="J197" s="33"/>
      <c r="K197" s="29"/>
      <c r="L197" s="29"/>
      <c r="M197" s="35" t="str">
        <f t="shared" ca="1" si="43"/>
        <v/>
      </c>
      <c r="N197" s="27"/>
      <c r="O197" s="31"/>
    </row>
    <row r="198" spans="1:15" ht="15" customHeight="1">
      <c r="A198" s="68">
        <v>46211</v>
      </c>
      <c r="B198" s="25">
        <f t="shared" si="44"/>
        <v>0.62499999999999967</v>
      </c>
      <c r="C198" s="33" t="s">
        <v>29</v>
      </c>
      <c r="D198" s="62" t="s">
        <v>22</v>
      </c>
      <c r="E198" s="62" t="s">
        <v>261</v>
      </c>
      <c r="F198" s="27">
        <v>25</v>
      </c>
      <c r="G198" s="28">
        <f t="shared" si="42"/>
        <v>105</v>
      </c>
      <c r="H198" s="26"/>
      <c r="I198" s="26"/>
      <c r="J198" s="26"/>
      <c r="K198" s="29"/>
      <c r="L198" s="29"/>
      <c r="M198" s="30" t="str">
        <f t="shared" ca="1" si="43"/>
        <v/>
      </c>
      <c r="N198" s="27"/>
      <c r="O198" s="31"/>
    </row>
    <row r="199" spans="1:15" ht="15" customHeight="1">
      <c r="A199" s="69">
        <v>46211</v>
      </c>
      <c r="B199" s="32">
        <f t="shared" si="44"/>
        <v>0.6666666666666663</v>
      </c>
      <c r="C199" s="33" t="s">
        <v>29</v>
      </c>
      <c r="D199" s="62" t="s">
        <v>22</v>
      </c>
      <c r="E199" s="62" t="s">
        <v>261</v>
      </c>
      <c r="F199" s="27">
        <v>0</v>
      </c>
      <c r="G199" s="34">
        <f t="shared" si="42"/>
        <v>0</v>
      </c>
      <c r="H199" s="33"/>
      <c r="I199" s="33"/>
      <c r="J199" s="33"/>
      <c r="K199" s="29"/>
      <c r="L199" s="29"/>
      <c r="M199" s="35" t="str">
        <f t="shared" ca="1" si="43"/>
        <v/>
      </c>
      <c r="N199" s="27"/>
      <c r="O199" s="31"/>
    </row>
    <row r="200" spans="1:15" ht="15" customHeight="1">
      <c r="A200" s="68">
        <v>46211</v>
      </c>
      <c r="B200" s="25">
        <f t="shared" si="44"/>
        <v>0.70833333333333293</v>
      </c>
      <c r="C200" s="33" t="s">
        <v>29</v>
      </c>
      <c r="D200" s="62" t="s">
        <v>22</v>
      </c>
      <c r="E200" s="62" t="s">
        <v>261</v>
      </c>
      <c r="F200" s="27">
        <v>0</v>
      </c>
      <c r="G200" s="28">
        <f t="shared" si="42"/>
        <v>0</v>
      </c>
      <c r="H200" s="26"/>
      <c r="I200" s="26"/>
      <c r="J200" s="26"/>
      <c r="K200" s="29"/>
      <c r="L200" s="29"/>
      <c r="M200" s="30" t="str">
        <f t="shared" ca="1" si="43"/>
        <v/>
      </c>
      <c r="N200" s="27"/>
      <c r="O200" s="31"/>
    </row>
    <row r="201" spans="1:15" ht="15" customHeight="1">
      <c r="A201" s="69">
        <v>46211</v>
      </c>
      <c r="B201" s="32">
        <f t="shared" si="44"/>
        <v>0.74999999999999956</v>
      </c>
      <c r="C201" s="33" t="s">
        <v>29</v>
      </c>
      <c r="D201" s="62" t="s">
        <v>22</v>
      </c>
      <c r="E201" s="62" t="s">
        <v>261</v>
      </c>
      <c r="F201" s="27">
        <v>0</v>
      </c>
      <c r="G201" s="34">
        <f t="shared" si="42"/>
        <v>0</v>
      </c>
      <c r="H201" s="33"/>
      <c r="I201" s="33"/>
      <c r="J201" s="33"/>
      <c r="K201" s="29"/>
      <c r="L201" s="29"/>
      <c r="M201" s="35" t="str">
        <f t="shared" ca="1" si="43"/>
        <v/>
      </c>
      <c r="N201" s="27"/>
      <c r="O201" s="31"/>
    </row>
    <row r="202" spans="1:15" ht="15" customHeight="1">
      <c r="A202" s="68">
        <v>46211</v>
      </c>
      <c r="B202" s="25">
        <f t="shared" si="44"/>
        <v>0.79166666666666619</v>
      </c>
      <c r="C202" s="33" t="s">
        <v>29</v>
      </c>
      <c r="D202" s="62" t="s">
        <v>22</v>
      </c>
      <c r="E202" s="62" t="s">
        <v>261</v>
      </c>
      <c r="F202" s="27">
        <v>0</v>
      </c>
      <c r="G202" s="28">
        <f t="shared" si="42"/>
        <v>0</v>
      </c>
      <c r="H202" s="26"/>
      <c r="I202" s="26"/>
      <c r="J202" s="26"/>
      <c r="K202" s="29"/>
      <c r="L202" s="29"/>
      <c r="M202" s="30" t="str">
        <f t="shared" ca="1" si="43"/>
        <v/>
      </c>
      <c r="N202" s="27"/>
      <c r="O202" s="31"/>
    </row>
    <row r="203" spans="1:15" ht="15.75" customHeight="1">
      <c r="A203" s="119" t="s">
        <v>236</v>
      </c>
      <c r="B203" s="120"/>
      <c r="C203" s="120"/>
      <c r="D203" s="120"/>
      <c r="E203" s="121">
        <f>SUM(E191:E202)</f>
        <v>0</v>
      </c>
      <c r="F203" s="36">
        <f>SUM(F191:F202)</f>
        <v>150</v>
      </c>
      <c r="G203" s="36">
        <f>SUM(G191:G202)</f>
        <v>630</v>
      </c>
      <c r="H203" s="37"/>
      <c r="I203" s="37"/>
      <c r="J203" s="37"/>
      <c r="K203" s="61"/>
      <c r="L203" s="61"/>
      <c r="M203" s="38">
        <f ca="1">IFERROR(SUM(M191:M202),"")</f>
        <v>0.19722222222222219</v>
      </c>
      <c r="N203" s="36" t="s">
        <v>237</v>
      </c>
      <c r="O203" s="45">
        <v>674440</v>
      </c>
    </row>
    <row r="204" spans="1:15" ht="15" customHeight="1">
      <c r="A204" s="68">
        <v>46211</v>
      </c>
      <c r="B204" s="25">
        <v>0.83333333333333304</v>
      </c>
      <c r="C204" s="26" t="s">
        <v>21</v>
      </c>
      <c r="D204" s="59" t="s">
        <v>30</v>
      </c>
      <c r="E204" s="59" t="s">
        <v>261</v>
      </c>
      <c r="F204" s="27">
        <v>2</v>
      </c>
      <c r="G204" s="28">
        <f t="shared" ref="G204:G215" si="45">IF(F204="","",IF(E204="PC 17",F204*4.2,IF(E204="PC 19",F204*5,"")))</f>
        <v>8.4</v>
      </c>
      <c r="H204" s="26" t="s">
        <v>18</v>
      </c>
      <c r="I204" s="26"/>
      <c r="J204" s="26" t="s">
        <v>105</v>
      </c>
      <c r="K204" s="29">
        <v>0.79166666666666663</v>
      </c>
      <c r="L204" s="29">
        <v>0.82638888888888884</v>
      </c>
      <c r="M204" s="30">
        <f t="shared" ref="M204:M215" ca="1" si="46">IFERROR(IF(K204="","",IF(L204="",MOD(NOW()-K204,1),IF(L204&gt;=K204,L204-K204,L204+1-K204))),"")</f>
        <v>3.472222222222221E-2</v>
      </c>
      <c r="N204" s="27"/>
      <c r="O204" s="60"/>
    </row>
    <row r="205" spans="1:15" ht="15" customHeight="1">
      <c r="A205" s="69">
        <v>46211</v>
      </c>
      <c r="B205" s="32">
        <f t="shared" ref="B205:B215" si="47">B204+TIME(0,60,0)</f>
        <v>0.87499999999999967</v>
      </c>
      <c r="C205" s="26" t="s">
        <v>21</v>
      </c>
      <c r="D205" s="59" t="s">
        <v>30</v>
      </c>
      <c r="E205" s="59" t="s">
        <v>234</v>
      </c>
      <c r="F205" s="27">
        <v>12</v>
      </c>
      <c r="G205" s="34">
        <f t="shared" si="45"/>
        <v>60</v>
      </c>
      <c r="H205" s="33" t="s">
        <v>19</v>
      </c>
      <c r="I205" s="33" t="s">
        <v>52</v>
      </c>
      <c r="J205" s="33" t="s">
        <v>78</v>
      </c>
      <c r="K205" s="29">
        <v>0.95138888888888884</v>
      </c>
      <c r="L205" s="29">
        <v>0.95833333333333337</v>
      </c>
      <c r="M205" s="35">
        <f t="shared" ca="1" si="46"/>
        <v>6.9444444444445308E-3</v>
      </c>
      <c r="N205" s="27"/>
      <c r="O205" s="60"/>
    </row>
    <row r="206" spans="1:15" ht="15" customHeight="1">
      <c r="A206" s="68">
        <v>46211</v>
      </c>
      <c r="B206" s="25">
        <f t="shared" si="47"/>
        <v>0.9166666666666663</v>
      </c>
      <c r="C206" s="26" t="s">
        <v>21</v>
      </c>
      <c r="D206" s="59" t="s">
        <v>30</v>
      </c>
      <c r="E206" s="59" t="s">
        <v>261</v>
      </c>
      <c r="F206" s="27">
        <v>23</v>
      </c>
      <c r="G206" s="28">
        <f t="shared" si="45"/>
        <v>96.600000000000009</v>
      </c>
      <c r="H206" s="26" t="s">
        <v>18</v>
      </c>
      <c r="I206" s="26" t="s">
        <v>52</v>
      </c>
      <c r="J206" s="26" t="s">
        <v>164</v>
      </c>
      <c r="K206" s="29">
        <v>2.0833333333333332E-2</v>
      </c>
      <c r="L206" s="29">
        <v>3.0555555555555555E-2</v>
      </c>
      <c r="M206" s="30">
        <f t="shared" ca="1" si="46"/>
        <v>9.7222222222222224E-3</v>
      </c>
      <c r="N206" s="27" t="s">
        <v>403</v>
      </c>
      <c r="O206" s="60"/>
    </row>
    <row r="207" spans="1:15" ht="15" customHeight="1">
      <c r="A207" s="69">
        <v>46211</v>
      </c>
      <c r="B207" s="32">
        <f t="shared" si="47"/>
        <v>0.95833333333333293</v>
      </c>
      <c r="C207" s="26" t="s">
        <v>21</v>
      </c>
      <c r="D207" s="59" t="s">
        <v>30</v>
      </c>
      <c r="E207" s="59" t="s">
        <v>261</v>
      </c>
      <c r="F207" s="27">
        <v>20</v>
      </c>
      <c r="G207" s="34">
        <f t="shared" si="45"/>
        <v>84</v>
      </c>
      <c r="H207" s="33" t="s">
        <v>20</v>
      </c>
      <c r="I207" s="33" t="s">
        <v>52</v>
      </c>
      <c r="J207" s="33" t="s">
        <v>28</v>
      </c>
      <c r="K207" s="29">
        <v>0.05</v>
      </c>
      <c r="L207" s="29">
        <v>5.6944444444444443E-2</v>
      </c>
      <c r="M207" s="35">
        <f t="shared" ca="1" si="46"/>
        <v>6.9444444444444406E-3</v>
      </c>
      <c r="N207" s="27"/>
      <c r="O207" s="60"/>
    </row>
    <row r="208" spans="1:15" ht="15" customHeight="1">
      <c r="A208" s="68">
        <v>46211</v>
      </c>
      <c r="B208" s="25">
        <f t="shared" si="47"/>
        <v>0.99999999999999956</v>
      </c>
      <c r="C208" s="26" t="s">
        <v>21</v>
      </c>
      <c r="D208" s="59" t="s">
        <v>30</v>
      </c>
      <c r="E208" s="59" t="s">
        <v>261</v>
      </c>
      <c r="F208" s="27">
        <v>26</v>
      </c>
      <c r="G208" s="28">
        <f t="shared" si="45"/>
        <v>109.2</v>
      </c>
      <c r="H208" s="26" t="s">
        <v>20</v>
      </c>
      <c r="I208" s="26" t="s">
        <v>52</v>
      </c>
      <c r="J208" s="26" t="s">
        <v>51</v>
      </c>
      <c r="K208" s="29">
        <v>9.166666666666666E-2</v>
      </c>
      <c r="L208" s="29">
        <v>9.6527777777777782E-2</v>
      </c>
      <c r="M208" s="30">
        <f t="shared" ca="1" si="46"/>
        <v>4.8611111111111216E-3</v>
      </c>
      <c r="N208" s="27"/>
      <c r="O208" s="60"/>
    </row>
    <row r="209" spans="1:15" ht="15" customHeight="1">
      <c r="A209" s="69">
        <v>46211</v>
      </c>
      <c r="B209" s="32">
        <f t="shared" si="47"/>
        <v>1.0416666666666663</v>
      </c>
      <c r="C209" s="26" t="s">
        <v>21</v>
      </c>
      <c r="D209" s="59" t="s">
        <v>30</v>
      </c>
      <c r="E209" s="59" t="s">
        <v>261</v>
      </c>
      <c r="F209" s="27">
        <v>17</v>
      </c>
      <c r="G209" s="34">
        <f t="shared" si="45"/>
        <v>71.400000000000006</v>
      </c>
      <c r="H209" s="33" t="s">
        <v>19</v>
      </c>
      <c r="I209" s="33" t="s">
        <v>57</v>
      </c>
      <c r="J209" s="33" t="s">
        <v>27</v>
      </c>
      <c r="K209" s="29">
        <v>0.22916666666666666</v>
      </c>
      <c r="L209" s="29">
        <v>0.24652777777777779</v>
      </c>
      <c r="M209" s="35">
        <f t="shared" ca="1" si="46"/>
        <v>1.7361111111111133E-2</v>
      </c>
      <c r="N209" s="27"/>
      <c r="O209" s="60"/>
    </row>
    <row r="210" spans="1:15" ht="15" customHeight="1">
      <c r="A210" s="68">
        <v>46211</v>
      </c>
      <c r="B210" s="25">
        <f t="shared" si="47"/>
        <v>1.083333333333333</v>
      </c>
      <c r="C210" s="26" t="s">
        <v>21</v>
      </c>
      <c r="D210" s="59" t="s">
        <v>30</v>
      </c>
      <c r="E210" s="59" t="s">
        <v>261</v>
      </c>
      <c r="F210" s="27">
        <v>17</v>
      </c>
      <c r="G210" s="28">
        <f t="shared" si="45"/>
        <v>71.400000000000006</v>
      </c>
      <c r="H210" s="26"/>
      <c r="I210" s="26"/>
      <c r="J210" s="26"/>
      <c r="K210" s="29"/>
      <c r="L210" s="29"/>
      <c r="M210" s="30" t="str">
        <f t="shared" ca="1" si="46"/>
        <v/>
      </c>
      <c r="N210" s="27"/>
      <c r="O210" s="60"/>
    </row>
    <row r="211" spans="1:15" ht="15" customHeight="1">
      <c r="A211" s="69">
        <v>46211</v>
      </c>
      <c r="B211" s="32">
        <f t="shared" si="47"/>
        <v>1.1249999999999998</v>
      </c>
      <c r="C211" s="26" t="s">
        <v>21</v>
      </c>
      <c r="D211" s="59" t="s">
        <v>30</v>
      </c>
      <c r="E211" s="59" t="s">
        <v>261</v>
      </c>
      <c r="F211" s="27">
        <v>25</v>
      </c>
      <c r="G211" s="34">
        <f t="shared" si="45"/>
        <v>105</v>
      </c>
      <c r="H211" s="33"/>
      <c r="I211" s="33"/>
      <c r="J211" s="33"/>
      <c r="K211" s="29"/>
      <c r="L211" s="29"/>
      <c r="M211" s="35" t="str">
        <f t="shared" ca="1" si="46"/>
        <v/>
      </c>
      <c r="N211" s="27"/>
      <c r="O211" s="60"/>
    </row>
    <row r="212" spans="1:15" ht="15" customHeight="1">
      <c r="A212" s="68">
        <v>46211</v>
      </c>
      <c r="B212" s="25">
        <f t="shared" si="47"/>
        <v>1.1666666666666665</v>
      </c>
      <c r="C212" s="26" t="s">
        <v>21</v>
      </c>
      <c r="D212" s="59" t="s">
        <v>30</v>
      </c>
      <c r="E212" s="59" t="s">
        <v>261</v>
      </c>
      <c r="F212" s="27">
        <v>22</v>
      </c>
      <c r="G212" s="28">
        <f t="shared" si="45"/>
        <v>92.4</v>
      </c>
      <c r="H212" s="26"/>
      <c r="I212" s="26"/>
      <c r="J212" s="26"/>
      <c r="K212" s="29"/>
      <c r="L212" s="29"/>
      <c r="M212" s="30" t="str">
        <f t="shared" ca="1" si="46"/>
        <v/>
      </c>
      <c r="N212" s="27"/>
      <c r="O212" s="60"/>
    </row>
    <row r="213" spans="1:15" ht="15" customHeight="1">
      <c r="A213" s="69">
        <v>46211</v>
      </c>
      <c r="B213" s="32">
        <f t="shared" si="47"/>
        <v>1.2083333333333333</v>
      </c>
      <c r="C213" s="26" t="s">
        <v>21</v>
      </c>
      <c r="D213" s="59" t="s">
        <v>30</v>
      </c>
      <c r="E213" s="59" t="s">
        <v>261</v>
      </c>
      <c r="F213" s="27">
        <v>13</v>
      </c>
      <c r="G213" s="34">
        <f t="shared" si="45"/>
        <v>54.6</v>
      </c>
      <c r="H213" s="33"/>
      <c r="I213" s="33"/>
      <c r="J213" s="33"/>
      <c r="K213" s="29"/>
      <c r="L213" s="29"/>
      <c r="M213" s="35" t="str">
        <f t="shared" ca="1" si="46"/>
        <v/>
      </c>
      <c r="N213" s="27"/>
      <c r="O213" s="60"/>
    </row>
    <row r="214" spans="1:15" ht="15" customHeight="1">
      <c r="A214" s="68">
        <v>46211</v>
      </c>
      <c r="B214" s="25">
        <f t="shared" si="47"/>
        <v>1.25</v>
      </c>
      <c r="C214" s="26" t="s">
        <v>21</v>
      </c>
      <c r="D214" s="59" t="s">
        <v>30</v>
      </c>
      <c r="E214" s="59" t="s">
        <v>261</v>
      </c>
      <c r="F214" s="27">
        <v>20</v>
      </c>
      <c r="G214" s="28">
        <f t="shared" si="45"/>
        <v>84</v>
      </c>
      <c r="H214" s="26"/>
      <c r="I214" s="26"/>
      <c r="J214" s="26"/>
      <c r="K214" s="29"/>
      <c r="L214" s="29"/>
      <c r="M214" s="30" t="str">
        <f t="shared" ca="1" si="46"/>
        <v/>
      </c>
      <c r="N214" s="27"/>
      <c r="O214" s="60"/>
    </row>
    <row r="215" spans="1:15" ht="15" customHeight="1">
      <c r="A215" s="69">
        <v>46211</v>
      </c>
      <c r="B215" s="32">
        <f t="shared" si="47"/>
        <v>1.2916666666666667</v>
      </c>
      <c r="C215" s="26" t="s">
        <v>21</v>
      </c>
      <c r="D215" s="59" t="s">
        <v>30</v>
      </c>
      <c r="E215" s="59" t="s">
        <v>261</v>
      </c>
      <c r="F215" s="27">
        <v>4</v>
      </c>
      <c r="G215" s="34">
        <f t="shared" si="45"/>
        <v>16.8</v>
      </c>
      <c r="H215" s="33"/>
      <c r="I215" s="33"/>
      <c r="J215" s="33"/>
      <c r="K215" s="29"/>
      <c r="L215" s="29"/>
      <c r="M215" s="35" t="str">
        <f t="shared" ca="1" si="46"/>
        <v/>
      </c>
      <c r="N215" s="27"/>
      <c r="O215" s="60"/>
    </row>
    <row r="216" spans="1:15" ht="15.75" customHeight="1">
      <c r="A216" s="119" t="s">
        <v>238</v>
      </c>
      <c r="B216" s="120"/>
      <c r="C216" s="120"/>
      <c r="D216" s="120"/>
      <c r="E216" s="121">
        <f>SUM(E204:E215)</f>
        <v>0</v>
      </c>
      <c r="F216" s="36">
        <f>SUM(F204:F215)</f>
        <v>201</v>
      </c>
      <c r="G216" s="36">
        <f>SUM(G204:G215)</f>
        <v>853.8</v>
      </c>
      <c r="H216" s="37"/>
      <c r="I216" s="37"/>
      <c r="J216" s="37"/>
      <c r="K216" s="61"/>
      <c r="L216" s="61"/>
      <c r="M216" s="38">
        <f ca="1">IFERROR(SUM(M204:M215),"")</f>
        <v>8.0555555555555658E-2</v>
      </c>
      <c r="N216" s="36" t="s">
        <v>237</v>
      </c>
      <c r="O216" s="45">
        <v>1060630</v>
      </c>
    </row>
    <row r="217" spans="1:15" ht="18" customHeight="1">
      <c r="A217" s="122" t="s">
        <v>239</v>
      </c>
      <c r="B217" s="123"/>
      <c r="C217" s="123"/>
      <c r="D217" s="123"/>
      <c r="E217" s="124">
        <f>E203+E216</f>
        <v>0</v>
      </c>
      <c r="F217" s="40">
        <f>F203+F216</f>
        <v>351</v>
      </c>
      <c r="G217" s="40">
        <f>G203+G216</f>
        <v>1483.8</v>
      </c>
      <c r="H217" s="41"/>
      <c r="I217" s="41"/>
      <c r="J217" s="41"/>
      <c r="K217" s="63"/>
      <c r="L217" s="63"/>
      <c r="M217" s="42">
        <f ca="1">IFERROR(M203+M216,"")</f>
        <v>0.27777777777777785</v>
      </c>
      <c r="N217" s="40" t="s">
        <v>240</v>
      </c>
      <c r="O217" s="48">
        <f>IFERROR(O203+O216,"")</f>
        <v>1735070</v>
      </c>
    </row>
    <row r="218" spans="1:15" ht="15" customHeight="1">
      <c r="A218" s="68">
        <v>46212</v>
      </c>
      <c r="B218" s="25">
        <v>0.33333333333333298</v>
      </c>
      <c r="C218" s="26" t="s">
        <v>29</v>
      </c>
      <c r="D218" s="59" t="s">
        <v>30</v>
      </c>
      <c r="E218" s="59" t="s">
        <v>261</v>
      </c>
      <c r="F218" s="27">
        <v>23</v>
      </c>
      <c r="G218" s="28">
        <f t="shared" ref="G218:G229" si="48">IF(F218="","",IF(E218="PC 17",F218*4.2,IF(E218="PC 19",F218*5,"")))</f>
        <v>96.600000000000009</v>
      </c>
      <c r="H218" s="26" t="s">
        <v>19</v>
      </c>
      <c r="I218" s="26" t="s">
        <v>52</v>
      </c>
      <c r="J218" s="26" t="s">
        <v>27</v>
      </c>
      <c r="K218" s="29">
        <v>0.33541666666666664</v>
      </c>
      <c r="L218" s="29">
        <v>0.41666666666666669</v>
      </c>
      <c r="M218" s="30">
        <f t="shared" ref="M218:M229" ca="1" si="49">IFERROR(IF(K218="","",IF(L218="",MOD(NOW()-K218,1),IF(L218&gt;=K218,L218-K218,L218+1-K218))),"")</f>
        <v>8.1250000000000044E-2</v>
      </c>
      <c r="N218" s="27" t="s">
        <v>404</v>
      </c>
      <c r="O218" s="60"/>
    </row>
    <row r="219" spans="1:15" ht="15" customHeight="1">
      <c r="A219" s="69">
        <v>46212</v>
      </c>
      <c r="B219" s="32">
        <f t="shared" ref="B219:B229" si="50">B218+TIME(0,60,0)</f>
        <v>0.37499999999999967</v>
      </c>
      <c r="C219" s="26" t="s">
        <v>29</v>
      </c>
      <c r="D219" s="59" t="s">
        <v>30</v>
      </c>
      <c r="E219" s="59" t="s">
        <v>261</v>
      </c>
      <c r="F219" s="27">
        <v>0</v>
      </c>
      <c r="G219" s="34">
        <f t="shared" si="48"/>
        <v>0</v>
      </c>
      <c r="H219" s="33" t="s">
        <v>20</v>
      </c>
      <c r="I219" s="33" t="s">
        <v>52</v>
      </c>
      <c r="J219" s="33" t="s">
        <v>56</v>
      </c>
      <c r="K219" s="29">
        <v>0.4375</v>
      </c>
      <c r="L219" s="29">
        <v>0.47986111111111113</v>
      </c>
      <c r="M219" s="35">
        <f t="shared" ca="1" si="49"/>
        <v>4.2361111111111127E-2</v>
      </c>
      <c r="N219" s="27"/>
      <c r="O219" s="60"/>
    </row>
    <row r="220" spans="1:15" ht="15" customHeight="1">
      <c r="A220" s="68">
        <v>46212</v>
      </c>
      <c r="B220" s="25">
        <f t="shared" si="50"/>
        <v>0.41666666666666635</v>
      </c>
      <c r="C220" s="26" t="s">
        <v>29</v>
      </c>
      <c r="D220" s="59" t="s">
        <v>30</v>
      </c>
      <c r="E220" s="59" t="s">
        <v>261</v>
      </c>
      <c r="F220" s="27">
        <v>0</v>
      </c>
      <c r="G220" s="28">
        <f t="shared" si="48"/>
        <v>0</v>
      </c>
      <c r="H220" s="26" t="s">
        <v>17</v>
      </c>
      <c r="I220" s="26"/>
      <c r="J220" s="26" t="s">
        <v>25</v>
      </c>
      <c r="K220" s="29">
        <v>0.58819444444444446</v>
      </c>
      <c r="L220" s="29">
        <v>0.61111111111111116</v>
      </c>
      <c r="M220" s="30">
        <f t="shared" ca="1" si="49"/>
        <v>2.2916666666666696E-2</v>
      </c>
      <c r="N220" s="27" t="s">
        <v>405</v>
      </c>
      <c r="O220" s="60"/>
    </row>
    <row r="221" spans="1:15" ht="15" customHeight="1">
      <c r="A221" s="69">
        <v>46212</v>
      </c>
      <c r="B221" s="32">
        <f t="shared" si="50"/>
        <v>0.45833333333333304</v>
      </c>
      <c r="C221" s="26" t="s">
        <v>29</v>
      </c>
      <c r="D221" s="59" t="s">
        <v>30</v>
      </c>
      <c r="E221" s="59" t="s">
        <v>261</v>
      </c>
      <c r="F221" s="27">
        <v>10</v>
      </c>
      <c r="G221" s="34">
        <f t="shared" si="48"/>
        <v>42</v>
      </c>
      <c r="H221" s="33" t="s">
        <v>20</v>
      </c>
      <c r="I221" s="33" t="s">
        <v>139</v>
      </c>
      <c r="J221" s="33" t="s">
        <v>74</v>
      </c>
      <c r="K221" s="29">
        <v>0.63680555555555551</v>
      </c>
      <c r="L221" s="29">
        <v>0.65347222222222223</v>
      </c>
      <c r="M221" s="35">
        <f t="shared" ca="1" si="49"/>
        <v>1.6666666666666718E-2</v>
      </c>
      <c r="N221" s="27"/>
      <c r="O221" s="60"/>
    </row>
    <row r="222" spans="1:15" ht="15" customHeight="1">
      <c r="A222" s="68">
        <v>46212</v>
      </c>
      <c r="B222" s="25">
        <f t="shared" si="50"/>
        <v>0.49999999999999972</v>
      </c>
      <c r="C222" s="26" t="s">
        <v>29</v>
      </c>
      <c r="D222" s="59" t="s">
        <v>30</v>
      </c>
      <c r="E222" s="59" t="s">
        <v>261</v>
      </c>
      <c r="F222" s="27">
        <v>5</v>
      </c>
      <c r="G222" s="28">
        <f t="shared" si="48"/>
        <v>21</v>
      </c>
      <c r="H222" s="26" t="s">
        <v>20</v>
      </c>
      <c r="I222" s="26" t="s">
        <v>57</v>
      </c>
      <c r="J222" s="26" t="s">
        <v>51</v>
      </c>
      <c r="K222" s="29">
        <v>0.6791666666666667</v>
      </c>
      <c r="L222" s="29">
        <v>0.68472222222222223</v>
      </c>
      <c r="M222" s="30">
        <f t="shared" ca="1" si="49"/>
        <v>5.5555555555555358E-3</v>
      </c>
      <c r="N222" s="27"/>
      <c r="O222" s="60"/>
    </row>
    <row r="223" spans="1:15" ht="15" customHeight="1">
      <c r="A223" s="69">
        <v>46212</v>
      </c>
      <c r="B223" s="32">
        <f t="shared" si="50"/>
        <v>0.54166666666666641</v>
      </c>
      <c r="C223" s="26" t="s">
        <v>29</v>
      </c>
      <c r="D223" s="59" t="s">
        <v>30</v>
      </c>
      <c r="E223" s="59" t="s">
        <v>261</v>
      </c>
      <c r="F223" s="27">
        <v>8</v>
      </c>
      <c r="G223" s="34">
        <f t="shared" si="48"/>
        <v>33.6</v>
      </c>
      <c r="H223" s="33" t="s">
        <v>20</v>
      </c>
      <c r="I223" s="33" t="s">
        <v>57</v>
      </c>
      <c r="J223" s="33" t="s">
        <v>51</v>
      </c>
      <c r="K223" s="29">
        <v>0.68958333333333333</v>
      </c>
      <c r="L223" s="29">
        <v>0.69374999999999998</v>
      </c>
      <c r="M223" s="35">
        <f t="shared" ca="1" si="49"/>
        <v>4.1666666666666519E-3</v>
      </c>
      <c r="N223" s="27"/>
      <c r="O223" s="60"/>
    </row>
    <row r="224" spans="1:15" ht="15" customHeight="1">
      <c r="A224" s="68">
        <v>46212</v>
      </c>
      <c r="B224" s="25">
        <f t="shared" si="50"/>
        <v>0.58333333333333304</v>
      </c>
      <c r="C224" s="26" t="s">
        <v>29</v>
      </c>
      <c r="D224" s="59" t="s">
        <v>30</v>
      </c>
      <c r="E224" s="59" t="s">
        <v>261</v>
      </c>
      <c r="F224" s="27">
        <v>30</v>
      </c>
      <c r="G224" s="28">
        <f t="shared" si="48"/>
        <v>126</v>
      </c>
      <c r="H224" s="26" t="s">
        <v>20</v>
      </c>
      <c r="I224" s="26" t="s">
        <v>139</v>
      </c>
      <c r="J224" s="26" t="s">
        <v>183</v>
      </c>
      <c r="K224" s="29">
        <v>0.69652777777777775</v>
      </c>
      <c r="L224" s="29">
        <v>0.71319444444444446</v>
      </c>
      <c r="M224" s="30">
        <f t="shared" ca="1" si="49"/>
        <v>1.6666666666666718E-2</v>
      </c>
      <c r="N224" s="27"/>
      <c r="O224" s="60"/>
    </row>
    <row r="225" spans="1:15" ht="15" customHeight="1">
      <c r="A225" s="69">
        <v>46212</v>
      </c>
      <c r="B225" s="32">
        <f t="shared" si="50"/>
        <v>0.62499999999999967</v>
      </c>
      <c r="C225" s="26" t="s">
        <v>29</v>
      </c>
      <c r="D225" s="59" t="s">
        <v>30</v>
      </c>
      <c r="E225" s="59" t="s">
        <v>261</v>
      </c>
      <c r="F225" s="27">
        <v>15</v>
      </c>
      <c r="G225" s="34">
        <f t="shared" si="48"/>
        <v>63</v>
      </c>
      <c r="H225" s="33" t="s">
        <v>20</v>
      </c>
      <c r="I225" s="33" t="s">
        <v>52</v>
      </c>
      <c r="J225" s="33" t="s">
        <v>51</v>
      </c>
      <c r="K225" s="29" t="s">
        <v>406</v>
      </c>
      <c r="L225" s="29">
        <v>0.76041666666666663</v>
      </c>
      <c r="M225" s="35">
        <v>6.9444444444444441E-3</v>
      </c>
      <c r="N225" s="27"/>
      <c r="O225" s="60"/>
    </row>
    <row r="226" spans="1:15" ht="15" customHeight="1">
      <c r="A226" s="68">
        <v>46212</v>
      </c>
      <c r="B226" s="25">
        <f t="shared" si="50"/>
        <v>0.6666666666666663</v>
      </c>
      <c r="C226" s="26" t="s">
        <v>29</v>
      </c>
      <c r="D226" s="59" t="s">
        <v>30</v>
      </c>
      <c r="E226" s="59" t="s">
        <v>261</v>
      </c>
      <c r="F226" s="27">
        <v>0</v>
      </c>
      <c r="G226" s="28">
        <f t="shared" si="48"/>
        <v>0</v>
      </c>
      <c r="H226" s="26"/>
      <c r="I226" s="26"/>
      <c r="J226" s="26"/>
      <c r="K226" s="29"/>
      <c r="L226" s="29"/>
      <c r="M226" s="30" t="str">
        <f t="shared" ca="1" si="49"/>
        <v/>
      </c>
      <c r="N226" s="27"/>
      <c r="O226" s="60"/>
    </row>
    <row r="227" spans="1:15" ht="15" customHeight="1">
      <c r="A227" s="69">
        <v>46212</v>
      </c>
      <c r="B227" s="32">
        <f t="shared" si="50"/>
        <v>0.70833333333333293</v>
      </c>
      <c r="C227" s="26" t="s">
        <v>29</v>
      </c>
      <c r="D227" s="59" t="s">
        <v>30</v>
      </c>
      <c r="E227" s="59" t="s">
        <v>261</v>
      </c>
      <c r="F227" s="27">
        <v>11</v>
      </c>
      <c r="G227" s="34">
        <f t="shared" si="48"/>
        <v>46.2</v>
      </c>
      <c r="H227" s="33"/>
      <c r="I227" s="33"/>
      <c r="J227" s="33"/>
      <c r="K227" s="29"/>
      <c r="L227" s="29"/>
      <c r="M227" s="35" t="str">
        <f t="shared" ca="1" si="49"/>
        <v/>
      </c>
      <c r="N227" s="27"/>
      <c r="O227" s="60"/>
    </row>
    <row r="228" spans="1:15" ht="15" customHeight="1">
      <c r="A228" s="68">
        <v>46212</v>
      </c>
      <c r="B228" s="25">
        <f t="shared" si="50"/>
        <v>0.74999999999999956</v>
      </c>
      <c r="C228" s="26" t="s">
        <v>29</v>
      </c>
      <c r="D228" s="59" t="s">
        <v>30</v>
      </c>
      <c r="E228" s="59" t="s">
        <v>261</v>
      </c>
      <c r="F228" s="27">
        <v>15</v>
      </c>
      <c r="G228" s="28">
        <f t="shared" si="48"/>
        <v>63</v>
      </c>
      <c r="H228" s="26"/>
      <c r="I228" s="26"/>
      <c r="J228" s="26"/>
      <c r="K228" s="29"/>
      <c r="L228" s="29"/>
      <c r="M228" s="30" t="str">
        <f t="shared" ca="1" si="49"/>
        <v/>
      </c>
      <c r="N228" s="27"/>
      <c r="O228" s="60"/>
    </row>
    <row r="229" spans="1:15" ht="15" customHeight="1">
      <c r="A229" s="69">
        <v>46212</v>
      </c>
      <c r="B229" s="32">
        <f t="shared" si="50"/>
        <v>0.79166666666666619</v>
      </c>
      <c r="C229" s="26" t="s">
        <v>29</v>
      </c>
      <c r="D229" s="59" t="s">
        <v>30</v>
      </c>
      <c r="E229" s="59" t="s">
        <v>261</v>
      </c>
      <c r="F229" s="27">
        <v>1</v>
      </c>
      <c r="G229" s="34">
        <f t="shared" si="48"/>
        <v>4.2</v>
      </c>
      <c r="H229" s="33"/>
      <c r="I229" s="33"/>
      <c r="J229" s="33"/>
      <c r="K229" s="29"/>
      <c r="L229" s="29"/>
      <c r="M229" s="35" t="str">
        <f t="shared" ca="1" si="49"/>
        <v/>
      </c>
      <c r="N229" s="27"/>
      <c r="O229" s="60"/>
    </row>
    <row r="230" spans="1:15" ht="15.75" customHeight="1">
      <c r="A230" s="119" t="s">
        <v>236</v>
      </c>
      <c r="B230" s="120"/>
      <c r="C230" s="120"/>
      <c r="D230" s="120"/>
      <c r="E230" s="121">
        <f>SUM(E218:E229)</f>
        <v>0</v>
      </c>
      <c r="F230" s="36">
        <f>SUM(F218:F229)</f>
        <v>118</v>
      </c>
      <c r="G230" s="36">
        <f>SUM(G218:G229)</f>
        <v>495.6</v>
      </c>
      <c r="H230" s="37"/>
      <c r="I230" s="37"/>
      <c r="J230" s="37"/>
      <c r="K230" s="61"/>
      <c r="L230" s="61"/>
      <c r="M230" s="38">
        <f ca="1">IFERROR(SUM(M218:M229),"")</f>
        <v>0.19652777777777794</v>
      </c>
      <c r="N230" s="36" t="s">
        <v>237</v>
      </c>
      <c r="O230" s="39">
        <v>587230</v>
      </c>
    </row>
    <row r="231" spans="1:15" ht="15" customHeight="1">
      <c r="A231" s="69">
        <v>46212</v>
      </c>
      <c r="B231" s="32">
        <v>0.83333333333333304</v>
      </c>
      <c r="C231" s="33" t="s">
        <v>21</v>
      </c>
      <c r="D231" s="62" t="s">
        <v>30</v>
      </c>
      <c r="E231" s="62" t="s">
        <v>261</v>
      </c>
      <c r="F231" s="27">
        <v>23</v>
      </c>
      <c r="G231" s="34">
        <f t="shared" ref="G231:G242" si="51">IF(F231="","",IF(E231="PC 17",F231*4.2,IF(E231="PC 19",F231*5,"")))</f>
        <v>96.600000000000009</v>
      </c>
      <c r="H231" s="33" t="s">
        <v>20</v>
      </c>
      <c r="I231" s="33" t="s">
        <v>52</v>
      </c>
      <c r="J231" s="33" t="s">
        <v>56</v>
      </c>
      <c r="K231" s="29">
        <v>0.80833333333333335</v>
      </c>
      <c r="L231" s="29">
        <v>0.82291666666666663</v>
      </c>
      <c r="M231" s="35">
        <f t="shared" ref="M231:M242" ca="1" si="52">IFERROR(IF(K231="","",IF(L231="",MOD(NOW()-K231,1),IF(L231&gt;=K231,L231-K231,L231+1-K231))),"")</f>
        <v>1.4583333333333282E-2</v>
      </c>
      <c r="N231" s="27"/>
      <c r="O231" s="60"/>
    </row>
    <row r="232" spans="1:15" ht="15" customHeight="1">
      <c r="A232" s="68">
        <v>46212</v>
      </c>
      <c r="B232" s="25">
        <f t="shared" ref="B232:B242" si="53">B231+TIME(0,60,0)</f>
        <v>0.87499999999999967</v>
      </c>
      <c r="C232" s="33" t="s">
        <v>21</v>
      </c>
      <c r="D232" s="62" t="s">
        <v>30</v>
      </c>
      <c r="E232" s="62" t="s">
        <v>234</v>
      </c>
      <c r="F232" s="27">
        <v>21</v>
      </c>
      <c r="G232" s="28">
        <f t="shared" si="51"/>
        <v>105</v>
      </c>
      <c r="H232" s="26" t="s">
        <v>19</v>
      </c>
      <c r="I232" s="26" t="s">
        <v>52</v>
      </c>
      <c r="J232" s="26" t="s">
        <v>78</v>
      </c>
      <c r="K232" s="29">
        <v>0.87847222222222221</v>
      </c>
      <c r="L232" s="29">
        <v>0.92361111111111116</v>
      </c>
      <c r="M232" s="30">
        <f t="shared" ca="1" si="52"/>
        <v>4.5138888888888951E-2</v>
      </c>
      <c r="N232" s="27" t="s">
        <v>407</v>
      </c>
      <c r="O232" s="60"/>
    </row>
    <row r="233" spans="1:15" ht="15" customHeight="1">
      <c r="A233" s="69">
        <v>46212</v>
      </c>
      <c r="B233" s="32">
        <f t="shared" si="53"/>
        <v>0.9166666666666663</v>
      </c>
      <c r="C233" s="33" t="s">
        <v>21</v>
      </c>
      <c r="D233" s="62" t="s">
        <v>30</v>
      </c>
      <c r="E233" s="62" t="s">
        <v>261</v>
      </c>
      <c r="F233" s="27">
        <v>1</v>
      </c>
      <c r="G233" s="34">
        <f t="shared" si="51"/>
        <v>4.2</v>
      </c>
      <c r="H233" s="33" t="s">
        <v>18</v>
      </c>
      <c r="I233" s="33" t="s">
        <v>52</v>
      </c>
      <c r="J233" s="33" t="s">
        <v>154</v>
      </c>
      <c r="K233" s="29">
        <v>0.95138888888888884</v>
      </c>
      <c r="L233" s="29">
        <v>0.98124999999999996</v>
      </c>
      <c r="M233" s="35">
        <f t="shared" ca="1" si="52"/>
        <v>2.9861111111111116E-2</v>
      </c>
      <c r="N233" s="27"/>
      <c r="O233" s="60"/>
    </row>
    <row r="234" spans="1:15" ht="15" customHeight="1">
      <c r="A234" s="68">
        <v>46212</v>
      </c>
      <c r="B234" s="25">
        <f t="shared" si="53"/>
        <v>0.95833333333333293</v>
      </c>
      <c r="C234" s="33" t="s">
        <v>21</v>
      </c>
      <c r="D234" s="62" t="s">
        <v>30</v>
      </c>
      <c r="E234" s="62" t="s">
        <v>261</v>
      </c>
      <c r="F234" s="27">
        <v>20</v>
      </c>
      <c r="G234" s="28">
        <f t="shared" si="51"/>
        <v>84</v>
      </c>
      <c r="H234" s="26" t="s">
        <v>19</v>
      </c>
      <c r="I234" s="26" t="s">
        <v>52</v>
      </c>
      <c r="J234" s="26" t="s">
        <v>27</v>
      </c>
      <c r="K234" s="29">
        <v>0.98472222222222228</v>
      </c>
      <c r="L234" s="29">
        <v>1.6666666666666666E-2</v>
      </c>
      <c r="M234" s="30">
        <f t="shared" ca="1" si="52"/>
        <v>3.1944444444444331E-2</v>
      </c>
      <c r="N234" s="27"/>
      <c r="O234" s="60"/>
    </row>
    <row r="235" spans="1:15" ht="15" customHeight="1">
      <c r="A235" s="69">
        <v>46212</v>
      </c>
      <c r="B235" s="32">
        <f t="shared" si="53"/>
        <v>0.99999999999999956</v>
      </c>
      <c r="C235" s="33" t="s">
        <v>21</v>
      </c>
      <c r="D235" s="62" t="s">
        <v>30</v>
      </c>
      <c r="E235" s="62" t="s">
        <v>261</v>
      </c>
      <c r="F235" s="27">
        <v>0</v>
      </c>
      <c r="G235" s="34">
        <f t="shared" si="51"/>
        <v>0</v>
      </c>
      <c r="H235" s="33" t="s">
        <v>20</v>
      </c>
      <c r="I235" s="33" t="s">
        <v>52</v>
      </c>
      <c r="J235" s="33" t="s">
        <v>51</v>
      </c>
      <c r="K235" s="29">
        <v>5.2083333333333336E-2</v>
      </c>
      <c r="L235" s="29">
        <v>6.6666666666666666E-2</v>
      </c>
      <c r="M235" s="35">
        <f t="shared" ca="1" si="52"/>
        <v>1.458333333333333E-2</v>
      </c>
      <c r="N235" s="27"/>
      <c r="O235" s="60"/>
    </row>
    <row r="236" spans="1:15" ht="15" customHeight="1">
      <c r="A236" s="68">
        <v>46212</v>
      </c>
      <c r="B236" s="25">
        <f t="shared" si="53"/>
        <v>1.0416666666666663</v>
      </c>
      <c r="C236" s="33" t="s">
        <v>21</v>
      </c>
      <c r="D236" s="62" t="s">
        <v>30</v>
      </c>
      <c r="E236" s="62" t="s">
        <v>261</v>
      </c>
      <c r="F236" s="27">
        <v>27</v>
      </c>
      <c r="G236" s="28">
        <f t="shared" si="51"/>
        <v>113.4</v>
      </c>
      <c r="H236" s="50" t="s">
        <v>20</v>
      </c>
      <c r="I236" s="50" t="s">
        <v>139</v>
      </c>
      <c r="J236" s="50" t="s">
        <v>74</v>
      </c>
      <c r="K236" s="29">
        <v>0.2326388888888889</v>
      </c>
      <c r="L236" s="29">
        <v>0.2388888888888889</v>
      </c>
      <c r="M236" s="30">
        <f t="shared" ca="1" si="52"/>
        <v>6.2500000000000056E-3</v>
      </c>
      <c r="N236" s="27"/>
      <c r="O236" s="60"/>
    </row>
    <row r="237" spans="1:15" ht="15" customHeight="1">
      <c r="A237" s="69">
        <v>46212</v>
      </c>
      <c r="B237" s="32">
        <f t="shared" si="53"/>
        <v>1.083333333333333</v>
      </c>
      <c r="C237" s="33" t="s">
        <v>21</v>
      </c>
      <c r="D237" s="62" t="s">
        <v>30</v>
      </c>
      <c r="E237" s="62" t="s">
        <v>261</v>
      </c>
      <c r="F237" s="27">
        <v>11</v>
      </c>
      <c r="G237" s="34">
        <f t="shared" si="51"/>
        <v>46.2</v>
      </c>
      <c r="H237" s="33"/>
      <c r="I237" s="33"/>
      <c r="J237" s="33"/>
      <c r="K237" s="29"/>
      <c r="L237" s="29"/>
      <c r="M237" s="35" t="str">
        <f t="shared" ca="1" si="52"/>
        <v/>
      </c>
      <c r="N237" s="27"/>
      <c r="O237" s="60"/>
    </row>
    <row r="238" spans="1:15" ht="15" customHeight="1">
      <c r="A238" s="68">
        <v>46212</v>
      </c>
      <c r="B238" s="25">
        <f t="shared" si="53"/>
        <v>1.1249999999999998</v>
      </c>
      <c r="C238" s="33" t="s">
        <v>21</v>
      </c>
      <c r="D238" s="62" t="s">
        <v>30</v>
      </c>
      <c r="E238" s="62" t="s">
        <v>261</v>
      </c>
      <c r="F238" s="27">
        <v>14</v>
      </c>
      <c r="G238" s="28">
        <f t="shared" si="51"/>
        <v>58.800000000000004</v>
      </c>
      <c r="H238" s="26"/>
      <c r="I238" s="26"/>
      <c r="J238" s="26"/>
      <c r="K238" s="29"/>
      <c r="L238" s="29"/>
      <c r="M238" s="30" t="str">
        <f t="shared" ca="1" si="52"/>
        <v/>
      </c>
      <c r="N238" s="27"/>
      <c r="O238" s="60"/>
    </row>
    <row r="239" spans="1:15" ht="15" customHeight="1">
      <c r="A239" s="69">
        <v>46212</v>
      </c>
      <c r="B239" s="32">
        <f t="shared" si="53"/>
        <v>1.1666666666666665</v>
      </c>
      <c r="C239" s="33" t="s">
        <v>21</v>
      </c>
      <c r="D239" s="62" t="s">
        <v>30</v>
      </c>
      <c r="E239" s="62" t="s">
        <v>234</v>
      </c>
      <c r="F239" s="27">
        <v>32</v>
      </c>
      <c r="G239" s="34">
        <f t="shared" si="51"/>
        <v>160</v>
      </c>
      <c r="H239" s="33"/>
      <c r="I239" s="33"/>
      <c r="J239" s="33"/>
      <c r="K239" s="29"/>
      <c r="L239" s="29"/>
      <c r="M239" s="35" t="str">
        <f t="shared" ca="1" si="52"/>
        <v/>
      </c>
      <c r="N239" s="27"/>
      <c r="O239" s="60"/>
    </row>
    <row r="240" spans="1:15" ht="15" customHeight="1">
      <c r="A240" s="68">
        <v>46212</v>
      </c>
      <c r="B240" s="25">
        <f t="shared" si="53"/>
        <v>1.2083333333333333</v>
      </c>
      <c r="C240" s="33" t="s">
        <v>21</v>
      </c>
      <c r="D240" s="62" t="s">
        <v>30</v>
      </c>
      <c r="E240" s="62" t="s">
        <v>261</v>
      </c>
      <c r="F240" s="27">
        <v>16</v>
      </c>
      <c r="G240" s="28">
        <f t="shared" si="51"/>
        <v>67.2</v>
      </c>
      <c r="H240" s="26"/>
      <c r="I240" s="26"/>
      <c r="J240" s="26"/>
      <c r="K240" s="29"/>
      <c r="L240" s="29"/>
      <c r="M240" s="30" t="str">
        <f t="shared" ca="1" si="52"/>
        <v/>
      </c>
      <c r="N240" s="27"/>
      <c r="O240" s="60"/>
    </row>
    <row r="241" spans="1:15" ht="15" customHeight="1">
      <c r="A241" s="69">
        <v>46212</v>
      </c>
      <c r="B241" s="32">
        <f t="shared" si="53"/>
        <v>1.25</v>
      </c>
      <c r="C241" s="33" t="s">
        <v>21</v>
      </c>
      <c r="D241" s="62" t="s">
        <v>30</v>
      </c>
      <c r="E241" s="62" t="s">
        <v>234</v>
      </c>
      <c r="F241" s="27">
        <v>21</v>
      </c>
      <c r="G241" s="34">
        <f t="shared" si="51"/>
        <v>105</v>
      </c>
      <c r="H241" s="33"/>
      <c r="I241" s="33"/>
      <c r="J241" s="33"/>
      <c r="K241" s="29"/>
      <c r="L241" s="29"/>
      <c r="M241" s="35" t="str">
        <f t="shared" ca="1" si="52"/>
        <v/>
      </c>
      <c r="N241" s="27"/>
      <c r="O241" s="60"/>
    </row>
    <row r="242" spans="1:15" ht="15" customHeight="1">
      <c r="A242" s="68">
        <v>46212</v>
      </c>
      <c r="B242" s="25">
        <f t="shared" si="53"/>
        <v>1.2916666666666667</v>
      </c>
      <c r="C242" s="33" t="s">
        <v>21</v>
      </c>
      <c r="D242" s="62" t="s">
        <v>30</v>
      </c>
      <c r="E242" s="62" t="s">
        <v>261</v>
      </c>
      <c r="F242" s="27">
        <v>7</v>
      </c>
      <c r="G242" s="28">
        <f t="shared" si="51"/>
        <v>29.400000000000002</v>
      </c>
      <c r="H242" s="26"/>
      <c r="I242" s="26"/>
      <c r="J242" s="26"/>
      <c r="K242" s="29"/>
      <c r="L242" s="29"/>
      <c r="M242" s="30" t="str">
        <f t="shared" ca="1" si="52"/>
        <v/>
      </c>
      <c r="N242" s="27"/>
      <c r="O242" s="60"/>
    </row>
    <row r="243" spans="1:15" ht="15.75" customHeight="1">
      <c r="A243" s="119" t="s">
        <v>238</v>
      </c>
      <c r="B243" s="120"/>
      <c r="C243" s="120"/>
      <c r="D243" s="120"/>
      <c r="E243" s="121">
        <f>SUM(E231:E242)</f>
        <v>0</v>
      </c>
      <c r="F243" s="36">
        <f>SUM(F231:F242)</f>
        <v>193</v>
      </c>
      <c r="G243" s="36">
        <f>SUM(G231:G242)</f>
        <v>869.80000000000007</v>
      </c>
      <c r="H243" s="37"/>
      <c r="I243" s="37"/>
      <c r="J243" s="37"/>
      <c r="K243" s="61"/>
      <c r="L243" s="61"/>
      <c r="M243" s="38">
        <f ca="1">IFERROR(SUM(M231:M242),"")</f>
        <v>0.14236111111111102</v>
      </c>
      <c r="N243" s="36" t="s">
        <v>237</v>
      </c>
      <c r="O243" s="39">
        <v>982340</v>
      </c>
    </row>
    <row r="244" spans="1:15" ht="18" customHeight="1">
      <c r="A244" s="122" t="s">
        <v>239</v>
      </c>
      <c r="B244" s="123"/>
      <c r="C244" s="123"/>
      <c r="D244" s="123"/>
      <c r="E244" s="124">
        <f>E230+E243</f>
        <v>0</v>
      </c>
      <c r="F244" s="40">
        <f>F230+F243</f>
        <v>311</v>
      </c>
      <c r="G244" s="40">
        <f>G230+G243</f>
        <v>1365.4</v>
      </c>
      <c r="H244" s="41"/>
      <c r="I244" s="41"/>
      <c r="J244" s="41"/>
      <c r="K244" s="63"/>
      <c r="L244" s="63"/>
      <c r="M244" s="42">
        <f ca="1">IFERROR(M230+M243,"")</f>
        <v>0.33888888888888896</v>
      </c>
      <c r="N244" s="40" t="s">
        <v>240</v>
      </c>
      <c r="O244" s="48">
        <f>IFERROR(O230+O243,"")</f>
        <v>1569570</v>
      </c>
    </row>
    <row r="245" spans="1:15" ht="15" customHeight="1">
      <c r="A245" s="68">
        <v>46213</v>
      </c>
      <c r="B245" s="25">
        <v>0.33333333333333298</v>
      </c>
      <c r="C245" s="26" t="s">
        <v>45</v>
      </c>
      <c r="D245" s="59" t="s">
        <v>30</v>
      </c>
      <c r="E245" s="59" t="s">
        <v>261</v>
      </c>
      <c r="F245" s="27">
        <v>15</v>
      </c>
      <c r="G245" s="28">
        <f t="shared" ref="G245:G256" si="54">IF(F245="","",IF(E245="PC 17",F245*4.2,IF(E245="PC 19",F245*5,"")))</f>
        <v>63</v>
      </c>
      <c r="H245" s="33" t="s">
        <v>19</v>
      </c>
      <c r="I245" s="33" t="s">
        <v>160</v>
      </c>
      <c r="J245" s="33" t="s">
        <v>27</v>
      </c>
      <c r="K245" s="29">
        <v>0.40763888888888888</v>
      </c>
      <c r="L245" s="29">
        <v>0.45277777777777778</v>
      </c>
      <c r="M245" s="30">
        <f t="shared" ref="M245:M256" ca="1" si="55">IFERROR(IF(K245="","",IF(L245="",MOD(NOW()-K245,1),IF(L245&gt;=K245,L245-K245,L245+1-K245))),"")</f>
        <v>4.5138888888888895E-2</v>
      </c>
      <c r="N245" s="27" t="s">
        <v>408</v>
      </c>
      <c r="O245" s="60"/>
    </row>
    <row r="246" spans="1:15" ht="15" customHeight="1">
      <c r="A246" s="69">
        <v>46213</v>
      </c>
      <c r="B246" s="32">
        <f t="shared" ref="B246:B256" si="56">B245+TIME(0,60,0)</f>
        <v>0.37499999999999967</v>
      </c>
      <c r="C246" s="26" t="s">
        <v>45</v>
      </c>
      <c r="D246" s="59" t="s">
        <v>30</v>
      </c>
      <c r="E246" s="59" t="s">
        <v>261</v>
      </c>
      <c r="F246" s="27">
        <v>20</v>
      </c>
      <c r="G246" s="34">
        <f t="shared" si="54"/>
        <v>84</v>
      </c>
      <c r="H246" s="33" t="s">
        <v>18</v>
      </c>
      <c r="I246" s="26" t="s">
        <v>138</v>
      </c>
      <c r="J246" s="33" t="s">
        <v>209</v>
      </c>
      <c r="K246" s="29">
        <v>0.40763888888888888</v>
      </c>
      <c r="L246" s="29">
        <v>0.4548611111111111</v>
      </c>
      <c r="M246" s="35">
        <f t="shared" ca="1" si="55"/>
        <v>4.7222222222222221E-2</v>
      </c>
      <c r="N246" s="27"/>
      <c r="O246" s="60"/>
    </row>
    <row r="247" spans="1:15" ht="15" customHeight="1">
      <c r="A247" s="68">
        <v>46213</v>
      </c>
      <c r="B247" s="25">
        <f t="shared" si="56"/>
        <v>0.41666666666666635</v>
      </c>
      <c r="C247" s="26" t="s">
        <v>45</v>
      </c>
      <c r="D247" s="59" t="s">
        <v>30</v>
      </c>
      <c r="E247" s="59" t="s">
        <v>261</v>
      </c>
      <c r="F247" s="27">
        <v>17</v>
      </c>
      <c r="G247" s="28">
        <f t="shared" si="54"/>
        <v>71.400000000000006</v>
      </c>
      <c r="H247" s="33" t="s">
        <v>16</v>
      </c>
      <c r="I247" s="33" t="s">
        <v>57</v>
      </c>
      <c r="J247" s="33" t="s">
        <v>40</v>
      </c>
      <c r="K247" s="29">
        <v>0.56944444444444442</v>
      </c>
      <c r="L247" s="29">
        <v>0.58611111111111114</v>
      </c>
      <c r="M247" s="30">
        <f t="shared" ca="1" si="55"/>
        <v>1.6666666666666718E-2</v>
      </c>
      <c r="N247" s="27"/>
      <c r="O247" s="60"/>
    </row>
    <row r="248" spans="1:15" ht="15" customHeight="1">
      <c r="A248" s="69">
        <v>46213</v>
      </c>
      <c r="B248" s="32">
        <f t="shared" si="56"/>
        <v>0.45833333333333304</v>
      </c>
      <c r="C248" s="26" t="s">
        <v>45</v>
      </c>
      <c r="D248" s="59" t="s">
        <v>30</v>
      </c>
      <c r="E248" s="59" t="s">
        <v>261</v>
      </c>
      <c r="F248" s="27">
        <v>5</v>
      </c>
      <c r="G248" s="34">
        <f t="shared" si="54"/>
        <v>21</v>
      </c>
      <c r="H248" s="26" t="s">
        <v>20</v>
      </c>
      <c r="I248" s="26" t="s">
        <v>155</v>
      </c>
      <c r="J248" s="26" t="s">
        <v>74</v>
      </c>
      <c r="K248" s="29">
        <v>0.69444444444444442</v>
      </c>
      <c r="L248" s="29">
        <v>0.70277777777777772</v>
      </c>
      <c r="M248" s="35">
        <f t="shared" ca="1" si="55"/>
        <v>8.3333333333333037E-3</v>
      </c>
      <c r="N248" s="27"/>
      <c r="O248" s="60"/>
    </row>
    <row r="249" spans="1:15" ht="15" customHeight="1">
      <c r="A249" s="68">
        <v>46213</v>
      </c>
      <c r="B249" s="25">
        <f t="shared" si="56"/>
        <v>0.49999999999999972</v>
      </c>
      <c r="C249" s="26" t="s">
        <v>45</v>
      </c>
      <c r="D249" s="59" t="s">
        <v>30</v>
      </c>
      <c r="E249" s="59" t="s">
        <v>261</v>
      </c>
      <c r="F249" s="27">
        <v>20</v>
      </c>
      <c r="G249" s="28">
        <f t="shared" si="54"/>
        <v>84</v>
      </c>
      <c r="H249" s="33"/>
      <c r="I249" s="33"/>
      <c r="J249" s="33"/>
      <c r="K249" s="29"/>
      <c r="L249" s="29"/>
      <c r="M249" s="30" t="str">
        <f t="shared" ca="1" si="55"/>
        <v/>
      </c>
      <c r="N249" s="27"/>
      <c r="O249" s="60"/>
    </row>
    <row r="250" spans="1:15" ht="15" customHeight="1">
      <c r="A250" s="69">
        <v>46213</v>
      </c>
      <c r="B250" s="32">
        <f t="shared" si="56"/>
        <v>0.54166666666666641</v>
      </c>
      <c r="C250" s="26" t="s">
        <v>45</v>
      </c>
      <c r="D250" s="59" t="s">
        <v>30</v>
      </c>
      <c r="E250" s="59" t="s">
        <v>261</v>
      </c>
      <c r="F250" s="27">
        <v>7</v>
      </c>
      <c r="G250" s="34">
        <f t="shared" si="54"/>
        <v>29.400000000000002</v>
      </c>
      <c r="H250" s="26"/>
      <c r="I250" s="26"/>
      <c r="J250" s="26"/>
      <c r="K250" s="29"/>
      <c r="L250" s="29"/>
      <c r="M250" s="35" t="str">
        <f t="shared" ca="1" si="55"/>
        <v/>
      </c>
      <c r="N250" s="27"/>
      <c r="O250" s="60"/>
    </row>
    <row r="251" spans="1:15" ht="15" customHeight="1">
      <c r="A251" s="68">
        <v>46213</v>
      </c>
      <c r="B251" s="25">
        <f t="shared" si="56"/>
        <v>0.58333333333333304</v>
      </c>
      <c r="C251" s="26" t="s">
        <v>45</v>
      </c>
      <c r="D251" s="59" t="s">
        <v>30</v>
      </c>
      <c r="E251" s="59" t="s">
        <v>261</v>
      </c>
      <c r="F251" s="27">
        <v>17</v>
      </c>
      <c r="G251" s="28">
        <f t="shared" si="54"/>
        <v>71.400000000000006</v>
      </c>
      <c r="H251" s="33"/>
      <c r="I251" s="33"/>
      <c r="J251" s="33"/>
      <c r="K251" s="29"/>
      <c r="L251" s="29"/>
      <c r="M251" s="30" t="str">
        <f t="shared" ca="1" si="55"/>
        <v/>
      </c>
      <c r="N251" s="27"/>
      <c r="O251" s="60"/>
    </row>
    <row r="252" spans="1:15" ht="15" customHeight="1">
      <c r="A252" s="69">
        <v>46213</v>
      </c>
      <c r="B252" s="32">
        <f t="shared" si="56"/>
        <v>0.62499999999999967</v>
      </c>
      <c r="C252" s="26" t="s">
        <v>45</v>
      </c>
      <c r="D252" s="59" t="s">
        <v>30</v>
      </c>
      <c r="E252" s="59" t="s">
        <v>261</v>
      </c>
      <c r="F252" s="27">
        <v>33</v>
      </c>
      <c r="G252" s="34">
        <f t="shared" si="54"/>
        <v>138.6</v>
      </c>
      <c r="H252" s="26"/>
      <c r="I252" s="26"/>
      <c r="J252" s="26"/>
      <c r="K252" s="29"/>
      <c r="L252" s="29"/>
      <c r="M252" s="35" t="str">
        <f t="shared" ca="1" si="55"/>
        <v/>
      </c>
      <c r="N252" s="27"/>
      <c r="O252" s="60"/>
    </row>
    <row r="253" spans="1:15" ht="15" customHeight="1">
      <c r="A253" s="68">
        <v>46213</v>
      </c>
      <c r="B253" s="25">
        <f t="shared" si="56"/>
        <v>0.6666666666666663</v>
      </c>
      <c r="C253" s="26" t="s">
        <v>45</v>
      </c>
      <c r="D253" s="59" t="s">
        <v>30</v>
      </c>
      <c r="E253" s="59" t="s">
        <v>261</v>
      </c>
      <c r="F253" s="27">
        <v>12</v>
      </c>
      <c r="G253" s="28">
        <f t="shared" si="54"/>
        <v>50.400000000000006</v>
      </c>
      <c r="H253" s="33"/>
      <c r="I253" s="33"/>
      <c r="J253" s="33"/>
      <c r="K253" s="29"/>
      <c r="L253" s="29"/>
      <c r="M253" s="30" t="str">
        <f t="shared" ca="1" si="55"/>
        <v/>
      </c>
      <c r="N253" s="27"/>
      <c r="O253" s="60"/>
    </row>
    <row r="254" spans="1:15" ht="15" customHeight="1">
      <c r="A254" s="69">
        <v>46213</v>
      </c>
      <c r="B254" s="32">
        <f t="shared" si="56"/>
        <v>0.70833333333333293</v>
      </c>
      <c r="C254" s="26" t="s">
        <v>45</v>
      </c>
      <c r="D254" s="59" t="s">
        <v>30</v>
      </c>
      <c r="E254" s="59" t="s">
        <v>261</v>
      </c>
      <c r="F254" s="27">
        <v>10</v>
      </c>
      <c r="G254" s="34">
        <f t="shared" si="54"/>
        <v>42</v>
      </c>
      <c r="H254" s="26"/>
      <c r="I254" s="26"/>
      <c r="J254" s="26"/>
      <c r="K254" s="29"/>
      <c r="L254" s="29"/>
      <c r="M254" s="35" t="str">
        <f t="shared" ca="1" si="55"/>
        <v/>
      </c>
      <c r="N254" s="27"/>
      <c r="O254" s="60"/>
    </row>
    <row r="255" spans="1:15" ht="15" customHeight="1">
      <c r="A255" s="68">
        <v>46213</v>
      </c>
      <c r="B255" s="25">
        <f t="shared" si="56"/>
        <v>0.74999999999999956</v>
      </c>
      <c r="C255" s="26" t="s">
        <v>45</v>
      </c>
      <c r="D255" s="59" t="s">
        <v>30</v>
      </c>
      <c r="E255" s="59" t="s">
        <v>261</v>
      </c>
      <c r="F255" s="27">
        <v>15</v>
      </c>
      <c r="G255" s="28">
        <f t="shared" si="54"/>
        <v>63</v>
      </c>
      <c r="H255" s="33"/>
      <c r="I255" s="33"/>
      <c r="J255" s="33"/>
      <c r="K255" s="29"/>
      <c r="L255" s="29"/>
      <c r="M255" s="30" t="str">
        <f t="shared" ca="1" si="55"/>
        <v/>
      </c>
      <c r="N255" s="27"/>
      <c r="O255" s="60"/>
    </row>
    <row r="256" spans="1:15" ht="15" customHeight="1">
      <c r="A256" s="69">
        <v>46213</v>
      </c>
      <c r="B256" s="32">
        <f t="shared" si="56"/>
        <v>0.79166666666666619</v>
      </c>
      <c r="C256" s="26" t="s">
        <v>45</v>
      </c>
      <c r="D256" s="59" t="s">
        <v>30</v>
      </c>
      <c r="E256" s="59" t="s">
        <v>261</v>
      </c>
      <c r="F256" s="27">
        <v>19</v>
      </c>
      <c r="G256" s="34">
        <f t="shared" si="54"/>
        <v>79.8</v>
      </c>
      <c r="H256" s="26"/>
      <c r="I256" s="26"/>
      <c r="J256" s="26"/>
      <c r="K256" s="29"/>
      <c r="L256" s="29"/>
      <c r="M256" s="35" t="str">
        <f t="shared" ca="1" si="55"/>
        <v/>
      </c>
      <c r="N256" s="27"/>
      <c r="O256" s="60"/>
    </row>
    <row r="257" spans="1:15" ht="15.75" customHeight="1">
      <c r="A257" s="119" t="s">
        <v>236</v>
      </c>
      <c r="B257" s="120"/>
      <c r="C257" s="120"/>
      <c r="D257" s="120"/>
      <c r="E257" s="121">
        <f>SUM(E245:E256)</f>
        <v>0</v>
      </c>
      <c r="F257" s="36">
        <f>SUM(F245:F256)</f>
        <v>190</v>
      </c>
      <c r="G257" s="36">
        <f>SUM(G245:G256)</f>
        <v>797.99999999999989</v>
      </c>
      <c r="H257" s="37"/>
      <c r="I257" s="37"/>
      <c r="J257" s="37"/>
      <c r="K257" s="61"/>
      <c r="L257" s="61"/>
      <c r="M257" s="38">
        <f ca="1">IFERROR(SUM(M245:M256),"")</f>
        <v>0.11736111111111114</v>
      </c>
      <c r="N257" s="36" t="s">
        <v>237</v>
      </c>
      <c r="O257" s="39">
        <v>874480</v>
      </c>
    </row>
    <row r="258" spans="1:15" ht="15" customHeight="1">
      <c r="A258" s="69">
        <v>46213</v>
      </c>
      <c r="B258" s="32">
        <v>0.83333333333333304</v>
      </c>
      <c r="C258" s="33" t="s">
        <v>29</v>
      </c>
      <c r="D258" s="62" t="s">
        <v>30</v>
      </c>
      <c r="E258" s="62" t="s">
        <v>261</v>
      </c>
      <c r="F258" s="27">
        <v>23</v>
      </c>
      <c r="G258" s="34">
        <f t="shared" ref="G258:G269" si="57">IF(F258="","",IF(E258="PC 17",F258*4.2,IF(E258="PC 19",F258*5,"")))</f>
        <v>96.600000000000009</v>
      </c>
      <c r="H258" s="26" t="s">
        <v>20</v>
      </c>
      <c r="I258" s="26" t="s">
        <v>155</v>
      </c>
      <c r="J258" s="26" t="s">
        <v>74</v>
      </c>
      <c r="K258" s="29">
        <v>0.80208333333333337</v>
      </c>
      <c r="L258" s="29">
        <v>0.81597222222222221</v>
      </c>
      <c r="M258" s="35">
        <f t="shared" ref="M258:M269" ca="1" si="58">IFERROR(IF(K258="","",IF(L258="",MOD(NOW()-K258,1),IF(L258&gt;=K258,L258-K258,L258+1-K258))),"")</f>
        <v>1.388888888888884E-2</v>
      </c>
      <c r="N258" s="27"/>
      <c r="O258" s="60"/>
    </row>
    <row r="259" spans="1:15" ht="15" customHeight="1">
      <c r="A259" s="68">
        <v>46213</v>
      </c>
      <c r="B259" s="25">
        <f t="shared" ref="B259:B269" si="59">B258+TIME(0,60,0)</f>
        <v>0.87499999999999967</v>
      </c>
      <c r="C259" s="33" t="s">
        <v>29</v>
      </c>
      <c r="D259" s="62" t="s">
        <v>30</v>
      </c>
      <c r="E259" s="62" t="s">
        <v>261</v>
      </c>
      <c r="F259" s="27">
        <v>19</v>
      </c>
      <c r="G259" s="28">
        <f t="shared" si="57"/>
        <v>79.8</v>
      </c>
      <c r="H259" s="50" t="s">
        <v>19</v>
      </c>
      <c r="I259" s="50" t="s">
        <v>160</v>
      </c>
      <c r="J259" s="50" t="s">
        <v>27</v>
      </c>
      <c r="K259" s="29">
        <v>0.8930555555555556</v>
      </c>
      <c r="L259" s="29">
        <v>0.91666666666666663</v>
      </c>
      <c r="M259" s="30">
        <f t="shared" ca="1" si="58"/>
        <v>2.3611111111111027E-2</v>
      </c>
      <c r="N259" s="27"/>
      <c r="O259" s="60"/>
    </row>
    <row r="260" spans="1:15" ht="15" customHeight="1">
      <c r="A260" s="69">
        <v>46213</v>
      </c>
      <c r="B260" s="32">
        <f t="shared" si="59"/>
        <v>0.9166666666666663</v>
      </c>
      <c r="C260" s="33" t="s">
        <v>29</v>
      </c>
      <c r="D260" s="62" t="s">
        <v>30</v>
      </c>
      <c r="E260" s="62" t="s">
        <v>261</v>
      </c>
      <c r="F260" s="27">
        <v>14</v>
      </c>
      <c r="G260" s="34">
        <f t="shared" si="57"/>
        <v>58.800000000000004</v>
      </c>
      <c r="H260" s="33"/>
      <c r="I260" s="26"/>
      <c r="J260" s="33"/>
      <c r="K260" s="29"/>
      <c r="L260" s="29"/>
      <c r="M260" s="35" t="str">
        <f t="shared" ca="1" si="58"/>
        <v/>
      </c>
      <c r="N260" s="27"/>
      <c r="O260" s="60"/>
    </row>
    <row r="261" spans="1:15" ht="15" customHeight="1">
      <c r="A261" s="68">
        <v>46213</v>
      </c>
      <c r="B261" s="25">
        <f t="shared" si="59"/>
        <v>0.95833333333333293</v>
      </c>
      <c r="C261" s="33" t="s">
        <v>29</v>
      </c>
      <c r="D261" s="62" t="s">
        <v>30</v>
      </c>
      <c r="E261" s="62" t="s">
        <v>261</v>
      </c>
      <c r="F261" s="27">
        <v>22</v>
      </c>
      <c r="G261" s="28">
        <f t="shared" si="57"/>
        <v>92.4</v>
      </c>
      <c r="H261" s="33"/>
      <c r="I261" s="33"/>
      <c r="J261" s="33"/>
      <c r="K261" s="29"/>
      <c r="L261" s="29"/>
      <c r="M261" s="30" t="str">
        <f t="shared" ca="1" si="58"/>
        <v/>
      </c>
      <c r="N261" s="27"/>
      <c r="O261" s="60"/>
    </row>
    <row r="262" spans="1:15" ht="15" customHeight="1">
      <c r="A262" s="69">
        <v>46213</v>
      </c>
      <c r="B262" s="32">
        <f t="shared" si="59"/>
        <v>0.99999999999999956</v>
      </c>
      <c r="C262" s="33" t="s">
        <v>29</v>
      </c>
      <c r="D262" s="62" t="s">
        <v>30</v>
      </c>
      <c r="E262" s="62" t="s">
        <v>261</v>
      </c>
      <c r="F262" s="27">
        <v>17</v>
      </c>
      <c r="G262" s="34">
        <f t="shared" si="57"/>
        <v>71.400000000000006</v>
      </c>
      <c r="H262" s="33"/>
      <c r="I262" s="26"/>
      <c r="J262" s="33"/>
      <c r="K262" s="29"/>
      <c r="L262" s="29"/>
      <c r="M262" s="35" t="str">
        <f t="shared" ca="1" si="58"/>
        <v/>
      </c>
      <c r="N262" s="27"/>
      <c r="O262" s="60"/>
    </row>
    <row r="263" spans="1:15" ht="15" customHeight="1">
      <c r="A263" s="68">
        <v>46213</v>
      </c>
      <c r="B263" s="25">
        <f t="shared" si="59"/>
        <v>1.0416666666666663</v>
      </c>
      <c r="C263" s="33" t="s">
        <v>29</v>
      </c>
      <c r="D263" s="62" t="s">
        <v>30</v>
      </c>
      <c r="E263" s="62" t="s">
        <v>261</v>
      </c>
      <c r="F263" s="27">
        <v>27</v>
      </c>
      <c r="G263" s="28">
        <f t="shared" si="57"/>
        <v>113.4</v>
      </c>
      <c r="H263" s="33"/>
      <c r="I263" s="33"/>
      <c r="J263" s="33"/>
      <c r="K263" s="29"/>
      <c r="L263" s="29"/>
      <c r="M263" s="30" t="str">
        <f t="shared" ca="1" si="58"/>
        <v/>
      </c>
      <c r="N263" s="27"/>
      <c r="O263" s="60"/>
    </row>
    <row r="264" spans="1:15" ht="15" customHeight="1">
      <c r="A264" s="69">
        <v>46213</v>
      </c>
      <c r="B264" s="32">
        <f t="shared" si="59"/>
        <v>1.083333333333333</v>
      </c>
      <c r="C264" s="33" t="s">
        <v>29</v>
      </c>
      <c r="D264" s="62" t="s">
        <v>30</v>
      </c>
      <c r="E264" s="62" t="s">
        <v>261</v>
      </c>
      <c r="F264" s="27">
        <v>20</v>
      </c>
      <c r="G264" s="34">
        <f t="shared" si="57"/>
        <v>84</v>
      </c>
      <c r="H264" s="33"/>
      <c r="I264" s="26"/>
      <c r="J264" s="33"/>
      <c r="K264" s="29"/>
      <c r="L264" s="29"/>
      <c r="M264" s="35" t="str">
        <f t="shared" ca="1" si="58"/>
        <v/>
      </c>
      <c r="N264" s="27"/>
      <c r="O264" s="60"/>
    </row>
    <row r="265" spans="1:15" ht="15" customHeight="1">
      <c r="A265" s="68">
        <v>46213</v>
      </c>
      <c r="B265" s="25">
        <f t="shared" si="59"/>
        <v>1.1249999999999998</v>
      </c>
      <c r="C265" s="33" t="s">
        <v>29</v>
      </c>
      <c r="D265" s="62" t="s">
        <v>30</v>
      </c>
      <c r="E265" s="62" t="s">
        <v>261</v>
      </c>
      <c r="F265" s="27">
        <v>20</v>
      </c>
      <c r="G265" s="28">
        <f t="shared" si="57"/>
        <v>84</v>
      </c>
      <c r="H265" s="33"/>
      <c r="I265" s="33"/>
      <c r="J265" s="33"/>
      <c r="K265" s="29"/>
      <c r="L265" s="29"/>
      <c r="M265" s="30" t="str">
        <f t="shared" ca="1" si="58"/>
        <v/>
      </c>
      <c r="N265" s="27"/>
      <c r="O265" s="60"/>
    </row>
    <row r="266" spans="1:15" ht="15" customHeight="1">
      <c r="A266" s="69">
        <v>46213</v>
      </c>
      <c r="B266" s="32">
        <f t="shared" si="59"/>
        <v>1.1666666666666665</v>
      </c>
      <c r="C266" s="33" t="s">
        <v>29</v>
      </c>
      <c r="D266" s="62" t="s">
        <v>30</v>
      </c>
      <c r="E266" s="62" t="s">
        <v>261</v>
      </c>
      <c r="F266" s="27">
        <v>18</v>
      </c>
      <c r="G266" s="34">
        <f t="shared" si="57"/>
        <v>75.600000000000009</v>
      </c>
      <c r="H266" s="26"/>
      <c r="I266" s="26"/>
      <c r="J266" s="26"/>
      <c r="K266" s="29"/>
      <c r="L266" s="29"/>
      <c r="M266" s="35" t="str">
        <f t="shared" ca="1" si="58"/>
        <v/>
      </c>
      <c r="N266" s="27"/>
      <c r="O266" s="60"/>
    </row>
    <row r="267" spans="1:15" ht="15" customHeight="1">
      <c r="A267" s="68">
        <v>46213</v>
      </c>
      <c r="B267" s="25">
        <f t="shared" si="59"/>
        <v>1.2083333333333333</v>
      </c>
      <c r="C267" s="33" t="s">
        <v>29</v>
      </c>
      <c r="D267" s="62" t="s">
        <v>30</v>
      </c>
      <c r="E267" s="62" t="s">
        <v>261</v>
      </c>
      <c r="F267" s="27">
        <v>20</v>
      </c>
      <c r="G267" s="28">
        <f t="shared" si="57"/>
        <v>84</v>
      </c>
      <c r="H267" s="33"/>
      <c r="I267" s="33"/>
      <c r="J267" s="33"/>
      <c r="K267" s="29"/>
      <c r="L267" s="29"/>
      <c r="M267" s="30" t="str">
        <f t="shared" ca="1" si="58"/>
        <v/>
      </c>
      <c r="N267" s="27"/>
      <c r="O267" s="60"/>
    </row>
    <row r="268" spans="1:15" ht="15" customHeight="1">
      <c r="A268" s="69">
        <v>46213</v>
      </c>
      <c r="B268" s="32">
        <f t="shared" si="59"/>
        <v>1.25</v>
      </c>
      <c r="C268" s="33" t="s">
        <v>29</v>
      </c>
      <c r="D268" s="62" t="s">
        <v>30</v>
      </c>
      <c r="E268" s="62" t="s">
        <v>261</v>
      </c>
      <c r="F268" s="27">
        <v>10</v>
      </c>
      <c r="G268" s="34">
        <f t="shared" si="57"/>
        <v>42</v>
      </c>
      <c r="H268" s="26"/>
      <c r="I268" s="26"/>
      <c r="J268" s="26"/>
      <c r="K268" s="29"/>
      <c r="L268" s="29"/>
      <c r="M268" s="35" t="str">
        <f t="shared" ca="1" si="58"/>
        <v/>
      </c>
      <c r="N268" s="27"/>
      <c r="O268" s="60"/>
    </row>
    <row r="269" spans="1:15" ht="15" customHeight="1">
      <c r="A269" s="68">
        <v>46213</v>
      </c>
      <c r="B269" s="25">
        <f t="shared" si="59"/>
        <v>1.2916666666666667</v>
      </c>
      <c r="C269" s="33" t="s">
        <v>29</v>
      </c>
      <c r="D269" s="62" t="s">
        <v>30</v>
      </c>
      <c r="E269" s="62" t="s">
        <v>261</v>
      </c>
      <c r="F269" s="27">
        <v>18</v>
      </c>
      <c r="G269" s="28">
        <f t="shared" si="57"/>
        <v>75.600000000000009</v>
      </c>
      <c r="H269" s="33"/>
      <c r="I269" s="33"/>
      <c r="J269" s="33"/>
      <c r="K269" s="29"/>
      <c r="L269" s="29"/>
      <c r="M269" s="30" t="str">
        <f t="shared" ca="1" si="58"/>
        <v/>
      </c>
      <c r="N269" s="27"/>
      <c r="O269" s="60"/>
    </row>
    <row r="270" spans="1:15" ht="15.75" customHeight="1">
      <c r="A270" s="119" t="s">
        <v>238</v>
      </c>
      <c r="B270" s="120"/>
      <c r="C270" s="120"/>
      <c r="D270" s="120"/>
      <c r="E270" s="121">
        <f>SUM(E258:E269)</f>
        <v>0</v>
      </c>
      <c r="F270" s="36">
        <f>SUM(F258:F269)</f>
        <v>228</v>
      </c>
      <c r="G270" s="36">
        <f>SUM(G258:G269)</f>
        <v>957.6</v>
      </c>
      <c r="H270" s="37"/>
      <c r="I270" s="37"/>
      <c r="J270" s="37"/>
      <c r="K270" s="61"/>
      <c r="L270" s="61"/>
      <c r="M270" s="38">
        <f ca="1">IFERROR(SUM(M258:M269),"")</f>
        <v>3.7499999999999867E-2</v>
      </c>
      <c r="N270" s="36" t="s">
        <v>237</v>
      </c>
      <c r="O270" s="39">
        <v>1208450</v>
      </c>
    </row>
    <row r="271" spans="1:15" ht="18" customHeight="1">
      <c r="A271" s="122" t="s">
        <v>239</v>
      </c>
      <c r="B271" s="123"/>
      <c r="C271" s="123"/>
      <c r="D271" s="123"/>
      <c r="E271" s="124">
        <f>E257+E270</f>
        <v>0</v>
      </c>
      <c r="F271" s="40">
        <f>F257+F270</f>
        <v>418</v>
      </c>
      <c r="G271" s="40">
        <f>G257+G270</f>
        <v>1755.6</v>
      </c>
      <c r="H271" s="41"/>
      <c r="I271" s="41"/>
      <c r="J271" s="41"/>
      <c r="K271" s="63"/>
      <c r="L271" s="63"/>
      <c r="M271" s="42">
        <f ca="1">IFERROR(M257+M270,"")</f>
        <v>0.15486111111111101</v>
      </c>
      <c r="N271" s="40" t="s">
        <v>240</v>
      </c>
      <c r="O271" s="48">
        <f>IFERROR(O257+O270,"")</f>
        <v>2082930</v>
      </c>
    </row>
    <row r="272" spans="1:15" ht="15" customHeight="1">
      <c r="A272" s="68">
        <v>46214</v>
      </c>
      <c r="B272" s="25">
        <v>0.33333333333333298</v>
      </c>
      <c r="C272" s="26" t="s">
        <v>45</v>
      </c>
      <c r="D272" s="59" t="s">
        <v>30</v>
      </c>
      <c r="E272" s="59" t="s">
        <v>261</v>
      </c>
      <c r="F272" s="27">
        <v>16</v>
      </c>
      <c r="G272" s="28">
        <f t="shared" ref="G272:G283" si="60">IF(F272="","",IF(E272="PC 17",F272*4.2,IF(E272="PC 19",F272*5,"")))</f>
        <v>67.2</v>
      </c>
      <c r="H272" s="26" t="s">
        <v>19</v>
      </c>
      <c r="I272" s="26" t="s">
        <v>160</v>
      </c>
      <c r="J272" s="26" t="s">
        <v>27</v>
      </c>
      <c r="K272" s="29">
        <v>0.38263888888888886</v>
      </c>
      <c r="L272" s="29">
        <v>0.3972222222222222</v>
      </c>
      <c r="M272" s="30">
        <f t="shared" ref="M272:M277" ca="1" si="61">IFERROR(IF(K272="","",IF(L272="",MOD(NOW()-K272,1),IF(L272&gt;=K272,L272-K272,L272+1-K272))),"")</f>
        <v>1.4583333333333337E-2</v>
      </c>
      <c r="N272" s="27"/>
      <c r="O272" s="60"/>
    </row>
    <row r="273" spans="1:15" ht="15" customHeight="1">
      <c r="A273" s="69">
        <v>46214</v>
      </c>
      <c r="B273" s="32">
        <f t="shared" ref="B273:B283" si="62">B272+TIME(0,60,0)</f>
        <v>0.37499999999999967</v>
      </c>
      <c r="C273" s="26" t="s">
        <v>45</v>
      </c>
      <c r="D273" s="59" t="s">
        <v>30</v>
      </c>
      <c r="E273" s="59" t="s">
        <v>261</v>
      </c>
      <c r="F273" s="27">
        <v>25</v>
      </c>
      <c r="G273" s="34">
        <f t="shared" si="60"/>
        <v>105</v>
      </c>
      <c r="H273" s="33" t="s">
        <v>20</v>
      </c>
      <c r="I273" s="33" t="s">
        <v>155</v>
      </c>
      <c r="J273" s="33" t="s">
        <v>74</v>
      </c>
      <c r="K273" s="29">
        <v>0.44583333333333336</v>
      </c>
      <c r="L273" s="29">
        <v>0.45</v>
      </c>
      <c r="M273" s="35">
        <f t="shared" ca="1" si="61"/>
        <v>4.1666666666666519E-3</v>
      </c>
      <c r="N273" s="27"/>
      <c r="O273" s="60"/>
    </row>
    <row r="274" spans="1:15" ht="15" customHeight="1">
      <c r="A274" s="68">
        <v>46214</v>
      </c>
      <c r="B274" s="25">
        <f t="shared" si="62"/>
        <v>0.41666666666666635</v>
      </c>
      <c r="C274" s="26" t="s">
        <v>45</v>
      </c>
      <c r="D274" s="59" t="s">
        <v>30</v>
      </c>
      <c r="E274" s="59" t="s">
        <v>261</v>
      </c>
      <c r="F274" s="27">
        <v>12</v>
      </c>
      <c r="G274" s="28">
        <f t="shared" si="60"/>
        <v>50.400000000000006</v>
      </c>
      <c r="H274" s="26" t="s">
        <v>19</v>
      </c>
      <c r="I274" s="26" t="s">
        <v>160</v>
      </c>
      <c r="J274" s="26" t="s">
        <v>27</v>
      </c>
      <c r="K274" s="29">
        <v>0.7416666666666667</v>
      </c>
      <c r="L274" s="29">
        <v>0.78680555555555554</v>
      </c>
      <c r="M274" s="30">
        <f t="shared" ca="1" si="61"/>
        <v>4.513888888888884E-2</v>
      </c>
      <c r="N274" s="27"/>
      <c r="O274" s="60"/>
    </row>
    <row r="275" spans="1:15" ht="15" customHeight="1">
      <c r="A275" s="69">
        <v>46214</v>
      </c>
      <c r="B275" s="32">
        <f t="shared" si="62"/>
        <v>0.45833333333333304</v>
      </c>
      <c r="C275" s="26" t="s">
        <v>45</v>
      </c>
      <c r="D275" s="59" t="s">
        <v>30</v>
      </c>
      <c r="E275" s="59" t="s">
        <v>261</v>
      </c>
      <c r="F275" s="27">
        <v>20</v>
      </c>
      <c r="G275" s="34">
        <f t="shared" si="60"/>
        <v>84</v>
      </c>
      <c r="H275" s="33"/>
      <c r="I275" s="33"/>
      <c r="J275" s="33"/>
      <c r="K275" s="29"/>
      <c r="L275" s="29"/>
      <c r="M275" s="35" t="str">
        <f t="shared" ca="1" si="61"/>
        <v/>
      </c>
      <c r="N275" s="27"/>
      <c r="O275" s="60"/>
    </row>
    <row r="276" spans="1:15" ht="15" customHeight="1">
      <c r="A276" s="68">
        <v>46214</v>
      </c>
      <c r="B276" s="25">
        <f t="shared" si="62"/>
        <v>0.49999999999999972</v>
      </c>
      <c r="C276" s="26" t="s">
        <v>45</v>
      </c>
      <c r="D276" s="59" t="s">
        <v>30</v>
      </c>
      <c r="E276" s="59" t="s">
        <v>261</v>
      </c>
      <c r="F276" s="27">
        <v>14</v>
      </c>
      <c r="G276" s="28">
        <f t="shared" si="60"/>
        <v>58.800000000000004</v>
      </c>
      <c r="H276" s="26"/>
      <c r="I276" s="26"/>
      <c r="J276" s="26"/>
      <c r="K276" s="29"/>
      <c r="L276" s="29"/>
      <c r="M276" s="30" t="str">
        <f t="shared" ca="1" si="61"/>
        <v/>
      </c>
      <c r="N276" s="27"/>
      <c r="O276" s="60"/>
    </row>
    <row r="277" spans="1:15" ht="15" customHeight="1">
      <c r="A277" s="69">
        <v>46214</v>
      </c>
      <c r="B277" s="32">
        <f t="shared" si="62"/>
        <v>0.54166666666666641</v>
      </c>
      <c r="C277" s="26" t="s">
        <v>45</v>
      </c>
      <c r="D277" s="59" t="s">
        <v>30</v>
      </c>
      <c r="E277" s="59" t="s">
        <v>261</v>
      </c>
      <c r="F277" s="27">
        <v>0</v>
      </c>
      <c r="G277" s="34">
        <f t="shared" si="60"/>
        <v>0</v>
      </c>
      <c r="H277" s="33"/>
      <c r="I277" s="33"/>
      <c r="J277" s="33"/>
      <c r="K277" s="29"/>
      <c r="L277" s="29"/>
      <c r="M277" s="35" t="str">
        <f t="shared" ca="1" si="61"/>
        <v/>
      </c>
      <c r="N277" s="27"/>
      <c r="O277" s="60"/>
    </row>
    <row r="278" spans="1:15" ht="15" customHeight="1">
      <c r="A278" s="68">
        <v>46214</v>
      </c>
      <c r="B278" s="25">
        <f t="shared" si="62"/>
        <v>0.58333333333333304</v>
      </c>
      <c r="C278" s="26" t="s">
        <v>45</v>
      </c>
      <c r="D278" s="59" t="s">
        <v>30</v>
      </c>
      <c r="E278" s="59" t="s">
        <v>261</v>
      </c>
      <c r="F278" s="27">
        <v>22</v>
      </c>
      <c r="G278" s="28">
        <f t="shared" si="60"/>
        <v>92.4</v>
      </c>
      <c r="H278" s="26"/>
      <c r="I278" s="26"/>
      <c r="J278" s="26"/>
      <c r="K278" s="29"/>
      <c r="L278" s="29"/>
      <c r="M278" s="30"/>
      <c r="N278" s="27"/>
      <c r="O278" s="60"/>
    </row>
    <row r="279" spans="1:15" ht="15" customHeight="1">
      <c r="A279" s="69">
        <v>46214</v>
      </c>
      <c r="B279" s="32">
        <f t="shared" si="62"/>
        <v>0.62499999999999967</v>
      </c>
      <c r="C279" s="26" t="s">
        <v>45</v>
      </c>
      <c r="D279" s="59" t="s">
        <v>30</v>
      </c>
      <c r="E279" s="59" t="s">
        <v>261</v>
      </c>
      <c r="F279" s="27">
        <v>22</v>
      </c>
      <c r="G279" s="34">
        <f t="shared" si="60"/>
        <v>92.4</v>
      </c>
      <c r="H279" s="33"/>
      <c r="I279" s="33"/>
      <c r="J279" s="33"/>
      <c r="K279" s="29"/>
      <c r="L279" s="29"/>
      <c r="M279" s="35" t="str">
        <f ca="1">IFERROR(IF(K279="","",IF(L279="",MOD(NOW()-K279,1),IF(L279&gt;=K279,L279-K279,L279+1-K279))),"")</f>
        <v/>
      </c>
      <c r="N279" s="27"/>
      <c r="O279" s="60"/>
    </row>
    <row r="280" spans="1:15" ht="15" customHeight="1">
      <c r="A280" s="68">
        <v>46214</v>
      </c>
      <c r="B280" s="25">
        <f t="shared" si="62"/>
        <v>0.6666666666666663</v>
      </c>
      <c r="C280" s="26" t="s">
        <v>45</v>
      </c>
      <c r="D280" s="59" t="s">
        <v>30</v>
      </c>
      <c r="E280" s="59" t="s">
        <v>261</v>
      </c>
      <c r="F280" s="27">
        <v>15</v>
      </c>
      <c r="G280" s="28">
        <f t="shared" si="60"/>
        <v>63</v>
      </c>
      <c r="H280" s="26"/>
      <c r="I280" s="26"/>
      <c r="J280" s="26"/>
      <c r="K280" s="29"/>
      <c r="L280" s="29"/>
      <c r="M280" s="30" t="str">
        <f ca="1">IFERROR(IF(K280="","",IF(L280="",MOD(NOW()-K280,1),IF(L280&gt;=K280,L280-K280,L280+1-K280))),"")</f>
        <v/>
      </c>
      <c r="N280" s="27"/>
      <c r="O280" s="60"/>
    </row>
    <row r="281" spans="1:15" ht="15" customHeight="1">
      <c r="A281" s="69">
        <v>46214</v>
      </c>
      <c r="B281" s="32">
        <f t="shared" si="62"/>
        <v>0.70833333333333293</v>
      </c>
      <c r="C281" s="26" t="s">
        <v>45</v>
      </c>
      <c r="D281" s="59" t="s">
        <v>30</v>
      </c>
      <c r="E281" s="59" t="s">
        <v>261</v>
      </c>
      <c r="F281" s="27">
        <v>18</v>
      </c>
      <c r="G281" s="34">
        <f t="shared" si="60"/>
        <v>75.600000000000009</v>
      </c>
      <c r="H281" s="33"/>
      <c r="I281" s="33"/>
      <c r="J281" s="33"/>
      <c r="K281" s="29"/>
      <c r="L281" s="29"/>
      <c r="M281" s="35" t="str">
        <f ca="1">IFERROR(IF(K281="","",IF(L281="",MOD(NOW()-K281,1),IF(L281&gt;=K281,L281-K281,L281+1-K281))),"")</f>
        <v/>
      </c>
      <c r="N281" s="27"/>
      <c r="O281" s="60"/>
    </row>
    <row r="282" spans="1:15" ht="15" customHeight="1">
      <c r="A282" s="68">
        <v>46214</v>
      </c>
      <c r="B282" s="25">
        <f t="shared" si="62"/>
        <v>0.74999999999999956</v>
      </c>
      <c r="C282" s="26" t="s">
        <v>45</v>
      </c>
      <c r="D282" s="59" t="s">
        <v>30</v>
      </c>
      <c r="E282" s="59" t="s">
        <v>261</v>
      </c>
      <c r="F282" s="27">
        <v>17</v>
      </c>
      <c r="G282" s="28">
        <f t="shared" si="60"/>
        <v>71.400000000000006</v>
      </c>
      <c r="H282" s="26"/>
      <c r="I282" s="26"/>
      <c r="J282" s="26"/>
      <c r="K282" s="29"/>
      <c r="L282" s="29"/>
      <c r="M282" s="30" t="str">
        <f ca="1">IFERROR(IF(K282="","",IF(L282="",MOD(NOW()-K282,1),IF(L282&gt;=K282,L282-K282,L282+1-K282))),"")</f>
        <v/>
      </c>
      <c r="N282" s="27"/>
      <c r="O282" s="60"/>
    </row>
    <row r="283" spans="1:15" ht="15" customHeight="1">
      <c r="A283" s="69">
        <v>46214</v>
      </c>
      <c r="B283" s="32">
        <f t="shared" si="62"/>
        <v>0.79166666666666619</v>
      </c>
      <c r="C283" s="26" t="s">
        <v>45</v>
      </c>
      <c r="D283" s="59" t="s">
        <v>30</v>
      </c>
      <c r="E283" s="59" t="s">
        <v>261</v>
      </c>
      <c r="F283" s="27">
        <v>6</v>
      </c>
      <c r="G283" s="34">
        <f t="shared" si="60"/>
        <v>25.200000000000003</v>
      </c>
      <c r="H283" s="33"/>
      <c r="I283" s="33"/>
      <c r="J283" s="33"/>
      <c r="K283" s="29"/>
      <c r="L283" s="29"/>
      <c r="M283" s="35" t="str">
        <f ca="1">IFERROR(IF(K283="","",IF(L283="",MOD(NOW()-K283,1),IF(L283&gt;=K283,L283-K283,L283+1-K283))),"")</f>
        <v/>
      </c>
      <c r="N283" s="27"/>
      <c r="O283" s="60"/>
    </row>
    <row r="284" spans="1:15" ht="15.75" customHeight="1">
      <c r="A284" s="119" t="s">
        <v>236</v>
      </c>
      <c r="B284" s="120"/>
      <c r="C284" s="120"/>
      <c r="D284" s="120"/>
      <c r="E284" s="121">
        <f>SUM(E272:E283)</f>
        <v>0</v>
      </c>
      <c r="F284" s="36">
        <f>SUM(F272:F283)</f>
        <v>187</v>
      </c>
      <c r="G284" s="36">
        <f>SUM(G272:G283)</f>
        <v>785.40000000000009</v>
      </c>
      <c r="H284" s="37"/>
      <c r="I284" s="37"/>
      <c r="J284" s="37"/>
      <c r="K284" s="61"/>
      <c r="L284" s="61"/>
      <c r="M284" s="38">
        <f ca="1">IFERROR(SUM(M272:M283),"")</f>
        <v>6.3888888888888828E-2</v>
      </c>
      <c r="N284" s="36" t="s">
        <v>237</v>
      </c>
      <c r="O284" s="39">
        <v>787000</v>
      </c>
    </row>
    <row r="285" spans="1:15" ht="15" customHeight="1">
      <c r="A285" s="69">
        <v>46214</v>
      </c>
      <c r="B285" s="32">
        <v>0.83333333333333304</v>
      </c>
      <c r="C285" s="33" t="s">
        <v>29</v>
      </c>
      <c r="D285" s="62" t="s">
        <v>30</v>
      </c>
      <c r="E285" s="62" t="s">
        <v>261</v>
      </c>
      <c r="F285" s="27">
        <v>0</v>
      </c>
      <c r="G285" s="34">
        <f t="shared" ref="G285:G296" si="63">IF(F285="","",IF(E285="PC 17",F285*4.2,IF(E285="PC 19",F285*5,"")))</f>
        <v>0</v>
      </c>
      <c r="H285" s="33" t="s">
        <v>18</v>
      </c>
      <c r="I285" s="33" t="s">
        <v>57</v>
      </c>
      <c r="J285" s="33" t="s">
        <v>34</v>
      </c>
      <c r="K285" s="29">
        <v>0.79166666666666663</v>
      </c>
      <c r="L285" s="29">
        <v>0.86111111111111116</v>
      </c>
      <c r="M285" s="35">
        <f t="shared" ref="M285:M296" ca="1" si="64">IFERROR(IF(K285="","",IF(L285="",MOD(NOW()-K285,1),IF(L285&gt;=K285,L285-K285,L285+1-K285))),"")</f>
        <v>6.9444444444444531E-2</v>
      </c>
      <c r="N285" s="27"/>
      <c r="O285" s="60"/>
    </row>
    <row r="286" spans="1:15" ht="15" customHeight="1">
      <c r="A286" s="68">
        <v>46214</v>
      </c>
      <c r="B286" s="25">
        <f t="shared" ref="B286:B296" si="65">B285+TIME(0,60,0)</f>
        <v>0.87499999999999967</v>
      </c>
      <c r="C286" s="33" t="s">
        <v>29</v>
      </c>
      <c r="D286" s="62" t="s">
        <v>30</v>
      </c>
      <c r="E286" s="62" t="s">
        <v>261</v>
      </c>
      <c r="F286" s="27">
        <v>1</v>
      </c>
      <c r="G286" s="28">
        <f t="shared" si="63"/>
        <v>4.2</v>
      </c>
      <c r="H286" s="49" t="s">
        <v>19</v>
      </c>
      <c r="I286" s="49" t="s">
        <v>52</v>
      </c>
      <c r="J286" s="49" t="s">
        <v>27</v>
      </c>
      <c r="K286" s="29">
        <v>0.86111111111111116</v>
      </c>
      <c r="L286" s="29">
        <v>0.87152777777777779</v>
      </c>
      <c r="M286" s="64">
        <f t="shared" ca="1" si="64"/>
        <v>1.041666666666663E-2</v>
      </c>
      <c r="N286" s="27"/>
      <c r="O286" s="60"/>
    </row>
    <row r="287" spans="1:15" ht="15" customHeight="1">
      <c r="A287" s="69">
        <v>46214</v>
      </c>
      <c r="B287" s="32">
        <f t="shared" si="65"/>
        <v>0.9166666666666663</v>
      </c>
      <c r="C287" s="33" t="s">
        <v>29</v>
      </c>
      <c r="D287" s="62" t="s">
        <v>30</v>
      </c>
      <c r="E287" s="62" t="s">
        <v>261</v>
      </c>
      <c r="F287" s="27">
        <v>40</v>
      </c>
      <c r="G287" s="34">
        <f t="shared" si="63"/>
        <v>168</v>
      </c>
      <c r="H287" s="33" t="s">
        <v>20</v>
      </c>
      <c r="I287" s="33" t="s">
        <v>155</v>
      </c>
      <c r="J287" s="33" t="s">
        <v>74</v>
      </c>
      <c r="K287" s="29">
        <v>1.3888888888888888E-2</v>
      </c>
      <c r="L287" s="29">
        <v>1.6666666666666666E-2</v>
      </c>
      <c r="M287" s="64">
        <f t="shared" ca="1" si="64"/>
        <v>2.7777777777777783E-3</v>
      </c>
      <c r="N287" s="27"/>
      <c r="O287" s="60"/>
    </row>
    <row r="288" spans="1:15" ht="15" customHeight="1">
      <c r="A288" s="68">
        <v>46214</v>
      </c>
      <c r="B288" s="25">
        <f t="shared" si="65"/>
        <v>0.95833333333333293</v>
      </c>
      <c r="C288" s="33" t="s">
        <v>29</v>
      </c>
      <c r="D288" s="62" t="s">
        <v>30</v>
      </c>
      <c r="E288" s="62" t="s">
        <v>261</v>
      </c>
      <c r="F288" s="27">
        <v>16</v>
      </c>
      <c r="G288" s="28">
        <f t="shared" si="63"/>
        <v>67.2</v>
      </c>
      <c r="H288" s="26" t="s">
        <v>16</v>
      </c>
      <c r="I288" s="26" t="s">
        <v>52</v>
      </c>
      <c r="J288" s="26" t="s">
        <v>53</v>
      </c>
      <c r="K288" s="29">
        <v>0.17291666666666666</v>
      </c>
      <c r="L288" s="29">
        <v>0.17847222222222223</v>
      </c>
      <c r="M288" s="64">
        <f t="shared" ca="1" si="64"/>
        <v>5.5555555555555636E-3</v>
      </c>
      <c r="N288" s="27"/>
      <c r="O288" s="60"/>
    </row>
    <row r="289" spans="1:15" ht="15" customHeight="1">
      <c r="A289" s="69">
        <v>46214</v>
      </c>
      <c r="B289" s="32">
        <f t="shared" si="65"/>
        <v>0.99999999999999956</v>
      </c>
      <c r="C289" s="33" t="s">
        <v>29</v>
      </c>
      <c r="D289" s="62" t="s">
        <v>30</v>
      </c>
      <c r="E289" s="62" t="s">
        <v>234</v>
      </c>
      <c r="F289" s="27">
        <v>17</v>
      </c>
      <c r="G289" s="34">
        <f t="shared" si="63"/>
        <v>85</v>
      </c>
      <c r="H289" s="33" t="s">
        <v>19</v>
      </c>
      <c r="I289" s="33" t="s">
        <v>52</v>
      </c>
      <c r="J289" s="33" t="s">
        <v>27</v>
      </c>
      <c r="K289" s="29">
        <v>0.17847222222222223</v>
      </c>
      <c r="L289" s="29">
        <v>0.19097222222222221</v>
      </c>
      <c r="M289" s="35">
        <f t="shared" ca="1" si="64"/>
        <v>1.2499999999999983E-2</v>
      </c>
      <c r="N289" s="27"/>
      <c r="O289" s="60"/>
    </row>
    <row r="290" spans="1:15" ht="15" customHeight="1">
      <c r="A290" s="68">
        <v>46214</v>
      </c>
      <c r="B290" s="25">
        <f t="shared" si="65"/>
        <v>1.0416666666666663</v>
      </c>
      <c r="C290" s="33" t="s">
        <v>29</v>
      </c>
      <c r="D290" s="62" t="s">
        <v>30</v>
      </c>
      <c r="E290" s="62" t="s">
        <v>261</v>
      </c>
      <c r="F290" s="27">
        <v>25</v>
      </c>
      <c r="G290" s="28">
        <f t="shared" si="63"/>
        <v>105</v>
      </c>
      <c r="H290" s="26" t="s">
        <v>20</v>
      </c>
      <c r="I290" s="26"/>
      <c r="J290" s="26" t="s">
        <v>113</v>
      </c>
      <c r="K290" s="29">
        <v>0.2013888888888889</v>
      </c>
      <c r="L290" s="29">
        <v>0.21249999999999999</v>
      </c>
      <c r="M290" s="64">
        <f t="shared" ca="1" si="64"/>
        <v>1.1111111111111099E-2</v>
      </c>
      <c r="N290" s="27"/>
      <c r="O290" s="60"/>
    </row>
    <row r="291" spans="1:15" ht="15" customHeight="1">
      <c r="A291" s="69">
        <v>46214</v>
      </c>
      <c r="B291" s="32">
        <f t="shared" si="65"/>
        <v>1.083333333333333</v>
      </c>
      <c r="C291" s="33" t="s">
        <v>29</v>
      </c>
      <c r="D291" s="62" t="s">
        <v>30</v>
      </c>
      <c r="E291" s="62" t="s">
        <v>261</v>
      </c>
      <c r="F291" s="27">
        <v>21</v>
      </c>
      <c r="G291" s="34">
        <f t="shared" si="63"/>
        <v>88.2</v>
      </c>
      <c r="H291" s="33" t="s">
        <v>16</v>
      </c>
      <c r="I291" s="33"/>
      <c r="J291" s="33" t="s">
        <v>53</v>
      </c>
      <c r="K291" s="29">
        <v>0.25</v>
      </c>
      <c r="L291" s="29">
        <v>0.29166666666666669</v>
      </c>
      <c r="M291" s="35">
        <f t="shared" ca="1" si="64"/>
        <v>4.1666666666666685E-2</v>
      </c>
      <c r="N291" s="27"/>
      <c r="O291" s="60"/>
    </row>
    <row r="292" spans="1:15" ht="15" customHeight="1">
      <c r="A292" s="68">
        <v>46214</v>
      </c>
      <c r="B292" s="25">
        <f t="shared" si="65"/>
        <v>1.1249999999999998</v>
      </c>
      <c r="C292" s="33" t="s">
        <v>29</v>
      </c>
      <c r="D292" s="62" t="s">
        <v>30</v>
      </c>
      <c r="E292" s="62" t="s">
        <v>261</v>
      </c>
      <c r="F292" s="27">
        <v>35</v>
      </c>
      <c r="G292" s="28">
        <f t="shared" si="63"/>
        <v>147</v>
      </c>
      <c r="H292" s="26"/>
      <c r="I292" s="26"/>
      <c r="J292" s="26"/>
      <c r="K292" s="29"/>
      <c r="L292" s="29"/>
      <c r="M292" s="64" t="str">
        <f t="shared" ca="1" si="64"/>
        <v/>
      </c>
      <c r="N292" s="27"/>
      <c r="O292" s="60"/>
    </row>
    <row r="293" spans="1:15" ht="15" customHeight="1">
      <c r="A293" s="69">
        <v>46214</v>
      </c>
      <c r="B293" s="32">
        <f t="shared" si="65"/>
        <v>1.1666666666666665</v>
      </c>
      <c r="C293" s="33" t="s">
        <v>29</v>
      </c>
      <c r="D293" s="62" t="s">
        <v>30</v>
      </c>
      <c r="E293" s="62" t="s">
        <v>261</v>
      </c>
      <c r="F293" s="27">
        <v>12</v>
      </c>
      <c r="G293" s="34">
        <f t="shared" si="63"/>
        <v>50.400000000000006</v>
      </c>
      <c r="H293" s="33"/>
      <c r="I293" s="33"/>
      <c r="J293" s="33"/>
      <c r="K293" s="29"/>
      <c r="L293" s="29"/>
      <c r="M293" s="35" t="str">
        <f t="shared" ca="1" si="64"/>
        <v/>
      </c>
      <c r="N293" s="27"/>
      <c r="O293" s="60"/>
    </row>
    <row r="294" spans="1:15" ht="15" customHeight="1">
      <c r="A294" s="68">
        <v>46214</v>
      </c>
      <c r="B294" s="25">
        <f t="shared" si="65"/>
        <v>1.2083333333333333</v>
      </c>
      <c r="C294" s="33" t="s">
        <v>29</v>
      </c>
      <c r="D294" s="62" t="s">
        <v>30</v>
      </c>
      <c r="E294" s="62" t="s">
        <v>261</v>
      </c>
      <c r="F294" s="27">
        <v>17</v>
      </c>
      <c r="G294" s="28">
        <f t="shared" si="63"/>
        <v>71.400000000000006</v>
      </c>
      <c r="H294" s="26"/>
      <c r="I294" s="26"/>
      <c r="J294" s="26"/>
      <c r="K294" s="29"/>
      <c r="L294" s="29"/>
      <c r="M294" s="64" t="str">
        <f t="shared" ca="1" si="64"/>
        <v/>
      </c>
      <c r="N294" s="27"/>
      <c r="O294" s="60"/>
    </row>
    <row r="295" spans="1:15" ht="15" customHeight="1">
      <c r="A295" s="69">
        <v>46214</v>
      </c>
      <c r="B295" s="32">
        <f t="shared" si="65"/>
        <v>1.25</v>
      </c>
      <c r="C295" s="33" t="s">
        <v>29</v>
      </c>
      <c r="D295" s="62" t="s">
        <v>30</v>
      </c>
      <c r="E295" s="62" t="s">
        <v>261</v>
      </c>
      <c r="F295" s="27">
        <v>23</v>
      </c>
      <c r="G295" s="34">
        <f t="shared" si="63"/>
        <v>96.600000000000009</v>
      </c>
      <c r="H295" s="33"/>
      <c r="I295" s="33"/>
      <c r="J295" s="33"/>
      <c r="K295" s="29"/>
      <c r="L295" s="29"/>
      <c r="M295" s="35" t="str">
        <f t="shared" ca="1" si="64"/>
        <v/>
      </c>
      <c r="N295" s="27"/>
      <c r="O295" s="60"/>
    </row>
    <row r="296" spans="1:15" ht="15" customHeight="1">
      <c r="A296" s="68">
        <v>46214</v>
      </c>
      <c r="B296" s="25">
        <f t="shared" si="65"/>
        <v>1.2916666666666667</v>
      </c>
      <c r="C296" s="33" t="s">
        <v>29</v>
      </c>
      <c r="D296" s="62" t="s">
        <v>30</v>
      </c>
      <c r="E296" s="62" t="s">
        <v>261</v>
      </c>
      <c r="F296" s="27">
        <v>1</v>
      </c>
      <c r="G296" s="28">
        <f t="shared" si="63"/>
        <v>4.2</v>
      </c>
      <c r="H296" s="26"/>
      <c r="I296" s="26"/>
      <c r="J296" s="26"/>
      <c r="K296" s="29"/>
      <c r="L296" s="29"/>
      <c r="M296" s="30" t="str">
        <f t="shared" ca="1" si="64"/>
        <v/>
      </c>
      <c r="N296" s="27"/>
      <c r="O296" s="60"/>
    </row>
    <row r="297" spans="1:15" ht="15.75" customHeight="1">
      <c r="A297" s="119" t="s">
        <v>238</v>
      </c>
      <c r="B297" s="120"/>
      <c r="C297" s="120"/>
      <c r="D297" s="120"/>
      <c r="E297" s="121">
        <f>SUM(E285:E296)</f>
        <v>0</v>
      </c>
      <c r="F297" s="36">
        <f>SUM(F285:F296)</f>
        <v>208</v>
      </c>
      <c r="G297" s="36">
        <f>SUM(G285:G296)</f>
        <v>887.2</v>
      </c>
      <c r="H297" s="37"/>
      <c r="I297" s="37"/>
      <c r="J297" s="37"/>
      <c r="K297" s="61"/>
      <c r="L297" s="61"/>
      <c r="M297" s="38">
        <f ca="1">IFERROR(SUM(M285:M296),"")</f>
        <v>0.15347222222222229</v>
      </c>
      <c r="N297" s="36" t="s">
        <v>237</v>
      </c>
      <c r="O297" s="39">
        <v>1049090</v>
      </c>
    </row>
    <row r="298" spans="1:15" ht="18" customHeight="1">
      <c r="A298" s="122" t="s">
        <v>239</v>
      </c>
      <c r="B298" s="123"/>
      <c r="C298" s="123"/>
      <c r="D298" s="123"/>
      <c r="E298" s="124">
        <f>E284+E297</f>
        <v>0</v>
      </c>
      <c r="F298" s="40">
        <f>F284+F297</f>
        <v>395</v>
      </c>
      <c r="G298" s="40">
        <f>G284+G297</f>
        <v>1672.6000000000001</v>
      </c>
      <c r="H298" s="41"/>
      <c r="I298" s="41"/>
      <c r="J298" s="41"/>
      <c r="K298" s="63"/>
      <c r="L298" s="63"/>
      <c r="M298" s="42">
        <f ca="1">IFERROR(M284+M297,"")</f>
        <v>0.21736111111111112</v>
      </c>
      <c r="N298" s="40" t="s">
        <v>240</v>
      </c>
      <c r="O298" s="48">
        <f>IFERROR(O284+O297,"")</f>
        <v>1836090</v>
      </c>
    </row>
    <row r="299" spans="1:15" ht="15" customHeight="1">
      <c r="A299" s="69">
        <v>46215</v>
      </c>
      <c r="B299" s="32">
        <v>0.33333333333333298</v>
      </c>
      <c r="C299" s="33" t="s">
        <v>45</v>
      </c>
      <c r="D299" s="62" t="s">
        <v>30</v>
      </c>
      <c r="E299" s="62" t="s">
        <v>261</v>
      </c>
      <c r="F299" s="27">
        <v>0</v>
      </c>
      <c r="G299" s="34">
        <f t="shared" ref="G299:G310" si="66">IF(F299="","",IF(E299="PC 17",F299*4.2,IF(E299="PC 19",F299*5,"")))</f>
        <v>0</v>
      </c>
      <c r="H299" s="33" t="s">
        <v>19</v>
      </c>
      <c r="I299" s="33" t="s">
        <v>52</v>
      </c>
      <c r="J299" s="33" t="s">
        <v>35</v>
      </c>
      <c r="K299" s="29">
        <v>0.29166666666666669</v>
      </c>
      <c r="L299" s="29">
        <v>0.43125000000000002</v>
      </c>
      <c r="M299" s="35">
        <f t="shared" ref="M299:M310" ca="1" si="67">IFERROR(IF(K299="","",IF(L299="",MOD(NOW()-K299,1),IF(L299&gt;=K299,L299-K299,L299+1-K299))),"")</f>
        <v>0.13958333333333334</v>
      </c>
      <c r="N299" s="27" t="s">
        <v>409</v>
      </c>
      <c r="O299" s="60"/>
    </row>
    <row r="300" spans="1:15" ht="15" customHeight="1">
      <c r="A300" s="68">
        <v>46215</v>
      </c>
      <c r="B300" s="25">
        <f t="shared" ref="B300:B310" si="68">B299+TIME(0,60,0)</f>
        <v>0.37499999999999967</v>
      </c>
      <c r="C300" s="33" t="s">
        <v>45</v>
      </c>
      <c r="D300" s="62" t="s">
        <v>30</v>
      </c>
      <c r="E300" s="62" t="s">
        <v>261</v>
      </c>
      <c r="F300" s="27">
        <v>0</v>
      </c>
      <c r="G300" s="28">
        <f t="shared" si="66"/>
        <v>0</v>
      </c>
      <c r="H300" s="26" t="s">
        <v>18</v>
      </c>
      <c r="I300" s="26"/>
      <c r="J300" s="26" t="s">
        <v>211</v>
      </c>
      <c r="K300" s="29">
        <v>0.45833333333333331</v>
      </c>
      <c r="L300" s="29">
        <v>0.55763888888888891</v>
      </c>
      <c r="M300" s="30">
        <f t="shared" ca="1" si="67"/>
        <v>9.9305555555555591E-2</v>
      </c>
      <c r="N300" s="27"/>
      <c r="O300" s="60"/>
    </row>
    <row r="301" spans="1:15" ht="15" customHeight="1">
      <c r="A301" s="69">
        <v>46215</v>
      </c>
      <c r="B301" s="32">
        <f t="shared" si="68"/>
        <v>0.41666666666666635</v>
      </c>
      <c r="C301" s="33" t="s">
        <v>45</v>
      </c>
      <c r="D301" s="62" t="s">
        <v>30</v>
      </c>
      <c r="E301" s="62" t="s">
        <v>261</v>
      </c>
      <c r="F301" s="27">
        <v>0</v>
      </c>
      <c r="G301" s="34">
        <f t="shared" si="66"/>
        <v>0</v>
      </c>
      <c r="H301" s="33" t="s">
        <v>18</v>
      </c>
      <c r="I301" s="33"/>
      <c r="J301" s="33" t="s">
        <v>212</v>
      </c>
      <c r="K301" s="65">
        <v>0.60069444444444442</v>
      </c>
      <c r="L301" s="29">
        <v>0.71111111111111114</v>
      </c>
      <c r="M301" s="35">
        <f t="shared" ca="1" si="67"/>
        <v>0.11041666666666672</v>
      </c>
      <c r="N301" s="27"/>
      <c r="O301" s="60"/>
    </row>
    <row r="302" spans="1:15" ht="15" customHeight="1">
      <c r="A302" s="68">
        <v>46215</v>
      </c>
      <c r="B302" s="25">
        <f t="shared" si="68"/>
        <v>0.45833333333333304</v>
      </c>
      <c r="C302" s="33" t="s">
        <v>45</v>
      </c>
      <c r="D302" s="62" t="s">
        <v>30</v>
      </c>
      <c r="E302" s="62" t="s">
        <v>261</v>
      </c>
      <c r="F302" s="27">
        <v>0</v>
      </c>
      <c r="G302" s="28">
        <f t="shared" si="66"/>
        <v>0</v>
      </c>
      <c r="H302" s="26" t="s">
        <v>18</v>
      </c>
      <c r="I302" s="26" t="s">
        <v>138</v>
      </c>
      <c r="J302" s="26" t="s">
        <v>128</v>
      </c>
      <c r="K302" s="29">
        <v>0.72222222222222221</v>
      </c>
      <c r="L302" s="29">
        <v>0.76875000000000004</v>
      </c>
      <c r="M302" s="30">
        <f t="shared" ca="1" si="67"/>
        <v>4.6527777777777835E-2</v>
      </c>
      <c r="N302" s="27"/>
      <c r="O302" s="60"/>
    </row>
    <row r="303" spans="1:15" ht="15" customHeight="1">
      <c r="A303" s="69">
        <v>46215</v>
      </c>
      <c r="B303" s="32">
        <f t="shared" si="68"/>
        <v>0.49999999999999972</v>
      </c>
      <c r="C303" s="33" t="s">
        <v>45</v>
      </c>
      <c r="D303" s="62" t="s">
        <v>30</v>
      </c>
      <c r="E303" s="62" t="s">
        <v>261</v>
      </c>
      <c r="F303" s="27">
        <v>0</v>
      </c>
      <c r="G303" s="34">
        <f t="shared" si="66"/>
        <v>0</v>
      </c>
      <c r="H303" s="33"/>
      <c r="I303" s="33"/>
      <c r="J303" s="33" t="s">
        <v>96</v>
      </c>
      <c r="K303" s="29">
        <v>0.77083333333333337</v>
      </c>
      <c r="L303" s="29">
        <v>0.78819444444444442</v>
      </c>
      <c r="M303" s="35">
        <f t="shared" ca="1" si="67"/>
        <v>1.7361111111111049E-2</v>
      </c>
      <c r="N303" s="27"/>
      <c r="O303" s="60"/>
    </row>
    <row r="304" spans="1:15" ht="15" customHeight="1">
      <c r="A304" s="68">
        <v>46215</v>
      </c>
      <c r="B304" s="25">
        <f t="shared" si="68"/>
        <v>0.54166666666666641</v>
      </c>
      <c r="C304" s="33" t="s">
        <v>45</v>
      </c>
      <c r="D304" s="62" t="s">
        <v>30</v>
      </c>
      <c r="E304" s="62" t="s">
        <v>261</v>
      </c>
      <c r="F304" s="27">
        <v>0</v>
      </c>
      <c r="G304" s="28">
        <f t="shared" si="66"/>
        <v>0</v>
      </c>
      <c r="H304" s="26"/>
      <c r="I304" s="26"/>
      <c r="J304" s="26"/>
      <c r="K304" s="29"/>
      <c r="L304" s="29"/>
      <c r="M304" s="30" t="str">
        <f t="shared" ca="1" si="67"/>
        <v/>
      </c>
      <c r="N304" s="27"/>
      <c r="O304" s="60"/>
    </row>
    <row r="305" spans="1:15" ht="15" customHeight="1">
      <c r="A305" s="69">
        <v>46215</v>
      </c>
      <c r="B305" s="32">
        <f t="shared" si="68"/>
        <v>0.58333333333333304</v>
      </c>
      <c r="C305" s="33" t="s">
        <v>45</v>
      </c>
      <c r="D305" s="62" t="s">
        <v>30</v>
      </c>
      <c r="E305" s="62" t="s">
        <v>261</v>
      </c>
      <c r="F305" s="27">
        <v>10</v>
      </c>
      <c r="G305" s="34">
        <f t="shared" si="66"/>
        <v>42</v>
      </c>
      <c r="H305" s="33"/>
      <c r="I305" s="33"/>
      <c r="J305" s="33"/>
      <c r="K305" s="29"/>
      <c r="L305" s="29"/>
      <c r="M305" s="35" t="str">
        <f t="shared" ca="1" si="67"/>
        <v/>
      </c>
      <c r="N305" s="27"/>
      <c r="O305" s="60"/>
    </row>
    <row r="306" spans="1:15" ht="15" customHeight="1">
      <c r="A306" s="68">
        <v>46215</v>
      </c>
      <c r="B306" s="25">
        <f t="shared" si="68"/>
        <v>0.62499999999999967</v>
      </c>
      <c r="C306" s="33" t="s">
        <v>45</v>
      </c>
      <c r="D306" s="62" t="s">
        <v>30</v>
      </c>
      <c r="E306" s="62" t="s">
        <v>261</v>
      </c>
      <c r="F306" s="27">
        <v>0</v>
      </c>
      <c r="G306" s="28">
        <f t="shared" si="66"/>
        <v>0</v>
      </c>
      <c r="H306" s="26"/>
      <c r="I306" s="26"/>
      <c r="J306" s="26"/>
      <c r="K306" s="29"/>
      <c r="L306" s="29"/>
      <c r="M306" s="30" t="str">
        <f t="shared" ca="1" si="67"/>
        <v/>
      </c>
      <c r="N306" s="27"/>
      <c r="O306" s="60"/>
    </row>
    <row r="307" spans="1:15" ht="15" customHeight="1">
      <c r="A307" s="69">
        <v>46215</v>
      </c>
      <c r="B307" s="32">
        <f t="shared" si="68"/>
        <v>0.6666666666666663</v>
      </c>
      <c r="C307" s="33" t="s">
        <v>45</v>
      </c>
      <c r="D307" s="62" t="s">
        <v>30</v>
      </c>
      <c r="E307" s="62" t="s">
        <v>261</v>
      </c>
      <c r="F307" s="27">
        <v>13</v>
      </c>
      <c r="G307" s="34">
        <f t="shared" si="66"/>
        <v>54.6</v>
      </c>
      <c r="H307" s="33"/>
      <c r="I307" s="33"/>
      <c r="J307" s="33"/>
      <c r="K307" s="29"/>
      <c r="L307" s="29"/>
      <c r="M307" s="35" t="str">
        <f t="shared" ca="1" si="67"/>
        <v/>
      </c>
      <c r="N307" s="27"/>
      <c r="O307" s="60"/>
    </row>
    <row r="308" spans="1:15" ht="15" customHeight="1">
      <c r="A308" s="68">
        <v>46215</v>
      </c>
      <c r="B308" s="25">
        <f t="shared" si="68"/>
        <v>0.70833333333333293</v>
      </c>
      <c r="C308" s="33" t="s">
        <v>45</v>
      </c>
      <c r="D308" s="62" t="s">
        <v>30</v>
      </c>
      <c r="E308" s="62" t="s">
        <v>261</v>
      </c>
      <c r="F308" s="27">
        <v>0</v>
      </c>
      <c r="G308" s="28">
        <f t="shared" si="66"/>
        <v>0</v>
      </c>
      <c r="H308" s="26"/>
      <c r="I308" s="26"/>
      <c r="J308" s="26"/>
      <c r="K308" s="29"/>
      <c r="L308" s="29"/>
      <c r="M308" s="30" t="str">
        <f t="shared" ca="1" si="67"/>
        <v/>
      </c>
      <c r="N308" s="27"/>
      <c r="O308" s="60"/>
    </row>
    <row r="309" spans="1:15" ht="15" customHeight="1">
      <c r="A309" s="69">
        <v>46215</v>
      </c>
      <c r="B309" s="32">
        <f t="shared" si="68"/>
        <v>0.74999999999999956</v>
      </c>
      <c r="C309" s="33" t="s">
        <v>45</v>
      </c>
      <c r="D309" s="62" t="s">
        <v>30</v>
      </c>
      <c r="E309" s="62" t="s">
        <v>261</v>
      </c>
      <c r="F309" s="27">
        <v>7</v>
      </c>
      <c r="G309" s="34">
        <f t="shared" si="66"/>
        <v>29.400000000000002</v>
      </c>
      <c r="H309" s="33"/>
      <c r="I309" s="33"/>
      <c r="J309" s="33"/>
      <c r="K309" s="29"/>
      <c r="L309" s="29"/>
      <c r="M309" s="35" t="str">
        <f t="shared" ca="1" si="67"/>
        <v/>
      </c>
      <c r="N309" s="27"/>
      <c r="O309" s="60"/>
    </row>
    <row r="310" spans="1:15" ht="15" customHeight="1">
      <c r="A310" s="68">
        <v>46215</v>
      </c>
      <c r="B310" s="25">
        <f t="shared" si="68"/>
        <v>0.79166666666666619</v>
      </c>
      <c r="C310" s="33" t="s">
        <v>45</v>
      </c>
      <c r="D310" s="62" t="s">
        <v>30</v>
      </c>
      <c r="E310" s="62" t="s">
        <v>261</v>
      </c>
      <c r="F310" s="27">
        <v>0</v>
      </c>
      <c r="G310" s="28">
        <f t="shared" si="66"/>
        <v>0</v>
      </c>
      <c r="H310" s="26"/>
      <c r="I310" s="26"/>
      <c r="J310" s="26"/>
      <c r="K310" s="29"/>
      <c r="L310" s="29"/>
      <c r="M310" s="30" t="str">
        <f t="shared" ca="1" si="67"/>
        <v/>
      </c>
      <c r="N310" s="27"/>
      <c r="O310" s="60"/>
    </row>
    <row r="311" spans="1:15" ht="15.75" customHeight="1">
      <c r="A311" s="119" t="s">
        <v>236</v>
      </c>
      <c r="B311" s="120"/>
      <c r="C311" s="120"/>
      <c r="D311" s="120"/>
      <c r="E311" s="121">
        <f>SUM(E299:E310)</f>
        <v>0</v>
      </c>
      <c r="F311" s="36">
        <f>SUM(F299:F310)</f>
        <v>30</v>
      </c>
      <c r="G311" s="36">
        <f>SUM(G299:G310)</f>
        <v>126</v>
      </c>
      <c r="H311" s="37"/>
      <c r="I311" s="37"/>
      <c r="J311" s="37"/>
      <c r="K311" s="61"/>
      <c r="L311" s="61"/>
      <c r="M311" s="38">
        <f ca="1">IFERROR(SUM(M299:M310),"")</f>
        <v>0.41319444444444453</v>
      </c>
      <c r="N311" s="36" t="s">
        <v>237</v>
      </c>
      <c r="O311" s="39">
        <v>145580</v>
      </c>
    </row>
    <row r="312" spans="1:15" ht="15" customHeight="1">
      <c r="A312" s="68">
        <v>46215</v>
      </c>
      <c r="B312" s="25">
        <v>0.83333333333333304</v>
      </c>
      <c r="C312" s="26" t="s">
        <v>29</v>
      </c>
      <c r="D312" s="59" t="s">
        <v>30</v>
      </c>
      <c r="E312" s="59" t="s">
        <v>234</v>
      </c>
      <c r="F312" s="27">
        <v>20</v>
      </c>
      <c r="G312" s="28">
        <f t="shared" ref="G312:G323" si="69">IF(F312="","",IF(E312="PC 17",F312*4.2,IF(E312="PC 19",F312*5,"")))</f>
        <v>100</v>
      </c>
      <c r="H312" s="26" t="s">
        <v>20</v>
      </c>
      <c r="I312" s="26" t="s">
        <v>138</v>
      </c>
      <c r="J312" s="26" t="s">
        <v>96</v>
      </c>
      <c r="K312" s="29">
        <v>0.77083333333333337</v>
      </c>
      <c r="L312" s="29">
        <v>0.78819444444444442</v>
      </c>
      <c r="M312" s="30">
        <f t="shared" ref="M312:M323" ca="1" si="70">IFERROR(IF(K312="","",IF(L312="",MOD(NOW()-K312,1),IF(L312&gt;=K312,L312-K312,L312+1-K312))),"")</f>
        <v>1.7361111111111049E-2</v>
      </c>
      <c r="N312" s="27"/>
      <c r="O312" s="60"/>
    </row>
    <row r="313" spans="1:15" ht="15" customHeight="1">
      <c r="A313" s="69">
        <v>46215</v>
      </c>
      <c r="B313" s="32">
        <f t="shared" ref="B313:B323" si="71">B312+TIME(0,60,0)</f>
        <v>0.87499999999999967</v>
      </c>
      <c r="C313" s="26" t="s">
        <v>29</v>
      </c>
      <c r="D313" s="59" t="s">
        <v>30</v>
      </c>
      <c r="E313" s="59" t="s">
        <v>261</v>
      </c>
      <c r="F313" s="27">
        <v>15</v>
      </c>
      <c r="G313" s="34">
        <f t="shared" si="69"/>
        <v>63</v>
      </c>
      <c r="H313" s="33" t="s">
        <v>20</v>
      </c>
      <c r="I313" s="33" t="s">
        <v>52</v>
      </c>
      <c r="J313" s="33" t="s">
        <v>170</v>
      </c>
      <c r="K313" s="29">
        <v>0.80347222222222225</v>
      </c>
      <c r="L313" s="29">
        <v>0.80555555555555558</v>
      </c>
      <c r="M313" s="35">
        <f t="shared" ca="1" si="70"/>
        <v>2.0833333333333259E-3</v>
      </c>
      <c r="N313" s="27"/>
      <c r="O313" s="60"/>
    </row>
    <row r="314" spans="1:15" ht="15" customHeight="1">
      <c r="A314" s="68">
        <v>46215</v>
      </c>
      <c r="B314" s="25">
        <f t="shared" si="71"/>
        <v>0.9166666666666663</v>
      </c>
      <c r="C314" s="26" t="s">
        <v>29</v>
      </c>
      <c r="D314" s="59" t="s">
        <v>30</v>
      </c>
      <c r="E314" s="59" t="s">
        <v>261</v>
      </c>
      <c r="F314" s="27">
        <v>13</v>
      </c>
      <c r="G314" s="28">
        <f t="shared" si="69"/>
        <v>54.6</v>
      </c>
      <c r="H314" s="26" t="s">
        <v>20</v>
      </c>
      <c r="I314" s="26"/>
      <c r="J314" s="26" t="s">
        <v>113</v>
      </c>
      <c r="K314" s="29">
        <v>0.80833333333333335</v>
      </c>
      <c r="L314" s="29">
        <v>0.81111111111111112</v>
      </c>
      <c r="M314" s="30">
        <f t="shared" ca="1" si="70"/>
        <v>2.7777777777777679E-3</v>
      </c>
      <c r="N314" s="27"/>
      <c r="O314" s="60"/>
    </row>
    <row r="315" spans="1:15" ht="15" customHeight="1">
      <c r="A315" s="69">
        <v>46215</v>
      </c>
      <c r="B315" s="32">
        <f t="shared" si="71"/>
        <v>0.95833333333333293</v>
      </c>
      <c r="C315" s="26" t="s">
        <v>29</v>
      </c>
      <c r="D315" s="59" t="s">
        <v>30</v>
      </c>
      <c r="E315" s="59" t="s">
        <v>261</v>
      </c>
      <c r="F315" s="27">
        <v>9</v>
      </c>
      <c r="G315" s="34">
        <f t="shared" si="69"/>
        <v>37.800000000000004</v>
      </c>
      <c r="H315" s="33" t="s">
        <v>20</v>
      </c>
      <c r="I315" s="33"/>
      <c r="J315" s="33" t="s">
        <v>113</v>
      </c>
      <c r="K315" s="29">
        <v>0.81527777777777777</v>
      </c>
      <c r="L315" s="29">
        <v>0.81944444444444442</v>
      </c>
      <c r="M315" s="35">
        <f t="shared" ca="1" si="70"/>
        <v>4.1666666666666519E-3</v>
      </c>
      <c r="N315" s="27"/>
      <c r="O315" s="60"/>
    </row>
    <row r="316" spans="1:15" ht="15" customHeight="1">
      <c r="A316" s="68">
        <v>46215</v>
      </c>
      <c r="B316" s="25">
        <f t="shared" si="71"/>
        <v>0.99999999999999956</v>
      </c>
      <c r="C316" s="26" t="s">
        <v>29</v>
      </c>
      <c r="D316" s="59" t="s">
        <v>30</v>
      </c>
      <c r="E316" s="59" t="s">
        <v>261</v>
      </c>
      <c r="F316" s="27">
        <v>10</v>
      </c>
      <c r="G316" s="28">
        <f t="shared" si="69"/>
        <v>42</v>
      </c>
      <c r="H316" s="26" t="s">
        <v>20</v>
      </c>
      <c r="I316" s="26"/>
      <c r="J316" s="26" t="s">
        <v>113</v>
      </c>
      <c r="K316" s="29">
        <v>0.82222222222222219</v>
      </c>
      <c r="L316" s="29">
        <v>0.83611111111111114</v>
      </c>
      <c r="M316" s="30">
        <f t="shared" ca="1" si="70"/>
        <v>1.3888888888888951E-2</v>
      </c>
      <c r="N316" s="27"/>
      <c r="O316" s="60"/>
    </row>
    <row r="317" spans="1:15" ht="15" customHeight="1">
      <c r="A317" s="69">
        <v>46215</v>
      </c>
      <c r="B317" s="32">
        <f t="shared" si="71"/>
        <v>1.0416666666666663</v>
      </c>
      <c r="C317" s="26" t="s">
        <v>29</v>
      </c>
      <c r="D317" s="59" t="s">
        <v>30</v>
      </c>
      <c r="E317" s="59" t="s">
        <v>261</v>
      </c>
      <c r="F317" s="27">
        <v>20</v>
      </c>
      <c r="G317" s="34">
        <f t="shared" si="69"/>
        <v>84</v>
      </c>
      <c r="H317" s="33" t="s">
        <v>20</v>
      </c>
      <c r="I317" s="33" t="s">
        <v>130</v>
      </c>
      <c r="J317" s="33" t="s">
        <v>113</v>
      </c>
      <c r="K317" s="29">
        <v>0.89583333333333337</v>
      </c>
      <c r="L317" s="29">
        <v>0.94444444444444442</v>
      </c>
      <c r="M317" s="35">
        <f t="shared" ca="1" si="70"/>
        <v>4.8611111111111049E-2</v>
      </c>
      <c r="N317" s="27"/>
      <c r="O317" s="60"/>
    </row>
    <row r="318" spans="1:15" ht="15" customHeight="1">
      <c r="A318" s="68">
        <v>46215</v>
      </c>
      <c r="B318" s="25">
        <f t="shared" si="71"/>
        <v>1.083333333333333</v>
      </c>
      <c r="C318" s="26" t="s">
        <v>29</v>
      </c>
      <c r="D318" s="59" t="s">
        <v>30</v>
      </c>
      <c r="E318" s="59" t="s">
        <v>261</v>
      </c>
      <c r="F318" s="27">
        <v>15</v>
      </c>
      <c r="G318" s="28">
        <f t="shared" si="69"/>
        <v>63</v>
      </c>
      <c r="H318" s="26" t="s">
        <v>20</v>
      </c>
      <c r="I318" s="26" t="s">
        <v>52</v>
      </c>
      <c r="J318" s="26" t="s">
        <v>56</v>
      </c>
      <c r="K318" s="29">
        <v>0.96736111111111112</v>
      </c>
      <c r="L318" s="29">
        <v>0.97916666666666663</v>
      </c>
      <c r="M318" s="30">
        <f t="shared" ca="1" si="70"/>
        <v>1.1805555555555514E-2</v>
      </c>
      <c r="N318" s="27" t="s">
        <v>287</v>
      </c>
      <c r="O318" s="60"/>
    </row>
    <row r="319" spans="1:15" ht="15" customHeight="1">
      <c r="A319" s="69">
        <v>46215</v>
      </c>
      <c r="B319" s="32">
        <f t="shared" si="71"/>
        <v>1.1249999999999998</v>
      </c>
      <c r="C319" s="26" t="s">
        <v>29</v>
      </c>
      <c r="D319" s="59" t="s">
        <v>30</v>
      </c>
      <c r="E319" s="59" t="s">
        <v>261</v>
      </c>
      <c r="F319" s="27">
        <v>26</v>
      </c>
      <c r="G319" s="34">
        <f t="shared" si="69"/>
        <v>109.2</v>
      </c>
      <c r="H319" s="33" t="s">
        <v>20</v>
      </c>
      <c r="I319" s="33" t="s">
        <v>155</v>
      </c>
      <c r="J319" s="33" t="s">
        <v>74</v>
      </c>
      <c r="K319" s="29">
        <v>0.12916666666666668</v>
      </c>
      <c r="L319" s="29">
        <v>0.13333333333333333</v>
      </c>
      <c r="M319" s="35">
        <f t="shared" ca="1" si="70"/>
        <v>4.1666666666666519E-3</v>
      </c>
      <c r="N319" s="27"/>
      <c r="O319" s="60"/>
    </row>
    <row r="320" spans="1:15" ht="15" customHeight="1">
      <c r="A320" s="68">
        <v>46215</v>
      </c>
      <c r="B320" s="25">
        <f t="shared" si="71"/>
        <v>1.1666666666666665</v>
      </c>
      <c r="C320" s="26" t="s">
        <v>29</v>
      </c>
      <c r="D320" s="59" t="s">
        <v>30</v>
      </c>
      <c r="E320" s="59" t="s">
        <v>261</v>
      </c>
      <c r="F320" s="27">
        <v>30</v>
      </c>
      <c r="G320" s="28">
        <f t="shared" si="69"/>
        <v>126</v>
      </c>
      <c r="H320" s="26" t="s">
        <v>19</v>
      </c>
      <c r="I320" s="26" t="s">
        <v>160</v>
      </c>
      <c r="J320" s="26" t="s">
        <v>27</v>
      </c>
      <c r="K320" s="29">
        <v>0.24097222222222223</v>
      </c>
      <c r="L320" s="29">
        <v>0.25694444444444442</v>
      </c>
      <c r="M320" s="30">
        <f t="shared" ca="1" si="70"/>
        <v>1.5972222222222193E-2</v>
      </c>
      <c r="N320" s="27"/>
      <c r="O320" s="60"/>
    </row>
    <row r="321" spans="1:15" ht="15" customHeight="1">
      <c r="A321" s="69">
        <v>46215</v>
      </c>
      <c r="B321" s="32">
        <f t="shared" si="71"/>
        <v>1.2083333333333333</v>
      </c>
      <c r="C321" s="26" t="s">
        <v>29</v>
      </c>
      <c r="D321" s="59" t="s">
        <v>30</v>
      </c>
      <c r="E321" s="59" t="s">
        <v>261</v>
      </c>
      <c r="F321" s="27">
        <v>11</v>
      </c>
      <c r="G321" s="34">
        <f t="shared" si="69"/>
        <v>46.2</v>
      </c>
      <c r="H321" s="33"/>
      <c r="I321" s="33"/>
      <c r="J321" s="33"/>
      <c r="K321" s="29"/>
      <c r="L321" s="29"/>
      <c r="M321" s="35" t="str">
        <f t="shared" ca="1" si="70"/>
        <v/>
      </c>
      <c r="N321" s="27"/>
      <c r="O321" s="60"/>
    </row>
    <row r="322" spans="1:15" ht="15" customHeight="1">
      <c r="A322" s="68">
        <v>46215</v>
      </c>
      <c r="B322" s="25">
        <f t="shared" si="71"/>
        <v>1.25</v>
      </c>
      <c r="C322" s="26" t="s">
        <v>29</v>
      </c>
      <c r="D322" s="59" t="s">
        <v>30</v>
      </c>
      <c r="E322" s="59" t="s">
        <v>261</v>
      </c>
      <c r="F322" s="27">
        <v>15</v>
      </c>
      <c r="G322" s="28">
        <f t="shared" si="69"/>
        <v>63</v>
      </c>
      <c r="H322" s="26"/>
      <c r="I322" s="26"/>
      <c r="J322" s="26"/>
      <c r="K322" s="29"/>
      <c r="L322" s="29"/>
      <c r="M322" s="30" t="str">
        <f t="shared" ca="1" si="70"/>
        <v/>
      </c>
      <c r="N322" s="27"/>
      <c r="O322" s="60"/>
    </row>
    <row r="323" spans="1:15" ht="15" customHeight="1">
      <c r="A323" s="69">
        <v>46215</v>
      </c>
      <c r="B323" s="32">
        <f t="shared" si="71"/>
        <v>1.2916666666666667</v>
      </c>
      <c r="C323" s="26" t="s">
        <v>29</v>
      </c>
      <c r="D323" s="59" t="s">
        <v>30</v>
      </c>
      <c r="E323" s="59" t="s">
        <v>234</v>
      </c>
      <c r="F323" s="27">
        <v>15</v>
      </c>
      <c r="G323" s="34">
        <f t="shared" si="69"/>
        <v>75</v>
      </c>
      <c r="H323" s="33"/>
      <c r="I323" s="33"/>
      <c r="J323" s="33"/>
      <c r="K323" s="29"/>
      <c r="L323" s="29"/>
      <c r="M323" s="35" t="str">
        <f t="shared" ca="1" si="70"/>
        <v/>
      </c>
      <c r="N323" s="27"/>
      <c r="O323" s="60"/>
    </row>
    <row r="324" spans="1:15" ht="15.75" customHeight="1">
      <c r="A324" s="119" t="s">
        <v>238</v>
      </c>
      <c r="B324" s="120"/>
      <c r="C324" s="120"/>
      <c r="D324" s="120"/>
      <c r="E324" s="121">
        <f>SUM(E312:E323)</f>
        <v>0</v>
      </c>
      <c r="F324" s="36">
        <f>SUM(F312:F323)</f>
        <v>199</v>
      </c>
      <c r="G324" s="36">
        <f>SUM(G312:G323)</f>
        <v>863.80000000000007</v>
      </c>
      <c r="H324" s="37"/>
      <c r="I324" s="37"/>
      <c r="J324" s="37"/>
      <c r="K324" s="61"/>
      <c r="L324" s="61"/>
      <c r="M324" s="38">
        <f ca="1">IFERROR(SUM(M312:M323),"")</f>
        <v>0.12083333333333315</v>
      </c>
      <c r="N324" s="36" t="s">
        <v>237</v>
      </c>
      <c r="O324" s="39">
        <v>1063720</v>
      </c>
    </row>
    <row r="325" spans="1:15" ht="18" customHeight="1">
      <c r="A325" s="122" t="s">
        <v>239</v>
      </c>
      <c r="B325" s="123"/>
      <c r="C325" s="123"/>
      <c r="D325" s="123"/>
      <c r="E325" s="124">
        <f>E311+E324</f>
        <v>0</v>
      </c>
      <c r="F325" s="40">
        <f>F311+F324</f>
        <v>229</v>
      </c>
      <c r="G325" s="40">
        <f>G311+G324</f>
        <v>989.80000000000007</v>
      </c>
      <c r="H325" s="41"/>
      <c r="I325" s="41"/>
      <c r="J325" s="41"/>
      <c r="K325" s="63"/>
      <c r="L325" s="63"/>
      <c r="M325" s="42">
        <f ca="1">IFERROR(M311+M324,"")</f>
        <v>0.53402777777777766</v>
      </c>
      <c r="N325" s="40" t="s">
        <v>240</v>
      </c>
      <c r="O325" s="48">
        <f>IFERROR(O311+O324,"")</f>
        <v>1209300</v>
      </c>
    </row>
    <row r="326" spans="1:15" ht="15" customHeight="1">
      <c r="A326" s="68">
        <v>46216</v>
      </c>
      <c r="B326" s="25">
        <v>0.33333333333333298</v>
      </c>
      <c r="C326" s="26" t="s">
        <v>45</v>
      </c>
      <c r="D326" s="59" t="s">
        <v>30</v>
      </c>
      <c r="E326" s="57" t="s">
        <v>261</v>
      </c>
      <c r="F326" s="27">
        <v>20</v>
      </c>
      <c r="G326" s="28">
        <f>IF(F326="","",IF(E327="PC 17",F326*4.2,IF(E327="PC 19",F326*5,"")))</f>
        <v>84</v>
      </c>
      <c r="H326" s="26" t="s">
        <v>20</v>
      </c>
      <c r="I326" s="26" t="s">
        <v>39</v>
      </c>
      <c r="J326" s="26" t="s">
        <v>51</v>
      </c>
      <c r="K326" s="29">
        <v>0.39861111111111114</v>
      </c>
      <c r="L326" s="29">
        <v>0.40138888888888891</v>
      </c>
      <c r="M326" s="30">
        <f t="shared" ref="M326:M337" ca="1" si="72">IFERROR(IF(K326="","",IF(L326="",MOD(NOW()-K326,1),IF(L326&gt;=K326,L326-K326,L326+1-K326))),"")</f>
        <v>2.7777777777777679E-3</v>
      </c>
      <c r="N326" s="27"/>
      <c r="O326" s="60"/>
    </row>
    <row r="327" spans="1:15" ht="15" customHeight="1">
      <c r="A327" s="69">
        <v>46216</v>
      </c>
      <c r="B327" s="32">
        <f t="shared" ref="B327:B337" si="73">B326+TIME(0,60,0)</f>
        <v>0.37499999999999967</v>
      </c>
      <c r="C327" s="26" t="s">
        <v>45</v>
      </c>
      <c r="D327" s="59" t="s">
        <v>30</v>
      </c>
      <c r="E327" s="59" t="s">
        <v>261</v>
      </c>
      <c r="F327" s="27">
        <v>20</v>
      </c>
      <c r="G327" s="34">
        <v>84</v>
      </c>
      <c r="H327" s="33" t="s">
        <v>18</v>
      </c>
      <c r="I327" s="33" t="s">
        <v>160</v>
      </c>
      <c r="J327" s="33" t="s">
        <v>119</v>
      </c>
      <c r="K327" s="29">
        <v>0.53333333333333333</v>
      </c>
      <c r="L327" s="29">
        <v>0.57291666666666663</v>
      </c>
      <c r="M327" s="35">
        <f t="shared" ca="1" si="72"/>
        <v>3.9583333333333304E-2</v>
      </c>
      <c r="N327" s="27" t="s">
        <v>315</v>
      </c>
      <c r="O327" s="60"/>
    </row>
    <row r="328" spans="1:15" ht="15" customHeight="1">
      <c r="A328" s="68">
        <v>46216</v>
      </c>
      <c r="B328" s="25">
        <f t="shared" si="73"/>
        <v>0.41666666666666635</v>
      </c>
      <c r="C328" s="26" t="s">
        <v>45</v>
      </c>
      <c r="D328" s="59" t="s">
        <v>30</v>
      </c>
      <c r="E328" s="59" t="s">
        <v>261</v>
      </c>
      <c r="F328" s="27">
        <v>20</v>
      </c>
      <c r="G328" s="28">
        <f t="shared" ref="G328:G337" si="74">IF(F328="","",IF(E328="PC 17",F328*4.2,IF(E328="PC 19",F328*5,"")))</f>
        <v>84</v>
      </c>
      <c r="H328" s="26" t="s">
        <v>20</v>
      </c>
      <c r="I328" s="26" t="s">
        <v>130</v>
      </c>
      <c r="J328" s="26" t="s">
        <v>113</v>
      </c>
      <c r="K328" s="29">
        <v>0.63541666666666663</v>
      </c>
      <c r="L328" s="29">
        <v>0.70208333333333328</v>
      </c>
      <c r="M328" s="30">
        <f t="shared" ca="1" si="72"/>
        <v>6.6666666666666652E-2</v>
      </c>
      <c r="N328" s="27"/>
      <c r="O328" s="60"/>
    </row>
    <row r="329" spans="1:15" ht="15" customHeight="1">
      <c r="A329" s="69">
        <v>46216</v>
      </c>
      <c r="B329" s="32">
        <f t="shared" si="73"/>
        <v>0.45833333333333304</v>
      </c>
      <c r="C329" s="26" t="s">
        <v>45</v>
      </c>
      <c r="D329" s="59" t="s">
        <v>30</v>
      </c>
      <c r="E329" s="59" t="s">
        <v>261</v>
      </c>
      <c r="F329" s="27">
        <v>27</v>
      </c>
      <c r="G329" s="34">
        <f t="shared" si="74"/>
        <v>113.4</v>
      </c>
      <c r="H329" s="33"/>
      <c r="I329" s="33"/>
      <c r="J329" s="33"/>
      <c r="K329" s="29"/>
      <c r="L329" s="29"/>
      <c r="M329" s="35" t="str">
        <f t="shared" ca="1" si="72"/>
        <v/>
      </c>
      <c r="N329" s="27"/>
      <c r="O329" s="60"/>
    </row>
    <row r="330" spans="1:15" ht="15" customHeight="1">
      <c r="A330" s="68">
        <v>46216</v>
      </c>
      <c r="B330" s="25">
        <f t="shared" si="73"/>
        <v>0.49999999999999972</v>
      </c>
      <c r="C330" s="26" t="s">
        <v>45</v>
      </c>
      <c r="D330" s="59" t="s">
        <v>30</v>
      </c>
      <c r="E330" s="59" t="s">
        <v>234</v>
      </c>
      <c r="F330" s="27">
        <v>15</v>
      </c>
      <c r="G330" s="28">
        <f t="shared" si="74"/>
        <v>75</v>
      </c>
      <c r="H330" s="26"/>
      <c r="I330" s="26"/>
      <c r="J330" s="26"/>
      <c r="K330" s="29"/>
      <c r="L330" s="29"/>
      <c r="M330" s="30" t="str">
        <f t="shared" ca="1" si="72"/>
        <v/>
      </c>
      <c r="N330" s="27"/>
      <c r="O330" s="60"/>
    </row>
    <row r="331" spans="1:15" ht="15" customHeight="1">
      <c r="A331" s="69">
        <v>46216</v>
      </c>
      <c r="B331" s="32">
        <f t="shared" si="73"/>
        <v>0.54166666666666641</v>
      </c>
      <c r="C331" s="26" t="s">
        <v>45</v>
      </c>
      <c r="D331" s="59" t="s">
        <v>30</v>
      </c>
      <c r="E331" s="59" t="s">
        <v>261</v>
      </c>
      <c r="F331" s="27">
        <v>9</v>
      </c>
      <c r="G331" s="34">
        <f t="shared" si="74"/>
        <v>37.800000000000004</v>
      </c>
      <c r="H331" s="33"/>
      <c r="I331" s="33"/>
      <c r="J331" s="33"/>
      <c r="K331" s="29"/>
      <c r="L331" s="29"/>
      <c r="M331" s="35" t="str">
        <f t="shared" ca="1" si="72"/>
        <v/>
      </c>
      <c r="N331" s="27"/>
      <c r="O331" s="60"/>
    </row>
    <row r="332" spans="1:15" ht="15" customHeight="1">
      <c r="A332" s="68">
        <v>46216</v>
      </c>
      <c r="B332" s="25">
        <f t="shared" si="73"/>
        <v>0.58333333333333304</v>
      </c>
      <c r="C332" s="26" t="s">
        <v>45</v>
      </c>
      <c r="D332" s="59" t="s">
        <v>30</v>
      </c>
      <c r="E332" s="59" t="s">
        <v>261</v>
      </c>
      <c r="F332" s="27">
        <v>21</v>
      </c>
      <c r="G332" s="28">
        <f t="shared" si="74"/>
        <v>88.2</v>
      </c>
      <c r="H332" s="26"/>
      <c r="I332" s="26"/>
      <c r="J332" s="26"/>
      <c r="K332" s="29"/>
      <c r="L332" s="29"/>
      <c r="M332" s="30" t="str">
        <f t="shared" ca="1" si="72"/>
        <v/>
      </c>
      <c r="N332" s="27"/>
      <c r="O332" s="60"/>
    </row>
    <row r="333" spans="1:15" ht="15" customHeight="1">
      <c r="A333" s="69">
        <v>46216</v>
      </c>
      <c r="B333" s="32">
        <f t="shared" si="73"/>
        <v>0.62499999999999967</v>
      </c>
      <c r="C333" s="26" t="s">
        <v>45</v>
      </c>
      <c r="D333" s="59" t="s">
        <v>30</v>
      </c>
      <c r="E333" s="59" t="s">
        <v>261</v>
      </c>
      <c r="F333" s="27">
        <v>21</v>
      </c>
      <c r="G333" s="34">
        <f t="shared" si="74"/>
        <v>88.2</v>
      </c>
      <c r="H333" s="33"/>
      <c r="I333" s="33"/>
      <c r="J333" s="33"/>
      <c r="K333" s="29"/>
      <c r="L333" s="29"/>
      <c r="M333" s="35" t="str">
        <f t="shared" ca="1" si="72"/>
        <v/>
      </c>
      <c r="N333" s="27"/>
      <c r="O333" s="60"/>
    </row>
    <row r="334" spans="1:15" ht="15" customHeight="1">
      <c r="A334" s="68">
        <v>46216</v>
      </c>
      <c r="B334" s="25">
        <f t="shared" si="73"/>
        <v>0.6666666666666663</v>
      </c>
      <c r="C334" s="26" t="s">
        <v>45</v>
      </c>
      <c r="D334" s="59" t="s">
        <v>30</v>
      </c>
      <c r="E334" s="59" t="s">
        <v>261</v>
      </c>
      <c r="F334" s="27">
        <v>8</v>
      </c>
      <c r="G334" s="28">
        <f t="shared" si="74"/>
        <v>33.6</v>
      </c>
      <c r="H334" s="26"/>
      <c r="I334" s="26"/>
      <c r="J334" s="26"/>
      <c r="K334" s="29"/>
      <c r="L334" s="29"/>
      <c r="M334" s="30" t="str">
        <f t="shared" ca="1" si="72"/>
        <v/>
      </c>
      <c r="N334" s="27"/>
      <c r="O334" s="60"/>
    </row>
    <row r="335" spans="1:15" ht="15" customHeight="1">
      <c r="A335" s="69">
        <v>46216</v>
      </c>
      <c r="B335" s="32">
        <f t="shared" si="73"/>
        <v>0.70833333333333293</v>
      </c>
      <c r="C335" s="26" t="s">
        <v>45</v>
      </c>
      <c r="D335" s="59" t="s">
        <v>30</v>
      </c>
      <c r="E335" s="59" t="s">
        <v>261</v>
      </c>
      <c r="F335" s="27">
        <v>0</v>
      </c>
      <c r="G335" s="34">
        <f t="shared" si="74"/>
        <v>0</v>
      </c>
      <c r="H335" s="33"/>
      <c r="I335" s="33"/>
      <c r="J335" s="33"/>
      <c r="K335" s="29"/>
      <c r="L335" s="29"/>
      <c r="M335" s="35" t="str">
        <f t="shared" ca="1" si="72"/>
        <v/>
      </c>
      <c r="N335" s="27"/>
      <c r="O335" s="60"/>
    </row>
    <row r="336" spans="1:15" ht="15" customHeight="1">
      <c r="A336" s="68">
        <v>46216</v>
      </c>
      <c r="B336" s="25">
        <f t="shared" si="73"/>
        <v>0.74999999999999956</v>
      </c>
      <c r="C336" s="26" t="s">
        <v>45</v>
      </c>
      <c r="D336" s="59" t="s">
        <v>30</v>
      </c>
      <c r="E336" s="59" t="s">
        <v>261</v>
      </c>
      <c r="F336" s="27">
        <v>22</v>
      </c>
      <c r="G336" s="28">
        <f t="shared" si="74"/>
        <v>92.4</v>
      </c>
      <c r="H336" s="26"/>
      <c r="I336" s="26"/>
      <c r="J336" s="26"/>
      <c r="K336" s="29"/>
      <c r="L336" s="29"/>
      <c r="M336" s="30" t="str">
        <f t="shared" ca="1" si="72"/>
        <v/>
      </c>
      <c r="N336" s="27"/>
      <c r="O336" s="60"/>
    </row>
    <row r="337" spans="1:15" ht="15" customHeight="1">
      <c r="A337" s="69">
        <v>46216</v>
      </c>
      <c r="B337" s="32">
        <f t="shared" si="73"/>
        <v>0.79166666666666619</v>
      </c>
      <c r="C337" s="26" t="s">
        <v>45</v>
      </c>
      <c r="D337" s="59" t="s">
        <v>30</v>
      </c>
      <c r="E337" s="59" t="s">
        <v>261</v>
      </c>
      <c r="F337" s="27">
        <v>0</v>
      </c>
      <c r="G337" s="34">
        <f t="shared" si="74"/>
        <v>0</v>
      </c>
      <c r="H337" s="33"/>
      <c r="I337" s="33"/>
      <c r="J337" s="33"/>
      <c r="K337" s="29"/>
      <c r="L337" s="29"/>
      <c r="M337" s="35" t="str">
        <f t="shared" ca="1" si="72"/>
        <v/>
      </c>
      <c r="N337" s="27"/>
      <c r="O337" s="60"/>
    </row>
    <row r="338" spans="1:15" ht="15.75" customHeight="1">
      <c r="A338" s="119" t="s">
        <v>236</v>
      </c>
      <c r="B338" s="120"/>
      <c r="C338" s="120"/>
      <c r="D338" s="120"/>
      <c r="E338" s="121">
        <f>SUM(E327:E337)</f>
        <v>0</v>
      </c>
      <c r="F338" s="36">
        <f>SUM(F326:F337)</f>
        <v>183</v>
      </c>
      <c r="G338" s="36">
        <f>SUM(G326:G337)</f>
        <v>780.6</v>
      </c>
      <c r="H338" s="37"/>
      <c r="I338" s="37"/>
      <c r="J338" s="37"/>
      <c r="K338" s="61"/>
      <c r="L338" s="61"/>
      <c r="M338" s="38">
        <f ca="1">IFERROR(SUM(M326:M337),"")</f>
        <v>0.10902777777777772</v>
      </c>
      <c r="N338" s="36" t="s">
        <v>237</v>
      </c>
      <c r="O338" s="39">
        <v>780000</v>
      </c>
    </row>
    <row r="339" spans="1:15" ht="15" customHeight="1">
      <c r="A339" s="69">
        <v>46216</v>
      </c>
      <c r="B339" s="32">
        <v>0.83333333333333304</v>
      </c>
      <c r="C339" s="33" t="s">
        <v>29</v>
      </c>
      <c r="D339" s="62" t="s">
        <v>30</v>
      </c>
      <c r="E339" s="62" t="s">
        <v>261</v>
      </c>
      <c r="F339" s="27">
        <v>10</v>
      </c>
      <c r="G339" s="34">
        <f t="shared" ref="G339:G350" si="75">IF(F339="","",IF(E339="PC 17",F339*4.2,IF(E339="PC 19",F339*5,"")))</f>
        <v>42</v>
      </c>
      <c r="H339" s="33" t="s">
        <v>19</v>
      </c>
      <c r="I339" s="33" t="s">
        <v>52</v>
      </c>
      <c r="J339" s="33" t="s">
        <v>27</v>
      </c>
      <c r="K339" s="29">
        <v>0.81180555555555556</v>
      </c>
      <c r="L339" s="29">
        <v>0.82361111111111107</v>
      </c>
      <c r="M339" s="35">
        <f t="shared" ref="M339:M350" ca="1" si="76">IFERROR(IF(K339="","",IF(L339="",MOD(NOW()-K339,1),IF(L339&gt;=K339,L339-K339,L339+1-K339))),"")</f>
        <v>1.1805555555555514E-2</v>
      </c>
      <c r="N339" s="27"/>
      <c r="O339" s="60"/>
    </row>
    <row r="340" spans="1:15" ht="15" customHeight="1">
      <c r="A340" s="68">
        <v>46216</v>
      </c>
      <c r="B340" s="25">
        <f t="shared" ref="B340:B350" si="77">B339+TIME(0,60,0)</f>
        <v>0.87499999999999967</v>
      </c>
      <c r="C340" s="33" t="s">
        <v>29</v>
      </c>
      <c r="D340" s="62" t="s">
        <v>30</v>
      </c>
      <c r="E340" s="62" t="s">
        <v>261</v>
      </c>
      <c r="F340" s="27">
        <v>15</v>
      </c>
      <c r="G340" s="28">
        <f t="shared" si="75"/>
        <v>63</v>
      </c>
      <c r="H340" s="26" t="s">
        <v>19</v>
      </c>
      <c r="I340" s="26" t="s">
        <v>57</v>
      </c>
      <c r="J340" s="26" t="s">
        <v>27</v>
      </c>
      <c r="K340" s="29">
        <v>0.81180555555555556</v>
      </c>
      <c r="L340" s="29">
        <v>0.82986111111111116</v>
      </c>
      <c r="M340" s="30">
        <f t="shared" ca="1" si="76"/>
        <v>1.8055555555555602E-2</v>
      </c>
      <c r="N340" s="27"/>
      <c r="O340" s="60"/>
    </row>
    <row r="341" spans="1:15" ht="15" customHeight="1">
      <c r="A341" s="69">
        <v>46216</v>
      </c>
      <c r="B341" s="32">
        <f t="shared" si="77"/>
        <v>0.9166666666666663</v>
      </c>
      <c r="C341" s="33" t="s">
        <v>29</v>
      </c>
      <c r="D341" s="62" t="s">
        <v>30</v>
      </c>
      <c r="E341" s="62" t="s">
        <v>261</v>
      </c>
      <c r="F341" s="27">
        <v>14</v>
      </c>
      <c r="G341" s="34">
        <f t="shared" si="75"/>
        <v>58.800000000000004</v>
      </c>
      <c r="H341" s="33" t="s">
        <v>20</v>
      </c>
      <c r="I341" s="33" t="s">
        <v>57</v>
      </c>
      <c r="J341" s="33" t="s">
        <v>51</v>
      </c>
      <c r="K341" s="29">
        <v>0.89236111111111116</v>
      </c>
      <c r="L341" s="29">
        <v>0.89652777777777781</v>
      </c>
      <c r="M341" s="35">
        <f t="shared" ca="1" si="76"/>
        <v>4.1666666666666519E-3</v>
      </c>
      <c r="N341" s="27"/>
      <c r="O341" s="60"/>
    </row>
    <row r="342" spans="1:15" ht="15" customHeight="1">
      <c r="A342" s="68">
        <v>46216</v>
      </c>
      <c r="B342" s="25">
        <f t="shared" si="77"/>
        <v>0.95833333333333293</v>
      </c>
      <c r="C342" s="33" t="s">
        <v>29</v>
      </c>
      <c r="D342" s="62" t="s">
        <v>30</v>
      </c>
      <c r="E342" s="62" t="s">
        <v>261</v>
      </c>
      <c r="F342" s="27">
        <v>21</v>
      </c>
      <c r="G342" s="28">
        <f t="shared" si="75"/>
        <v>88.2</v>
      </c>
      <c r="H342" s="26" t="s">
        <v>20</v>
      </c>
      <c r="I342" s="26" t="s">
        <v>57</v>
      </c>
      <c r="J342" s="26" t="s">
        <v>51</v>
      </c>
      <c r="K342" s="29">
        <v>0.9</v>
      </c>
      <c r="L342" s="29">
        <v>0.90347222222222223</v>
      </c>
      <c r="M342" s="30">
        <f t="shared" ca="1" si="76"/>
        <v>3.4722222222222099E-3</v>
      </c>
      <c r="N342" s="27"/>
      <c r="O342" s="60"/>
    </row>
    <row r="343" spans="1:15" ht="15" customHeight="1">
      <c r="A343" s="69">
        <v>46216</v>
      </c>
      <c r="B343" s="32">
        <f t="shared" si="77"/>
        <v>0.99999999999999956</v>
      </c>
      <c r="C343" s="33" t="s">
        <v>29</v>
      </c>
      <c r="D343" s="62" t="s">
        <v>30</v>
      </c>
      <c r="E343" s="62" t="s">
        <v>261</v>
      </c>
      <c r="F343" s="27">
        <v>10</v>
      </c>
      <c r="G343" s="34">
        <f t="shared" si="75"/>
        <v>42</v>
      </c>
      <c r="H343" s="33" t="s">
        <v>20</v>
      </c>
      <c r="I343" s="33" t="s">
        <v>57</v>
      </c>
      <c r="J343" s="33" t="s">
        <v>51</v>
      </c>
      <c r="K343" s="29">
        <v>0.90902777777777777</v>
      </c>
      <c r="L343" s="29">
        <v>0.91319444444444442</v>
      </c>
      <c r="M343" s="35">
        <f t="shared" ca="1" si="76"/>
        <v>4.1666666666666519E-3</v>
      </c>
      <c r="N343" s="27"/>
      <c r="O343" s="60"/>
    </row>
    <row r="344" spans="1:15" ht="15" customHeight="1">
      <c r="A344" s="68">
        <v>46216</v>
      </c>
      <c r="B344" s="25">
        <f t="shared" si="77"/>
        <v>1.0416666666666663</v>
      </c>
      <c r="C344" s="33" t="s">
        <v>29</v>
      </c>
      <c r="D344" s="62" t="s">
        <v>30</v>
      </c>
      <c r="E344" s="62" t="s">
        <v>261</v>
      </c>
      <c r="F344" s="27">
        <v>20</v>
      </c>
      <c r="G344" s="28">
        <f t="shared" si="75"/>
        <v>84</v>
      </c>
      <c r="H344" s="26" t="s">
        <v>20</v>
      </c>
      <c r="I344" s="26" t="s">
        <v>155</v>
      </c>
      <c r="J344" s="26" t="s">
        <v>74</v>
      </c>
      <c r="K344" s="29" t="s">
        <v>410</v>
      </c>
      <c r="L344" s="29">
        <v>0.92222222222222228</v>
      </c>
      <c r="M344" s="30" t="str">
        <f t="shared" ca="1" si="76"/>
        <v/>
      </c>
      <c r="N344" s="27"/>
      <c r="O344" s="60"/>
    </row>
    <row r="345" spans="1:15" ht="15" customHeight="1">
      <c r="A345" s="69">
        <v>46216</v>
      </c>
      <c r="B345" s="32">
        <f t="shared" si="77"/>
        <v>1.083333333333333</v>
      </c>
      <c r="C345" s="33" t="s">
        <v>29</v>
      </c>
      <c r="D345" s="62" t="s">
        <v>30</v>
      </c>
      <c r="E345" s="62" t="s">
        <v>261</v>
      </c>
      <c r="F345" s="27">
        <v>5</v>
      </c>
      <c r="G345" s="34">
        <f t="shared" si="75"/>
        <v>21</v>
      </c>
      <c r="H345" s="33" t="s">
        <v>20</v>
      </c>
      <c r="I345" s="33" t="s">
        <v>155</v>
      </c>
      <c r="J345" s="33" t="s">
        <v>74</v>
      </c>
      <c r="K345" s="29">
        <v>0.97986111111111107</v>
      </c>
      <c r="L345" s="29">
        <v>0.98333333333333328</v>
      </c>
      <c r="M345" s="35">
        <f t="shared" ca="1" si="76"/>
        <v>3.4722222222222099E-3</v>
      </c>
      <c r="N345" s="27"/>
      <c r="O345" s="60"/>
    </row>
    <row r="346" spans="1:15" ht="15" customHeight="1">
      <c r="A346" s="68">
        <v>46216</v>
      </c>
      <c r="B346" s="25">
        <f t="shared" si="77"/>
        <v>1.1249999999999998</v>
      </c>
      <c r="C346" s="33" t="s">
        <v>29</v>
      </c>
      <c r="D346" s="62" t="s">
        <v>30</v>
      </c>
      <c r="E346" s="62" t="s">
        <v>261</v>
      </c>
      <c r="F346" s="27">
        <v>25</v>
      </c>
      <c r="G346" s="28">
        <f t="shared" si="75"/>
        <v>105</v>
      </c>
      <c r="H346" s="26" t="s">
        <v>19</v>
      </c>
      <c r="I346" s="26" t="s">
        <v>52</v>
      </c>
      <c r="J346" s="26" t="s">
        <v>95</v>
      </c>
      <c r="K346" s="29">
        <v>0.20277777777777778</v>
      </c>
      <c r="L346" s="29">
        <v>0.23125000000000001</v>
      </c>
      <c r="M346" s="30">
        <f t="shared" ca="1" si="76"/>
        <v>2.8472222222222232E-2</v>
      </c>
      <c r="N346" s="27"/>
      <c r="O346" s="60"/>
    </row>
    <row r="347" spans="1:15" ht="15" customHeight="1">
      <c r="A347" s="69">
        <v>46216</v>
      </c>
      <c r="B347" s="32">
        <f t="shared" si="77"/>
        <v>1.1666666666666665</v>
      </c>
      <c r="C347" s="33" t="s">
        <v>29</v>
      </c>
      <c r="D347" s="62" t="s">
        <v>30</v>
      </c>
      <c r="E347" s="62" t="s">
        <v>261</v>
      </c>
      <c r="F347" s="27">
        <v>15</v>
      </c>
      <c r="G347" s="34">
        <f t="shared" si="75"/>
        <v>63</v>
      </c>
      <c r="H347" s="33" t="s">
        <v>19</v>
      </c>
      <c r="I347" s="33" t="s">
        <v>52</v>
      </c>
      <c r="J347" s="33" t="s">
        <v>35</v>
      </c>
      <c r="K347" s="29">
        <v>0.24583333333333332</v>
      </c>
      <c r="L347" s="29">
        <v>0.26319444444444445</v>
      </c>
      <c r="M347" s="35">
        <f t="shared" ca="1" si="76"/>
        <v>1.7361111111111133E-2</v>
      </c>
      <c r="N347" s="27" t="s">
        <v>411</v>
      </c>
      <c r="O347" s="60"/>
    </row>
    <row r="348" spans="1:15" ht="15" customHeight="1">
      <c r="A348" s="68">
        <v>46216</v>
      </c>
      <c r="B348" s="25">
        <f t="shared" si="77"/>
        <v>1.2083333333333333</v>
      </c>
      <c r="C348" s="33" t="s">
        <v>29</v>
      </c>
      <c r="D348" s="62" t="s">
        <v>30</v>
      </c>
      <c r="E348" s="62" t="s">
        <v>261</v>
      </c>
      <c r="F348" s="27">
        <v>10</v>
      </c>
      <c r="G348" s="28">
        <f t="shared" si="75"/>
        <v>42</v>
      </c>
      <c r="H348" s="26"/>
      <c r="I348" s="26"/>
      <c r="J348" s="26"/>
      <c r="K348" s="29"/>
      <c r="L348" s="29"/>
      <c r="M348" s="30" t="str">
        <f t="shared" ca="1" si="76"/>
        <v/>
      </c>
      <c r="N348" s="27"/>
      <c r="O348" s="60"/>
    </row>
    <row r="349" spans="1:15" ht="15" customHeight="1">
      <c r="A349" s="69">
        <v>46216</v>
      </c>
      <c r="B349" s="32">
        <f t="shared" si="77"/>
        <v>1.25</v>
      </c>
      <c r="C349" s="33" t="s">
        <v>29</v>
      </c>
      <c r="D349" s="62" t="s">
        <v>30</v>
      </c>
      <c r="E349" s="62" t="s">
        <v>261</v>
      </c>
      <c r="F349" s="27">
        <v>0</v>
      </c>
      <c r="G349" s="34">
        <f t="shared" si="75"/>
        <v>0</v>
      </c>
      <c r="H349" s="33"/>
      <c r="I349" s="33"/>
      <c r="J349" s="33"/>
      <c r="K349" s="29"/>
      <c r="L349" s="29"/>
      <c r="M349" s="35" t="str">
        <f t="shared" ca="1" si="76"/>
        <v/>
      </c>
      <c r="N349" s="27"/>
      <c r="O349" s="60"/>
    </row>
    <row r="350" spans="1:15" ht="15" customHeight="1">
      <c r="A350" s="68">
        <v>46216</v>
      </c>
      <c r="B350" s="25">
        <f t="shared" si="77"/>
        <v>1.2916666666666667</v>
      </c>
      <c r="C350" s="33" t="s">
        <v>29</v>
      </c>
      <c r="D350" s="62" t="s">
        <v>30</v>
      </c>
      <c r="E350" s="62" t="s">
        <v>261</v>
      </c>
      <c r="F350" s="27">
        <v>15</v>
      </c>
      <c r="G350" s="28">
        <f t="shared" si="75"/>
        <v>63</v>
      </c>
      <c r="H350" s="26"/>
      <c r="I350" s="26"/>
      <c r="J350" s="26"/>
      <c r="K350" s="29"/>
      <c r="L350" s="29"/>
      <c r="M350" s="30" t="str">
        <f t="shared" ca="1" si="76"/>
        <v/>
      </c>
      <c r="N350" s="27"/>
      <c r="O350" s="60"/>
    </row>
    <row r="351" spans="1:15" ht="15.75" customHeight="1">
      <c r="A351" s="119" t="s">
        <v>238</v>
      </c>
      <c r="B351" s="120"/>
      <c r="C351" s="120"/>
      <c r="D351" s="120"/>
      <c r="E351" s="121">
        <f>SUM(E339:E350)</f>
        <v>0</v>
      </c>
      <c r="F351" s="36">
        <f>SUM(F339:F350)</f>
        <v>160</v>
      </c>
      <c r="G351" s="36">
        <f>SUM(G339:G350)</f>
        <v>672</v>
      </c>
      <c r="H351" s="37"/>
      <c r="I351" s="37"/>
      <c r="J351" s="37"/>
      <c r="K351" s="61"/>
      <c r="L351" s="61"/>
      <c r="M351" s="38">
        <f ca="1">IFERROR(SUM(M339:M350),"")</f>
        <v>9.0972222222222204E-2</v>
      </c>
      <c r="N351" s="36" t="s">
        <v>237</v>
      </c>
      <c r="O351" s="39">
        <v>696140</v>
      </c>
    </row>
    <row r="352" spans="1:15" ht="18" customHeight="1">
      <c r="A352" s="122" t="s">
        <v>239</v>
      </c>
      <c r="B352" s="123"/>
      <c r="C352" s="123"/>
      <c r="D352" s="123"/>
      <c r="E352" s="124">
        <f>E338+E351</f>
        <v>0</v>
      </c>
      <c r="F352" s="40">
        <f>F338+F351</f>
        <v>343</v>
      </c>
      <c r="G352" s="40">
        <f>G338+G351</f>
        <v>1452.6</v>
      </c>
      <c r="H352" s="41"/>
      <c r="I352" s="41"/>
      <c r="J352" s="41"/>
      <c r="K352" s="63"/>
      <c r="L352" s="63"/>
      <c r="M352" s="42">
        <f ca="1">IFERROR(M338+M351,"")</f>
        <v>0.19999999999999993</v>
      </c>
      <c r="N352" s="40" t="s">
        <v>240</v>
      </c>
      <c r="O352" s="48">
        <f>IFERROR(O338+O351,"")</f>
        <v>1476140</v>
      </c>
    </row>
    <row r="353" spans="1:15" ht="15" customHeight="1">
      <c r="A353" s="69">
        <v>46217</v>
      </c>
      <c r="B353" s="32">
        <v>0.33333333333333298</v>
      </c>
      <c r="C353" s="33" t="s">
        <v>45</v>
      </c>
      <c r="D353" s="62" t="s">
        <v>30</v>
      </c>
      <c r="E353" s="62" t="s">
        <v>261</v>
      </c>
      <c r="F353" s="27">
        <v>0</v>
      </c>
      <c r="G353" s="34">
        <f t="shared" ref="G353:G364" si="78">IF(F353="","",IF(E353="PC 17",F353*4.2,IF(E353="PC 19",F353*5,"")))</f>
        <v>0</v>
      </c>
      <c r="H353" s="33" t="s">
        <v>20</v>
      </c>
      <c r="I353" s="33" t="s">
        <v>57</v>
      </c>
      <c r="J353" s="33" t="s">
        <v>51</v>
      </c>
      <c r="K353" s="29">
        <v>0.39583333333333331</v>
      </c>
      <c r="L353" s="29">
        <v>0.40138888888888891</v>
      </c>
      <c r="M353" s="35">
        <f t="shared" ref="M353:M364" ca="1" si="79">IFERROR(IF(K353="","",IF(L353="",MOD(NOW()-K353,1),IF(L353&gt;=K353,L353-K353,L353+1-K353))),"")</f>
        <v>5.5555555555555913E-3</v>
      </c>
      <c r="N353" s="27"/>
      <c r="O353" s="60"/>
    </row>
    <row r="354" spans="1:15" ht="15" customHeight="1">
      <c r="A354" s="68">
        <v>46217</v>
      </c>
      <c r="B354" s="25">
        <f t="shared" ref="B354:B364" si="80">B353+TIME(0,60,0)</f>
        <v>0.37499999999999967</v>
      </c>
      <c r="C354" s="33" t="s">
        <v>45</v>
      </c>
      <c r="D354" s="62" t="s">
        <v>30</v>
      </c>
      <c r="E354" s="62" t="s">
        <v>261</v>
      </c>
      <c r="F354" s="27">
        <v>11</v>
      </c>
      <c r="G354" s="28">
        <f t="shared" si="78"/>
        <v>46.2</v>
      </c>
      <c r="H354" s="33" t="s">
        <v>20</v>
      </c>
      <c r="I354" s="26" t="s">
        <v>57</v>
      </c>
      <c r="J354" s="33" t="s">
        <v>51</v>
      </c>
      <c r="K354" s="29">
        <v>0.40902777777777777</v>
      </c>
      <c r="L354" s="29">
        <v>0.41041666666666665</v>
      </c>
      <c r="M354" s="30">
        <f t="shared" ca="1" si="79"/>
        <v>1.388888888888884E-3</v>
      </c>
      <c r="N354" s="27"/>
      <c r="O354" s="60"/>
    </row>
    <row r="355" spans="1:15" ht="15" customHeight="1">
      <c r="A355" s="69">
        <v>46217</v>
      </c>
      <c r="B355" s="32">
        <f t="shared" si="80"/>
        <v>0.41666666666666635</v>
      </c>
      <c r="C355" s="33" t="s">
        <v>45</v>
      </c>
      <c r="D355" s="62" t="s">
        <v>30</v>
      </c>
      <c r="E355" s="62" t="s">
        <v>261</v>
      </c>
      <c r="F355" s="27">
        <v>9</v>
      </c>
      <c r="G355" s="34">
        <f t="shared" si="78"/>
        <v>37.800000000000004</v>
      </c>
      <c r="H355" s="33" t="s">
        <v>20</v>
      </c>
      <c r="I355" s="33" t="s">
        <v>52</v>
      </c>
      <c r="J355" s="33" t="s">
        <v>354</v>
      </c>
      <c r="K355" s="29">
        <v>0.41319444444444442</v>
      </c>
      <c r="L355" s="29">
        <v>0.4236111111111111</v>
      </c>
      <c r="M355" s="35">
        <f t="shared" ca="1" si="79"/>
        <v>1.0416666666666685E-2</v>
      </c>
      <c r="N355" s="46"/>
      <c r="O355" s="60"/>
    </row>
    <row r="356" spans="1:15" ht="15" customHeight="1">
      <c r="A356" s="68">
        <v>46217</v>
      </c>
      <c r="B356" s="25">
        <f t="shared" si="80"/>
        <v>0.45833333333333304</v>
      </c>
      <c r="C356" s="33" t="s">
        <v>45</v>
      </c>
      <c r="D356" s="62" t="s">
        <v>30</v>
      </c>
      <c r="E356" s="62" t="s">
        <v>261</v>
      </c>
      <c r="F356" s="27">
        <v>11</v>
      </c>
      <c r="G356" s="28">
        <f t="shared" si="78"/>
        <v>46.2</v>
      </c>
      <c r="H356" s="26" t="s">
        <v>19</v>
      </c>
      <c r="I356" s="26" t="s">
        <v>52</v>
      </c>
      <c r="J356" s="26" t="s">
        <v>27</v>
      </c>
      <c r="K356" s="29">
        <v>0.6020833333333333</v>
      </c>
      <c r="L356" s="29">
        <v>0.625</v>
      </c>
      <c r="M356" s="30">
        <f t="shared" ca="1" si="79"/>
        <v>2.2916666666666696E-2</v>
      </c>
      <c r="N356" s="27"/>
      <c r="O356" s="60"/>
    </row>
    <row r="357" spans="1:15" ht="15" customHeight="1">
      <c r="A357" s="69">
        <v>46217</v>
      </c>
      <c r="B357" s="32">
        <f t="shared" si="80"/>
        <v>0.49999999999999972</v>
      </c>
      <c r="C357" s="33" t="s">
        <v>45</v>
      </c>
      <c r="D357" s="62" t="s">
        <v>30</v>
      </c>
      <c r="E357" s="62" t="s">
        <v>261</v>
      </c>
      <c r="F357" s="27">
        <v>10</v>
      </c>
      <c r="G357" s="34">
        <f t="shared" si="78"/>
        <v>42</v>
      </c>
      <c r="H357" s="33" t="s">
        <v>18</v>
      </c>
      <c r="I357" s="33" t="s">
        <v>138</v>
      </c>
      <c r="J357" s="33" t="s">
        <v>128</v>
      </c>
      <c r="K357" s="29">
        <v>0.6020833333333333</v>
      </c>
      <c r="L357" s="29">
        <v>0.6645833333333333</v>
      </c>
      <c r="M357" s="35">
        <f t="shared" ca="1" si="79"/>
        <v>6.25E-2</v>
      </c>
      <c r="N357" s="27"/>
      <c r="O357" s="60"/>
    </row>
    <row r="358" spans="1:15" ht="15" customHeight="1">
      <c r="A358" s="68">
        <v>46217</v>
      </c>
      <c r="B358" s="25">
        <f t="shared" si="80"/>
        <v>0.54166666666666641</v>
      </c>
      <c r="C358" s="33" t="s">
        <v>45</v>
      </c>
      <c r="D358" s="62" t="s">
        <v>30</v>
      </c>
      <c r="E358" s="62" t="s">
        <v>261</v>
      </c>
      <c r="F358" s="27">
        <v>21</v>
      </c>
      <c r="G358" s="28">
        <f t="shared" si="78"/>
        <v>88.2</v>
      </c>
      <c r="H358" s="26" t="s">
        <v>20</v>
      </c>
      <c r="I358" s="26" t="s">
        <v>57</v>
      </c>
      <c r="J358" s="26" t="s">
        <v>51</v>
      </c>
      <c r="K358" s="29">
        <v>0.6645833333333333</v>
      </c>
      <c r="L358" s="29">
        <v>0.66666666666666663</v>
      </c>
      <c r="M358" s="30">
        <f t="shared" ca="1" si="79"/>
        <v>2.0833333333333259E-3</v>
      </c>
      <c r="N358" s="27"/>
      <c r="O358" s="60"/>
    </row>
    <row r="359" spans="1:15" ht="15" customHeight="1">
      <c r="A359" s="69">
        <v>46217</v>
      </c>
      <c r="B359" s="32">
        <f t="shared" si="80"/>
        <v>0.58333333333333304</v>
      </c>
      <c r="C359" s="33" t="s">
        <v>45</v>
      </c>
      <c r="D359" s="62" t="s">
        <v>30</v>
      </c>
      <c r="E359" s="62" t="s">
        <v>261</v>
      </c>
      <c r="F359" s="27">
        <v>11</v>
      </c>
      <c r="G359" s="34">
        <f t="shared" si="78"/>
        <v>46.2</v>
      </c>
      <c r="H359" s="33"/>
      <c r="I359" s="33"/>
      <c r="J359" s="33"/>
      <c r="K359" s="29"/>
      <c r="L359" s="29"/>
      <c r="M359" s="35" t="str">
        <f t="shared" ca="1" si="79"/>
        <v/>
      </c>
      <c r="N359" s="27"/>
      <c r="O359" s="60"/>
    </row>
    <row r="360" spans="1:15" ht="15" customHeight="1">
      <c r="A360" s="68">
        <v>46217</v>
      </c>
      <c r="B360" s="25">
        <f t="shared" si="80"/>
        <v>0.62499999999999967</v>
      </c>
      <c r="C360" s="33" t="s">
        <v>45</v>
      </c>
      <c r="D360" s="62" t="s">
        <v>30</v>
      </c>
      <c r="E360" s="62" t="s">
        <v>261</v>
      </c>
      <c r="F360" s="27">
        <v>5</v>
      </c>
      <c r="G360" s="28">
        <f t="shared" si="78"/>
        <v>21</v>
      </c>
      <c r="H360" s="26"/>
      <c r="I360" s="26"/>
      <c r="J360" s="26"/>
      <c r="K360" s="29"/>
      <c r="L360" s="29"/>
      <c r="M360" s="30" t="str">
        <f t="shared" ca="1" si="79"/>
        <v/>
      </c>
      <c r="N360" s="27"/>
      <c r="O360" s="60"/>
    </row>
    <row r="361" spans="1:15" ht="15" customHeight="1">
      <c r="A361" s="69">
        <v>46217</v>
      </c>
      <c r="B361" s="32">
        <f t="shared" si="80"/>
        <v>0.6666666666666663</v>
      </c>
      <c r="C361" s="33" t="s">
        <v>45</v>
      </c>
      <c r="D361" s="62" t="s">
        <v>30</v>
      </c>
      <c r="E361" s="62" t="s">
        <v>261</v>
      </c>
      <c r="F361" s="27">
        <v>5</v>
      </c>
      <c r="G361" s="34">
        <f t="shared" si="78"/>
        <v>21</v>
      </c>
      <c r="H361" s="33"/>
      <c r="I361" s="33"/>
      <c r="J361" s="33"/>
      <c r="K361" s="29"/>
      <c r="L361" s="29"/>
      <c r="M361" s="35" t="str">
        <f t="shared" ca="1" si="79"/>
        <v/>
      </c>
      <c r="N361" s="27"/>
      <c r="O361" s="60"/>
    </row>
    <row r="362" spans="1:15" ht="15" customHeight="1">
      <c r="A362" s="68">
        <v>46217</v>
      </c>
      <c r="B362" s="25">
        <f t="shared" si="80"/>
        <v>0.70833333333333293</v>
      </c>
      <c r="C362" s="33" t="s">
        <v>45</v>
      </c>
      <c r="D362" s="62" t="s">
        <v>30</v>
      </c>
      <c r="E362" s="62" t="s">
        <v>261</v>
      </c>
      <c r="F362" s="27">
        <v>17</v>
      </c>
      <c r="G362" s="28">
        <f t="shared" si="78"/>
        <v>71.400000000000006</v>
      </c>
      <c r="H362" s="26"/>
      <c r="I362" s="26"/>
      <c r="J362" s="26"/>
      <c r="K362" s="29"/>
      <c r="L362" s="29"/>
      <c r="M362" s="30" t="str">
        <f t="shared" ca="1" si="79"/>
        <v/>
      </c>
      <c r="N362" s="27"/>
      <c r="O362" s="60"/>
    </row>
    <row r="363" spans="1:15" ht="15" customHeight="1">
      <c r="A363" s="69">
        <v>46217</v>
      </c>
      <c r="B363" s="32">
        <f t="shared" si="80"/>
        <v>0.74999999999999956</v>
      </c>
      <c r="C363" s="33" t="s">
        <v>45</v>
      </c>
      <c r="D363" s="62" t="s">
        <v>30</v>
      </c>
      <c r="E363" s="62" t="s">
        <v>261</v>
      </c>
      <c r="F363" s="27">
        <v>15</v>
      </c>
      <c r="G363" s="34">
        <f t="shared" si="78"/>
        <v>63</v>
      </c>
      <c r="H363" s="33"/>
      <c r="I363" s="33"/>
      <c r="J363" s="33"/>
      <c r="K363" s="29"/>
      <c r="L363" s="29"/>
      <c r="M363" s="35" t="str">
        <f t="shared" ca="1" si="79"/>
        <v/>
      </c>
      <c r="N363" s="27"/>
      <c r="O363" s="60"/>
    </row>
    <row r="364" spans="1:15" ht="15" customHeight="1">
      <c r="A364" s="68">
        <v>46217</v>
      </c>
      <c r="B364" s="25">
        <f t="shared" si="80"/>
        <v>0.79166666666666619</v>
      </c>
      <c r="C364" s="33" t="s">
        <v>45</v>
      </c>
      <c r="D364" s="62" t="s">
        <v>30</v>
      </c>
      <c r="E364" s="62" t="s">
        <v>261</v>
      </c>
      <c r="F364" s="27">
        <v>10</v>
      </c>
      <c r="G364" s="28">
        <f t="shared" si="78"/>
        <v>42</v>
      </c>
      <c r="H364" s="26"/>
      <c r="I364" s="26"/>
      <c r="J364" s="26"/>
      <c r="K364" s="29"/>
      <c r="L364" s="29"/>
      <c r="M364" s="30" t="str">
        <f t="shared" ca="1" si="79"/>
        <v/>
      </c>
      <c r="N364" s="27"/>
      <c r="O364" s="60"/>
    </row>
    <row r="365" spans="1:15" ht="15.75" customHeight="1">
      <c r="A365" s="87" t="s">
        <v>236</v>
      </c>
      <c r="B365" s="88"/>
      <c r="C365" s="88"/>
      <c r="D365" s="88"/>
      <c r="E365" s="89">
        <f>SUM(E353:E364)</f>
        <v>0</v>
      </c>
      <c r="F365" s="36">
        <f>SUM(F353:F364)</f>
        <v>125</v>
      </c>
      <c r="G365" s="36">
        <f>SUM(G353:G364)</f>
        <v>525</v>
      </c>
      <c r="H365" s="37"/>
      <c r="I365" s="37"/>
      <c r="J365" s="37"/>
      <c r="K365" s="61"/>
      <c r="L365" s="61"/>
      <c r="M365" s="38">
        <f ca="1">IFERROR(SUM(M353:M364),"")</f>
        <v>0.10486111111111118</v>
      </c>
      <c r="N365" s="36" t="s">
        <v>237</v>
      </c>
      <c r="O365" s="39">
        <v>597930</v>
      </c>
    </row>
    <row r="366" spans="1:15" ht="15" customHeight="1">
      <c r="A366" s="68">
        <v>46217</v>
      </c>
      <c r="B366" s="25">
        <v>0.83333333333333304</v>
      </c>
      <c r="C366" s="26" t="s">
        <v>29</v>
      </c>
      <c r="D366" s="59" t="s">
        <v>46</v>
      </c>
      <c r="E366" s="59" t="s">
        <v>261</v>
      </c>
      <c r="F366" s="27">
        <v>20</v>
      </c>
      <c r="G366" s="28">
        <f t="shared" ref="G366:G377" si="81">IF(F366="","",IF(E366="PC 17",F366*4.2,IF(E366="PC 19",F366*5,"")))</f>
        <v>84</v>
      </c>
      <c r="H366" s="26" t="s">
        <v>20</v>
      </c>
      <c r="I366" s="26" t="s">
        <v>52</v>
      </c>
      <c r="J366" s="26" t="s">
        <v>51</v>
      </c>
      <c r="K366" s="29">
        <v>0.83888888888888891</v>
      </c>
      <c r="L366" s="29">
        <v>0.85069444444444442</v>
      </c>
      <c r="M366" s="30">
        <f t="shared" ref="M366:M377" ca="1" si="82">IFERROR(IF(K366="","",IF(L366="",MOD(NOW()-K366,1),IF(L366&gt;=K366,L366-K366,L366+1-K366))),"")</f>
        <v>1.1805555555555514E-2</v>
      </c>
      <c r="N366" s="27"/>
      <c r="O366" s="60"/>
    </row>
    <row r="367" spans="1:15" ht="15" customHeight="1">
      <c r="A367" s="69">
        <v>46217</v>
      </c>
      <c r="B367" s="32">
        <f t="shared" ref="B367:B377" si="83">B366+TIME(0,60,0)</f>
        <v>0.87499999999999967</v>
      </c>
      <c r="C367" s="26" t="s">
        <v>29</v>
      </c>
      <c r="D367" s="59" t="s">
        <v>46</v>
      </c>
      <c r="E367" s="59" t="s">
        <v>261</v>
      </c>
      <c r="F367" s="27">
        <v>12</v>
      </c>
      <c r="G367" s="34">
        <f t="shared" si="81"/>
        <v>50.400000000000006</v>
      </c>
      <c r="H367" s="33" t="s">
        <v>19</v>
      </c>
      <c r="I367" s="33" t="s">
        <v>57</v>
      </c>
      <c r="J367" s="33" t="s">
        <v>27</v>
      </c>
      <c r="K367" s="29">
        <v>0.85069444444444442</v>
      </c>
      <c r="L367" s="29">
        <v>0.85624999999999996</v>
      </c>
      <c r="M367" s="35">
        <f t="shared" ca="1" si="82"/>
        <v>5.5555555555555358E-3</v>
      </c>
      <c r="N367" s="27"/>
      <c r="O367" s="60"/>
    </row>
    <row r="368" spans="1:15" ht="15" customHeight="1">
      <c r="A368" s="68">
        <v>46217</v>
      </c>
      <c r="B368" s="25">
        <f t="shared" si="83"/>
        <v>0.9166666666666663</v>
      </c>
      <c r="C368" s="26" t="s">
        <v>29</v>
      </c>
      <c r="D368" s="59" t="s">
        <v>46</v>
      </c>
      <c r="E368" s="59" t="s">
        <v>261</v>
      </c>
      <c r="F368" s="27">
        <v>18</v>
      </c>
      <c r="G368" s="28">
        <f t="shared" si="81"/>
        <v>75.600000000000009</v>
      </c>
      <c r="H368" s="26" t="s">
        <v>20</v>
      </c>
      <c r="I368" s="26" t="s">
        <v>57</v>
      </c>
      <c r="J368" s="26" t="s">
        <v>51</v>
      </c>
      <c r="K368" s="29" t="s">
        <v>412</v>
      </c>
      <c r="L368" s="29">
        <v>0.89583333333333337</v>
      </c>
      <c r="M368" s="30" t="str">
        <f t="shared" ca="1" si="82"/>
        <v/>
      </c>
      <c r="N368" s="27"/>
      <c r="O368" s="60"/>
    </row>
    <row r="369" spans="1:15" ht="15" customHeight="1">
      <c r="A369" s="69">
        <v>46217</v>
      </c>
      <c r="B369" s="32">
        <f t="shared" si="83"/>
        <v>0.95833333333333293</v>
      </c>
      <c r="C369" s="26" t="s">
        <v>29</v>
      </c>
      <c r="D369" s="59" t="s">
        <v>30</v>
      </c>
      <c r="E369" s="59" t="s">
        <v>261</v>
      </c>
      <c r="F369" s="27">
        <v>22</v>
      </c>
      <c r="G369" s="34">
        <f t="shared" si="81"/>
        <v>92.4</v>
      </c>
      <c r="H369" s="33" t="s">
        <v>20</v>
      </c>
      <c r="I369" s="33" t="s">
        <v>57</v>
      </c>
      <c r="J369" s="33" t="s">
        <v>51</v>
      </c>
      <c r="K369" s="29">
        <v>0.90208333333333335</v>
      </c>
      <c r="L369" s="29">
        <v>0.90555555555555556</v>
      </c>
      <c r="M369" s="35">
        <f t="shared" ca="1" si="82"/>
        <v>3.4722222222222099E-3</v>
      </c>
      <c r="N369" s="27"/>
      <c r="O369" s="60"/>
    </row>
    <row r="370" spans="1:15" ht="15" customHeight="1">
      <c r="A370" s="68">
        <v>46217</v>
      </c>
      <c r="B370" s="25">
        <f t="shared" si="83"/>
        <v>0.99999999999999956</v>
      </c>
      <c r="C370" s="26" t="s">
        <v>29</v>
      </c>
      <c r="D370" s="59" t="s">
        <v>30</v>
      </c>
      <c r="E370" s="59" t="s">
        <v>261</v>
      </c>
      <c r="F370" s="27">
        <v>13</v>
      </c>
      <c r="G370" s="28">
        <f t="shared" si="81"/>
        <v>54.6</v>
      </c>
      <c r="H370" s="26" t="s">
        <v>20</v>
      </c>
      <c r="I370" s="26" t="s">
        <v>52</v>
      </c>
      <c r="J370" s="26" t="s">
        <v>28</v>
      </c>
      <c r="K370" s="29">
        <v>0.92013888888888884</v>
      </c>
      <c r="L370" s="29">
        <v>0.92361111111111116</v>
      </c>
      <c r="M370" s="30">
        <f t="shared" ca="1" si="82"/>
        <v>3.4722222222223209E-3</v>
      </c>
      <c r="N370" s="27"/>
      <c r="O370" s="60"/>
    </row>
    <row r="371" spans="1:15" ht="15" customHeight="1">
      <c r="A371" s="69">
        <v>46217</v>
      </c>
      <c r="B371" s="32">
        <f t="shared" si="83"/>
        <v>1.0416666666666663</v>
      </c>
      <c r="C371" s="26" t="s">
        <v>29</v>
      </c>
      <c r="D371" s="59" t="s">
        <v>30</v>
      </c>
      <c r="E371" s="59" t="s">
        <v>261</v>
      </c>
      <c r="F371" s="27">
        <v>22</v>
      </c>
      <c r="G371" s="34">
        <f t="shared" si="81"/>
        <v>92.4</v>
      </c>
      <c r="H371" s="33" t="s">
        <v>20</v>
      </c>
      <c r="I371" s="33" t="s">
        <v>57</v>
      </c>
      <c r="J371" s="33" t="s">
        <v>36</v>
      </c>
      <c r="K371" s="29">
        <v>0.98124999999999996</v>
      </c>
      <c r="L371" s="29">
        <v>0.99097222222222225</v>
      </c>
      <c r="M371" s="35">
        <f t="shared" ca="1" si="82"/>
        <v>9.7222222222222987E-3</v>
      </c>
      <c r="N371" s="27"/>
      <c r="O371" s="60"/>
    </row>
    <row r="372" spans="1:15" ht="15" customHeight="1">
      <c r="A372" s="68">
        <v>46217</v>
      </c>
      <c r="B372" s="25">
        <f t="shared" si="83"/>
        <v>1.083333333333333</v>
      </c>
      <c r="C372" s="26" t="s">
        <v>29</v>
      </c>
      <c r="D372" s="59" t="s">
        <v>30</v>
      </c>
      <c r="E372" s="59" t="s">
        <v>261</v>
      </c>
      <c r="F372" s="27">
        <v>15</v>
      </c>
      <c r="G372" s="28">
        <f t="shared" si="81"/>
        <v>63</v>
      </c>
      <c r="H372" s="26" t="s">
        <v>20</v>
      </c>
      <c r="I372" s="26" t="s">
        <v>57</v>
      </c>
      <c r="J372" s="26" t="s">
        <v>51</v>
      </c>
      <c r="K372" s="29">
        <v>2.0833333333333333E-3</v>
      </c>
      <c r="L372" s="29">
        <v>5.5555555555555558E-3</v>
      </c>
      <c r="M372" s="30">
        <f t="shared" ca="1" si="82"/>
        <v>3.4722222222222225E-3</v>
      </c>
      <c r="N372" s="27"/>
      <c r="O372" s="60"/>
    </row>
    <row r="373" spans="1:15" ht="15" customHeight="1">
      <c r="A373" s="69">
        <v>46217</v>
      </c>
      <c r="B373" s="32">
        <f t="shared" si="83"/>
        <v>1.1249999999999998</v>
      </c>
      <c r="C373" s="26" t="s">
        <v>29</v>
      </c>
      <c r="D373" s="59" t="s">
        <v>30</v>
      </c>
      <c r="E373" s="59" t="s">
        <v>261</v>
      </c>
      <c r="F373" s="27">
        <v>17</v>
      </c>
      <c r="G373" s="34">
        <f t="shared" si="81"/>
        <v>71.400000000000006</v>
      </c>
      <c r="H373" s="33" t="s">
        <v>20</v>
      </c>
      <c r="I373" s="33" t="s">
        <v>57</v>
      </c>
      <c r="J373" s="33" t="s">
        <v>62</v>
      </c>
      <c r="K373" s="29">
        <v>0.10138888888888889</v>
      </c>
      <c r="L373" s="29">
        <v>0.10625</v>
      </c>
      <c r="M373" s="35">
        <f t="shared" ca="1" si="82"/>
        <v>4.8611111111111077E-3</v>
      </c>
      <c r="N373" s="27"/>
      <c r="O373" s="60"/>
    </row>
    <row r="374" spans="1:15" ht="15" customHeight="1">
      <c r="A374" s="68">
        <v>46217</v>
      </c>
      <c r="B374" s="25">
        <f t="shared" si="83"/>
        <v>1.1666666666666665</v>
      </c>
      <c r="C374" s="26" t="s">
        <v>29</v>
      </c>
      <c r="D374" s="59" t="s">
        <v>30</v>
      </c>
      <c r="E374" s="59" t="s">
        <v>261</v>
      </c>
      <c r="F374" s="27">
        <v>2</v>
      </c>
      <c r="G374" s="28">
        <f t="shared" si="81"/>
        <v>8.4</v>
      </c>
      <c r="H374" s="26" t="s">
        <v>19</v>
      </c>
      <c r="I374" s="26" t="s">
        <v>52</v>
      </c>
      <c r="J374" s="26" t="s">
        <v>27</v>
      </c>
      <c r="K374" s="29">
        <v>0.12013888888888889</v>
      </c>
      <c r="L374" s="29">
        <v>0.13055555555555556</v>
      </c>
      <c r="M374" s="30">
        <f t="shared" ca="1" si="82"/>
        <v>1.0416666666666671E-2</v>
      </c>
      <c r="N374" s="27"/>
      <c r="O374" s="60"/>
    </row>
    <row r="375" spans="1:15" ht="15" customHeight="1">
      <c r="A375" s="69">
        <v>46217</v>
      </c>
      <c r="B375" s="32">
        <f t="shared" si="83"/>
        <v>1.2083333333333333</v>
      </c>
      <c r="C375" s="26" t="s">
        <v>29</v>
      </c>
      <c r="D375" s="59" t="s">
        <v>30</v>
      </c>
      <c r="E375" s="59" t="s">
        <v>261</v>
      </c>
      <c r="F375" s="27">
        <v>10</v>
      </c>
      <c r="G375" s="34">
        <f t="shared" si="81"/>
        <v>42</v>
      </c>
      <c r="H375" s="33" t="s">
        <v>18</v>
      </c>
      <c r="I375" s="33" t="s">
        <v>52</v>
      </c>
      <c r="J375" s="33" t="s">
        <v>119</v>
      </c>
      <c r="K375" s="29">
        <v>0.13055555555555556</v>
      </c>
      <c r="L375" s="29">
        <v>0.13958333333333334</v>
      </c>
      <c r="M375" s="35">
        <f t="shared" ca="1" si="82"/>
        <v>9.0277777777777735E-3</v>
      </c>
      <c r="N375" s="27"/>
      <c r="O375" s="60"/>
    </row>
    <row r="376" spans="1:15" ht="15" customHeight="1">
      <c r="A376" s="68">
        <v>46217</v>
      </c>
      <c r="B376" s="25">
        <f t="shared" si="83"/>
        <v>1.25</v>
      </c>
      <c r="C376" s="26" t="s">
        <v>29</v>
      </c>
      <c r="D376" s="59" t="s">
        <v>30</v>
      </c>
      <c r="E376" s="59" t="s">
        <v>261</v>
      </c>
      <c r="F376" s="27"/>
      <c r="G376" s="28" t="str">
        <f t="shared" si="81"/>
        <v/>
      </c>
      <c r="H376" s="26" t="s">
        <v>19</v>
      </c>
      <c r="I376" s="26" t="s">
        <v>52</v>
      </c>
      <c r="J376" s="26" t="s">
        <v>27</v>
      </c>
      <c r="K376" s="29">
        <v>0.14722222222222223</v>
      </c>
      <c r="L376" s="29">
        <v>0.17222222222222222</v>
      </c>
      <c r="M376" s="30">
        <f t="shared" ca="1" si="82"/>
        <v>2.4999999999999994E-2</v>
      </c>
      <c r="N376" s="27"/>
      <c r="O376" s="60"/>
    </row>
    <row r="377" spans="1:15" ht="15" customHeight="1">
      <c r="A377" s="69">
        <v>46217</v>
      </c>
      <c r="B377" s="32">
        <f t="shared" si="83"/>
        <v>1.2916666666666667</v>
      </c>
      <c r="C377" s="26" t="s">
        <v>29</v>
      </c>
      <c r="D377" s="59" t="s">
        <v>30</v>
      </c>
      <c r="E377" s="59" t="s">
        <v>261</v>
      </c>
      <c r="F377" s="27">
        <v>3</v>
      </c>
      <c r="G377" s="34">
        <f t="shared" si="81"/>
        <v>12.600000000000001</v>
      </c>
      <c r="H377" s="33" t="s">
        <v>18</v>
      </c>
      <c r="I377" s="33" t="s">
        <v>52</v>
      </c>
      <c r="J377" s="33" t="s">
        <v>34</v>
      </c>
      <c r="K377" s="29">
        <v>0.20347222222222222</v>
      </c>
      <c r="L377" s="29">
        <v>0.29166666666666669</v>
      </c>
      <c r="M377" s="35">
        <f t="shared" ca="1" si="82"/>
        <v>8.8194444444444464E-2</v>
      </c>
      <c r="N377" s="27"/>
      <c r="O377" s="60"/>
    </row>
    <row r="378" spans="1:15" ht="15.75" customHeight="1">
      <c r="A378" s="119" t="s">
        <v>238</v>
      </c>
      <c r="B378" s="120"/>
      <c r="C378" s="120"/>
      <c r="D378" s="120"/>
      <c r="E378" s="121">
        <f>SUM(E366:E377)</f>
        <v>0</v>
      </c>
      <c r="F378" s="36">
        <f>SUM(F366:F377)</f>
        <v>154</v>
      </c>
      <c r="G378" s="36">
        <f>SUM(G366:G377)</f>
        <v>646.79999999999995</v>
      </c>
      <c r="H378" s="37"/>
      <c r="I378" s="37"/>
      <c r="J378" s="37"/>
      <c r="K378" s="61"/>
      <c r="L378" s="61"/>
      <c r="M378" s="38">
        <f ca="1">IFERROR(SUM(M366:M377),"")</f>
        <v>0.1750000000000001</v>
      </c>
      <c r="N378" s="36" t="s">
        <v>237</v>
      </c>
      <c r="O378" s="39">
        <v>704750</v>
      </c>
    </row>
    <row r="379" spans="1:15" ht="18" customHeight="1">
      <c r="A379" s="122" t="s">
        <v>239</v>
      </c>
      <c r="B379" s="123"/>
      <c r="C379" s="123"/>
      <c r="D379" s="123"/>
      <c r="E379" s="124">
        <f>E365+E378</f>
        <v>0</v>
      </c>
      <c r="F379" s="40">
        <f>F365+F378</f>
        <v>279</v>
      </c>
      <c r="G379" s="40">
        <f>G365+G378</f>
        <v>1171.8</v>
      </c>
      <c r="H379" s="41"/>
      <c r="I379" s="41"/>
      <c r="J379" s="41"/>
      <c r="K379" s="63"/>
      <c r="L379" s="63"/>
      <c r="M379" s="42">
        <f ca="1">IFERROR(M365+M378,"")</f>
        <v>0.27986111111111128</v>
      </c>
      <c r="N379" s="40" t="s">
        <v>240</v>
      </c>
      <c r="O379" s="48">
        <f>IFERROR(O365+O378,"")</f>
        <v>1302680</v>
      </c>
    </row>
    <row r="380" spans="1:15" ht="15" customHeight="1">
      <c r="A380" s="68">
        <v>46218</v>
      </c>
      <c r="B380" s="25">
        <v>0.33333333333333298</v>
      </c>
      <c r="C380" s="26" t="s">
        <v>45</v>
      </c>
      <c r="D380" s="59" t="s">
        <v>30</v>
      </c>
      <c r="E380" s="59" t="s">
        <v>261</v>
      </c>
      <c r="F380" s="27">
        <v>3</v>
      </c>
      <c r="G380" s="28">
        <f t="shared" ref="G380:G391" si="84">IF(F380="","",IF(E380="PC 17",F380*4.2,IF(E380="PC 19",F380*5,"")))</f>
        <v>12.600000000000001</v>
      </c>
      <c r="H380" s="26" t="s">
        <v>20</v>
      </c>
      <c r="I380" s="26" t="s">
        <v>52</v>
      </c>
      <c r="J380" s="26" t="s">
        <v>28</v>
      </c>
      <c r="K380" s="29">
        <v>0.32291666666666669</v>
      </c>
      <c r="L380" s="29">
        <v>0.33680555555555558</v>
      </c>
      <c r="M380" s="30">
        <f t="shared" ref="M380:M391" ca="1" si="85">IFERROR(IF(K380="","",IF(L380="",MOD(NOW()-K380,1),IF(L380&gt;=K380,L380-K380,L380+1-K380))),"")</f>
        <v>1.3888888888888895E-2</v>
      </c>
      <c r="N380" s="27" t="s">
        <v>413</v>
      </c>
      <c r="O380" s="60"/>
    </row>
    <row r="381" spans="1:15" ht="15" customHeight="1">
      <c r="A381" s="69">
        <v>46218</v>
      </c>
      <c r="B381" s="32">
        <f t="shared" ref="B381:B391" si="86">B380+TIME(0,60,0)</f>
        <v>0.37499999999999967</v>
      </c>
      <c r="C381" s="26" t="s">
        <v>45</v>
      </c>
      <c r="D381" s="59" t="s">
        <v>30</v>
      </c>
      <c r="E381" s="59" t="s">
        <v>261</v>
      </c>
      <c r="F381" s="27">
        <v>10</v>
      </c>
      <c r="G381" s="34">
        <f t="shared" si="84"/>
        <v>42</v>
      </c>
      <c r="H381" s="33" t="s">
        <v>20</v>
      </c>
      <c r="I381" s="33" t="s">
        <v>57</v>
      </c>
      <c r="J381" s="33" t="s">
        <v>28</v>
      </c>
      <c r="K381" s="29">
        <v>0.37222222222222223</v>
      </c>
      <c r="L381" s="29">
        <v>0.3888888888888889</v>
      </c>
      <c r="M381" s="35">
        <f t="shared" ca="1" si="85"/>
        <v>1.6666666666666663E-2</v>
      </c>
      <c r="N381" s="27"/>
      <c r="O381" s="60"/>
    </row>
    <row r="382" spans="1:15" ht="15" customHeight="1">
      <c r="A382" s="68">
        <v>46218</v>
      </c>
      <c r="B382" s="25">
        <f t="shared" si="86"/>
        <v>0.41666666666666635</v>
      </c>
      <c r="C382" s="26" t="s">
        <v>45</v>
      </c>
      <c r="D382" s="59" t="s">
        <v>30</v>
      </c>
      <c r="E382" s="59" t="s">
        <v>261</v>
      </c>
      <c r="F382" s="27">
        <v>17</v>
      </c>
      <c r="G382" s="28">
        <f t="shared" si="84"/>
        <v>71.400000000000006</v>
      </c>
      <c r="H382" s="26" t="s">
        <v>18</v>
      </c>
      <c r="I382" s="26" t="s">
        <v>52</v>
      </c>
      <c r="J382" s="33" t="s">
        <v>34</v>
      </c>
      <c r="K382" s="29">
        <v>0.3888888888888889</v>
      </c>
      <c r="L382" s="29">
        <v>0.5</v>
      </c>
      <c r="M382" s="30">
        <f t="shared" ca="1" si="85"/>
        <v>0.1111111111111111</v>
      </c>
      <c r="N382" s="27" t="s">
        <v>400</v>
      </c>
      <c r="O382" s="60"/>
    </row>
    <row r="383" spans="1:15" ht="15" customHeight="1">
      <c r="A383" s="69">
        <v>46218</v>
      </c>
      <c r="B383" s="32">
        <f t="shared" si="86"/>
        <v>0.45833333333333304</v>
      </c>
      <c r="C383" s="26" t="s">
        <v>45</v>
      </c>
      <c r="D383" s="59" t="s">
        <v>30</v>
      </c>
      <c r="E383" s="59" t="s">
        <v>261</v>
      </c>
      <c r="F383" s="27">
        <v>0</v>
      </c>
      <c r="G383" s="34">
        <f t="shared" si="84"/>
        <v>0</v>
      </c>
      <c r="H383" s="33" t="s">
        <v>18</v>
      </c>
      <c r="I383" s="33" t="s">
        <v>138</v>
      </c>
      <c r="J383" s="33" t="s">
        <v>128</v>
      </c>
      <c r="K383" s="29">
        <v>0.66249999999999998</v>
      </c>
      <c r="L383" s="29">
        <v>0.70347222222222228</v>
      </c>
      <c r="M383" s="35">
        <f t="shared" ca="1" si="85"/>
        <v>4.0972222222222299E-2</v>
      </c>
      <c r="N383" s="27"/>
      <c r="O383" s="60"/>
    </row>
    <row r="384" spans="1:15" ht="15" customHeight="1">
      <c r="A384" s="68">
        <v>46218</v>
      </c>
      <c r="B384" s="25">
        <f t="shared" si="86"/>
        <v>0.49999999999999972</v>
      </c>
      <c r="C384" s="26" t="s">
        <v>45</v>
      </c>
      <c r="D384" s="59" t="s">
        <v>30</v>
      </c>
      <c r="E384" s="59" t="s">
        <v>261</v>
      </c>
      <c r="F384" s="27">
        <v>0</v>
      </c>
      <c r="G384" s="28">
        <f t="shared" si="84"/>
        <v>0</v>
      </c>
      <c r="H384" s="26"/>
      <c r="I384" s="26"/>
      <c r="J384" s="26"/>
      <c r="K384" s="29"/>
      <c r="L384" s="29"/>
      <c r="M384" s="30" t="str">
        <f t="shared" ca="1" si="85"/>
        <v/>
      </c>
      <c r="N384" s="27"/>
      <c r="O384" s="60"/>
    </row>
    <row r="385" spans="1:15" ht="15" customHeight="1">
      <c r="A385" s="69">
        <v>46218</v>
      </c>
      <c r="B385" s="32">
        <f t="shared" si="86"/>
        <v>0.54166666666666641</v>
      </c>
      <c r="C385" s="26" t="s">
        <v>45</v>
      </c>
      <c r="D385" s="59" t="s">
        <v>30</v>
      </c>
      <c r="E385" s="59" t="s">
        <v>261</v>
      </c>
      <c r="F385" s="27">
        <v>25</v>
      </c>
      <c r="G385" s="34">
        <f t="shared" si="84"/>
        <v>105</v>
      </c>
      <c r="H385" s="33"/>
      <c r="I385" s="33"/>
      <c r="J385" s="33"/>
      <c r="K385" s="29"/>
      <c r="L385" s="29"/>
      <c r="M385" s="35" t="str">
        <f t="shared" ca="1" si="85"/>
        <v/>
      </c>
      <c r="N385" s="27"/>
      <c r="O385" s="60"/>
    </row>
    <row r="386" spans="1:15" ht="15" customHeight="1">
      <c r="A386" s="68">
        <v>46218</v>
      </c>
      <c r="B386" s="25">
        <f t="shared" si="86"/>
        <v>0.58333333333333304</v>
      </c>
      <c r="C386" s="26" t="s">
        <v>45</v>
      </c>
      <c r="D386" s="59" t="s">
        <v>30</v>
      </c>
      <c r="E386" s="59" t="s">
        <v>261</v>
      </c>
      <c r="F386" s="27">
        <v>23</v>
      </c>
      <c r="G386" s="28">
        <f t="shared" si="84"/>
        <v>96.600000000000009</v>
      </c>
      <c r="H386" s="26"/>
      <c r="I386" s="26"/>
      <c r="J386" s="26"/>
      <c r="K386" s="29"/>
      <c r="L386" s="29"/>
      <c r="M386" s="30" t="str">
        <f t="shared" ca="1" si="85"/>
        <v/>
      </c>
      <c r="N386" s="27"/>
      <c r="O386" s="60"/>
    </row>
    <row r="387" spans="1:15" ht="15" customHeight="1">
      <c r="A387" s="69">
        <v>46218</v>
      </c>
      <c r="B387" s="32">
        <f t="shared" si="86"/>
        <v>0.62499999999999967</v>
      </c>
      <c r="C387" s="26" t="s">
        <v>45</v>
      </c>
      <c r="D387" s="59" t="s">
        <v>30</v>
      </c>
      <c r="E387" s="59" t="s">
        <v>261</v>
      </c>
      <c r="F387" s="27">
        <v>23</v>
      </c>
      <c r="G387" s="34">
        <f t="shared" si="84"/>
        <v>96.600000000000009</v>
      </c>
      <c r="H387" s="33"/>
      <c r="I387" s="33"/>
      <c r="J387" s="33"/>
      <c r="K387" s="29"/>
      <c r="L387" s="29"/>
      <c r="M387" s="35" t="str">
        <f t="shared" ca="1" si="85"/>
        <v/>
      </c>
      <c r="N387" s="27"/>
      <c r="O387" s="60"/>
    </row>
    <row r="388" spans="1:15" ht="15" customHeight="1">
      <c r="A388" s="68">
        <v>46218</v>
      </c>
      <c r="B388" s="25">
        <f t="shared" si="86"/>
        <v>0.6666666666666663</v>
      </c>
      <c r="C388" s="26" t="s">
        <v>45</v>
      </c>
      <c r="D388" s="59" t="s">
        <v>30</v>
      </c>
      <c r="E388" s="59" t="s">
        <v>261</v>
      </c>
      <c r="F388" s="27">
        <v>17</v>
      </c>
      <c r="G388" s="28">
        <f t="shared" si="84"/>
        <v>71.400000000000006</v>
      </c>
      <c r="H388" s="26"/>
      <c r="I388" s="26"/>
      <c r="J388" s="26"/>
      <c r="K388" s="29"/>
      <c r="L388" s="29"/>
      <c r="M388" s="30" t="str">
        <f t="shared" ca="1" si="85"/>
        <v/>
      </c>
      <c r="N388" s="27"/>
      <c r="O388" s="60"/>
    </row>
    <row r="389" spans="1:15" ht="15" customHeight="1">
      <c r="A389" s="69">
        <v>46218</v>
      </c>
      <c r="B389" s="32">
        <f t="shared" si="86"/>
        <v>0.70833333333333293</v>
      </c>
      <c r="C389" s="26" t="s">
        <v>45</v>
      </c>
      <c r="D389" s="59" t="s">
        <v>30</v>
      </c>
      <c r="E389" s="59" t="s">
        <v>261</v>
      </c>
      <c r="F389" s="27">
        <v>1</v>
      </c>
      <c r="G389" s="34">
        <f t="shared" si="84"/>
        <v>4.2</v>
      </c>
      <c r="H389" s="33"/>
      <c r="I389" s="33"/>
      <c r="J389" s="33"/>
      <c r="K389" s="29"/>
      <c r="L389" s="29"/>
      <c r="M389" s="35" t="str">
        <f t="shared" ca="1" si="85"/>
        <v/>
      </c>
      <c r="N389" s="27"/>
      <c r="O389" s="60"/>
    </row>
    <row r="390" spans="1:15" ht="15" customHeight="1">
      <c r="A390" s="68">
        <v>46218</v>
      </c>
      <c r="B390" s="25">
        <f t="shared" si="86"/>
        <v>0.74999999999999956</v>
      </c>
      <c r="C390" s="26" t="s">
        <v>45</v>
      </c>
      <c r="D390" s="59" t="s">
        <v>30</v>
      </c>
      <c r="E390" s="59" t="s">
        <v>261</v>
      </c>
      <c r="F390" s="27">
        <v>17</v>
      </c>
      <c r="G390" s="28">
        <f t="shared" si="84"/>
        <v>71.400000000000006</v>
      </c>
      <c r="H390" s="26"/>
      <c r="I390" s="26"/>
      <c r="J390" s="26"/>
      <c r="K390" s="29"/>
      <c r="L390" s="29"/>
      <c r="M390" s="30" t="str">
        <f t="shared" ca="1" si="85"/>
        <v/>
      </c>
      <c r="N390" s="27"/>
      <c r="O390" s="60"/>
    </row>
    <row r="391" spans="1:15" ht="15" customHeight="1">
      <c r="A391" s="69">
        <v>46218</v>
      </c>
      <c r="B391" s="32">
        <f t="shared" si="86"/>
        <v>0.79166666666666619</v>
      </c>
      <c r="C391" s="26" t="s">
        <v>45</v>
      </c>
      <c r="D391" s="59" t="s">
        <v>30</v>
      </c>
      <c r="E391" s="59" t="s">
        <v>261</v>
      </c>
      <c r="F391" s="27">
        <v>7</v>
      </c>
      <c r="G391" s="34">
        <f t="shared" si="84"/>
        <v>29.400000000000002</v>
      </c>
      <c r="H391" s="33"/>
      <c r="I391" s="33"/>
      <c r="J391" s="33"/>
      <c r="K391" s="29"/>
      <c r="L391" s="29"/>
      <c r="M391" s="35" t="str">
        <f t="shared" ca="1" si="85"/>
        <v/>
      </c>
      <c r="N391" s="27"/>
      <c r="O391" s="60"/>
    </row>
    <row r="392" spans="1:15" ht="15.75" customHeight="1">
      <c r="A392" s="119" t="s">
        <v>236</v>
      </c>
      <c r="B392" s="120"/>
      <c r="C392" s="120"/>
      <c r="D392" s="120"/>
      <c r="E392" s="121">
        <f>SUM(E380:E391)</f>
        <v>0</v>
      </c>
      <c r="F392" s="36">
        <f>SUM(F380:F391)</f>
        <v>143</v>
      </c>
      <c r="G392" s="36">
        <f>SUM(G380:G391)</f>
        <v>600.6</v>
      </c>
      <c r="H392" s="37"/>
      <c r="I392" s="37"/>
      <c r="J392" s="37"/>
      <c r="K392" s="61"/>
      <c r="L392" s="61"/>
      <c r="M392" s="38">
        <f ca="1">IFERROR(SUM(M380:M391),"")</f>
        <v>0.18263888888888896</v>
      </c>
      <c r="N392" s="36" t="s">
        <v>237</v>
      </c>
      <c r="O392" s="39">
        <v>565570</v>
      </c>
    </row>
    <row r="393" spans="1:15" ht="15" customHeight="1">
      <c r="A393" s="69">
        <v>46218</v>
      </c>
      <c r="B393" s="32">
        <v>0.83333333333333304</v>
      </c>
      <c r="C393" s="33" t="s">
        <v>29</v>
      </c>
      <c r="D393" s="62" t="s">
        <v>30</v>
      </c>
      <c r="E393" s="62" t="s">
        <v>234</v>
      </c>
      <c r="F393" s="27">
        <v>25</v>
      </c>
      <c r="G393" s="34">
        <f t="shared" ref="G393:G404" si="87">IF(F393="","",IF(E393="PC 17",F393*4.2,IF(E393="PC 19",F393*5,"")))</f>
        <v>125</v>
      </c>
      <c r="H393" s="33" t="s">
        <v>19</v>
      </c>
      <c r="I393" s="33" t="s">
        <v>160</v>
      </c>
      <c r="J393" s="33" t="s">
        <v>27</v>
      </c>
      <c r="K393" s="29">
        <v>0.85416666666666663</v>
      </c>
      <c r="L393" s="29">
        <v>0.87083333333333335</v>
      </c>
      <c r="M393" s="35">
        <f t="shared" ref="M393:M404" ca="1" si="88">IFERROR(IF(K393="","",IF(L393="",MOD(NOW()-K393,1),IF(L393&gt;=K393,L393-K393,L393+1-K393))),"")</f>
        <v>1.6666666666666718E-2</v>
      </c>
      <c r="N393" s="27"/>
      <c r="O393" s="60"/>
    </row>
    <row r="394" spans="1:15" ht="15" customHeight="1">
      <c r="A394" s="68">
        <v>46218</v>
      </c>
      <c r="B394" s="25">
        <f t="shared" ref="B394:B404" si="89">B393+TIME(0,60,0)</f>
        <v>0.87499999999999967</v>
      </c>
      <c r="C394" s="33" t="s">
        <v>29</v>
      </c>
      <c r="D394" s="62" t="s">
        <v>30</v>
      </c>
      <c r="E394" s="62" t="s">
        <v>261</v>
      </c>
      <c r="F394" s="27">
        <v>10</v>
      </c>
      <c r="G394" s="28">
        <f t="shared" si="87"/>
        <v>42</v>
      </c>
      <c r="H394" s="26" t="s">
        <v>20</v>
      </c>
      <c r="I394" s="26" t="s">
        <v>138</v>
      </c>
      <c r="J394" s="26" t="s">
        <v>181</v>
      </c>
      <c r="K394" s="29">
        <v>0.9770833333333333</v>
      </c>
      <c r="L394" s="29">
        <v>1.3194444444444444E-2</v>
      </c>
      <c r="M394" s="30">
        <f t="shared" ca="1" si="88"/>
        <v>3.6111111111111205E-2</v>
      </c>
      <c r="N394" s="27" t="s">
        <v>414</v>
      </c>
      <c r="O394" s="60"/>
    </row>
    <row r="395" spans="1:15" ht="15" customHeight="1">
      <c r="A395" s="69">
        <v>46218</v>
      </c>
      <c r="B395" s="32">
        <f t="shared" si="89"/>
        <v>0.9166666666666663</v>
      </c>
      <c r="C395" s="33" t="s">
        <v>29</v>
      </c>
      <c r="D395" s="62" t="s">
        <v>30</v>
      </c>
      <c r="E395" s="62" t="s">
        <v>261</v>
      </c>
      <c r="F395" s="27">
        <v>8</v>
      </c>
      <c r="G395" s="34">
        <f t="shared" si="87"/>
        <v>33.6</v>
      </c>
      <c r="H395" s="33" t="s">
        <v>17</v>
      </c>
      <c r="I395" s="33"/>
      <c r="J395" s="33" t="s">
        <v>25</v>
      </c>
      <c r="K395" s="29">
        <v>3.6805555555555557E-2</v>
      </c>
      <c r="L395" s="29">
        <v>4.9305555555555554E-2</v>
      </c>
      <c r="M395" s="35">
        <f t="shared" ca="1" si="88"/>
        <v>1.2499999999999997E-2</v>
      </c>
      <c r="N395" s="29"/>
      <c r="O395" s="60"/>
    </row>
    <row r="396" spans="1:15" ht="15" customHeight="1">
      <c r="A396" s="68">
        <v>46218</v>
      </c>
      <c r="B396" s="25">
        <f t="shared" si="89"/>
        <v>0.95833333333333293</v>
      </c>
      <c r="C396" s="33" t="s">
        <v>29</v>
      </c>
      <c r="D396" s="62" t="s">
        <v>30</v>
      </c>
      <c r="E396" s="62" t="s">
        <v>261</v>
      </c>
      <c r="F396" s="27">
        <v>21</v>
      </c>
      <c r="G396" s="28">
        <f t="shared" si="87"/>
        <v>88.2</v>
      </c>
      <c r="H396" s="26" t="s">
        <v>16</v>
      </c>
      <c r="I396" s="26" t="s">
        <v>160</v>
      </c>
      <c r="J396" s="26" t="s">
        <v>40</v>
      </c>
      <c r="K396" s="29">
        <v>4.9305555555555554E-2</v>
      </c>
      <c r="L396" s="29">
        <v>6.5972222222222224E-2</v>
      </c>
      <c r="M396" s="30">
        <f t="shared" ca="1" si="88"/>
        <v>1.666666666666667E-2</v>
      </c>
      <c r="N396" s="27"/>
      <c r="O396" s="60"/>
    </row>
    <row r="397" spans="1:15" ht="15" customHeight="1">
      <c r="A397" s="69">
        <v>46218</v>
      </c>
      <c r="B397" s="32">
        <f t="shared" si="89"/>
        <v>0.99999999999999956</v>
      </c>
      <c r="C397" s="33" t="s">
        <v>29</v>
      </c>
      <c r="D397" s="62" t="s">
        <v>30</v>
      </c>
      <c r="E397" s="62" t="s">
        <v>261</v>
      </c>
      <c r="F397" s="27">
        <v>11</v>
      </c>
      <c r="G397" s="34">
        <f t="shared" si="87"/>
        <v>46.2</v>
      </c>
      <c r="H397" s="33" t="s">
        <v>19</v>
      </c>
      <c r="I397" s="33" t="s">
        <v>52</v>
      </c>
      <c r="J397" s="33" t="s">
        <v>35</v>
      </c>
      <c r="K397" s="29">
        <v>0.11041666666666666</v>
      </c>
      <c r="L397" s="29">
        <v>0.12013888888888889</v>
      </c>
      <c r="M397" s="35">
        <f t="shared" ca="1" si="88"/>
        <v>9.7222222222222293E-3</v>
      </c>
      <c r="N397" s="27"/>
      <c r="O397" s="60"/>
    </row>
    <row r="398" spans="1:15" ht="15" customHeight="1">
      <c r="A398" s="68">
        <v>46218</v>
      </c>
      <c r="B398" s="25">
        <f t="shared" si="89"/>
        <v>1.0416666666666663</v>
      </c>
      <c r="C398" s="33" t="s">
        <v>29</v>
      </c>
      <c r="D398" s="62" t="s">
        <v>30</v>
      </c>
      <c r="E398" s="62" t="s">
        <v>261</v>
      </c>
      <c r="F398" s="27">
        <v>15</v>
      </c>
      <c r="G398" s="28">
        <f t="shared" si="87"/>
        <v>63</v>
      </c>
      <c r="H398" s="26" t="s">
        <v>19</v>
      </c>
      <c r="I398" s="26" t="s">
        <v>160</v>
      </c>
      <c r="J398" s="26" t="s">
        <v>27</v>
      </c>
      <c r="K398" s="29">
        <v>0.23125000000000001</v>
      </c>
      <c r="L398" s="29">
        <v>0.24791666666666667</v>
      </c>
      <c r="M398" s="30">
        <f t="shared" ca="1" si="88"/>
        <v>1.6666666666666663E-2</v>
      </c>
      <c r="N398" s="27" t="s">
        <v>415</v>
      </c>
      <c r="O398" s="60"/>
    </row>
    <row r="399" spans="1:15" ht="15" customHeight="1">
      <c r="A399" s="69">
        <v>46218</v>
      </c>
      <c r="B399" s="32">
        <f t="shared" si="89"/>
        <v>1.083333333333333</v>
      </c>
      <c r="C399" s="33" t="s">
        <v>29</v>
      </c>
      <c r="D399" s="62" t="s">
        <v>30</v>
      </c>
      <c r="E399" s="62" t="s">
        <v>261</v>
      </c>
      <c r="F399" s="27">
        <v>10</v>
      </c>
      <c r="G399" s="34">
        <f t="shared" si="87"/>
        <v>42</v>
      </c>
      <c r="H399" s="33" t="s">
        <v>16</v>
      </c>
      <c r="I399" s="33" t="s">
        <v>63</v>
      </c>
      <c r="J399" s="33" t="s">
        <v>86</v>
      </c>
      <c r="K399" s="29">
        <v>0.25763888888888886</v>
      </c>
      <c r="L399" s="29">
        <v>0.29166666666666669</v>
      </c>
      <c r="M399" s="35">
        <f t="shared" ca="1" si="88"/>
        <v>3.4027777777777823E-2</v>
      </c>
      <c r="N399" s="27"/>
      <c r="O399" s="60"/>
    </row>
    <row r="400" spans="1:15" ht="15" customHeight="1">
      <c r="A400" s="68">
        <v>46218</v>
      </c>
      <c r="B400" s="25">
        <f t="shared" si="89"/>
        <v>1.1249999999999998</v>
      </c>
      <c r="C400" s="33" t="s">
        <v>29</v>
      </c>
      <c r="D400" s="62" t="s">
        <v>30</v>
      </c>
      <c r="E400" s="62" t="s">
        <v>261</v>
      </c>
      <c r="F400" s="27">
        <v>13</v>
      </c>
      <c r="G400" s="28">
        <f t="shared" si="87"/>
        <v>54.6</v>
      </c>
      <c r="H400" s="26"/>
      <c r="I400" s="26"/>
      <c r="J400" s="26"/>
      <c r="K400" s="29"/>
      <c r="L400" s="29"/>
      <c r="M400" s="30" t="str">
        <f t="shared" ca="1" si="88"/>
        <v/>
      </c>
      <c r="N400" s="27"/>
      <c r="O400" s="60"/>
    </row>
    <row r="401" spans="1:15" ht="15" customHeight="1">
      <c r="A401" s="69">
        <v>46218</v>
      </c>
      <c r="B401" s="32">
        <f t="shared" si="89"/>
        <v>1.1666666666666665</v>
      </c>
      <c r="C401" s="33" t="s">
        <v>29</v>
      </c>
      <c r="D401" s="62" t="s">
        <v>30</v>
      </c>
      <c r="E401" s="62" t="s">
        <v>261</v>
      </c>
      <c r="F401" s="27">
        <v>11</v>
      </c>
      <c r="G401" s="34">
        <f t="shared" si="87"/>
        <v>46.2</v>
      </c>
      <c r="H401" s="33"/>
      <c r="I401" s="33"/>
      <c r="J401" s="33"/>
      <c r="K401" s="29"/>
      <c r="L401" s="29"/>
      <c r="M401" s="35" t="str">
        <f t="shared" ca="1" si="88"/>
        <v/>
      </c>
      <c r="N401" s="27"/>
      <c r="O401" s="60"/>
    </row>
    <row r="402" spans="1:15" ht="15" customHeight="1">
      <c r="A402" s="68">
        <v>46218</v>
      </c>
      <c r="B402" s="25">
        <f t="shared" si="89"/>
        <v>1.2083333333333333</v>
      </c>
      <c r="C402" s="33" t="s">
        <v>29</v>
      </c>
      <c r="D402" s="62" t="s">
        <v>30</v>
      </c>
      <c r="E402" s="62" t="s">
        <v>261</v>
      </c>
      <c r="F402" s="27">
        <v>18</v>
      </c>
      <c r="G402" s="28">
        <f t="shared" si="87"/>
        <v>75.600000000000009</v>
      </c>
      <c r="H402" s="26"/>
      <c r="I402" s="26"/>
      <c r="J402" s="26"/>
      <c r="K402" s="29"/>
      <c r="L402" s="29"/>
      <c r="M402" s="30" t="str">
        <f t="shared" ca="1" si="88"/>
        <v/>
      </c>
      <c r="N402" s="27"/>
      <c r="O402" s="60"/>
    </row>
    <row r="403" spans="1:15" ht="15" customHeight="1">
      <c r="A403" s="69">
        <v>46218</v>
      </c>
      <c r="B403" s="32">
        <f t="shared" si="89"/>
        <v>1.25</v>
      </c>
      <c r="C403" s="33" t="s">
        <v>29</v>
      </c>
      <c r="D403" s="62" t="s">
        <v>30</v>
      </c>
      <c r="E403" s="62" t="s">
        <v>261</v>
      </c>
      <c r="F403" s="27">
        <v>0</v>
      </c>
      <c r="G403" s="34">
        <f t="shared" si="87"/>
        <v>0</v>
      </c>
      <c r="H403" s="33"/>
      <c r="I403" s="33"/>
      <c r="J403" s="33"/>
      <c r="K403" s="29"/>
      <c r="L403" s="29"/>
      <c r="M403" s="35" t="str">
        <f t="shared" ca="1" si="88"/>
        <v/>
      </c>
      <c r="N403" s="27"/>
      <c r="O403" s="60"/>
    </row>
    <row r="404" spans="1:15" ht="15" customHeight="1">
      <c r="A404" s="68">
        <v>46218</v>
      </c>
      <c r="B404" s="25">
        <f t="shared" si="89"/>
        <v>1.2916666666666667</v>
      </c>
      <c r="C404" s="33" t="s">
        <v>29</v>
      </c>
      <c r="D404" s="62" t="s">
        <v>30</v>
      </c>
      <c r="E404" s="62" t="s">
        <v>261</v>
      </c>
      <c r="F404" s="27"/>
      <c r="G404" s="28" t="str">
        <f t="shared" si="87"/>
        <v/>
      </c>
      <c r="H404" s="26"/>
      <c r="I404" s="26"/>
      <c r="J404" s="26"/>
      <c r="K404" s="29"/>
      <c r="L404" s="29"/>
      <c r="M404" s="30" t="str">
        <f t="shared" ca="1" si="88"/>
        <v/>
      </c>
      <c r="N404" s="27"/>
      <c r="O404" s="60"/>
    </row>
    <row r="405" spans="1:15" ht="15.75" customHeight="1">
      <c r="A405" s="119" t="s">
        <v>238</v>
      </c>
      <c r="B405" s="120"/>
      <c r="C405" s="120"/>
      <c r="D405" s="120"/>
      <c r="E405" s="121">
        <f>SUM(E393:E404)</f>
        <v>0</v>
      </c>
      <c r="F405" s="36">
        <f>SUM(F393:F404)</f>
        <v>142</v>
      </c>
      <c r="G405" s="36">
        <f>SUM(G393:G404)</f>
        <v>616.40000000000009</v>
      </c>
      <c r="H405" s="37"/>
      <c r="I405" s="37"/>
      <c r="J405" s="37"/>
      <c r="K405" s="61"/>
      <c r="L405" s="61"/>
      <c r="M405" s="38">
        <f ca="1">IFERROR(SUM(M393:M404),"")</f>
        <v>0.14236111111111133</v>
      </c>
      <c r="N405" s="36" t="s">
        <v>237</v>
      </c>
      <c r="O405" s="39">
        <v>958130</v>
      </c>
    </row>
    <row r="406" spans="1:15" ht="18" customHeight="1">
      <c r="A406" s="122" t="s">
        <v>239</v>
      </c>
      <c r="B406" s="123"/>
      <c r="C406" s="123"/>
      <c r="D406" s="123"/>
      <c r="E406" s="124">
        <f>E392+E405</f>
        <v>0</v>
      </c>
      <c r="F406" s="40">
        <f>F392+F405</f>
        <v>285</v>
      </c>
      <c r="G406" s="40">
        <f>G392+G405</f>
        <v>1217</v>
      </c>
      <c r="H406" s="41"/>
      <c r="I406" s="41"/>
      <c r="J406" s="41"/>
      <c r="K406" s="63"/>
      <c r="L406" s="63"/>
      <c r="M406" s="42">
        <f ca="1">IFERROR(M392+M405,"")</f>
        <v>0.32500000000000029</v>
      </c>
      <c r="N406" s="40" t="s">
        <v>240</v>
      </c>
      <c r="O406" s="48">
        <f>IFERROR(O392+O405,"")</f>
        <v>1523700</v>
      </c>
    </row>
    <row r="407" spans="1:15" ht="15" customHeight="1">
      <c r="A407" s="69">
        <v>46219</v>
      </c>
      <c r="B407" s="32">
        <v>0.33333333333333298</v>
      </c>
      <c r="C407" s="33" t="s">
        <v>45</v>
      </c>
      <c r="D407" s="62" t="s">
        <v>30</v>
      </c>
      <c r="E407" s="62" t="s">
        <v>261</v>
      </c>
      <c r="F407" s="27">
        <v>5</v>
      </c>
      <c r="G407" s="34">
        <f t="shared" ref="G407:G418" si="90">IF(F407="","",IF(E407="PC 17",F407*4.2,IF(E407="PC 19",F407*5,"")))</f>
        <v>21</v>
      </c>
      <c r="H407" s="33" t="s">
        <v>17</v>
      </c>
      <c r="I407" s="33" t="s">
        <v>75</v>
      </c>
      <c r="J407" s="33" t="s">
        <v>49</v>
      </c>
      <c r="K407" s="29">
        <v>0.29166666666666669</v>
      </c>
      <c r="L407" s="29">
        <v>0.32291666666666669</v>
      </c>
      <c r="M407" s="35">
        <f t="shared" ref="M407:M418" ca="1" si="91">IFERROR(IF(K407="","",IF(L407="",MOD(NOW()-K407,1),IF(L407&gt;=K407,L407-K407,L407+1-K407))),"")</f>
        <v>3.125E-2</v>
      </c>
      <c r="N407" s="27"/>
      <c r="O407" s="60"/>
    </row>
    <row r="408" spans="1:15" ht="15" customHeight="1">
      <c r="A408" s="68">
        <v>46219</v>
      </c>
      <c r="B408" s="25">
        <f t="shared" ref="B408:B418" si="92">B407+TIME(0,60,0)</f>
        <v>0.37499999999999967</v>
      </c>
      <c r="C408" s="33" t="s">
        <v>45</v>
      </c>
      <c r="D408" s="62" t="s">
        <v>30</v>
      </c>
      <c r="E408" s="62" t="s">
        <v>261</v>
      </c>
      <c r="F408" s="27">
        <v>0</v>
      </c>
      <c r="G408" s="28">
        <f t="shared" si="90"/>
        <v>0</v>
      </c>
      <c r="H408" s="26" t="s">
        <v>18</v>
      </c>
      <c r="I408" s="26" t="s">
        <v>52</v>
      </c>
      <c r="J408" s="26" t="s">
        <v>119</v>
      </c>
      <c r="K408" s="29">
        <v>0.34375</v>
      </c>
      <c r="L408" s="29">
        <v>0.39305555555555555</v>
      </c>
      <c r="M408" s="30">
        <f t="shared" ca="1" si="91"/>
        <v>4.9305555555555547E-2</v>
      </c>
      <c r="N408" s="27"/>
      <c r="O408" s="60"/>
    </row>
    <row r="409" spans="1:15" ht="15" customHeight="1">
      <c r="A409" s="69">
        <v>46219</v>
      </c>
      <c r="B409" s="32">
        <f t="shared" si="92"/>
        <v>0.41666666666666635</v>
      </c>
      <c r="C409" s="33" t="s">
        <v>45</v>
      </c>
      <c r="D409" s="62" t="s">
        <v>30</v>
      </c>
      <c r="E409" s="62" t="s">
        <v>261</v>
      </c>
      <c r="F409" s="27">
        <v>11</v>
      </c>
      <c r="G409" s="34">
        <f t="shared" si="90"/>
        <v>46.2</v>
      </c>
      <c r="H409" s="33" t="s">
        <v>17</v>
      </c>
      <c r="I409" s="33"/>
      <c r="J409" s="33" t="s">
        <v>25</v>
      </c>
      <c r="K409" s="29">
        <v>0.47569444444444442</v>
      </c>
      <c r="L409" s="29">
        <v>0.5</v>
      </c>
      <c r="M409" s="35">
        <f t="shared" ca="1" si="91"/>
        <v>2.430555555555558E-2</v>
      </c>
      <c r="N409" s="27"/>
      <c r="O409" s="60"/>
    </row>
    <row r="410" spans="1:15" ht="15" customHeight="1">
      <c r="A410" s="68">
        <v>46219</v>
      </c>
      <c r="B410" s="25">
        <f t="shared" si="92"/>
        <v>0.45833333333333304</v>
      </c>
      <c r="C410" s="33" t="s">
        <v>45</v>
      </c>
      <c r="D410" s="62" t="s">
        <v>30</v>
      </c>
      <c r="E410" s="62" t="s">
        <v>261</v>
      </c>
      <c r="F410" s="27">
        <v>12</v>
      </c>
      <c r="G410" s="28">
        <f t="shared" si="90"/>
        <v>50.400000000000006</v>
      </c>
      <c r="H410" s="26" t="s">
        <v>18</v>
      </c>
      <c r="I410" s="26" t="s">
        <v>138</v>
      </c>
      <c r="J410" s="26" t="s">
        <v>128</v>
      </c>
      <c r="K410" s="29">
        <v>0.61875000000000002</v>
      </c>
      <c r="L410" s="29">
        <v>0.68055555555555558</v>
      </c>
      <c r="M410" s="30">
        <f t="shared" ca="1" si="91"/>
        <v>6.1805555555555558E-2</v>
      </c>
      <c r="N410" s="27"/>
      <c r="O410" s="60"/>
    </row>
    <row r="411" spans="1:15" ht="15" customHeight="1">
      <c r="A411" s="69">
        <v>46219</v>
      </c>
      <c r="B411" s="32">
        <f t="shared" si="92"/>
        <v>0.49999999999999972</v>
      </c>
      <c r="C411" s="33" t="s">
        <v>45</v>
      </c>
      <c r="D411" s="62" t="s">
        <v>30</v>
      </c>
      <c r="E411" s="62" t="s">
        <v>261</v>
      </c>
      <c r="F411" s="27">
        <v>9</v>
      </c>
      <c r="G411" s="34">
        <f t="shared" si="90"/>
        <v>37.800000000000004</v>
      </c>
      <c r="H411" s="33" t="s">
        <v>17</v>
      </c>
      <c r="I411" s="33"/>
      <c r="J411" s="33" t="s">
        <v>25</v>
      </c>
      <c r="K411" s="29">
        <v>0.65694444444444444</v>
      </c>
      <c r="L411" s="29">
        <v>0.68055555555555558</v>
      </c>
      <c r="M411" s="35">
        <f t="shared" ca="1" si="91"/>
        <v>2.3611111111111138E-2</v>
      </c>
      <c r="N411" s="27"/>
      <c r="O411" s="60"/>
    </row>
    <row r="412" spans="1:15" ht="15" customHeight="1">
      <c r="A412" s="68">
        <v>46219</v>
      </c>
      <c r="B412" s="25">
        <f t="shared" si="92"/>
        <v>0.54166666666666641</v>
      </c>
      <c r="C412" s="33" t="s">
        <v>45</v>
      </c>
      <c r="D412" s="62" t="s">
        <v>30</v>
      </c>
      <c r="E412" s="62" t="s">
        <v>261</v>
      </c>
      <c r="F412" s="27">
        <v>18</v>
      </c>
      <c r="G412" s="28">
        <f t="shared" si="90"/>
        <v>75.600000000000009</v>
      </c>
      <c r="H412" s="26" t="s">
        <v>18</v>
      </c>
      <c r="I412" s="26" t="s">
        <v>57</v>
      </c>
      <c r="J412" s="26" t="s">
        <v>34</v>
      </c>
      <c r="K412" s="29">
        <v>0.65694444444444444</v>
      </c>
      <c r="L412" s="29">
        <v>0.7006944444444444</v>
      </c>
      <c r="M412" s="30">
        <f t="shared" ca="1" si="91"/>
        <v>4.3749999999999956E-2</v>
      </c>
      <c r="N412" s="27"/>
      <c r="O412" s="60"/>
    </row>
    <row r="413" spans="1:15" ht="15" customHeight="1">
      <c r="A413" s="69">
        <v>46219</v>
      </c>
      <c r="B413" s="32">
        <f t="shared" si="92"/>
        <v>0.58333333333333304</v>
      </c>
      <c r="C413" s="33" t="s">
        <v>45</v>
      </c>
      <c r="D413" s="62" t="s">
        <v>30</v>
      </c>
      <c r="E413" s="62" t="s">
        <v>261</v>
      </c>
      <c r="F413" s="27">
        <v>20</v>
      </c>
      <c r="G413" s="34">
        <f t="shared" si="90"/>
        <v>84</v>
      </c>
      <c r="H413" s="33"/>
      <c r="I413" s="33"/>
      <c r="J413" s="33"/>
      <c r="K413" s="29"/>
      <c r="L413" s="29"/>
      <c r="M413" s="35" t="str">
        <f t="shared" ca="1" si="91"/>
        <v/>
      </c>
      <c r="N413" s="27"/>
      <c r="O413" s="60"/>
    </row>
    <row r="414" spans="1:15" ht="15" customHeight="1">
      <c r="A414" s="68">
        <v>46219</v>
      </c>
      <c r="B414" s="25">
        <f t="shared" si="92"/>
        <v>0.62499999999999967</v>
      </c>
      <c r="C414" s="33" t="s">
        <v>45</v>
      </c>
      <c r="D414" s="62" t="s">
        <v>30</v>
      </c>
      <c r="E414" s="62" t="s">
        <v>261</v>
      </c>
      <c r="F414" s="27">
        <v>19</v>
      </c>
      <c r="G414" s="28">
        <f t="shared" si="90"/>
        <v>79.8</v>
      </c>
      <c r="H414" s="26"/>
      <c r="I414" s="26"/>
      <c r="J414" s="26"/>
      <c r="K414" s="29"/>
      <c r="L414" s="29"/>
      <c r="M414" s="30" t="str">
        <f t="shared" ca="1" si="91"/>
        <v/>
      </c>
      <c r="N414" s="27"/>
      <c r="O414" s="60"/>
    </row>
    <row r="415" spans="1:15" ht="15" customHeight="1">
      <c r="A415" s="69">
        <v>46219</v>
      </c>
      <c r="B415" s="32">
        <f t="shared" si="92"/>
        <v>0.6666666666666663</v>
      </c>
      <c r="C415" s="33" t="s">
        <v>45</v>
      </c>
      <c r="D415" s="62" t="s">
        <v>30</v>
      </c>
      <c r="E415" s="62" t="s">
        <v>234</v>
      </c>
      <c r="F415" s="27">
        <v>0</v>
      </c>
      <c r="G415" s="34">
        <f t="shared" si="90"/>
        <v>0</v>
      </c>
      <c r="H415" s="33"/>
      <c r="I415" s="33"/>
      <c r="J415" s="33"/>
      <c r="K415" s="29"/>
      <c r="L415" s="29"/>
      <c r="M415" s="35" t="str">
        <f t="shared" ca="1" si="91"/>
        <v/>
      </c>
      <c r="N415" s="27"/>
      <c r="O415" s="60"/>
    </row>
    <row r="416" spans="1:15" ht="15" customHeight="1">
      <c r="A416" s="68">
        <v>46219</v>
      </c>
      <c r="B416" s="25">
        <f t="shared" si="92"/>
        <v>0.70833333333333293</v>
      </c>
      <c r="C416" s="33" t="s">
        <v>45</v>
      </c>
      <c r="D416" s="62" t="s">
        <v>30</v>
      </c>
      <c r="E416" s="62" t="s">
        <v>261</v>
      </c>
      <c r="F416" s="27">
        <v>0</v>
      </c>
      <c r="G416" s="28">
        <f t="shared" si="90"/>
        <v>0</v>
      </c>
      <c r="H416" s="26"/>
      <c r="I416" s="26"/>
      <c r="J416" s="26"/>
      <c r="K416" s="29"/>
      <c r="L416" s="29"/>
      <c r="M416" s="30" t="str">
        <f t="shared" ca="1" si="91"/>
        <v/>
      </c>
      <c r="N416" s="27"/>
      <c r="O416" s="60"/>
    </row>
    <row r="417" spans="1:15" ht="15" customHeight="1">
      <c r="A417" s="69">
        <v>46219</v>
      </c>
      <c r="B417" s="32">
        <f t="shared" si="92"/>
        <v>0.74999999999999956</v>
      </c>
      <c r="C417" s="33" t="s">
        <v>45</v>
      </c>
      <c r="D417" s="62" t="s">
        <v>30</v>
      </c>
      <c r="E417" s="62" t="s">
        <v>261</v>
      </c>
      <c r="F417" s="27">
        <v>16</v>
      </c>
      <c r="G417" s="34">
        <f t="shared" si="90"/>
        <v>67.2</v>
      </c>
      <c r="H417" s="33"/>
      <c r="I417" s="33"/>
      <c r="J417" s="33"/>
      <c r="K417" s="29"/>
      <c r="L417" s="29"/>
      <c r="M417" s="35" t="str">
        <f t="shared" ca="1" si="91"/>
        <v/>
      </c>
      <c r="N417" s="27"/>
      <c r="O417" s="60"/>
    </row>
    <row r="418" spans="1:15" ht="15" customHeight="1">
      <c r="A418" s="68">
        <v>46219</v>
      </c>
      <c r="B418" s="25">
        <f t="shared" si="92"/>
        <v>0.79166666666666619</v>
      </c>
      <c r="C418" s="33" t="s">
        <v>45</v>
      </c>
      <c r="D418" s="62" t="s">
        <v>30</v>
      </c>
      <c r="E418" s="62" t="s">
        <v>234</v>
      </c>
      <c r="F418" s="27">
        <v>4</v>
      </c>
      <c r="G418" s="28">
        <f t="shared" si="90"/>
        <v>20</v>
      </c>
      <c r="H418" s="26"/>
      <c r="I418" s="26"/>
      <c r="J418" s="26"/>
      <c r="K418" s="29"/>
      <c r="L418" s="29"/>
      <c r="M418" s="30" t="str">
        <f t="shared" ca="1" si="91"/>
        <v/>
      </c>
      <c r="N418" s="27"/>
      <c r="O418" s="60"/>
    </row>
    <row r="419" spans="1:15" ht="15.75" customHeight="1">
      <c r="A419" s="119" t="s">
        <v>236</v>
      </c>
      <c r="B419" s="120"/>
      <c r="C419" s="120"/>
      <c r="D419" s="120"/>
      <c r="E419" s="121">
        <f>SUM(E407:E418)</f>
        <v>0</v>
      </c>
      <c r="F419" s="36">
        <f>SUM(F407:F418)</f>
        <v>114</v>
      </c>
      <c r="G419" s="36">
        <f>SUM(G407:G418)</f>
        <v>482</v>
      </c>
      <c r="H419" s="37"/>
      <c r="I419" s="37"/>
      <c r="J419" s="37"/>
      <c r="K419" s="61"/>
      <c r="L419" s="61"/>
      <c r="M419" s="38">
        <f ca="1">IFERROR(SUM(M407:M418),"")</f>
        <v>0.23402777777777778</v>
      </c>
      <c r="N419" s="36" t="s">
        <v>237</v>
      </c>
      <c r="O419" s="39">
        <v>491520</v>
      </c>
    </row>
    <row r="420" spans="1:15" ht="15" customHeight="1">
      <c r="A420" s="68">
        <v>46219</v>
      </c>
      <c r="B420" s="25">
        <v>0.83333333333333304</v>
      </c>
      <c r="C420" s="26" t="s">
        <v>29</v>
      </c>
      <c r="D420" s="59" t="s">
        <v>30</v>
      </c>
      <c r="E420" s="59" t="s">
        <v>261</v>
      </c>
      <c r="F420" s="27">
        <v>0</v>
      </c>
      <c r="G420" s="28">
        <f t="shared" ref="G420:G431" si="93">IF(F420="","",IF(E420="PC 17",F420*4.2,IF(E420="PC 19",F420*5,"")))</f>
        <v>0</v>
      </c>
      <c r="H420" s="26" t="s">
        <v>18</v>
      </c>
      <c r="I420" s="26" t="s">
        <v>166</v>
      </c>
      <c r="J420" s="26" t="s">
        <v>215</v>
      </c>
      <c r="K420" s="29">
        <v>0.81666666666666665</v>
      </c>
      <c r="L420" s="29">
        <v>0.95138888888888884</v>
      </c>
      <c r="M420" s="30">
        <f t="shared" ref="M420:M431" ca="1" si="94">IFERROR(IF(K420="","",IF(L420="",MOD(NOW()-K420,1),IF(L420&gt;=K420,L420-K420,L420+1-K420))),"")</f>
        <v>0.13472222222222219</v>
      </c>
      <c r="N420" s="27"/>
      <c r="O420" s="60"/>
    </row>
    <row r="421" spans="1:15" ht="15" customHeight="1">
      <c r="A421" s="69">
        <v>46219</v>
      </c>
      <c r="B421" s="32">
        <f t="shared" ref="B421:B431" si="95">B420+TIME(0,60,0)</f>
        <v>0.87499999999999967</v>
      </c>
      <c r="C421" s="26" t="s">
        <v>29</v>
      </c>
      <c r="D421" s="59" t="s">
        <v>30</v>
      </c>
      <c r="E421" s="59" t="s">
        <v>261</v>
      </c>
      <c r="F421" s="27">
        <v>0</v>
      </c>
      <c r="G421" s="34">
        <f t="shared" si="93"/>
        <v>0</v>
      </c>
      <c r="H421" s="33" t="s">
        <v>20</v>
      </c>
      <c r="I421" s="33" t="s">
        <v>155</v>
      </c>
      <c r="J421" s="33" t="s">
        <v>44</v>
      </c>
      <c r="K421" s="29">
        <v>0.97499999999999998</v>
      </c>
      <c r="L421" s="29">
        <v>0.98472222222222228</v>
      </c>
      <c r="M421" s="35">
        <f t="shared" ca="1" si="94"/>
        <v>9.7222222222222987E-3</v>
      </c>
      <c r="N421" s="27"/>
      <c r="O421" s="60"/>
    </row>
    <row r="422" spans="1:15" ht="15" customHeight="1">
      <c r="A422" s="68">
        <v>46219</v>
      </c>
      <c r="B422" s="25">
        <f t="shared" si="95"/>
        <v>0.9166666666666663</v>
      </c>
      <c r="C422" s="26" t="s">
        <v>29</v>
      </c>
      <c r="D422" s="59" t="s">
        <v>30</v>
      </c>
      <c r="E422" s="59" t="s">
        <v>261</v>
      </c>
      <c r="F422" s="27">
        <v>0</v>
      </c>
      <c r="G422" s="28">
        <f t="shared" si="93"/>
        <v>0</v>
      </c>
      <c r="H422" s="26" t="s">
        <v>20</v>
      </c>
      <c r="I422" s="26" t="s">
        <v>139</v>
      </c>
      <c r="J422" s="26" t="s">
        <v>180</v>
      </c>
      <c r="K422" s="29">
        <v>2.0833333333333332E-2</v>
      </c>
      <c r="L422" s="29">
        <v>4.3749999999999997E-2</v>
      </c>
      <c r="M422" s="30">
        <f t="shared" ca="1" si="94"/>
        <v>2.2916666666666665E-2</v>
      </c>
      <c r="N422" s="27"/>
      <c r="O422" s="60"/>
    </row>
    <row r="423" spans="1:15" ht="15" customHeight="1">
      <c r="A423" s="69">
        <v>46219</v>
      </c>
      <c r="B423" s="32">
        <f t="shared" si="95"/>
        <v>0.95833333333333293</v>
      </c>
      <c r="C423" s="26" t="s">
        <v>29</v>
      </c>
      <c r="D423" s="59" t="s">
        <v>30</v>
      </c>
      <c r="E423" s="59" t="s">
        <v>261</v>
      </c>
      <c r="F423" s="27">
        <v>0</v>
      </c>
      <c r="G423" s="34">
        <f t="shared" si="93"/>
        <v>0</v>
      </c>
      <c r="H423" s="33" t="s">
        <v>20</v>
      </c>
      <c r="I423" s="33" t="s">
        <v>155</v>
      </c>
      <c r="J423" s="33" t="s">
        <v>44</v>
      </c>
      <c r="K423" s="29">
        <v>6.7361111111111108E-2</v>
      </c>
      <c r="L423" s="29">
        <v>7.4305555555555555E-2</v>
      </c>
      <c r="M423" s="35">
        <f t="shared" ca="1" si="94"/>
        <v>6.9444444444444475E-3</v>
      </c>
      <c r="N423" s="27"/>
      <c r="O423" s="60"/>
    </row>
    <row r="424" spans="1:15" ht="15" customHeight="1">
      <c r="A424" s="68">
        <v>46219</v>
      </c>
      <c r="B424" s="25">
        <f t="shared" si="95"/>
        <v>0.99999999999999956</v>
      </c>
      <c r="C424" s="26" t="s">
        <v>29</v>
      </c>
      <c r="D424" s="59" t="s">
        <v>30</v>
      </c>
      <c r="E424" s="59" t="s">
        <v>261</v>
      </c>
      <c r="F424" s="27">
        <v>14</v>
      </c>
      <c r="G424" s="28">
        <f t="shared" si="93"/>
        <v>58.800000000000004</v>
      </c>
      <c r="H424" s="26" t="s">
        <v>19</v>
      </c>
      <c r="I424" s="26" t="s">
        <v>52</v>
      </c>
      <c r="J424" s="26" t="s">
        <v>27</v>
      </c>
      <c r="K424" s="29">
        <v>7.4305555555555555E-2</v>
      </c>
      <c r="L424" s="29">
        <v>8.819444444444445E-2</v>
      </c>
      <c r="M424" s="30">
        <f t="shared" ca="1" si="94"/>
        <v>1.3888888888888895E-2</v>
      </c>
      <c r="N424" s="27"/>
      <c r="O424" s="60"/>
    </row>
    <row r="425" spans="1:15" ht="15" customHeight="1">
      <c r="A425" s="69">
        <v>46219</v>
      </c>
      <c r="B425" s="32">
        <f t="shared" si="95"/>
        <v>1.0416666666666663</v>
      </c>
      <c r="C425" s="26" t="s">
        <v>29</v>
      </c>
      <c r="D425" s="59" t="s">
        <v>30</v>
      </c>
      <c r="E425" s="59" t="s">
        <v>261</v>
      </c>
      <c r="F425" s="27">
        <v>21</v>
      </c>
      <c r="G425" s="34">
        <f t="shared" si="93"/>
        <v>88.2</v>
      </c>
      <c r="H425" s="33" t="s">
        <v>20</v>
      </c>
      <c r="I425" s="33" t="s">
        <v>57</v>
      </c>
      <c r="J425" s="33" t="s">
        <v>56</v>
      </c>
      <c r="K425" s="29">
        <v>7.9166666666666663E-2</v>
      </c>
      <c r="L425" s="29">
        <v>9.0972222222222218E-2</v>
      </c>
      <c r="M425" s="35">
        <f t="shared" ca="1" si="94"/>
        <v>1.1805555555555555E-2</v>
      </c>
      <c r="N425" s="27" t="s">
        <v>416</v>
      </c>
      <c r="O425" s="60"/>
    </row>
    <row r="426" spans="1:15" ht="15" customHeight="1">
      <c r="A426" s="68">
        <v>46219</v>
      </c>
      <c r="B426" s="25">
        <f t="shared" si="95"/>
        <v>1.083333333333333</v>
      </c>
      <c r="C426" s="26" t="s">
        <v>29</v>
      </c>
      <c r="D426" s="59" t="s">
        <v>30</v>
      </c>
      <c r="E426" s="59" t="s">
        <v>261</v>
      </c>
      <c r="F426" s="27">
        <v>16</v>
      </c>
      <c r="G426" s="28">
        <f t="shared" si="93"/>
        <v>67.2</v>
      </c>
      <c r="H426" s="26" t="s">
        <v>18</v>
      </c>
      <c r="I426" s="26" t="s">
        <v>57</v>
      </c>
      <c r="J426" s="26" t="s">
        <v>164</v>
      </c>
      <c r="K426" s="29">
        <v>0.21111111111111111</v>
      </c>
      <c r="L426" s="29">
        <v>0.21527777777777779</v>
      </c>
      <c r="M426" s="30">
        <f t="shared" ca="1" si="94"/>
        <v>4.1666666666666796E-3</v>
      </c>
      <c r="N426" s="27"/>
      <c r="O426" s="60"/>
    </row>
    <row r="427" spans="1:15" ht="15" customHeight="1">
      <c r="A427" s="69">
        <v>46219</v>
      </c>
      <c r="B427" s="32">
        <f t="shared" si="95"/>
        <v>1.1249999999999998</v>
      </c>
      <c r="C427" s="26" t="s">
        <v>29</v>
      </c>
      <c r="D427" s="59" t="s">
        <v>30</v>
      </c>
      <c r="E427" s="59" t="s">
        <v>261</v>
      </c>
      <c r="F427" s="27">
        <v>10</v>
      </c>
      <c r="G427" s="34">
        <f t="shared" si="93"/>
        <v>42</v>
      </c>
      <c r="H427" s="33"/>
      <c r="I427" s="33"/>
      <c r="J427" s="33"/>
      <c r="K427" s="29"/>
      <c r="L427" s="29"/>
      <c r="M427" s="35" t="str">
        <f t="shared" ca="1" si="94"/>
        <v/>
      </c>
      <c r="N427" s="27"/>
      <c r="O427" s="60"/>
    </row>
    <row r="428" spans="1:15" ht="15" customHeight="1">
      <c r="A428" s="68">
        <v>46219</v>
      </c>
      <c r="B428" s="25">
        <f t="shared" si="95"/>
        <v>1.1666666666666665</v>
      </c>
      <c r="C428" s="26" t="s">
        <v>29</v>
      </c>
      <c r="D428" s="59" t="s">
        <v>30</v>
      </c>
      <c r="E428" s="59" t="s">
        <v>261</v>
      </c>
      <c r="F428" s="27">
        <v>26</v>
      </c>
      <c r="G428" s="28">
        <f t="shared" si="93"/>
        <v>109.2</v>
      </c>
      <c r="H428" s="26"/>
      <c r="I428" s="26"/>
      <c r="J428" s="26"/>
      <c r="K428" s="29"/>
      <c r="L428" s="29"/>
      <c r="M428" s="30" t="str">
        <f t="shared" ca="1" si="94"/>
        <v/>
      </c>
      <c r="N428" s="27"/>
      <c r="O428" s="60"/>
    </row>
    <row r="429" spans="1:15" ht="15" customHeight="1">
      <c r="A429" s="69">
        <v>46219</v>
      </c>
      <c r="B429" s="32">
        <f t="shared" si="95"/>
        <v>1.2083333333333333</v>
      </c>
      <c r="C429" s="26" t="s">
        <v>29</v>
      </c>
      <c r="D429" s="59" t="s">
        <v>30</v>
      </c>
      <c r="E429" s="59" t="s">
        <v>261</v>
      </c>
      <c r="F429" s="27">
        <v>18</v>
      </c>
      <c r="G429" s="34">
        <f t="shared" si="93"/>
        <v>75.600000000000009</v>
      </c>
      <c r="H429" s="33"/>
      <c r="I429" s="33"/>
      <c r="J429" s="33"/>
      <c r="K429" s="29"/>
      <c r="L429" s="29"/>
      <c r="M429" s="35" t="str">
        <f t="shared" ca="1" si="94"/>
        <v/>
      </c>
      <c r="N429" s="27"/>
      <c r="O429" s="60"/>
    </row>
    <row r="430" spans="1:15" ht="15" customHeight="1">
      <c r="A430" s="68">
        <v>46219</v>
      </c>
      <c r="B430" s="25">
        <f t="shared" si="95"/>
        <v>1.25</v>
      </c>
      <c r="C430" s="26" t="s">
        <v>29</v>
      </c>
      <c r="D430" s="59" t="s">
        <v>30</v>
      </c>
      <c r="E430" s="59" t="s">
        <v>261</v>
      </c>
      <c r="F430" s="27">
        <v>16</v>
      </c>
      <c r="G430" s="28">
        <f t="shared" si="93"/>
        <v>67.2</v>
      </c>
      <c r="H430" s="26"/>
      <c r="I430" s="26"/>
      <c r="J430" s="26"/>
      <c r="K430" s="29"/>
      <c r="L430" s="29"/>
      <c r="M430" s="30" t="str">
        <f t="shared" ca="1" si="94"/>
        <v/>
      </c>
      <c r="N430" s="27"/>
      <c r="O430" s="60"/>
    </row>
    <row r="431" spans="1:15" ht="15" customHeight="1">
      <c r="A431" s="69">
        <v>46219</v>
      </c>
      <c r="B431" s="32">
        <f t="shared" si="95"/>
        <v>1.2916666666666667</v>
      </c>
      <c r="C431" s="26" t="s">
        <v>29</v>
      </c>
      <c r="D431" s="59" t="s">
        <v>30</v>
      </c>
      <c r="E431" s="59" t="s">
        <v>261</v>
      </c>
      <c r="F431" s="27">
        <v>7</v>
      </c>
      <c r="G431" s="34">
        <f t="shared" si="93"/>
        <v>29.400000000000002</v>
      </c>
      <c r="H431" s="33"/>
      <c r="I431" s="33"/>
      <c r="J431" s="33"/>
      <c r="K431" s="29"/>
      <c r="L431" s="29"/>
      <c r="M431" s="35" t="str">
        <f t="shared" ca="1" si="94"/>
        <v/>
      </c>
      <c r="N431" s="27"/>
      <c r="O431" s="60"/>
    </row>
    <row r="432" spans="1:15" ht="15.75" customHeight="1">
      <c r="A432" s="119" t="s">
        <v>238</v>
      </c>
      <c r="B432" s="120"/>
      <c r="C432" s="120"/>
      <c r="D432" s="120"/>
      <c r="E432" s="121">
        <f>SUM(E420:E431)</f>
        <v>0</v>
      </c>
      <c r="F432" s="36">
        <f>SUM(F420:F431)</f>
        <v>128</v>
      </c>
      <c r="G432" s="36">
        <f>SUM(G420:G431)</f>
        <v>537.6</v>
      </c>
      <c r="H432" s="37"/>
      <c r="I432" s="37"/>
      <c r="J432" s="37"/>
      <c r="K432" s="61"/>
      <c r="L432" s="61"/>
      <c r="M432" s="38">
        <f ca="1">IFERROR(SUM(M420:M431),"")</f>
        <v>0.20416666666666675</v>
      </c>
      <c r="N432" s="36" t="s">
        <v>237</v>
      </c>
      <c r="O432" s="39">
        <v>605220</v>
      </c>
    </row>
    <row r="433" spans="1:17" ht="18" customHeight="1">
      <c r="A433" s="122" t="s">
        <v>239</v>
      </c>
      <c r="B433" s="123"/>
      <c r="C433" s="123"/>
      <c r="D433" s="123"/>
      <c r="E433" s="124">
        <f>E419+E432</f>
        <v>0</v>
      </c>
      <c r="F433" s="40">
        <f>F419+F432</f>
        <v>242</v>
      </c>
      <c r="G433" s="40">
        <f>G419+G432</f>
        <v>1019.6</v>
      </c>
      <c r="H433" s="41"/>
      <c r="I433" s="41"/>
      <c r="J433" s="41"/>
      <c r="K433" s="63"/>
      <c r="L433" s="63"/>
      <c r="M433" s="42">
        <f ca="1">IFERROR(M419+M432,"")</f>
        <v>0.43819444444444455</v>
      </c>
      <c r="N433" s="40" t="s">
        <v>240</v>
      </c>
      <c r="O433" s="48">
        <f>IFERROR(O419+O432,"")</f>
        <v>1096740</v>
      </c>
    </row>
    <row r="434" spans="1:17" ht="15" customHeight="1">
      <c r="A434" s="68">
        <v>46220</v>
      </c>
      <c r="B434" s="25">
        <v>0.33333333333333298</v>
      </c>
      <c r="C434" s="26" t="s">
        <v>21</v>
      </c>
      <c r="D434" s="59" t="s">
        <v>30</v>
      </c>
      <c r="E434" s="59" t="s">
        <v>261</v>
      </c>
      <c r="F434" s="27">
        <v>28</v>
      </c>
      <c r="G434" s="28">
        <f t="shared" ref="G434:G445" si="96">IF(F434="","",IF(E434="PC 17",F434*4.2,IF(E434="PC 19",F434*5,"")))</f>
        <v>117.60000000000001</v>
      </c>
      <c r="H434" s="26" t="s">
        <v>18</v>
      </c>
      <c r="I434" s="26" t="s">
        <v>57</v>
      </c>
      <c r="J434" s="26" t="s">
        <v>216</v>
      </c>
      <c r="K434" s="29">
        <v>0.33333333333333331</v>
      </c>
      <c r="L434" s="29">
        <v>0.35416666666666669</v>
      </c>
      <c r="M434" s="30">
        <f t="shared" ref="M434:M445" ca="1" si="97">IFERROR(IF(K434="","",IF(L434="",MOD(NOW()-K434,1),IF(L434&gt;=K434,L434-K434,L434+1-K434))),"")</f>
        <v>2.083333333333337E-2</v>
      </c>
      <c r="N434" s="27"/>
      <c r="O434" s="60"/>
    </row>
    <row r="435" spans="1:17" ht="15" customHeight="1">
      <c r="A435" s="69">
        <v>46220</v>
      </c>
      <c r="B435" s="32">
        <f t="shared" ref="B435:B445" si="98">B434+TIME(0,60,0)</f>
        <v>0.37499999999999967</v>
      </c>
      <c r="C435" s="26" t="s">
        <v>21</v>
      </c>
      <c r="D435" s="59" t="s">
        <v>30</v>
      </c>
      <c r="E435" s="59" t="s">
        <v>261</v>
      </c>
      <c r="F435" s="27">
        <v>6</v>
      </c>
      <c r="G435" s="28">
        <f t="shared" si="96"/>
        <v>25.200000000000003</v>
      </c>
      <c r="H435" s="33" t="s">
        <v>19</v>
      </c>
      <c r="I435" s="33" t="s">
        <v>160</v>
      </c>
      <c r="J435" s="33" t="s">
        <v>27</v>
      </c>
      <c r="K435" s="29">
        <v>0.60416666666666663</v>
      </c>
      <c r="L435" s="29">
        <v>0.6166666666666667</v>
      </c>
      <c r="M435" s="35">
        <f t="shared" ca="1" si="97"/>
        <v>1.2500000000000067E-2</v>
      </c>
      <c r="N435" s="27"/>
      <c r="O435" s="60"/>
    </row>
    <row r="436" spans="1:17" ht="15" customHeight="1">
      <c r="A436" s="68">
        <v>46220</v>
      </c>
      <c r="B436" s="25">
        <f t="shared" si="98"/>
        <v>0.41666666666666635</v>
      </c>
      <c r="C436" s="26" t="s">
        <v>21</v>
      </c>
      <c r="D436" s="59" t="s">
        <v>30</v>
      </c>
      <c r="E436" s="59" t="s">
        <v>261</v>
      </c>
      <c r="F436" s="27">
        <v>23</v>
      </c>
      <c r="G436" s="28">
        <f t="shared" si="96"/>
        <v>96.600000000000009</v>
      </c>
      <c r="H436" s="26" t="s">
        <v>20</v>
      </c>
      <c r="I436" s="26" t="s">
        <v>138</v>
      </c>
      <c r="J436" s="26" t="s">
        <v>74</v>
      </c>
      <c r="K436" s="29">
        <v>0.66319444444444442</v>
      </c>
      <c r="L436" s="29">
        <v>0.67708333333333337</v>
      </c>
      <c r="M436" s="30">
        <f t="shared" ca="1" si="97"/>
        <v>1.3888888888888951E-2</v>
      </c>
      <c r="N436" s="27"/>
      <c r="O436" s="60"/>
    </row>
    <row r="437" spans="1:17" ht="15" customHeight="1">
      <c r="A437" s="69">
        <v>46220</v>
      </c>
      <c r="B437" s="32">
        <f t="shared" si="98"/>
        <v>0.45833333333333304</v>
      </c>
      <c r="C437" s="26" t="s">
        <v>21</v>
      </c>
      <c r="D437" s="59" t="s">
        <v>30</v>
      </c>
      <c r="E437" s="59" t="s">
        <v>261</v>
      </c>
      <c r="F437" s="27">
        <v>17</v>
      </c>
      <c r="G437" s="34">
        <f t="shared" si="96"/>
        <v>71.400000000000006</v>
      </c>
      <c r="H437" s="33" t="s">
        <v>20</v>
      </c>
      <c r="I437" s="33" t="s">
        <v>39</v>
      </c>
      <c r="J437" s="33" t="s">
        <v>51</v>
      </c>
      <c r="K437" s="29">
        <v>0.76875000000000004</v>
      </c>
      <c r="L437" s="29">
        <v>0.77222222222222225</v>
      </c>
      <c r="M437" s="35">
        <f t="shared" ca="1" si="97"/>
        <v>3.4722222222222099E-3</v>
      </c>
      <c r="N437" s="27"/>
      <c r="O437" s="60"/>
    </row>
    <row r="438" spans="1:17" ht="15" customHeight="1">
      <c r="A438" s="68">
        <v>46220</v>
      </c>
      <c r="B438" s="25">
        <f t="shared" si="98"/>
        <v>0.49999999999999972</v>
      </c>
      <c r="C438" s="26" t="s">
        <v>21</v>
      </c>
      <c r="D438" s="59" t="s">
        <v>30</v>
      </c>
      <c r="E438" s="59" t="s">
        <v>261</v>
      </c>
      <c r="F438" s="27">
        <v>21</v>
      </c>
      <c r="G438" s="28">
        <f t="shared" si="96"/>
        <v>88.2</v>
      </c>
      <c r="H438" s="26"/>
      <c r="I438" s="26"/>
      <c r="J438" s="26"/>
      <c r="K438" s="29"/>
      <c r="L438" s="29"/>
      <c r="M438" s="30" t="str">
        <f t="shared" ca="1" si="97"/>
        <v/>
      </c>
      <c r="N438" s="27"/>
      <c r="O438" s="60"/>
    </row>
    <row r="439" spans="1:17" ht="15" customHeight="1">
      <c r="A439" s="69">
        <v>46220</v>
      </c>
      <c r="B439" s="32">
        <f t="shared" si="98"/>
        <v>0.54166666666666641</v>
      </c>
      <c r="C439" s="26" t="s">
        <v>21</v>
      </c>
      <c r="D439" s="59" t="s">
        <v>30</v>
      </c>
      <c r="E439" s="59" t="s">
        <v>261</v>
      </c>
      <c r="F439" s="27">
        <v>20</v>
      </c>
      <c r="G439" s="34">
        <f t="shared" si="96"/>
        <v>84</v>
      </c>
      <c r="H439" s="33"/>
      <c r="I439" s="33"/>
      <c r="J439" s="33"/>
      <c r="K439" s="29"/>
      <c r="L439" s="29"/>
      <c r="M439" s="35" t="str">
        <f t="shared" ca="1" si="97"/>
        <v/>
      </c>
      <c r="N439" s="27"/>
      <c r="O439" s="60"/>
    </row>
    <row r="440" spans="1:17" ht="15" customHeight="1">
      <c r="A440" s="68">
        <v>46220</v>
      </c>
      <c r="B440" s="25">
        <f t="shared" si="98"/>
        <v>0.58333333333333304</v>
      </c>
      <c r="C440" s="26" t="s">
        <v>21</v>
      </c>
      <c r="D440" s="59" t="s">
        <v>30</v>
      </c>
      <c r="E440" s="59" t="s">
        <v>261</v>
      </c>
      <c r="F440" s="27">
        <v>13</v>
      </c>
      <c r="G440" s="28">
        <f t="shared" si="96"/>
        <v>54.6</v>
      </c>
      <c r="H440" s="26"/>
      <c r="I440" s="26"/>
      <c r="J440" s="26"/>
      <c r="K440" s="29"/>
      <c r="L440" s="29"/>
      <c r="M440" s="30" t="str">
        <f t="shared" ca="1" si="97"/>
        <v/>
      </c>
      <c r="N440" s="27"/>
      <c r="O440" s="60"/>
    </row>
    <row r="441" spans="1:17" ht="15" customHeight="1">
      <c r="A441" s="69">
        <v>46220</v>
      </c>
      <c r="B441" s="32">
        <f t="shared" si="98"/>
        <v>0.62499999999999967</v>
      </c>
      <c r="C441" s="26" t="s">
        <v>21</v>
      </c>
      <c r="D441" s="59" t="s">
        <v>30</v>
      </c>
      <c r="E441" s="59" t="s">
        <v>261</v>
      </c>
      <c r="F441" s="27">
        <v>14</v>
      </c>
      <c r="G441" s="34">
        <f t="shared" si="96"/>
        <v>58.800000000000004</v>
      </c>
      <c r="H441" s="33"/>
      <c r="I441" s="33"/>
      <c r="J441" s="33"/>
      <c r="K441" s="29"/>
      <c r="L441" s="29"/>
      <c r="M441" s="35" t="str">
        <f t="shared" ca="1" si="97"/>
        <v/>
      </c>
      <c r="N441" s="27"/>
      <c r="O441" s="60"/>
    </row>
    <row r="442" spans="1:17" ht="15" customHeight="1">
      <c r="A442" s="68">
        <v>46220</v>
      </c>
      <c r="B442" s="25">
        <f t="shared" si="98"/>
        <v>0.6666666666666663</v>
      </c>
      <c r="C442" s="26" t="s">
        <v>21</v>
      </c>
      <c r="D442" s="59" t="s">
        <v>30</v>
      </c>
      <c r="E442" s="59" t="s">
        <v>261</v>
      </c>
      <c r="F442" s="27">
        <v>19</v>
      </c>
      <c r="G442" s="28">
        <f t="shared" si="96"/>
        <v>79.8</v>
      </c>
      <c r="H442" s="26"/>
      <c r="I442" s="26"/>
      <c r="J442" s="26"/>
      <c r="K442" s="29"/>
      <c r="L442" s="29"/>
      <c r="M442" s="30" t="str">
        <f t="shared" ca="1" si="97"/>
        <v/>
      </c>
      <c r="N442" s="27"/>
      <c r="O442" s="60"/>
    </row>
    <row r="443" spans="1:17" ht="15" customHeight="1">
      <c r="A443" s="69">
        <v>46220</v>
      </c>
      <c r="B443" s="32">
        <f t="shared" si="98"/>
        <v>0.70833333333333293</v>
      </c>
      <c r="C443" s="26" t="s">
        <v>21</v>
      </c>
      <c r="D443" s="59" t="s">
        <v>38</v>
      </c>
      <c r="E443" s="59" t="s">
        <v>261</v>
      </c>
      <c r="F443" s="27">
        <v>21</v>
      </c>
      <c r="G443" s="34">
        <f t="shared" si="96"/>
        <v>88.2</v>
      </c>
      <c r="H443" s="33"/>
      <c r="I443" s="33"/>
      <c r="J443" s="33"/>
      <c r="K443" s="29"/>
      <c r="L443" s="29"/>
      <c r="M443" s="35" t="str">
        <f t="shared" ca="1" si="97"/>
        <v/>
      </c>
      <c r="N443" s="27"/>
      <c r="O443" s="60"/>
    </row>
    <row r="444" spans="1:17" ht="15" customHeight="1">
      <c r="A444" s="68">
        <v>46220</v>
      </c>
      <c r="B444" s="25">
        <f t="shared" si="98"/>
        <v>0.74999999999999956</v>
      </c>
      <c r="C444" s="26" t="s">
        <v>21</v>
      </c>
      <c r="D444" s="59" t="s">
        <v>38</v>
      </c>
      <c r="E444" s="59" t="s">
        <v>261</v>
      </c>
      <c r="F444" s="27">
        <v>8</v>
      </c>
      <c r="G444" s="28">
        <f t="shared" si="96"/>
        <v>33.6</v>
      </c>
      <c r="H444" s="26"/>
      <c r="I444" s="26"/>
      <c r="J444" s="26"/>
      <c r="K444" s="29"/>
      <c r="L444" s="29"/>
      <c r="M444" s="30" t="str">
        <f t="shared" ca="1" si="97"/>
        <v/>
      </c>
      <c r="N444" s="27"/>
      <c r="O444" s="60"/>
    </row>
    <row r="445" spans="1:17" ht="15" customHeight="1">
      <c r="A445" s="69">
        <v>46220</v>
      </c>
      <c r="B445" s="32">
        <f t="shared" si="98"/>
        <v>0.79166666666666619</v>
      </c>
      <c r="C445" s="26" t="s">
        <v>21</v>
      </c>
      <c r="D445" s="59" t="s">
        <v>38</v>
      </c>
      <c r="E445" s="59" t="s">
        <v>261</v>
      </c>
      <c r="F445" s="27">
        <v>5</v>
      </c>
      <c r="G445" s="34">
        <f t="shared" si="96"/>
        <v>21</v>
      </c>
      <c r="H445" s="33"/>
      <c r="I445" s="33"/>
      <c r="J445" s="33"/>
      <c r="K445" s="29"/>
      <c r="L445" s="29"/>
      <c r="M445" s="35" t="str">
        <f t="shared" ca="1" si="97"/>
        <v/>
      </c>
      <c r="N445" s="27"/>
      <c r="O445" s="60"/>
    </row>
    <row r="446" spans="1:17" ht="15.75" customHeight="1">
      <c r="A446" s="119" t="s">
        <v>236</v>
      </c>
      <c r="B446" s="120"/>
      <c r="C446" s="120"/>
      <c r="D446" s="120"/>
      <c r="E446" s="121">
        <f>SUM(E434:E445)</f>
        <v>0</v>
      </c>
      <c r="F446" s="36">
        <f>SUM(F434:F445)</f>
        <v>195</v>
      </c>
      <c r="G446" s="36">
        <f>SUM(G434:G445)</f>
        <v>819</v>
      </c>
      <c r="H446" s="37"/>
      <c r="I446" s="37"/>
      <c r="J446" s="37"/>
      <c r="K446" s="61"/>
      <c r="L446" s="61"/>
      <c r="M446" s="38">
        <f ca="1">IFERROR(SUM(M434:M445),"")</f>
        <v>5.0694444444444597E-2</v>
      </c>
      <c r="N446" s="36" t="s">
        <v>237</v>
      </c>
      <c r="O446" s="39">
        <v>878370</v>
      </c>
    </row>
    <row r="447" spans="1:17" ht="15" customHeight="1">
      <c r="A447" s="69">
        <v>46220</v>
      </c>
      <c r="B447" s="32">
        <v>0.83333333333333304</v>
      </c>
      <c r="C447" s="33" t="s">
        <v>45</v>
      </c>
      <c r="D447" s="62" t="s">
        <v>30</v>
      </c>
      <c r="E447" s="62" t="s">
        <v>234</v>
      </c>
      <c r="F447" s="27">
        <v>0</v>
      </c>
      <c r="G447" s="34">
        <f t="shared" ref="G447:G458" si="99">IF(F447="","",IF(E447="PC 17",F447*4.2,IF(E447="PC 19",F447*5,"")))</f>
        <v>0</v>
      </c>
      <c r="H447" s="33" t="s">
        <v>20</v>
      </c>
      <c r="I447" s="33" t="s">
        <v>57</v>
      </c>
      <c r="J447" s="33" t="s">
        <v>51</v>
      </c>
      <c r="K447" s="29">
        <v>0.79166666666666663</v>
      </c>
      <c r="L447" s="29">
        <v>0.80694444444444446</v>
      </c>
      <c r="M447" s="35">
        <f t="shared" ref="M447:M458" ca="1" si="100">IFERROR(IF(K447="","",IF(L447="",MOD(NOW()-K447,1),IF(L447&gt;=K447,L447-K447,L447+1-K447))),"")</f>
        <v>1.5277777777777835E-2</v>
      </c>
      <c r="N447" s="27"/>
      <c r="O447" s="60"/>
    </row>
    <row r="448" spans="1:17" ht="15" customHeight="1">
      <c r="A448" s="68">
        <v>46220</v>
      </c>
      <c r="B448" s="25">
        <f t="shared" ref="B448:B458" si="101">B447+TIME(0,60,0)</f>
        <v>0.87499999999999967</v>
      </c>
      <c r="C448" s="33" t="s">
        <v>45</v>
      </c>
      <c r="D448" s="62" t="s">
        <v>30</v>
      </c>
      <c r="E448" s="62" t="s">
        <v>234</v>
      </c>
      <c r="F448" s="27">
        <v>4</v>
      </c>
      <c r="G448" s="28">
        <f t="shared" si="99"/>
        <v>20</v>
      </c>
      <c r="H448" s="26" t="s">
        <v>20</v>
      </c>
      <c r="I448" s="26" t="s">
        <v>52</v>
      </c>
      <c r="J448" s="26" t="s">
        <v>51</v>
      </c>
      <c r="K448" s="29">
        <v>0.81458333333333333</v>
      </c>
      <c r="L448" s="29">
        <v>0.81805555555555554</v>
      </c>
      <c r="M448" s="30">
        <f t="shared" ca="1" si="100"/>
        <v>3.4722222222222099E-3</v>
      </c>
      <c r="N448" s="27"/>
      <c r="O448" s="60"/>
      <c r="Q448" s="66"/>
    </row>
    <row r="449" spans="1:15" ht="15" customHeight="1">
      <c r="A449" s="69">
        <v>46220</v>
      </c>
      <c r="B449" s="32">
        <f t="shared" si="101"/>
        <v>0.9166666666666663</v>
      </c>
      <c r="C449" s="33" t="s">
        <v>45</v>
      </c>
      <c r="D449" s="62" t="s">
        <v>30</v>
      </c>
      <c r="E449" s="62" t="s">
        <v>234</v>
      </c>
      <c r="F449" s="27">
        <v>6</v>
      </c>
      <c r="G449" s="34">
        <f t="shared" si="99"/>
        <v>30</v>
      </c>
      <c r="H449" s="33" t="s">
        <v>18</v>
      </c>
      <c r="I449" s="33" t="s">
        <v>138</v>
      </c>
      <c r="J449" s="33" t="s">
        <v>128</v>
      </c>
      <c r="K449" s="29">
        <v>0.81944444444444442</v>
      </c>
      <c r="L449" s="29">
        <v>0.86250000000000004</v>
      </c>
      <c r="M449" s="35">
        <f t="shared" ca="1" si="100"/>
        <v>4.3055555555555625E-2</v>
      </c>
      <c r="N449" s="27"/>
      <c r="O449" s="60"/>
    </row>
    <row r="450" spans="1:15" ht="15" customHeight="1">
      <c r="A450" s="68">
        <v>46220</v>
      </c>
      <c r="B450" s="25">
        <f t="shared" si="101"/>
        <v>0.95833333333333293</v>
      </c>
      <c r="C450" s="33" t="s">
        <v>45</v>
      </c>
      <c r="D450" s="62" t="s">
        <v>30</v>
      </c>
      <c r="E450" s="57" t="s">
        <v>326</v>
      </c>
      <c r="F450" s="27">
        <v>9</v>
      </c>
      <c r="G450" s="28">
        <f>IF(F450="","",IF(E451="PC 17",F450*4.2,IF(E451="PC 19",F450*5,"")))</f>
        <v>45</v>
      </c>
      <c r="H450" s="26" t="s">
        <v>20</v>
      </c>
      <c r="I450" s="26" t="s">
        <v>52</v>
      </c>
      <c r="J450" s="26" t="s">
        <v>56</v>
      </c>
      <c r="K450" s="29">
        <v>0.84166666666666667</v>
      </c>
      <c r="L450" s="29">
        <v>0.86805555555555558</v>
      </c>
      <c r="M450" s="30">
        <f t="shared" ca="1" si="100"/>
        <v>2.6388888888888906E-2</v>
      </c>
      <c r="N450" s="27"/>
      <c r="O450" s="60"/>
    </row>
    <row r="451" spans="1:15" ht="15" customHeight="1">
      <c r="A451" s="69">
        <v>46220</v>
      </c>
      <c r="B451" s="32">
        <f t="shared" si="101"/>
        <v>0.99999999999999956</v>
      </c>
      <c r="C451" s="33" t="s">
        <v>45</v>
      </c>
      <c r="D451" s="62" t="s">
        <v>30</v>
      </c>
      <c r="E451" s="62" t="s">
        <v>234</v>
      </c>
      <c r="F451" s="27">
        <v>14</v>
      </c>
      <c r="G451" s="34">
        <v>59</v>
      </c>
      <c r="H451" s="33" t="s">
        <v>20</v>
      </c>
      <c r="I451" s="33" t="s">
        <v>52</v>
      </c>
      <c r="J451" s="33" t="s">
        <v>51</v>
      </c>
      <c r="K451" s="29">
        <v>0.92638888888888893</v>
      </c>
      <c r="L451" s="29">
        <v>0.9291666666666667</v>
      </c>
      <c r="M451" s="35">
        <f t="shared" ca="1" si="100"/>
        <v>2.7777777777777679E-3</v>
      </c>
      <c r="N451" s="27"/>
      <c r="O451" s="60"/>
    </row>
    <row r="452" spans="1:15" ht="15" customHeight="1">
      <c r="A452" s="68">
        <v>46220</v>
      </c>
      <c r="B452" s="25">
        <f t="shared" si="101"/>
        <v>1.0416666666666663</v>
      </c>
      <c r="C452" s="33" t="s">
        <v>45</v>
      </c>
      <c r="D452" s="62" t="s">
        <v>30</v>
      </c>
      <c r="E452" s="62" t="s">
        <v>234</v>
      </c>
      <c r="F452" s="27">
        <v>10</v>
      </c>
      <c r="G452" s="28">
        <f t="shared" si="99"/>
        <v>50</v>
      </c>
      <c r="H452" s="26" t="s">
        <v>20</v>
      </c>
      <c r="I452" s="26" t="s">
        <v>52</v>
      </c>
      <c r="J452" s="26" t="s">
        <v>56</v>
      </c>
      <c r="K452" s="29">
        <v>3.8194444444444448E-2</v>
      </c>
      <c r="L452" s="29">
        <v>6.805555555555555E-2</v>
      </c>
      <c r="M452" s="30">
        <f t="shared" ca="1" si="100"/>
        <v>2.9861111111111102E-2</v>
      </c>
      <c r="N452" s="27"/>
      <c r="O452" s="60"/>
    </row>
    <row r="453" spans="1:15" ht="15" customHeight="1">
      <c r="A453" s="69">
        <v>46220</v>
      </c>
      <c r="B453" s="32">
        <f t="shared" si="101"/>
        <v>1.083333333333333</v>
      </c>
      <c r="C453" s="33" t="s">
        <v>45</v>
      </c>
      <c r="D453" s="62" t="s">
        <v>30</v>
      </c>
      <c r="E453" s="62" t="s">
        <v>234</v>
      </c>
      <c r="F453" s="27">
        <v>3</v>
      </c>
      <c r="G453" s="34">
        <f t="shared" si="99"/>
        <v>15</v>
      </c>
      <c r="H453" s="33" t="s">
        <v>20</v>
      </c>
      <c r="I453" s="33" t="s">
        <v>150</v>
      </c>
      <c r="J453" s="33" t="s">
        <v>180</v>
      </c>
      <c r="K453" s="29">
        <v>8.3333333333333329E-2</v>
      </c>
      <c r="L453" s="29">
        <v>0.10625</v>
      </c>
      <c r="M453" s="35">
        <f t="shared" ca="1" si="100"/>
        <v>2.2916666666666669E-2</v>
      </c>
      <c r="N453" s="27"/>
      <c r="O453" s="60"/>
    </row>
    <row r="454" spans="1:15" ht="15" customHeight="1">
      <c r="A454" s="68">
        <v>46220</v>
      </c>
      <c r="B454" s="25">
        <f t="shared" si="101"/>
        <v>1.1249999999999998</v>
      </c>
      <c r="C454" s="33" t="s">
        <v>45</v>
      </c>
      <c r="D454" s="62" t="s">
        <v>30</v>
      </c>
      <c r="E454" s="62" t="s">
        <v>234</v>
      </c>
      <c r="F454" s="27">
        <v>12</v>
      </c>
      <c r="G454" s="28">
        <f t="shared" si="99"/>
        <v>60</v>
      </c>
      <c r="H454" s="26" t="s">
        <v>18</v>
      </c>
      <c r="I454" s="26" t="s">
        <v>138</v>
      </c>
      <c r="J454" s="26" t="s">
        <v>128</v>
      </c>
      <c r="K454" s="29">
        <v>0.22222222222222221</v>
      </c>
      <c r="L454" s="29">
        <v>0.24444444444444444</v>
      </c>
      <c r="M454" s="30">
        <f t="shared" ca="1" si="100"/>
        <v>2.2222222222222227E-2</v>
      </c>
      <c r="N454" s="27"/>
      <c r="O454" s="60"/>
    </row>
    <row r="455" spans="1:15" ht="15" customHeight="1">
      <c r="A455" s="69">
        <v>46220</v>
      </c>
      <c r="B455" s="32">
        <f t="shared" si="101"/>
        <v>1.1666666666666665</v>
      </c>
      <c r="C455" s="33" t="s">
        <v>45</v>
      </c>
      <c r="D455" s="62" t="s">
        <v>30</v>
      </c>
      <c r="E455" s="62" t="s">
        <v>234</v>
      </c>
      <c r="F455" s="27">
        <v>19</v>
      </c>
      <c r="G455" s="34">
        <f t="shared" si="99"/>
        <v>95</v>
      </c>
      <c r="H455" s="33" t="s">
        <v>18</v>
      </c>
      <c r="I455" s="33"/>
      <c r="J455" s="33" t="s">
        <v>219</v>
      </c>
      <c r="K455" s="29">
        <v>0.25833333333333336</v>
      </c>
      <c r="L455" s="29">
        <v>0.28402777777777777</v>
      </c>
      <c r="M455" s="35">
        <f t="shared" ca="1" si="100"/>
        <v>2.5694444444444409E-2</v>
      </c>
      <c r="N455" s="27"/>
      <c r="O455" s="60"/>
    </row>
    <row r="456" spans="1:15" ht="15" customHeight="1">
      <c r="A456" s="68">
        <v>46220</v>
      </c>
      <c r="B456" s="25">
        <f t="shared" si="101"/>
        <v>1.2083333333333333</v>
      </c>
      <c r="C456" s="33" t="s">
        <v>45</v>
      </c>
      <c r="D456" s="62" t="s">
        <v>30</v>
      </c>
      <c r="E456" s="62" t="s">
        <v>234</v>
      </c>
      <c r="F456" s="27">
        <v>18</v>
      </c>
      <c r="G456" s="28">
        <f t="shared" si="99"/>
        <v>90</v>
      </c>
      <c r="H456" s="26"/>
      <c r="I456" s="26"/>
      <c r="J456" s="26"/>
      <c r="K456" s="29"/>
      <c r="L456" s="29"/>
      <c r="M456" s="30" t="str">
        <f t="shared" ca="1" si="100"/>
        <v/>
      </c>
      <c r="N456" s="27"/>
      <c r="O456" s="60"/>
    </row>
    <row r="457" spans="1:15" ht="15" customHeight="1">
      <c r="A457" s="69">
        <v>46220</v>
      </c>
      <c r="B457" s="32">
        <f t="shared" si="101"/>
        <v>1.25</v>
      </c>
      <c r="C457" s="33" t="s">
        <v>45</v>
      </c>
      <c r="D457" s="62" t="s">
        <v>30</v>
      </c>
      <c r="E457" s="62" t="s">
        <v>234</v>
      </c>
      <c r="F457" s="27">
        <v>12</v>
      </c>
      <c r="G457" s="34">
        <f t="shared" si="99"/>
        <v>60</v>
      </c>
      <c r="H457" s="33"/>
      <c r="I457" s="33"/>
      <c r="J457" s="33"/>
      <c r="K457" s="29"/>
      <c r="L457" s="29"/>
      <c r="M457" s="35" t="str">
        <f t="shared" ca="1" si="100"/>
        <v/>
      </c>
      <c r="N457" s="27"/>
      <c r="O457" s="60"/>
    </row>
    <row r="458" spans="1:15" ht="15" customHeight="1">
      <c r="A458" s="68">
        <v>46220</v>
      </c>
      <c r="B458" s="25">
        <f t="shared" si="101"/>
        <v>1.2916666666666667</v>
      </c>
      <c r="C458" s="33" t="s">
        <v>45</v>
      </c>
      <c r="D458" s="62" t="s">
        <v>30</v>
      </c>
      <c r="E458" s="62" t="s">
        <v>234</v>
      </c>
      <c r="F458" s="27">
        <v>6</v>
      </c>
      <c r="G458" s="28">
        <f t="shared" si="99"/>
        <v>30</v>
      </c>
      <c r="H458" s="26"/>
      <c r="I458" s="26"/>
      <c r="J458" s="26"/>
      <c r="K458" s="29"/>
      <c r="L458" s="29"/>
      <c r="M458" s="30" t="str">
        <f t="shared" ca="1" si="100"/>
        <v/>
      </c>
      <c r="N458" s="27"/>
      <c r="O458" s="60"/>
    </row>
    <row r="459" spans="1:15" ht="15.75" customHeight="1">
      <c r="A459" s="119" t="s">
        <v>238</v>
      </c>
      <c r="B459" s="120"/>
      <c r="C459" s="120"/>
      <c r="D459" s="120"/>
      <c r="E459" s="121">
        <f>SUM(E447:E458)</f>
        <v>0</v>
      </c>
      <c r="F459" s="36">
        <f>SUM(F447:F458)</f>
        <v>113</v>
      </c>
      <c r="G459" s="36">
        <f>SUM(G447:G458)</f>
        <v>554</v>
      </c>
      <c r="H459" s="37"/>
      <c r="I459" s="37"/>
      <c r="J459" s="37"/>
      <c r="K459" s="61"/>
      <c r="L459" s="61"/>
      <c r="M459" s="38">
        <f ca="1">IFERROR(SUM(M447:M458),"")</f>
        <v>0.19166666666666674</v>
      </c>
      <c r="N459" s="36" t="s">
        <v>237</v>
      </c>
      <c r="O459" s="39">
        <v>615330</v>
      </c>
    </row>
    <row r="460" spans="1:15" ht="18" customHeight="1">
      <c r="A460" s="122" t="s">
        <v>239</v>
      </c>
      <c r="B460" s="123"/>
      <c r="C460" s="123"/>
      <c r="D460" s="123"/>
      <c r="E460" s="124">
        <f>E446+E459</f>
        <v>0</v>
      </c>
      <c r="F460" s="40">
        <f>F446+F459</f>
        <v>308</v>
      </c>
      <c r="G460" s="40">
        <f>G446+G459</f>
        <v>1373</v>
      </c>
      <c r="H460" s="41"/>
      <c r="I460" s="41"/>
      <c r="J460" s="41"/>
      <c r="K460" s="63"/>
      <c r="L460" s="63"/>
      <c r="M460" s="42">
        <f ca="1">IFERROR(M446+M459,"")</f>
        <v>0.24236111111111133</v>
      </c>
      <c r="N460" s="40" t="s">
        <v>240</v>
      </c>
      <c r="O460" s="48">
        <f>IFERROR(O446+O459,"")</f>
        <v>1493700</v>
      </c>
    </row>
    <row r="461" spans="1:15" ht="15" customHeight="1">
      <c r="A461" s="69">
        <v>46221</v>
      </c>
      <c r="B461" s="32">
        <v>0.33333333333333298</v>
      </c>
      <c r="C461" s="33" t="s">
        <v>21</v>
      </c>
      <c r="D461" s="62" t="s">
        <v>30</v>
      </c>
      <c r="E461" s="62" t="s">
        <v>234</v>
      </c>
      <c r="F461" s="27">
        <v>5</v>
      </c>
      <c r="G461" s="34">
        <f t="shared" ref="G461:G472" si="102">IF(F461="","",IF(E461="PC 17",F461*4.2,IF(E461="PC 19",F461*5,"")))</f>
        <v>25</v>
      </c>
      <c r="H461" s="33" t="s">
        <v>18</v>
      </c>
      <c r="I461" s="33" t="s">
        <v>57</v>
      </c>
      <c r="J461" s="33" t="s">
        <v>128</v>
      </c>
      <c r="K461" s="29">
        <v>0.3263888888888889</v>
      </c>
      <c r="L461" s="29">
        <v>0.40277777777777779</v>
      </c>
      <c r="M461" s="35">
        <f t="shared" ref="M461:M472" ca="1" si="103">IFERROR(IF(K461="","",IF(L461="",MOD(NOW()-K461,1),IF(L461&gt;=K461,L461-K461,L461+1-K461))),"")</f>
        <v>7.6388888888888895E-2</v>
      </c>
      <c r="N461" s="27" t="s">
        <v>417</v>
      </c>
      <c r="O461" s="60"/>
    </row>
    <row r="462" spans="1:15" ht="15" customHeight="1">
      <c r="A462" s="68">
        <v>46221</v>
      </c>
      <c r="B462" s="25">
        <f t="shared" ref="B462:B472" si="104">B461+TIME(0,60,0)</f>
        <v>0.37499999999999967</v>
      </c>
      <c r="C462" s="33" t="s">
        <v>21</v>
      </c>
      <c r="D462" s="62" t="s">
        <v>30</v>
      </c>
      <c r="E462" s="62" t="s">
        <v>234</v>
      </c>
      <c r="F462" s="27">
        <v>0</v>
      </c>
      <c r="G462" s="28">
        <f t="shared" si="102"/>
        <v>0</v>
      </c>
      <c r="H462" s="26" t="s">
        <v>20</v>
      </c>
      <c r="I462" s="26" t="s">
        <v>52</v>
      </c>
      <c r="J462" s="26" t="s">
        <v>56</v>
      </c>
      <c r="K462" s="29">
        <v>0.47222222222222221</v>
      </c>
      <c r="L462" s="29">
        <v>0.4861111111111111</v>
      </c>
      <c r="M462" s="30">
        <f t="shared" ca="1" si="103"/>
        <v>1.3888888888888895E-2</v>
      </c>
      <c r="N462" s="27" t="s">
        <v>418</v>
      </c>
      <c r="O462" s="60"/>
    </row>
    <row r="463" spans="1:15" ht="15" customHeight="1">
      <c r="A463" s="69">
        <v>46221</v>
      </c>
      <c r="B463" s="32">
        <f t="shared" si="104"/>
        <v>0.41666666666666635</v>
      </c>
      <c r="C463" s="33" t="s">
        <v>21</v>
      </c>
      <c r="D463" s="62" t="s">
        <v>30</v>
      </c>
      <c r="E463" s="62" t="s">
        <v>234</v>
      </c>
      <c r="F463" s="27">
        <v>4</v>
      </c>
      <c r="G463" s="34">
        <f t="shared" si="102"/>
        <v>20</v>
      </c>
      <c r="H463" s="33" t="s">
        <v>20</v>
      </c>
      <c r="I463" s="33" t="s">
        <v>139</v>
      </c>
      <c r="J463" s="33" t="s">
        <v>74</v>
      </c>
      <c r="K463" s="29">
        <v>0.57986111111111116</v>
      </c>
      <c r="L463" s="29">
        <v>0.60069444444444442</v>
      </c>
      <c r="M463" s="35">
        <f t="shared" ca="1" si="103"/>
        <v>2.0833333333333259E-2</v>
      </c>
      <c r="N463" s="27"/>
      <c r="O463" s="60"/>
    </row>
    <row r="464" spans="1:15" ht="15" customHeight="1">
      <c r="A464" s="68">
        <v>46221</v>
      </c>
      <c r="B464" s="25">
        <f t="shared" si="104"/>
        <v>0.45833333333333304</v>
      </c>
      <c r="C464" s="33" t="s">
        <v>21</v>
      </c>
      <c r="D464" s="62" t="s">
        <v>30</v>
      </c>
      <c r="E464" s="62" t="s">
        <v>234</v>
      </c>
      <c r="F464" s="27">
        <v>20</v>
      </c>
      <c r="G464" s="28">
        <f t="shared" si="102"/>
        <v>100</v>
      </c>
      <c r="H464" s="26" t="s">
        <v>18</v>
      </c>
      <c r="I464" s="26" t="s">
        <v>139</v>
      </c>
      <c r="J464" s="26" t="s">
        <v>100</v>
      </c>
      <c r="K464" s="29">
        <v>0.60069444444444442</v>
      </c>
      <c r="L464" s="29">
        <v>0.60763888888888884</v>
      </c>
      <c r="M464" s="30">
        <f t="shared" ca="1" si="103"/>
        <v>6.9444444444444198E-3</v>
      </c>
      <c r="N464" s="27"/>
      <c r="O464" s="60"/>
    </row>
    <row r="465" spans="1:15" ht="15" customHeight="1">
      <c r="A465" s="69">
        <v>46221</v>
      </c>
      <c r="B465" s="32">
        <f t="shared" si="104"/>
        <v>0.49999999999999972</v>
      </c>
      <c r="C465" s="33" t="s">
        <v>21</v>
      </c>
      <c r="D465" s="62" t="s">
        <v>30</v>
      </c>
      <c r="E465" s="62" t="s">
        <v>234</v>
      </c>
      <c r="F465" s="27">
        <v>4</v>
      </c>
      <c r="G465" s="34">
        <f t="shared" si="102"/>
        <v>20</v>
      </c>
      <c r="H465" s="33" t="s">
        <v>20</v>
      </c>
      <c r="I465" s="33" t="s">
        <v>57</v>
      </c>
      <c r="J465" s="33" t="s">
        <v>165</v>
      </c>
      <c r="K465" s="29">
        <v>0.64930555555555558</v>
      </c>
      <c r="L465" s="29">
        <v>0.67222222222222228</v>
      </c>
      <c r="M465" s="35">
        <f t="shared" ca="1" si="103"/>
        <v>2.2916666666666696E-2</v>
      </c>
      <c r="N465" s="27" t="s">
        <v>393</v>
      </c>
      <c r="O465" s="60"/>
    </row>
    <row r="466" spans="1:15" ht="15" customHeight="1">
      <c r="A466" s="68">
        <v>46221</v>
      </c>
      <c r="B466" s="25">
        <f t="shared" si="104"/>
        <v>0.54166666666666641</v>
      </c>
      <c r="C466" s="33" t="s">
        <v>21</v>
      </c>
      <c r="D466" s="62" t="s">
        <v>30</v>
      </c>
      <c r="E466" s="62" t="s">
        <v>234</v>
      </c>
      <c r="F466" s="27">
        <v>21</v>
      </c>
      <c r="G466" s="28">
        <f t="shared" si="102"/>
        <v>105</v>
      </c>
      <c r="H466" s="26"/>
      <c r="I466" s="26"/>
      <c r="J466" s="26"/>
      <c r="K466" s="29"/>
      <c r="L466" s="29"/>
      <c r="M466" s="30" t="str">
        <f t="shared" ca="1" si="103"/>
        <v/>
      </c>
      <c r="N466" s="27"/>
      <c r="O466" s="60"/>
    </row>
    <row r="467" spans="1:15" ht="15" customHeight="1">
      <c r="A467" s="69">
        <v>46221</v>
      </c>
      <c r="B467" s="32">
        <f t="shared" si="104"/>
        <v>0.58333333333333304</v>
      </c>
      <c r="C467" s="33" t="s">
        <v>21</v>
      </c>
      <c r="D467" s="62" t="s">
        <v>30</v>
      </c>
      <c r="E467" s="62" t="s">
        <v>234</v>
      </c>
      <c r="F467" s="27">
        <v>9</v>
      </c>
      <c r="G467" s="34">
        <f t="shared" si="102"/>
        <v>45</v>
      </c>
      <c r="H467" s="33"/>
      <c r="I467" s="33"/>
      <c r="J467" s="33"/>
      <c r="K467" s="29"/>
      <c r="L467" s="29"/>
      <c r="M467" s="35" t="str">
        <f t="shared" ca="1" si="103"/>
        <v/>
      </c>
      <c r="N467" s="27"/>
      <c r="O467" s="60"/>
    </row>
    <row r="468" spans="1:15" ht="15" customHeight="1">
      <c r="A468" s="68">
        <v>46221</v>
      </c>
      <c r="B468" s="25">
        <f t="shared" si="104"/>
        <v>0.62499999999999967</v>
      </c>
      <c r="C468" s="33" t="s">
        <v>21</v>
      </c>
      <c r="D468" s="62" t="s">
        <v>30</v>
      </c>
      <c r="E468" s="62" t="s">
        <v>234</v>
      </c>
      <c r="F468" s="27">
        <v>12</v>
      </c>
      <c r="G468" s="28">
        <f t="shared" si="102"/>
        <v>60</v>
      </c>
      <c r="H468" s="26"/>
      <c r="I468" s="26"/>
      <c r="J468" s="26"/>
      <c r="K468" s="29"/>
      <c r="L468" s="29"/>
      <c r="M468" s="30" t="str">
        <f t="shared" ca="1" si="103"/>
        <v/>
      </c>
      <c r="N468" s="27"/>
      <c r="O468" s="60"/>
    </row>
    <row r="469" spans="1:15" ht="15" customHeight="1">
      <c r="A469" s="69">
        <v>46221</v>
      </c>
      <c r="B469" s="32">
        <f t="shared" si="104"/>
        <v>0.6666666666666663</v>
      </c>
      <c r="C469" s="33" t="s">
        <v>21</v>
      </c>
      <c r="D469" s="62" t="s">
        <v>30</v>
      </c>
      <c r="E469" s="62" t="s">
        <v>234</v>
      </c>
      <c r="F469" s="27">
        <v>10</v>
      </c>
      <c r="G469" s="34">
        <f t="shared" si="102"/>
        <v>50</v>
      </c>
      <c r="H469" s="33"/>
      <c r="I469" s="33"/>
      <c r="J469" s="33"/>
      <c r="K469" s="29"/>
      <c r="L469" s="29"/>
      <c r="M469" s="35" t="str">
        <f t="shared" ca="1" si="103"/>
        <v/>
      </c>
      <c r="N469" s="27"/>
      <c r="O469" s="60"/>
    </row>
    <row r="470" spans="1:15" ht="15" customHeight="1">
      <c r="A470" s="68">
        <v>46221</v>
      </c>
      <c r="B470" s="25">
        <f t="shared" si="104"/>
        <v>0.70833333333333293</v>
      </c>
      <c r="C470" s="33" t="s">
        <v>21</v>
      </c>
      <c r="D470" s="62" t="s">
        <v>30</v>
      </c>
      <c r="E470" s="62" t="s">
        <v>234</v>
      </c>
      <c r="F470" s="27">
        <v>16</v>
      </c>
      <c r="G470" s="28">
        <f t="shared" si="102"/>
        <v>80</v>
      </c>
      <c r="H470" s="26"/>
      <c r="I470" s="26"/>
      <c r="J470" s="26"/>
      <c r="K470" s="29"/>
      <c r="L470" s="29"/>
      <c r="M470" s="30" t="str">
        <f t="shared" ca="1" si="103"/>
        <v/>
      </c>
      <c r="N470" s="27"/>
      <c r="O470" s="60"/>
    </row>
    <row r="471" spans="1:15" ht="15" customHeight="1">
      <c r="A471" s="69">
        <v>46221</v>
      </c>
      <c r="B471" s="32">
        <f t="shared" si="104"/>
        <v>0.74999999999999956</v>
      </c>
      <c r="C471" s="33" t="s">
        <v>21</v>
      </c>
      <c r="D471" s="62" t="s">
        <v>30</v>
      </c>
      <c r="E471" s="62" t="s">
        <v>234</v>
      </c>
      <c r="F471" s="27">
        <v>10</v>
      </c>
      <c r="G471" s="34">
        <f t="shared" si="102"/>
        <v>50</v>
      </c>
      <c r="H471" s="33"/>
      <c r="I471" s="33"/>
      <c r="J471" s="33"/>
      <c r="K471" s="29"/>
      <c r="L471" s="29"/>
      <c r="M471" s="35" t="str">
        <f t="shared" ca="1" si="103"/>
        <v/>
      </c>
      <c r="N471" s="27"/>
      <c r="O471" s="60"/>
    </row>
    <row r="472" spans="1:15" ht="15" customHeight="1">
      <c r="A472" s="68">
        <v>46221</v>
      </c>
      <c r="B472" s="25">
        <f t="shared" si="104"/>
        <v>0.79166666666666619</v>
      </c>
      <c r="C472" s="33" t="s">
        <v>21</v>
      </c>
      <c r="D472" s="62" t="s">
        <v>30</v>
      </c>
      <c r="E472" s="62" t="s">
        <v>234</v>
      </c>
      <c r="F472" s="27">
        <v>4</v>
      </c>
      <c r="G472" s="28">
        <f t="shared" si="102"/>
        <v>20</v>
      </c>
      <c r="H472" s="26"/>
      <c r="I472" s="26"/>
      <c r="J472" s="26"/>
      <c r="K472" s="29"/>
      <c r="L472" s="29"/>
      <c r="M472" s="30" t="str">
        <f t="shared" ca="1" si="103"/>
        <v/>
      </c>
      <c r="N472" s="27"/>
      <c r="O472" s="60"/>
    </row>
    <row r="473" spans="1:15" ht="15.75" customHeight="1">
      <c r="A473" s="119" t="s">
        <v>236</v>
      </c>
      <c r="B473" s="120"/>
      <c r="C473" s="120"/>
      <c r="D473" s="120"/>
      <c r="E473" s="121">
        <f>SUM(E461:E472)</f>
        <v>0</v>
      </c>
      <c r="F473" s="36">
        <f>SUM(F461:F472)</f>
        <v>115</v>
      </c>
      <c r="G473" s="36">
        <f>SUM(G461:G472)</f>
        <v>575</v>
      </c>
      <c r="H473" s="37"/>
      <c r="I473" s="37"/>
      <c r="J473" s="37"/>
      <c r="K473" s="61"/>
      <c r="L473" s="61"/>
      <c r="M473" s="38">
        <f ca="1">IFERROR(SUM(M461:M472),"")</f>
        <v>0.14097222222222217</v>
      </c>
      <c r="N473" s="36" t="s">
        <v>237</v>
      </c>
      <c r="O473" s="39">
        <v>774200</v>
      </c>
    </row>
    <row r="474" spans="1:15" ht="15" customHeight="1">
      <c r="A474" s="68">
        <v>46221</v>
      </c>
      <c r="B474" s="25">
        <v>0.83333333333333304</v>
      </c>
      <c r="C474" s="26" t="s">
        <v>45</v>
      </c>
      <c r="D474" s="59" t="s">
        <v>30</v>
      </c>
      <c r="E474" s="59" t="s">
        <v>234</v>
      </c>
      <c r="F474" s="27">
        <v>20</v>
      </c>
      <c r="G474" s="28">
        <f t="shared" ref="G474:G485" si="105">IF(F474="","",IF(E474="PC 17",F474*4.2,IF(E474="PC 19",F474*5,"")))</f>
        <v>100</v>
      </c>
      <c r="H474" s="26" t="s">
        <v>19</v>
      </c>
      <c r="I474" s="26" t="s">
        <v>160</v>
      </c>
      <c r="J474" s="26" t="s">
        <v>27</v>
      </c>
      <c r="K474" s="29">
        <v>0.17847222222222223</v>
      </c>
      <c r="L474" s="29">
        <v>0.19444444444444445</v>
      </c>
      <c r="M474" s="30">
        <f t="shared" ref="M474:M485" ca="1" si="106">IFERROR(IF(K474="","",IF(L474="",MOD(NOW()-K474,1),IF(L474&gt;=K474,L474-K474,L474+1-K474))),"")</f>
        <v>1.5972222222222221E-2</v>
      </c>
      <c r="N474" s="27"/>
      <c r="O474" s="60"/>
    </row>
    <row r="475" spans="1:15" ht="15" customHeight="1">
      <c r="A475" s="69">
        <v>46221</v>
      </c>
      <c r="B475" s="32">
        <f t="shared" ref="B475:B485" si="107">B474+TIME(0,60,0)</f>
        <v>0.87499999999999967</v>
      </c>
      <c r="C475" s="26" t="s">
        <v>45</v>
      </c>
      <c r="D475" s="59" t="s">
        <v>30</v>
      </c>
      <c r="E475" s="59" t="s">
        <v>234</v>
      </c>
      <c r="F475" s="27">
        <v>18</v>
      </c>
      <c r="G475" s="34">
        <f t="shared" si="105"/>
        <v>90</v>
      </c>
      <c r="H475" s="33"/>
      <c r="I475" s="33"/>
      <c r="J475" s="33"/>
      <c r="K475" s="29"/>
      <c r="L475" s="29"/>
      <c r="M475" s="35" t="str">
        <f t="shared" ca="1" si="106"/>
        <v/>
      </c>
      <c r="N475" s="27"/>
      <c r="O475" s="60"/>
    </row>
    <row r="476" spans="1:15" ht="15" customHeight="1">
      <c r="A476" s="68">
        <v>46221</v>
      </c>
      <c r="B476" s="25">
        <f t="shared" si="107"/>
        <v>0.9166666666666663</v>
      </c>
      <c r="C476" s="26" t="s">
        <v>45</v>
      </c>
      <c r="D476" s="59" t="s">
        <v>30</v>
      </c>
      <c r="E476" s="59" t="s">
        <v>234</v>
      </c>
      <c r="F476" s="27">
        <v>10</v>
      </c>
      <c r="G476" s="28">
        <f t="shared" si="105"/>
        <v>50</v>
      </c>
      <c r="H476" s="26"/>
      <c r="I476" s="26"/>
      <c r="J476" s="26"/>
      <c r="K476" s="29"/>
      <c r="L476" s="29"/>
      <c r="M476" s="30" t="str">
        <f t="shared" ca="1" si="106"/>
        <v/>
      </c>
      <c r="N476" s="27"/>
      <c r="O476" s="60"/>
    </row>
    <row r="477" spans="1:15" ht="15" customHeight="1">
      <c r="A477" s="69">
        <v>46221</v>
      </c>
      <c r="B477" s="32">
        <f t="shared" si="107"/>
        <v>0.95833333333333293</v>
      </c>
      <c r="C477" s="26" t="s">
        <v>45</v>
      </c>
      <c r="D477" s="59" t="s">
        <v>30</v>
      </c>
      <c r="E477" s="59" t="s">
        <v>234</v>
      </c>
      <c r="F477" s="27">
        <v>10</v>
      </c>
      <c r="G477" s="34">
        <f t="shared" si="105"/>
        <v>50</v>
      </c>
      <c r="H477" s="33"/>
      <c r="I477" s="33"/>
      <c r="J477" s="33"/>
      <c r="K477" s="29"/>
      <c r="L477" s="29"/>
      <c r="M477" s="35" t="str">
        <f t="shared" ca="1" si="106"/>
        <v/>
      </c>
      <c r="N477" s="27"/>
      <c r="O477" s="60"/>
    </row>
    <row r="478" spans="1:15" ht="15" customHeight="1">
      <c r="A478" s="68">
        <v>46221</v>
      </c>
      <c r="B478" s="25">
        <f t="shared" si="107"/>
        <v>0.99999999999999956</v>
      </c>
      <c r="C478" s="26" t="s">
        <v>45</v>
      </c>
      <c r="D478" s="59" t="s">
        <v>30</v>
      </c>
      <c r="E478" s="59" t="s">
        <v>234</v>
      </c>
      <c r="F478" s="27">
        <v>15</v>
      </c>
      <c r="G478" s="28">
        <f t="shared" si="105"/>
        <v>75</v>
      </c>
      <c r="H478" s="26"/>
      <c r="I478" s="26"/>
      <c r="J478" s="26"/>
      <c r="K478" s="29"/>
      <c r="L478" s="29"/>
      <c r="M478" s="30" t="str">
        <f t="shared" ca="1" si="106"/>
        <v/>
      </c>
      <c r="N478" s="27"/>
      <c r="O478" s="60"/>
    </row>
    <row r="479" spans="1:15" ht="15" customHeight="1">
      <c r="A479" s="69">
        <v>46221</v>
      </c>
      <c r="B479" s="32">
        <f t="shared" si="107"/>
        <v>1.0416666666666663</v>
      </c>
      <c r="C479" s="26" t="s">
        <v>45</v>
      </c>
      <c r="D479" s="59" t="s">
        <v>30</v>
      </c>
      <c r="E479" s="59" t="s">
        <v>234</v>
      </c>
      <c r="F479" s="27">
        <v>13</v>
      </c>
      <c r="G479" s="34">
        <f t="shared" si="105"/>
        <v>65</v>
      </c>
      <c r="H479" s="33"/>
      <c r="I479" s="33"/>
      <c r="J479" s="33"/>
      <c r="K479" s="29"/>
      <c r="L479" s="29"/>
      <c r="M479" s="35" t="str">
        <f t="shared" ca="1" si="106"/>
        <v/>
      </c>
      <c r="N479" s="27"/>
      <c r="O479" s="60"/>
    </row>
    <row r="480" spans="1:15" ht="15" customHeight="1">
      <c r="A480" s="68">
        <v>46221</v>
      </c>
      <c r="B480" s="25">
        <f t="shared" si="107"/>
        <v>1.083333333333333</v>
      </c>
      <c r="C480" s="26" t="s">
        <v>45</v>
      </c>
      <c r="D480" s="59" t="s">
        <v>30</v>
      </c>
      <c r="E480" s="59" t="s">
        <v>234</v>
      </c>
      <c r="F480" s="27">
        <v>15</v>
      </c>
      <c r="G480" s="28">
        <f t="shared" si="105"/>
        <v>75</v>
      </c>
      <c r="H480" s="26"/>
      <c r="I480" s="26"/>
      <c r="J480" s="26"/>
      <c r="K480" s="29"/>
      <c r="L480" s="29"/>
      <c r="M480" s="30" t="str">
        <f t="shared" ca="1" si="106"/>
        <v/>
      </c>
      <c r="N480" s="27"/>
      <c r="O480" s="60"/>
    </row>
    <row r="481" spans="1:15" ht="15" customHeight="1">
      <c r="A481" s="69">
        <v>46221</v>
      </c>
      <c r="B481" s="32">
        <f t="shared" si="107"/>
        <v>1.1249999999999998</v>
      </c>
      <c r="C481" s="26" t="s">
        <v>45</v>
      </c>
      <c r="D481" s="59" t="s">
        <v>30</v>
      </c>
      <c r="E481" s="59" t="s">
        <v>234</v>
      </c>
      <c r="F481" s="27">
        <v>7</v>
      </c>
      <c r="G481" s="34">
        <f t="shared" si="105"/>
        <v>35</v>
      </c>
      <c r="H481" s="33"/>
      <c r="I481" s="33"/>
      <c r="J481" s="33"/>
      <c r="K481" s="29"/>
      <c r="L481" s="29"/>
      <c r="M481" s="35" t="str">
        <f t="shared" ca="1" si="106"/>
        <v/>
      </c>
      <c r="N481" s="27"/>
      <c r="O481" s="60"/>
    </row>
    <row r="482" spans="1:15" ht="15" customHeight="1">
      <c r="A482" s="68">
        <v>46221</v>
      </c>
      <c r="B482" s="25">
        <f t="shared" si="107"/>
        <v>1.1666666666666665</v>
      </c>
      <c r="C482" s="26" t="s">
        <v>45</v>
      </c>
      <c r="D482" s="59" t="s">
        <v>30</v>
      </c>
      <c r="E482" s="59" t="s">
        <v>234</v>
      </c>
      <c r="F482" s="27">
        <v>16</v>
      </c>
      <c r="G482" s="28">
        <f t="shared" si="105"/>
        <v>80</v>
      </c>
      <c r="H482" s="26"/>
      <c r="I482" s="26"/>
      <c r="J482" s="26"/>
      <c r="K482" s="29"/>
      <c r="L482" s="29"/>
      <c r="M482" s="30" t="str">
        <f t="shared" ca="1" si="106"/>
        <v/>
      </c>
      <c r="N482" s="27"/>
      <c r="O482" s="60"/>
    </row>
    <row r="483" spans="1:15" ht="15" customHeight="1">
      <c r="A483" s="69">
        <v>46221</v>
      </c>
      <c r="B483" s="32">
        <f t="shared" si="107"/>
        <v>1.2083333333333333</v>
      </c>
      <c r="C483" s="26" t="s">
        <v>45</v>
      </c>
      <c r="D483" s="59" t="s">
        <v>30</v>
      </c>
      <c r="E483" s="59" t="s">
        <v>234</v>
      </c>
      <c r="F483" s="27">
        <v>0</v>
      </c>
      <c r="G483" s="34">
        <f t="shared" si="105"/>
        <v>0</v>
      </c>
      <c r="H483" s="33"/>
      <c r="I483" s="33"/>
      <c r="J483" s="33"/>
      <c r="K483" s="29"/>
      <c r="L483" s="29"/>
      <c r="M483" s="35" t="str">
        <f t="shared" ca="1" si="106"/>
        <v/>
      </c>
      <c r="N483" s="27"/>
      <c r="O483" s="60"/>
    </row>
    <row r="484" spans="1:15" ht="15" customHeight="1">
      <c r="A484" s="68">
        <v>46221</v>
      </c>
      <c r="B484" s="25">
        <f t="shared" si="107"/>
        <v>1.25</v>
      </c>
      <c r="C484" s="26" t="s">
        <v>45</v>
      </c>
      <c r="D484" s="59" t="s">
        <v>30</v>
      </c>
      <c r="E484" s="59" t="s">
        <v>234</v>
      </c>
      <c r="F484" s="27">
        <v>15</v>
      </c>
      <c r="G484" s="28">
        <f t="shared" si="105"/>
        <v>75</v>
      </c>
      <c r="H484" s="26"/>
      <c r="I484" s="26"/>
      <c r="J484" s="26"/>
      <c r="K484" s="29"/>
      <c r="L484" s="29"/>
      <c r="M484" s="30" t="str">
        <f t="shared" ca="1" si="106"/>
        <v/>
      </c>
      <c r="N484" s="27"/>
      <c r="O484" s="60"/>
    </row>
    <row r="485" spans="1:15" ht="15" customHeight="1">
      <c r="A485" s="69">
        <v>46221</v>
      </c>
      <c r="B485" s="32">
        <f t="shared" si="107"/>
        <v>1.2916666666666667</v>
      </c>
      <c r="C485" s="26" t="s">
        <v>45</v>
      </c>
      <c r="D485" s="59" t="s">
        <v>30</v>
      </c>
      <c r="E485" s="59" t="s">
        <v>234</v>
      </c>
      <c r="F485" s="27">
        <v>8</v>
      </c>
      <c r="G485" s="34">
        <f t="shared" si="105"/>
        <v>40</v>
      </c>
      <c r="H485" s="33"/>
      <c r="I485" s="33"/>
      <c r="J485" s="33"/>
      <c r="K485" s="29"/>
      <c r="L485" s="29"/>
      <c r="M485" s="35" t="str">
        <f t="shared" ca="1" si="106"/>
        <v/>
      </c>
      <c r="N485" s="27"/>
      <c r="O485" s="60"/>
    </row>
    <row r="486" spans="1:15" ht="15.75" customHeight="1">
      <c r="A486" s="119" t="s">
        <v>238</v>
      </c>
      <c r="B486" s="120"/>
      <c r="C486" s="120"/>
      <c r="D486" s="120"/>
      <c r="E486" s="121">
        <f>SUM(E474:E485)</f>
        <v>0</v>
      </c>
      <c r="F486" s="36">
        <f>SUM(F474:F485)</f>
        <v>147</v>
      </c>
      <c r="G486" s="36">
        <f>SUM(G474:G485)</f>
        <v>735</v>
      </c>
      <c r="H486" s="37"/>
      <c r="I486" s="37"/>
      <c r="J486" s="37"/>
      <c r="K486" s="61"/>
      <c r="L486" s="61"/>
      <c r="M486" s="38">
        <f ca="1">IFERROR(SUM(M474:M485),"")</f>
        <v>1.5972222222222221E-2</v>
      </c>
      <c r="N486" s="36" t="s">
        <v>237</v>
      </c>
      <c r="O486" s="39">
        <v>1120830</v>
      </c>
    </row>
    <row r="487" spans="1:15" ht="18" customHeight="1">
      <c r="A487" s="122" t="s">
        <v>239</v>
      </c>
      <c r="B487" s="123"/>
      <c r="C487" s="123"/>
      <c r="D487" s="123"/>
      <c r="E487" s="124">
        <f>E473+E486</f>
        <v>0</v>
      </c>
      <c r="F487" s="40">
        <f>F473+F486</f>
        <v>262</v>
      </c>
      <c r="G487" s="40">
        <f>G473+G486</f>
        <v>1310</v>
      </c>
      <c r="H487" s="41"/>
      <c r="I487" s="41"/>
      <c r="J487" s="41"/>
      <c r="K487" s="63"/>
      <c r="L487" s="63"/>
      <c r="M487" s="42">
        <f ca="1">IFERROR(M473+M486,"")</f>
        <v>0.15694444444444439</v>
      </c>
      <c r="N487" s="40" t="s">
        <v>240</v>
      </c>
      <c r="O487" s="48">
        <f>IFERROR(O473+O486,"")</f>
        <v>1895030</v>
      </c>
    </row>
    <row r="488" spans="1:15" ht="15" customHeight="1">
      <c r="A488" s="68">
        <v>46222</v>
      </c>
      <c r="B488" s="25">
        <v>0.33333333333333298</v>
      </c>
      <c r="C488" s="26" t="s">
        <v>21</v>
      </c>
      <c r="D488" s="59" t="s">
        <v>30</v>
      </c>
      <c r="E488" s="59" t="s">
        <v>234</v>
      </c>
      <c r="F488" s="27">
        <v>10</v>
      </c>
      <c r="G488" s="28">
        <f t="shared" ref="G488:G499" si="108">IF(F488="","",IF(E488="PC 17",F488*4.2,IF(E488="PC 19",F488*5,"")))</f>
        <v>50</v>
      </c>
      <c r="H488" s="26" t="s">
        <v>20</v>
      </c>
      <c r="I488" s="26" t="s">
        <v>57</v>
      </c>
      <c r="J488" s="26" t="s">
        <v>62</v>
      </c>
      <c r="K488" s="29">
        <v>0.40625</v>
      </c>
      <c r="L488" s="29">
        <v>0.40833333333333333</v>
      </c>
      <c r="M488" s="30">
        <f ca="1">IFERROR(IF(K488="","",IF(L488="",MOD(NOW()-K488,1),IF(L488&gt;=K488,L488-K488,L488+1-K488))),"")</f>
        <v>2.0833333333333259E-3</v>
      </c>
      <c r="N488" s="27"/>
      <c r="O488" s="60"/>
    </row>
    <row r="489" spans="1:15" ht="15" customHeight="1">
      <c r="A489" s="69">
        <v>46222</v>
      </c>
      <c r="B489" s="32">
        <f t="shared" ref="B489:B499" si="109">B488+TIME(0,60,0)</f>
        <v>0.37499999999999967</v>
      </c>
      <c r="C489" s="26" t="s">
        <v>21</v>
      </c>
      <c r="D489" s="59" t="s">
        <v>30</v>
      </c>
      <c r="E489" s="59" t="s">
        <v>234</v>
      </c>
      <c r="F489" s="27">
        <v>15</v>
      </c>
      <c r="G489" s="34">
        <f t="shared" si="108"/>
        <v>75</v>
      </c>
      <c r="H489" s="33" t="s">
        <v>20</v>
      </c>
      <c r="I489" s="33" t="s">
        <v>57</v>
      </c>
      <c r="J489" s="33" t="s">
        <v>165</v>
      </c>
      <c r="K489" s="29">
        <v>0.44236111111111109</v>
      </c>
      <c r="L489" s="29">
        <v>0.45833333333333331</v>
      </c>
      <c r="M489" s="35">
        <f ca="1">IFERROR(IF(K489="","",IF(L489="",MOD(NOW()-K489,1),IF(L489&gt;=K489,L489-K489,L489+1-K489))),"")</f>
        <v>1.5972222222222221E-2</v>
      </c>
      <c r="N489" s="27" t="s">
        <v>393</v>
      </c>
      <c r="O489" s="60"/>
    </row>
    <row r="490" spans="1:15" ht="15" customHeight="1">
      <c r="A490" s="68">
        <v>46222</v>
      </c>
      <c r="B490" s="25">
        <f t="shared" si="109"/>
        <v>0.41666666666666635</v>
      </c>
      <c r="C490" s="26" t="s">
        <v>21</v>
      </c>
      <c r="D490" s="59" t="s">
        <v>30</v>
      </c>
      <c r="E490" s="59" t="s">
        <v>234</v>
      </c>
      <c r="F490" s="27">
        <v>17</v>
      </c>
      <c r="G490" s="28">
        <f t="shared" si="108"/>
        <v>85</v>
      </c>
      <c r="H490" s="26" t="s">
        <v>20</v>
      </c>
      <c r="I490" s="26" t="s">
        <v>57</v>
      </c>
      <c r="J490" s="26" t="s">
        <v>51</v>
      </c>
      <c r="K490" s="29">
        <v>0.48055555555555557</v>
      </c>
      <c r="L490" s="29">
        <v>0.48402777777777778</v>
      </c>
      <c r="M490" s="30">
        <f ca="1">IFERROR(IF(K490="","",IF(L490="",MOD(NOW()-K490,1),IF(L490&gt;=K490,L490-K490,L490+1-K490))),"")</f>
        <v>3.4722222222222099E-3</v>
      </c>
      <c r="N490" s="27"/>
      <c r="O490" s="60"/>
    </row>
    <row r="491" spans="1:15" ht="15" customHeight="1">
      <c r="A491" s="69">
        <v>46222</v>
      </c>
      <c r="B491" s="32">
        <f t="shared" si="109"/>
        <v>0.45833333333333304</v>
      </c>
      <c r="C491" s="26" t="s">
        <v>21</v>
      </c>
      <c r="D491" s="59" t="s">
        <v>30</v>
      </c>
      <c r="E491" s="59" t="s">
        <v>234</v>
      </c>
      <c r="F491" s="27">
        <v>12</v>
      </c>
      <c r="G491" s="34">
        <f t="shared" si="108"/>
        <v>60</v>
      </c>
      <c r="H491" s="33" t="s">
        <v>20</v>
      </c>
      <c r="I491" s="33" t="s">
        <v>52</v>
      </c>
      <c r="J491" s="33" t="s">
        <v>51</v>
      </c>
      <c r="K491" s="29">
        <v>0.61111111111111116</v>
      </c>
      <c r="L491" s="29">
        <v>0.63888888888888884</v>
      </c>
      <c r="M491" s="35">
        <f ca="1">IFERROR(IF(K491="","",IF(L491="",MOD(NOW()-K491,1),IF(L491&gt;=K491,L491-K491,L491+1-K491))),"")</f>
        <v>2.7777777777777679E-2</v>
      </c>
      <c r="N491" s="27"/>
      <c r="O491" s="60"/>
    </row>
    <row r="492" spans="1:15" ht="15" customHeight="1">
      <c r="A492" s="68">
        <v>46222</v>
      </c>
      <c r="B492" s="25">
        <f t="shared" si="109"/>
        <v>0.49999999999999972</v>
      </c>
      <c r="C492" s="26" t="s">
        <v>21</v>
      </c>
      <c r="D492" s="59" t="s">
        <v>30</v>
      </c>
      <c r="E492" s="59" t="s">
        <v>234</v>
      </c>
      <c r="F492" s="27">
        <v>13</v>
      </c>
      <c r="G492" s="28">
        <f t="shared" si="108"/>
        <v>65</v>
      </c>
      <c r="H492" s="26"/>
      <c r="I492" s="26"/>
      <c r="J492" s="26"/>
      <c r="K492" s="29"/>
      <c r="L492" s="29"/>
      <c r="M492" s="30"/>
      <c r="N492" s="27"/>
      <c r="O492" s="60"/>
    </row>
    <row r="493" spans="1:15" ht="15" customHeight="1">
      <c r="A493" s="69">
        <v>46222</v>
      </c>
      <c r="B493" s="32">
        <f t="shared" si="109"/>
        <v>0.54166666666666641</v>
      </c>
      <c r="C493" s="26" t="s">
        <v>21</v>
      </c>
      <c r="D493" s="59" t="s">
        <v>30</v>
      </c>
      <c r="E493" s="59" t="s">
        <v>234</v>
      </c>
      <c r="F493" s="27">
        <v>12</v>
      </c>
      <c r="G493" s="34">
        <f t="shared" si="108"/>
        <v>60</v>
      </c>
      <c r="H493" s="33"/>
      <c r="I493" s="33"/>
      <c r="J493" s="33"/>
      <c r="K493" s="29"/>
      <c r="L493" s="29"/>
      <c r="M493" s="35" t="str">
        <f t="shared" ref="M493:M499" ca="1" si="110">IFERROR(IF(K493="","",IF(L493="",MOD(NOW()-K493,1),IF(L493&gt;=K493,L493-K493,L493+1-K493))),"")</f>
        <v/>
      </c>
      <c r="N493" s="27"/>
      <c r="O493" s="60"/>
    </row>
    <row r="494" spans="1:15" ht="15" customHeight="1">
      <c r="A494" s="68">
        <v>46222</v>
      </c>
      <c r="B494" s="25">
        <f t="shared" si="109"/>
        <v>0.58333333333333304</v>
      </c>
      <c r="C494" s="26" t="s">
        <v>21</v>
      </c>
      <c r="D494" s="59" t="s">
        <v>30</v>
      </c>
      <c r="E494" s="59" t="s">
        <v>261</v>
      </c>
      <c r="F494" s="27">
        <v>18</v>
      </c>
      <c r="G494" s="28">
        <f t="shared" si="108"/>
        <v>75.600000000000009</v>
      </c>
      <c r="H494" s="26"/>
      <c r="I494" s="26"/>
      <c r="J494" s="26"/>
      <c r="K494" s="29"/>
      <c r="L494" s="29"/>
      <c r="M494" s="30" t="str">
        <f t="shared" ca="1" si="110"/>
        <v/>
      </c>
      <c r="N494" s="27"/>
      <c r="O494" s="60"/>
    </row>
    <row r="495" spans="1:15" ht="15" customHeight="1">
      <c r="A495" s="69">
        <v>46222</v>
      </c>
      <c r="B495" s="32">
        <f t="shared" si="109"/>
        <v>0.62499999999999967</v>
      </c>
      <c r="C495" s="26" t="s">
        <v>21</v>
      </c>
      <c r="D495" s="59" t="s">
        <v>30</v>
      </c>
      <c r="E495" s="59" t="s">
        <v>261</v>
      </c>
      <c r="F495" s="27">
        <v>10</v>
      </c>
      <c r="G495" s="34">
        <f t="shared" si="108"/>
        <v>42</v>
      </c>
      <c r="H495" s="33"/>
      <c r="I495" s="33"/>
      <c r="J495" s="33"/>
      <c r="K495" s="29"/>
      <c r="L495" s="29"/>
      <c r="M495" s="35" t="str">
        <f t="shared" ca="1" si="110"/>
        <v/>
      </c>
      <c r="N495" s="27"/>
      <c r="O495" s="60"/>
    </row>
    <row r="496" spans="1:15" ht="15" customHeight="1">
      <c r="A496" s="68">
        <v>46222</v>
      </c>
      <c r="B496" s="25">
        <f t="shared" si="109"/>
        <v>0.6666666666666663</v>
      </c>
      <c r="C496" s="26" t="s">
        <v>21</v>
      </c>
      <c r="D496" s="59" t="s">
        <v>30</v>
      </c>
      <c r="E496" s="59" t="s">
        <v>261</v>
      </c>
      <c r="F496" s="27">
        <v>11</v>
      </c>
      <c r="G496" s="28">
        <f t="shared" si="108"/>
        <v>46.2</v>
      </c>
      <c r="H496" s="26"/>
      <c r="I496" s="26"/>
      <c r="J496" s="26"/>
      <c r="K496" s="29"/>
      <c r="L496" s="29"/>
      <c r="M496" s="30" t="str">
        <f t="shared" ca="1" si="110"/>
        <v/>
      </c>
      <c r="N496" s="27"/>
      <c r="O496" s="60"/>
    </row>
    <row r="497" spans="1:15" ht="15" customHeight="1">
      <c r="A497" s="69">
        <v>46222</v>
      </c>
      <c r="B497" s="32">
        <f t="shared" si="109"/>
        <v>0.70833333333333293</v>
      </c>
      <c r="C497" s="26" t="s">
        <v>21</v>
      </c>
      <c r="D497" s="59" t="s">
        <v>30</v>
      </c>
      <c r="E497" s="59" t="s">
        <v>261</v>
      </c>
      <c r="F497" s="27">
        <v>16</v>
      </c>
      <c r="G497" s="34">
        <f t="shared" si="108"/>
        <v>67.2</v>
      </c>
      <c r="H497" s="33"/>
      <c r="I497" s="33"/>
      <c r="J497" s="33"/>
      <c r="K497" s="29"/>
      <c r="L497" s="29"/>
      <c r="M497" s="35" t="str">
        <f t="shared" ca="1" si="110"/>
        <v/>
      </c>
      <c r="N497" s="27"/>
      <c r="O497" s="60"/>
    </row>
    <row r="498" spans="1:15" ht="15" customHeight="1">
      <c r="A498" s="68">
        <v>46222</v>
      </c>
      <c r="B498" s="25">
        <f t="shared" si="109"/>
        <v>0.74999999999999956</v>
      </c>
      <c r="C498" s="26" t="s">
        <v>21</v>
      </c>
      <c r="D498" s="59" t="s">
        <v>30</v>
      </c>
      <c r="E498" s="59" t="s">
        <v>261</v>
      </c>
      <c r="F498" s="27">
        <v>15</v>
      </c>
      <c r="G498" s="28">
        <f t="shared" si="108"/>
        <v>63</v>
      </c>
      <c r="H498" s="26"/>
      <c r="I498" s="26"/>
      <c r="J498" s="26"/>
      <c r="K498" s="29"/>
      <c r="L498" s="29"/>
      <c r="M498" s="30" t="str">
        <f t="shared" ca="1" si="110"/>
        <v/>
      </c>
      <c r="N498" s="27"/>
      <c r="O498" s="60"/>
    </row>
    <row r="499" spans="1:15" ht="15" customHeight="1">
      <c r="A499" s="69">
        <v>46222</v>
      </c>
      <c r="B499" s="32">
        <f t="shared" si="109"/>
        <v>0.79166666666666619</v>
      </c>
      <c r="C499" s="26" t="s">
        <v>21</v>
      </c>
      <c r="D499" s="59" t="s">
        <v>30</v>
      </c>
      <c r="E499" s="59" t="s">
        <v>261</v>
      </c>
      <c r="F499" s="27">
        <v>6</v>
      </c>
      <c r="G499" s="34">
        <f t="shared" si="108"/>
        <v>25.200000000000003</v>
      </c>
      <c r="H499" s="33"/>
      <c r="I499" s="33"/>
      <c r="J499" s="33"/>
      <c r="K499" s="29"/>
      <c r="L499" s="29"/>
      <c r="M499" s="35" t="str">
        <f t="shared" ca="1" si="110"/>
        <v/>
      </c>
      <c r="N499" s="27"/>
      <c r="O499" s="60"/>
    </row>
    <row r="500" spans="1:15" ht="15.75" customHeight="1">
      <c r="A500" s="119" t="s">
        <v>236</v>
      </c>
      <c r="B500" s="120"/>
      <c r="C500" s="120"/>
      <c r="D500" s="120"/>
      <c r="E500" s="121">
        <f>SUM(E488:E499)</f>
        <v>0</v>
      </c>
      <c r="F500" s="36">
        <f>SUM(F488:F499)</f>
        <v>155</v>
      </c>
      <c r="G500" s="36">
        <f>SUM(G488:G499)</f>
        <v>714.20000000000016</v>
      </c>
      <c r="H500" s="37"/>
      <c r="I500" s="37"/>
      <c r="J500" s="37"/>
      <c r="K500" s="61"/>
      <c r="L500" s="61"/>
      <c r="M500" s="38">
        <f ca="1">IFERROR(SUM(M488:M499),"")</f>
        <v>4.9305555555555436E-2</v>
      </c>
      <c r="N500" s="36" t="s">
        <v>237</v>
      </c>
      <c r="O500" s="39">
        <v>1031150</v>
      </c>
    </row>
    <row r="501" spans="1:15" ht="15" customHeight="1">
      <c r="A501" s="69">
        <v>46222</v>
      </c>
      <c r="B501" s="32">
        <v>0.83333333333333304</v>
      </c>
      <c r="C501" s="33" t="s">
        <v>45</v>
      </c>
      <c r="D501" s="62" t="s">
        <v>30</v>
      </c>
      <c r="E501" s="62" t="s">
        <v>261</v>
      </c>
      <c r="F501" s="27">
        <v>22</v>
      </c>
      <c r="G501" s="34">
        <f t="shared" ref="G501:G512" si="111">IF(F501="","",IF(E501="PC 17",F501*4.2,IF(E501="PC 19",F501*5,"")))</f>
        <v>92.4</v>
      </c>
      <c r="H501" s="33" t="s">
        <v>19</v>
      </c>
      <c r="I501" s="33" t="s">
        <v>160</v>
      </c>
      <c r="J501" s="33" t="s">
        <v>27</v>
      </c>
      <c r="K501" s="29">
        <v>0.83333333333333337</v>
      </c>
      <c r="L501" s="29">
        <v>0.86250000000000004</v>
      </c>
      <c r="M501" s="35">
        <f t="shared" ref="M501:M512" ca="1" si="112">IFERROR(IF(K501="","",IF(L501="",MOD(NOW()-K501,1),IF(L501&gt;=K501,L501-K501,L501+1-K501))),"")</f>
        <v>2.9166666666666674E-2</v>
      </c>
      <c r="N501" s="27"/>
      <c r="O501" s="60"/>
    </row>
    <row r="502" spans="1:15" ht="15" customHeight="1">
      <c r="A502" s="68">
        <v>46222</v>
      </c>
      <c r="B502" s="25">
        <f t="shared" ref="B502:B512" si="113">B501+TIME(0,60,0)</f>
        <v>0.87499999999999967</v>
      </c>
      <c r="C502" s="33" t="s">
        <v>45</v>
      </c>
      <c r="D502" s="62" t="s">
        <v>30</v>
      </c>
      <c r="E502" s="62" t="s">
        <v>234</v>
      </c>
      <c r="F502" s="27">
        <v>6</v>
      </c>
      <c r="G502" s="28">
        <f t="shared" si="111"/>
        <v>30</v>
      </c>
      <c r="H502" s="26" t="s">
        <v>20</v>
      </c>
      <c r="I502" s="26" t="s">
        <v>130</v>
      </c>
      <c r="J502" s="26" t="s">
        <v>113</v>
      </c>
      <c r="K502" s="29">
        <v>0.98819444444444449</v>
      </c>
      <c r="L502" s="29">
        <v>1.7361111111111112E-2</v>
      </c>
      <c r="M502" s="30">
        <f t="shared" ca="1" si="112"/>
        <v>2.9166666666666674E-2</v>
      </c>
      <c r="N502" s="27"/>
      <c r="O502" s="60"/>
    </row>
    <row r="503" spans="1:15" ht="15" customHeight="1">
      <c r="A503" s="69">
        <v>46222</v>
      </c>
      <c r="B503" s="32">
        <f t="shared" si="113"/>
        <v>0.9166666666666663</v>
      </c>
      <c r="C503" s="33" t="s">
        <v>45</v>
      </c>
      <c r="D503" s="62" t="s">
        <v>30</v>
      </c>
      <c r="E503" s="62" t="s">
        <v>261</v>
      </c>
      <c r="F503" s="27">
        <v>10</v>
      </c>
      <c r="G503" s="34">
        <f t="shared" si="111"/>
        <v>42</v>
      </c>
      <c r="H503" s="33" t="s">
        <v>20</v>
      </c>
      <c r="I503" s="33" t="s">
        <v>130</v>
      </c>
      <c r="J503" s="33" t="s">
        <v>113</v>
      </c>
      <c r="K503" s="29">
        <v>0.14374999999999999</v>
      </c>
      <c r="L503" s="29">
        <v>0.28472222222222221</v>
      </c>
      <c r="M503" s="35">
        <f t="shared" ca="1" si="112"/>
        <v>0.14097222222222222</v>
      </c>
      <c r="N503" s="27" t="s">
        <v>419</v>
      </c>
      <c r="O503" s="60"/>
    </row>
    <row r="504" spans="1:15" ht="15" customHeight="1">
      <c r="A504" s="68">
        <v>46222</v>
      </c>
      <c r="B504" s="25">
        <f t="shared" si="113"/>
        <v>0.95833333333333293</v>
      </c>
      <c r="C504" s="33" t="s">
        <v>45</v>
      </c>
      <c r="D504" s="62" t="s">
        <v>30</v>
      </c>
      <c r="E504" s="62" t="s">
        <v>261</v>
      </c>
      <c r="F504" s="27">
        <v>10</v>
      </c>
      <c r="G504" s="28">
        <f t="shared" si="111"/>
        <v>42</v>
      </c>
      <c r="H504" s="26"/>
      <c r="I504" s="26"/>
      <c r="J504" s="26"/>
      <c r="K504" s="29"/>
      <c r="L504" s="29"/>
      <c r="M504" s="30" t="str">
        <f t="shared" ca="1" si="112"/>
        <v/>
      </c>
      <c r="N504" s="27"/>
      <c r="O504" s="60"/>
    </row>
    <row r="505" spans="1:15" ht="15" customHeight="1">
      <c r="A505" s="69">
        <v>46222</v>
      </c>
      <c r="B505" s="32">
        <f t="shared" si="113"/>
        <v>0.99999999999999956</v>
      </c>
      <c r="C505" s="33" t="s">
        <v>45</v>
      </c>
      <c r="D505" s="62" t="s">
        <v>30</v>
      </c>
      <c r="E505" s="62" t="s">
        <v>261</v>
      </c>
      <c r="F505" s="27">
        <v>0</v>
      </c>
      <c r="G505" s="34">
        <f t="shared" si="111"/>
        <v>0</v>
      </c>
      <c r="H505" s="33"/>
      <c r="I505" s="33"/>
      <c r="J505" s="33"/>
      <c r="K505" s="29"/>
      <c r="L505" s="29"/>
      <c r="M505" s="35" t="str">
        <f t="shared" ca="1" si="112"/>
        <v/>
      </c>
      <c r="N505" s="27"/>
      <c r="O505" s="60"/>
    </row>
    <row r="506" spans="1:15" ht="15" customHeight="1">
      <c r="A506" s="68">
        <v>46222</v>
      </c>
      <c r="B506" s="25">
        <f t="shared" si="113"/>
        <v>1.0416666666666663</v>
      </c>
      <c r="C506" s="33" t="s">
        <v>45</v>
      </c>
      <c r="D506" s="62" t="s">
        <v>30</v>
      </c>
      <c r="E506" s="62" t="s">
        <v>261</v>
      </c>
      <c r="F506" s="27">
        <v>15</v>
      </c>
      <c r="G506" s="28">
        <f t="shared" si="111"/>
        <v>63</v>
      </c>
      <c r="H506" s="26"/>
      <c r="I506" s="26"/>
      <c r="J506" s="26"/>
      <c r="K506" s="29"/>
      <c r="L506" s="29"/>
      <c r="M506" s="30" t="str">
        <f t="shared" ca="1" si="112"/>
        <v/>
      </c>
      <c r="N506" s="27"/>
      <c r="O506" s="60"/>
    </row>
    <row r="507" spans="1:15" ht="15" customHeight="1">
      <c r="A507" s="69">
        <v>46222</v>
      </c>
      <c r="B507" s="32">
        <f t="shared" si="113"/>
        <v>1.083333333333333</v>
      </c>
      <c r="C507" s="33" t="s">
        <v>45</v>
      </c>
      <c r="D507" s="62" t="s">
        <v>30</v>
      </c>
      <c r="E507" s="62" t="s">
        <v>261</v>
      </c>
      <c r="F507" s="27">
        <v>17</v>
      </c>
      <c r="G507" s="34">
        <f t="shared" si="111"/>
        <v>71.400000000000006</v>
      </c>
      <c r="H507" s="33"/>
      <c r="I507" s="33"/>
      <c r="J507" s="33"/>
      <c r="K507" s="29"/>
      <c r="L507" s="29"/>
      <c r="M507" s="35" t="str">
        <f t="shared" ca="1" si="112"/>
        <v/>
      </c>
      <c r="N507" s="27"/>
      <c r="O507" s="60"/>
    </row>
    <row r="508" spans="1:15" ht="15" customHeight="1">
      <c r="A508" s="68">
        <v>46222</v>
      </c>
      <c r="B508" s="25">
        <f t="shared" si="113"/>
        <v>1.1249999999999998</v>
      </c>
      <c r="C508" s="33" t="s">
        <v>45</v>
      </c>
      <c r="D508" s="62" t="s">
        <v>30</v>
      </c>
      <c r="E508" s="62" t="s">
        <v>261</v>
      </c>
      <c r="F508" s="27">
        <v>10</v>
      </c>
      <c r="G508" s="28">
        <f t="shared" si="111"/>
        <v>42</v>
      </c>
      <c r="H508" s="26"/>
      <c r="I508" s="26"/>
      <c r="J508" s="26"/>
      <c r="K508" s="29"/>
      <c r="L508" s="29"/>
      <c r="M508" s="30" t="str">
        <f t="shared" ca="1" si="112"/>
        <v/>
      </c>
      <c r="N508" s="27"/>
      <c r="O508" s="60"/>
    </row>
    <row r="509" spans="1:15" ht="15" customHeight="1">
      <c r="A509" s="69">
        <v>46222</v>
      </c>
      <c r="B509" s="32">
        <f t="shared" si="113"/>
        <v>1.1666666666666665</v>
      </c>
      <c r="C509" s="33" t="s">
        <v>45</v>
      </c>
      <c r="D509" s="62" t="s">
        <v>30</v>
      </c>
      <c r="E509" s="62" t="s">
        <v>261</v>
      </c>
      <c r="F509" s="27">
        <v>5</v>
      </c>
      <c r="G509" s="34">
        <f t="shared" si="111"/>
        <v>21</v>
      </c>
      <c r="H509" s="33"/>
      <c r="I509" s="33"/>
      <c r="J509" s="33"/>
      <c r="K509" s="29"/>
      <c r="L509" s="29"/>
      <c r="M509" s="35" t="str">
        <f t="shared" ca="1" si="112"/>
        <v/>
      </c>
      <c r="N509" s="27"/>
      <c r="O509" s="60"/>
    </row>
    <row r="510" spans="1:15" ht="15" customHeight="1">
      <c r="A510" s="68">
        <v>46222</v>
      </c>
      <c r="B510" s="25">
        <f t="shared" si="113"/>
        <v>1.2083333333333333</v>
      </c>
      <c r="C510" s="33" t="s">
        <v>45</v>
      </c>
      <c r="D510" s="62" t="s">
        <v>30</v>
      </c>
      <c r="E510" s="62" t="s">
        <v>261</v>
      </c>
      <c r="F510" s="27">
        <v>0</v>
      </c>
      <c r="G510" s="28">
        <f t="shared" si="111"/>
        <v>0</v>
      </c>
      <c r="H510" s="26"/>
      <c r="I510" s="26"/>
      <c r="J510" s="26"/>
      <c r="K510" s="29"/>
      <c r="L510" s="29"/>
      <c r="M510" s="30" t="str">
        <f t="shared" ca="1" si="112"/>
        <v/>
      </c>
      <c r="N510" s="27"/>
      <c r="O510" s="60"/>
    </row>
    <row r="511" spans="1:15" ht="15" customHeight="1">
      <c r="A511" s="69">
        <v>46222</v>
      </c>
      <c r="B511" s="32">
        <f t="shared" si="113"/>
        <v>1.25</v>
      </c>
      <c r="C511" s="33" t="s">
        <v>45</v>
      </c>
      <c r="D511" s="62" t="s">
        <v>30</v>
      </c>
      <c r="E511" s="62" t="s">
        <v>261</v>
      </c>
      <c r="F511" s="27">
        <v>0</v>
      </c>
      <c r="G511" s="34">
        <f t="shared" si="111"/>
        <v>0</v>
      </c>
      <c r="H511" s="33"/>
      <c r="I511" s="33"/>
      <c r="J511" s="33"/>
      <c r="K511" s="29"/>
      <c r="L511" s="29"/>
      <c r="M511" s="35" t="str">
        <f t="shared" ca="1" si="112"/>
        <v/>
      </c>
      <c r="N511" s="27"/>
      <c r="O511" s="60"/>
    </row>
    <row r="512" spans="1:15" ht="15" customHeight="1">
      <c r="A512" s="68">
        <v>46222</v>
      </c>
      <c r="B512" s="25">
        <f t="shared" si="113"/>
        <v>1.2916666666666667</v>
      </c>
      <c r="C512" s="33" t="s">
        <v>45</v>
      </c>
      <c r="D512" s="62" t="s">
        <v>30</v>
      </c>
      <c r="E512" s="62" t="s">
        <v>261</v>
      </c>
      <c r="F512" s="27">
        <v>0</v>
      </c>
      <c r="G512" s="28">
        <f t="shared" si="111"/>
        <v>0</v>
      </c>
      <c r="H512" s="26"/>
      <c r="I512" s="26"/>
      <c r="J512" s="26"/>
      <c r="K512" s="29"/>
      <c r="L512" s="29"/>
      <c r="M512" s="30" t="str">
        <f t="shared" ca="1" si="112"/>
        <v/>
      </c>
      <c r="N512" s="27"/>
      <c r="O512" s="60"/>
    </row>
    <row r="513" spans="1:15" ht="15.75" customHeight="1">
      <c r="A513" s="119" t="s">
        <v>238</v>
      </c>
      <c r="B513" s="120"/>
      <c r="C513" s="120"/>
      <c r="D513" s="120"/>
      <c r="E513" s="121">
        <f>SUM(E501:E512)</f>
        <v>0</v>
      </c>
      <c r="F513" s="36">
        <f>SUM(F501:F512)</f>
        <v>95</v>
      </c>
      <c r="G513" s="36">
        <f>SUM(G501:G512)</f>
        <v>403.79999999999995</v>
      </c>
      <c r="H513" s="37"/>
      <c r="I513" s="37"/>
      <c r="J513" s="37"/>
      <c r="K513" s="61"/>
      <c r="L513" s="61"/>
      <c r="M513" s="38">
        <f ca="1">IFERROR(SUM(M501:M512),"")</f>
        <v>0.19930555555555557</v>
      </c>
      <c r="N513" s="36" t="s">
        <v>237</v>
      </c>
      <c r="O513" s="39">
        <v>416720</v>
      </c>
    </row>
    <row r="514" spans="1:15" ht="18" customHeight="1">
      <c r="A514" s="122" t="s">
        <v>239</v>
      </c>
      <c r="B514" s="123"/>
      <c r="C514" s="123"/>
      <c r="D514" s="123"/>
      <c r="E514" s="124">
        <f>E500+E513</f>
        <v>0</v>
      </c>
      <c r="F514" s="40">
        <f>F500+F513</f>
        <v>250</v>
      </c>
      <c r="G514" s="40">
        <f>G500+G513</f>
        <v>1118</v>
      </c>
      <c r="H514" s="41"/>
      <c r="I514" s="41"/>
      <c r="J514" s="41"/>
      <c r="K514" s="63"/>
      <c r="L514" s="63"/>
      <c r="M514" s="42">
        <f ca="1">IFERROR(M500+M513,"")</f>
        <v>0.24861111111111101</v>
      </c>
      <c r="N514" s="40" t="s">
        <v>240</v>
      </c>
      <c r="O514" s="48">
        <f>IFERROR(O500+O513,"")</f>
        <v>1447870</v>
      </c>
    </row>
    <row r="515" spans="1:15" ht="15" customHeight="1">
      <c r="A515" s="69">
        <v>46223</v>
      </c>
      <c r="B515" s="32">
        <v>0.33333333333333298</v>
      </c>
      <c r="C515" s="33" t="s">
        <v>21</v>
      </c>
      <c r="D515" s="62" t="s">
        <v>30</v>
      </c>
      <c r="E515" s="62" t="s">
        <v>261</v>
      </c>
      <c r="F515" s="27">
        <v>0</v>
      </c>
      <c r="G515" s="34">
        <f t="shared" ref="G515:G526" si="114">IF(F515="","",IF(E515="PC 17",F515*4.2,IF(E515="PC 19",F515*5,"")))</f>
        <v>0</v>
      </c>
      <c r="H515" s="33" t="s">
        <v>18</v>
      </c>
      <c r="I515" s="33" t="s">
        <v>75</v>
      </c>
      <c r="J515" s="33" t="s">
        <v>220</v>
      </c>
      <c r="K515" s="29">
        <v>0.29166666666666669</v>
      </c>
      <c r="L515" s="29">
        <v>0.56597222222222221</v>
      </c>
      <c r="M515" s="35">
        <f t="shared" ref="M515:M526" ca="1" si="115">IFERROR(IF(K515="","",IF(L515="",MOD(NOW()-K515,1),IF(L515&gt;=K515,L515-K515,L515+1-K515))),"")</f>
        <v>0.27430555555555552</v>
      </c>
      <c r="N515" s="27" t="s">
        <v>420</v>
      </c>
      <c r="O515" s="60"/>
    </row>
    <row r="516" spans="1:15" ht="15" customHeight="1">
      <c r="A516" s="68">
        <v>46223</v>
      </c>
      <c r="B516" s="25">
        <f t="shared" ref="B516:B526" si="116">B515+TIME(0,60,0)</f>
        <v>0.37499999999999967</v>
      </c>
      <c r="C516" s="33" t="s">
        <v>21</v>
      </c>
      <c r="D516" s="62" t="s">
        <v>30</v>
      </c>
      <c r="E516" s="62" t="s">
        <v>261</v>
      </c>
      <c r="F516" s="27">
        <v>0</v>
      </c>
      <c r="G516" s="28">
        <f t="shared" si="114"/>
        <v>0</v>
      </c>
      <c r="H516" s="49" t="s">
        <v>20</v>
      </c>
      <c r="I516" s="26"/>
      <c r="J516" s="49" t="s">
        <v>44</v>
      </c>
      <c r="K516" s="29">
        <v>0.57986111111111116</v>
      </c>
      <c r="L516" s="29">
        <v>0.59305555555555556</v>
      </c>
      <c r="M516" s="30">
        <f t="shared" ca="1" si="115"/>
        <v>1.3194444444444398E-2</v>
      </c>
      <c r="N516" s="27"/>
      <c r="O516" s="60"/>
    </row>
    <row r="517" spans="1:15" ht="15" customHeight="1">
      <c r="A517" s="69">
        <v>46223</v>
      </c>
      <c r="B517" s="32">
        <f t="shared" si="116"/>
        <v>0.41666666666666635</v>
      </c>
      <c r="C517" s="33" t="s">
        <v>21</v>
      </c>
      <c r="D517" s="62" t="s">
        <v>30</v>
      </c>
      <c r="E517" s="62" t="s">
        <v>261</v>
      </c>
      <c r="F517" s="27">
        <v>0</v>
      </c>
      <c r="G517" s="34">
        <f t="shared" si="114"/>
        <v>0</v>
      </c>
      <c r="H517" s="33" t="s">
        <v>20</v>
      </c>
      <c r="I517" s="33" t="s">
        <v>57</v>
      </c>
      <c r="J517" s="33" t="s">
        <v>165</v>
      </c>
      <c r="K517" s="29">
        <v>0.63680555555555551</v>
      </c>
      <c r="L517" s="29">
        <v>0.65347222222222223</v>
      </c>
      <c r="M517" s="35">
        <f t="shared" ca="1" si="115"/>
        <v>1.6666666666666718E-2</v>
      </c>
      <c r="N517" s="27" t="s">
        <v>421</v>
      </c>
      <c r="O517" s="60"/>
    </row>
    <row r="518" spans="1:15" ht="15" customHeight="1">
      <c r="A518" s="68">
        <v>46223</v>
      </c>
      <c r="B518" s="25">
        <f t="shared" si="116"/>
        <v>0.45833333333333304</v>
      </c>
      <c r="C518" s="33" t="s">
        <v>21</v>
      </c>
      <c r="D518" s="62" t="s">
        <v>30</v>
      </c>
      <c r="E518" s="62" t="s">
        <v>261</v>
      </c>
      <c r="F518" s="27">
        <v>0</v>
      </c>
      <c r="G518" s="28">
        <f t="shared" si="114"/>
        <v>0</v>
      </c>
      <c r="H518" s="33" t="s">
        <v>20</v>
      </c>
      <c r="I518" s="26" t="s">
        <v>57</v>
      </c>
      <c r="J518" s="26" t="s">
        <v>28</v>
      </c>
      <c r="K518" s="29">
        <v>0.73472222222222228</v>
      </c>
      <c r="L518" s="29">
        <v>0.74236111111111114</v>
      </c>
      <c r="M518" s="30">
        <f t="shared" ca="1" si="115"/>
        <v>7.6388888888888618E-3</v>
      </c>
      <c r="N518" s="27"/>
      <c r="O518" s="60"/>
    </row>
    <row r="519" spans="1:15" ht="15" customHeight="1">
      <c r="A519" s="69">
        <v>46223</v>
      </c>
      <c r="B519" s="32">
        <f t="shared" si="116"/>
        <v>0.49999999999999972</v>
      </c>
      <c r="C519" s="33" t="s">
        <v>21</v>
      </c>
      <c r="D519" s="62" t="s">
        <v>30</v>
      </c>
      <c r="E519" s="62" t="s">
        <v>261</v>
      </c>
      <c r="F519" s="27">
        <v>0</v>
      </c>
      <c r="G519" s="34">
        <f t="shared" si="114"/>
        <v>0</v>
      </c>
      <c r="H519" s="33"/>
      <c r="I519" s="33"/>
      <c r="J519" s="33"/>
      <c r="K519" s="29"/>
      <c r="L519" s="29"/>
      <c r="M519" s="35" t="str">
        <f t="shared" ca="1" si="115"/>
        <v/>
      </c>
      <c r="N519" s="27"/>
      <c r="O519" s="60"/>
    </row>
    <row r="520" spans="1:15" ht="15" customHeight="1">
      <c r="A520" s="68">
        <v>46223</v>
      </c>
      <c r="B520" s="25">
        <f t="shared" si="116"/>
        <v>0.54166666666666641</v>
      </c>
      <c r="C520" s="33" t="s">
        <v>21</v>
      </c>
      <c r="D520" s="62" t="s">
        <v>30</v>
      </c>
      <c r="E520" s="62" t="s">
        <v>261</v>
      </c>
      <c r="F520" s="27">
        <v>8</v>
      </c>
      <c r="G520" s="28">
        <f t="shared" si="114"/>
        <v>33.6</v>
      </c>
      <c r="H520" s="26"/>
      <c r="I520" s="26"/>
      <c r="J520" s="26"/>
      <c r="K520" s="29"/>
      <c r="L520" s="29"/>
      <c r="M520" s="30" t="str">
        <f t="shared" ca="1" si="115"/>
        <v/>
      </c>
      <c r="N520" s="27"/>
      <c r="O520" s="60"/>
    </row>
    <row r="521" spans="1:15" ht="15" customHeight="1">
      <c r="A521" s="69">
        <v>46223</v>
      </c>
      <c r="B521" s="32">
        <f t="shared" si="116"/>
        <v>0.58333333333333304</v>
      </c>
      <c r="C521" s="33" t="s">
        <v>21</v>
      </c>
      <c r="D521" s="62" t="s">
        <v>30</v>
      </c>
      <c r="E521" s="62" t="s">
        <v>261</v>
      </c>
      <c r="F521" s="27">
        <v>3</v>
      </c>
      <c r="G521" s="34">
        <f t="shared" si="114"/>
        <v>12.600000000000001</v>
      </c>
      <c r="H521" s="33"/>
      <c r="I521" s="33"/>
      <c r="J521" s="33"/>
      <c r="K521" s="29"/>
      <c r="L521" s="29"/>
      <c r="M521" s="35" t="str">
        <f t="shared" ca="1" si="115"/>
        <v/>
      </c>
      <c r="N521" s="27"/>
      <c r="O521" s="60"/>
    </row>
    <row r="522" spans="1:15" ht="15" customHeight="1">
      <c r="A522" s="68">
        <v>46223</v>
      </c>
      <c r="B522" s="25">
        <f t="shared" si="116"/>
        <v>0.62499999999999967</v>
      </c>
      <c r="C522" s="33" t="s">
        <v>21</v>
      </c>
      <c r="D522" s="62" t="s">
        <v>30</v>
      </c>
      <c r="E522" s="62" t="s">
        <v>261</v>
      </c>
      <c r="F522" s="27">
        <v>13</v>
      </c>
      <c r="G522" s="28">
        <f t="shared" si="114"/>
        <v>54.6</v>
      </c>
      <c r="H522" s="26"/>
      <c r="I522" s="26"/>
      <c r="J522" s="26"/>
      <c r="K522" s="29"/>
      <c r="L522" s="29"/>
      <c r="M522" s="30" t="str">
        <f t="shared" ca="1" si="115"/>
        <v/>
      </c>
      <c r="N522" s="27"/>
      <c r="O522" s="60"/>
    </row>
    <row r="523" spans="1:15" ht="15" customHeight="1">
      <c r="A523" s="69">
        <v>46223</v>
      </c>
      <c r="B523" s="32">
        <f t="shared" si="116"/>
        <v>0.6666666666666663</v>
      </c>
      <c r="C523" s="33" t="s">
        <v>21</v>
      </c>
      <c r="D523" s="62" t="s">
        <v>30</v>
      </c>
      <c r="E523" s="62" t="s">
        <v>261</v>
      </c>
      <c r="F523" s="27">
        <v>12</v>
      </c>
      <c r="G523" s="34">
        <f t="shared" si="114"/>
        <v>50.400000000000006</v>
      </c>
      <c r="H523" s="33"/>
      <c r="I523" s="33"/>
      <c r="J523" s="33"/>
      <c r="K523" s="29"/>
      <c r="L523" s="29"/>
      <c r="M523" s="35" t="str">
        <f t="shared" ca="1" si="115"/>
        <v/>
      </c>
      <c r="N523" s="27"/>
      <c r="O523" s="60"/>
    </row>
    <row r="524" spans="1:15" ht="15" customHeight="1">
      <c r="A524" s="68">
        <v>46223</v>
      </c>
      <c r="B524" s="25">
        <f t="shared" si="116"/>
        <v>0.70833333333333293</v>
      </c>
      <c r="C524" s="33" t="s">
        <v>21</v>
      </c>
      <c r="D524" s="62" t="s">
        <v>30</v>
      </c>
      <c r="E524" s="62" t="s">
        <v>261</v>
      </c>
      <c r="F524" s="27">
        <v>22</v>
      </c>
      <c r="G524" s="28">
        <f t="shared" si="114"/>
        <v>92.4</v>
      </c>
      <c r="H524" s="26"/>
      <c r="I524" s="26"/>
      <c r="J524" s="26"/>
      <c r="K524" s="29"/>
      <c r="L524" s="29"/>
      <c r="M524" s="30" t="str">
        <f t="shared" ca="1" si="115"/>
        <v/>
      </c>
      <c r="N524" s="27"/>
      <c r="O524" s="60"/>
    </row>
    <row r="525" spans="1:15" ht="15" customHeight="1">
      <c r="A525" s="69">
        <v>46223</v>
      </c>
      <c r="B525" s="32">
        <f t="shared" si="116"/>
        <v>0.74999999999999956</v>
      </c>
      <c r="C525" s="33" t="s">
        <v>21</v>
      </c>
      <c r="D525" s="62" t="s">
        <v>30</v>
      </c>
      <c r="E525" s="62" t="s">
        <v>261</v>
      </c>
      <c r="F525" s="27">
        <v>13</v>
      </c>
      <c r="G525" s="34">
        <f t="shared" si="114"/>
        <v>54.6</v>
      </c>
      <c r="H525" s="33"/>
      <c r="I525" s="33"/>
      <c r="J525" s="33"/>
      <c r="K525" s="29"/>
      <c r="L525" s="29"/>
      <c r="M525" s="35" t="str">
        <f t="shared" ca="1" si="115"/>
        <v/>
      </c>
      <c r="N525" s="27"/>
      <c r="O525" s="60"/>
    </row>
    <row r="526" spans="1:15" ht="15" customHeight="1">
      <c r="A526" s="68">
        <v>46223</v>
      </c>
      <c r="B526" s="25">
        <f t="shared" si="116"/>
        <v>0.79166666666666619</v>
      </c>
      <c r="C526" s="33" t="s">
        <v>21</v>
      </c>
      <c r="D526" s="62" t="s">
        <v>30</v>
      </c>
      <c r="E526" s="62" t="s">
        <v>261</v>
      </c>
      <c r="F526" s="27">
        <v>9</v>
      </c>
      <c r="G526" s="28">
        <f t="shared" si="114"/>
        <v>37.800000000000004</v>
      </c>
      <c r="H526" s="26"/>
      <c r="I526" s="26"/>
      <c r="J526" s="26"/>
      <c r="K526" s="29"/>
      <c r="L526" s="29"/>
      <c r="M526" s="30" t="str">
        <f t="shared" ca="1" si="115"/>
        <v/>
      </c>
      <c r="N526" s="27"/>
      <c r="O526" s="60"/>
    </row>
    <row r="527" spans="1:15" ht="15.75" customHeight="1">
      <c r="A527" s="119" t="s">
        <v>236</v>
      </c>
      <c r="B527" s="120"/>
      <c r="C527" s="120"/>
      <c r="D527" s="120"/>
      <c r="E527" s="121">
        <f>SUM(E515:E526)</f>
        <v>0</v>
      </c>
      <c r="F527" s="36">
        <f>SUM(F515:F526)</f>
        <v>80</v>
      </c>
      <c r="G527" s="36">
        <f>SUM(G515:G526)</f>
        <v>336.00000000000006</v>
      </c>
      <c r="H527" s="37"/>
      <c r="I527" s="37"/>
      <c r="J527" s="37"/>
      <c r="K527" s="61"/>
      <c r="L527" s="61"/>
      <c r="M527" s="38">
        <f ca="1">IFERROR(SUM(M515:M526),"")</f>
        <v>0.3118055555555555</v>
      </c>
      <c r="N527" s="36" t="s">
        <v>237</v>
      </c>
      <c r="O527" s="39">
        <v>362510</v>
      </c>
    </row>
    <row r="528" spans="1:15" ht="15" customHeight="1">
      <c r="A528" s="68">
        <v>46223</v>
      </c>
      <c r="B528" s="25">
        <v>0.83333333333333304</v>
      </c>
      <c r="C528" s="26" t="s">
        <v>45</v>
      </c>
      <c r="D528" s="59" t="s">
        <v>30</v>
      </c>
      <c r="E528" s="59" t="s">
        <v>261</v>
      </c>
      <c r="F528" s="27">
        <v>20</v>
      </c>
      <c r="G528" s="28">
        <f t="shared" ref="G528:G539" si="117">IF(F528="","",IF(E528="PC 17",F528*4.2,IF(E528="PC 19",F528*5,"")))</f>
        <v>84</v>
      </c>
      <c r="H528" s="26" t="s">
        <v>20</v>
      </c>
      <c r="I528" s="26" t="s">
        <v>57</v>
      </c>
      <c r="J528" s="26" t="s">
        <v>28</v>
      </c>
      <c r="K528" s="29">
        <v>0.85972222222222228</v>
      </c>
      <c r="L528" s="29">
        <v>0.86458333333333337</v>
      </c>
      <c r="M528" s="30">
        <f t="shared" ref="M528:M539" ca="1" si="118">IFERROR(IF(K528="","",IF(L528="",MOD(NOW()-K528,1),IF(L528&gt;=K528,L528-K528,L528+1-K528))),"")</f>
        <v>4.8611111111110938E-3</v>
      </c>
      <c r="N528" s="27"/>
      <c r="O528" s="60"/>
    </row>
    <row r="529" spans="1:15" ht="15" customHeight="1">
      <c r="A529" s="69">
        <v>46223</v>
      </c>
      <c r="B529" s="32">
        <f t="shared" ref="B529:B539" si="119">B528+TIME(0,60,0)</f>
        <v>0.87499999999999967</v>
      </c>
      <c r="C529" s="26" t="s">
        <v>45</v>
      </c>
      <c r="D529" s="59" t="s">
        <v>30</v>
      </c>
      <c r="E529" s="59" t="s">
        <v>261</v>
      </c>
      <c r="F529" s="27">
        <v>7</v>
      </c>
      <c r="G529" s="34">
        <f t="shared" si="117"/>
        <v>29.400000000000002</v>
      </c>
      <c r="H529" s="33" t="s">
        <v>20</v>
      </c>
      <c r="I529" s="33" t="s">
        <v>57</v>
      </c>
      <c r="J529" s="33" t="s">
        <v>56</v>
      </c>
      <c r="K529" s="29">
        <v>0.89930555555555558</v>
      </c>
      <c r="L529" s="29">
        <v>0.92777777777777781</v>
      </c>
      <c r="M529" s="35">
        <f t="shared" ca="1" si="118"/>
        <v>2.8472222222222232E-2</v>
      </c>
      <c r="N529" s="27"/>
      <c r="O529" s="60"/>
    </row>
    <row r="530" spans="1:15" ht="15" customHeight="1">
      <c r="A530" s="68">
        <v>46223</v>
      </c>
      <c r="B530" s="25">
        <f t="shared" si="119"/>
        <v>0.9166666666666663</v>
      </c>
      <c r="C530" s="26" t="s">
        <v>45</v>
      </c>
      <c r="D530" s="59" t="s">
        <v>30</v>
      </c>
      <c r="E530" s="59" t="s">
        <v>261</v>
      </c>
      <c r="F530" s="27">
        <v>5</v>
      </c>
      <c r="G530" s="28">
        <f t="shared" si="117"/>
        <v>21</v>
      </c>
      <c r="H530" s="26" t="s">
        <v>19</v>
      </c>
      <c r="I530" s="26" t="s">
        <v>160</v>
      </c>
      <c r="J530" s="26" t="s">
        <v>27</v>
      </c>
      <c r="K530" s="29">
        <v>2.0833333333333332E-2</v>
      </c>
      <c r="L530" s="29">
        <v>4.3055555555555555E-2</v>
      </c>
      <c r="M530" s="30">
        <f t="shared" ca="1" si="118"/>
        <v>2.2222222222222223E-2</v>
      </c>
      <c r="N530" s="27"/>
      <c r="O530" s="60"/>
    </row>
    <row r="531" spans="1:15" ht="15" customHeight="1">
      <c r="A531" s="69">
        <v>46223</v>
      </c>
      <c r="B531" s="32">
        <f t="shared" si="119"/>
        <v>0.95833333333333293</v>
      </c>
      <c r="C531" s="26" t="s">
        <v>45</v>
      </c>
      <c r="D531" s="59" t="s">
        <v>30</v>
      </c>
      <c r="E531" s="59" t="s">
        <v>261</v>
      </c>
      <c r="F531" s="27">
        <v>0</v>
      </c>
      <c r="G531" s="34">
        <f t="shared" si="117"/>
        <v>0</v>
      </c>
      <c r="H531" s="33" t="s">
        <v>20</v>
      </c>
      <c r="I531" s="33" t="s">
        <v>57</v>
      </c>
      <c r="J531" s="33" t="s">
        <v>62</v>
      </c>
      <c r="K531" s="29">
        <v>7.8472222222222221E-2</v>
      </c>
      <c r="L531" s="29">
        <v>0.11458333333333333</v>
      </c>
      <c r="M531" s="35">
        <f t="shared" ca="1" si="118"/>
        <v>3.6111111111111108E-2</v>
      </c>
      <c r="N531" s="27"/>
      <c r="O531" s="60"/>
    </row>
    <row r="532" spans="1:15" ht="15" customHeight="1">
      <c r="A532" s="68">
        <v>46223</v>
      </c>
      <c r="B532" s="25">
        <f t="shared" si="119"/>
        <v>0.99999999999999956</v>
      </c>
      <c r="C532" s="26" t="s">
        <v>45</v>
      </c>
      <c r="D532" s="59" t="s">
        <v>30</v>
      </c>
      <c r="E532" s="59" t="s">
        <v>261</v>
      </c>
      <c r="F532" s="27">
        <v>10</v>
      </c>
      <c r="G532" s="28">
        <f t="shared" si="117"/>
        <v>42</v>
      </c>
      <c r="H532" s="26" t="s">
        <v>20</v>
      </c>
      <c r="I532" s="26" t="s">
        <v>57</v>
      </c>
      <c r="J532" s="26" t="s">
        <v>56</v>
      </c>
      <c r="K532" s="29">
        <v>0.18055555555555555</v>
      </c>
      <c r="L532" s="29">
        <v>0.19583333333333333</v>
      </c>
      <c r="M532" s="30">
        <f t="shared" ca="1" si="118"/>
        <v>1.5277777777777779E-2</v>
      </c>
      <c r="N532" s="27"/>
      <c r="O532" s="60"/>
    </row>
    <row r="533" spans="1:15" ht="15" customHeight="1">
      <c r="A533" s="69">
        <v>46223</v>
      </c>
      <c r="B533" s="32">
        <f t="shared" si="119"/>
        <v>1.0416666666666663</v>
      </c>
      <c r="C533" s="26" t="s">
        <v>45</v>
      </c>
      <c r="D533" s="59" t="s">
        <v>30</v>
      </c>
      <c r="E533" s="59" t="s">
        <v>261</v>
      </c>
      <c r="F533" s="27">
        <v>10</v>
      </c>
      <c r="G533" s="34">
        <f t="shared" si="117"/>
        <v>42</v>
      </c>
      <c r="H533" s="33" t="s">
        <v>20</v>
      </c>
      <c r="I533" s="33" t="s">
        <v>52</v>
      </c>
      <c r="J533" s="33" t="s">
        <v>194</v>
      </c>
      <c r="K533" s="29">
        <v>0.2361111111111111</v>
      </c>
      <c r="L533" s="29">
        <v>0.24027777777777778</v>
      </c>
      <c r="M533" s="35">
        <f t="shared" ca="1" si="118"/>
        <v>4.1666666666666796E-3</v>
      </c>
      <c r="N533" s="27"/>
      <c r="O533" s="60"/>
    </row>
    <row r="534" spans="1:15" ht="15" customHeight="1">
      <c r="A534" s="68">
        <v>46223</v>
      </c>
      <c r="B534" s="25">
        <f t="shared" si="119"/>
        <v>1.083333333333333</v>
      </c>
      <c r="C534" s="26" t="s">
        <v>45</v>
      </c>
      <c r="D534" s="59" t="s">
        <v>30</v>
      </c>
      <c r="E534" s="59" t="s">
        <v>261</v>
      </c>
      <c r="F534" s="27">
        <v>10</v>
      </c>
      <c r="G534" s="28">
        <f t="shared" si="117"/>
        <v>42</v>
      </c>
      <c r="H534" s="26"/>
      <c r="I534" s="26"/>
      <c r="J534" s="26"/>
      <c r="K534" s="29"/>
      <c r="L534" s="29"/>
      <c r="M534" s="30" t="str">
        <f t="shared" ca="1" si="118"/>
        <v/>
      </c>
      <c r="N534" s="27"/>
      <c r="O534" s="60"/>
    </row>
    <row r="535" spans="1:15" ht="15" customHeight="1">
      <c r="A535" s="69">
        <v>46223</v>
      </c>
      <c r="B535" s="32">
        <f t="shared" si="119"/>
        <v>1.1249999999999998</v>
      </c>
      <c r="C535" s="26" t="s">
        <v>45</v>
      </c>
      <c r="D535" s="59" t="s">
        <v>30</v>
      </c>
      <c r="E535" s="59" t="s">
        <v>261</v>
      </c>
      <c r="F535" s="27">
        <v>0</v>
      </c>
      <c r="G535" s="34">
        <f t="shared" si="117"/>
        <v>0</v>
      </c>
      <c r="H535" s="33"/>
      <c r="I535" s="33"/>
      <c r="J535" s="33"/>
      <c r="K535" s="29"/>
      <c r="L535" s="29"/>
      <c r="M535" s="35" t="str">
        <f t="shared" ca="1" si="118"/>
        <v/>
      </c>
      <c r="N535" s="27"/>
      <c r="O535" s="60"/>
    </row>
    <row r="536" spans="1:15" ht="15" customHeight="1">
      <c r="A536" s="68">
        <v>46223</v>
      </c>
      <c r="B536" s="25">
        <f t="shared" si="119"/>
        <v>1.1666666666666665</v>
      </c>
      <c r="C536" s="26" t="s">
        <v>45</v>
      </c>
      <c r="D536" s="59" t="s">
        <v>30</v>
      </c>
      <c r="E536" s="59" t="s">
        <v>261</v>
      </c>
      <c r="F536" s="27">
        <v>5</v>
      </c>
      <c r="G536" s="28">
        <f t="shared" si="117"/>
        <v>21</v>
      </c>
      <c r="H536" s="26"/>
      <c r="I536" s="26"/>
      <c r="J536" s="26"/>
      <c r="K536" s="29"/>
      <c r="L536" s="29"/>
      <c r="M536" s="30" t="str">
        <f t="shared" ca="1" si="118"/>
        <v/>
      </c>
      <c r="N536" s="27"/>
      <c r="O536" s="60"/>
    </row>
    <row r="537" spans="1:15" ht="15" customHeight="1">
      <c r="A537" s="69">
        <v>46223</v>
      </c>
      <c r="B537" s="32">
        <f t="shared" si="119"/>
        <v>1.2083333333333333</v>
      </c>
      <c r="C537" s="26" t="s">
        <v>45</v>
      </c>
      <c r="D537" s="59" t="s">
        <v>30</v>
      </c>
      <c r="E537" s="59" t="s">
        <v>261</v>
      </c>
      <c r="F537" s="27">
        <v>0</v>
      </c>
      <c r="G537" s="34">
        <f t="shared" si="117"/>
        <v>0</v>
      </c>
      <c r="H537" s="33"/>
      <c r="I537" s="33"/>
      <c r="J537" s="33"/>
      <c r="K537" s="29"/>
      <c r="L537" s="29"/>
      <c r="M537" s="35" t="str">
        <f t="shared" ca="1" si="118"/>
        <v/>
      </c>
      <c r="N537" s="27"/>
      <c r="O537" s="60"/>
    </row>
    <row r="538" spans="1:15" ht="15" customHeight="1">
      <c r="A538" s="68">
        <v>46223</v>
      </c>
      <c r="B538" s="25">
        <f t="shared" si="119"/>
        <v>1.25</v>
      </c>
      <c r="C538" s="26" t="s">
        <v>45</v>
      </c>
      <c r="D538" s="59" t="s">
        <v>30</v>
      </c>
      <c r="E538" s="59" t="s">
        <v>261</v>
      </c>
      <c r="F538" s="27">
        <v>20</v>
      </c>
      <c r="G538" s="28">
        <f t="shared" si="117"/>
        <v>84</v>
      </c>
      <c r="H538" s="26"/>
      <c r="I538" s="26"/>
      <c r="J538" s="26"/>
      <c r="K538" s="29"/>
      <c r="L538" s="29"/>
      <c r="M538" s="30" t="str">
        <f t="shared" ca="1" si="118"/>
        <v/>
      </c>
      <c r="N538" s="27"/>
      <c r="O538" s="60"/>
    </row>
    <row r="539" spans="1:15" ht="15" customHeight="1">
      <c r="A539" s="69">
        <v>46223</v>
      </c>
      <c r="B539" s="32">
        <f t="shared" si="119"/>
        <v>1.2916666666666667</v>
      </c>
      <c r="C539" s="26" t="s">
        <v>45</v>
      </c>
      <c r="D539" s="59" t="s">
        <v>30</v>
      </c>
      <c r="E539" s="59" t="s">
        <v>261</v>
      </c>
      <c r="F539" s="27">
        <v>25</v>
      </c>
      <c r="G539" s="34">
        <f t="shared" si="117"/>
        <v>105</v>
      </c>
      <c r="H539" s="33"/>
      <c r="I539" s="33"/>
      <c r="J539" s="33"/>
      <c r="K539" s="29"/>
      <c r="L539" s="29"/>
      <c r="M539" s="35" t="str">
        <f t="shared" ca="1" si="118"/>
        <v/>
      </c>
      <c r="N539" s="27"/>
      <c r="O539" s="60"/>
    </row>
    <row r="540" spans="1:15" ht="15.75" customHeight="1">
      <c r="A540" s="119" t="s">
        <v>238</v>
      </c>
      <c r="B540" s="120"/>
      <c r="C540" s="120"/>
      <c r="D540" s="120"/>
      <c r="E540" s="121">
        <f>SUM(E528:E539)</f>
        <v>0</v>
      </c>
      <c r="F540" s="36">
        <f>SUM(F528:F539)</f>
        <v>112</v>
      </c>
      <c r="G540" s="36">
        <f>SUM(G528:G539)</f>
        <v>470.4</v>
      </c>
      <c r="H540" s="37"/>
      <c r="I540" s="37"/>
      <c r="J540" s="37"/>
      <c r="K540" s="61"/>
      <c r="L540" s="61"/>
      <c r="M540" s="38">
        <f ca="1">IFERROR(SUM(M528:M539),"")</f>
        <v>0.11111111111111112</v>
      </c>
      <c r="N540" s="36" t="s">
        <v>237</v>
      </c>
      <c r="O540" s="39">
        <v>404370</v>
      </c>
    </row>
    <row r="541" spans="1:15" ht="18" customHeight="1">
      <c r="A541" s="122" t="s">
        <v>239</v>
      </c>
      <c r="B541" s="123"/>
      <c r="C541" s="123"/>
      <c r="D541" s="123"/>
      <c r="E541" s="124">
        <f>E527+E540</f>
        <v>0</v>
      </c>
      <c r="F541" s="40">
        <f>F527+F540</f>
        <v>192</v>
      </c>
      <c r="G541" s="40">
        <f>G527+G540</f>
        <v>806.40000000000009</v>
      </c>
      <c r="H541" s="41"/>
      <c r="I541" s="41"/>
      <c r="J541" s="41"/>
      <c r="K541" s="63"/>
      <c r="L541" s="63"/>
      <c r="M541" s="42">
        <f ca="1">IFERROR(M527+M540,"")</f>
        <v>0.42291666666666661</v>
      </c>
      <c r="N541" s="40" t="s">
        <v>240</v>
      </c>
      <c r="O541" s="48">
        <f>IFERROR(O527+O540,"")</f>
        <v>766880</v>
      </c>
    </row>
    <row r="542" spans="1:15" ht="15" customHeight="1">
      <c r="A542" s="68">
        <v>46224</v>
      </c>
      <c r="B542" s="25">
        <v>0.33333333333333298</v>
      </c>
      <c r="C542" s="26" t="s">
        <v>21</v>
      </c>
      <c r="D542" s="59" t="s">
        <v>30</v>
      </c>
      <c r="E542" s="59" t="s">
        <v>261</v>
      </c>
      <c r="F542" s="27">
        <v>17</v>
      </c>
      <c r="G542" s="28">
        <f t="shared" ref="G542:G553" si="120">IF(F542="","",IF(E542="PC 17",F542*4.2,IF(E542="PC 19",F542*5,"")))</f>
        <v>71.400000000000006</v>
      </c>
      <c r="H542" s="26" t="s">
        <v>20</v>
      </c>
      <c r="I542" s="26" t="s">
        <v>138</v>
      </c>
      <c r="J542" s="26" t="s">
        <v>74</v>
      </c>
      <c r="K542" s="29">
        <v>0.30902777777777779</v>
      </c>
      <c r="L542" s="29">
        <v>0.32361111111111113</v>
      </c>
      <c r="M542" s="30">
        <f t="shared" ref="M542:M553" ca="1" si="121">IFERROR(IF(K542="","",IF(L542="",MOD(NOW()-K542,1),IF(L542&gt;=K542,L542-K542,L542+1-K542))),"")</f>
        <v>1.4583333333333337E-2</v>
      </c>
      <c r="N542" s="27" t="s">
        <v>422</v>
      </c>
      <c r="O542" s="60"/>
    </row>
    <row r="543" spans="1:15" ht="15" customHeight="1">
      <c r="A543" s="69">
        <v>46224</v>
      </c>
      <c r="B543" s="32">
        <f t="shared" ref="B543:B553" si="122">B542+TIME(0,60,0)</f>
        <v>0.37499999999999967</v>
      </c>
      <c r="C543" s="26" t="s">
        <v>21</v>
      </c>
      <c r="D543" s="59" t="s">
        <v>30</v>
      </c>
      <c r="E543" s="59" t="s">
        <v>261</v>
      </c>
      <c r="F543" s="27">
        <v>23</v>
      </c>
      <c r="G543" s="34">
        <f t="shared" si="120"/>
        <v>96.600000000000009</v>
      </c>
      <c r="H543" s="33" t="s">
        <v>18</v>
      </c>
      <c r="I543" s="33" t="s">
        <v>57</v>
      </c>
      <c r="J543" s="33" t="s">
        <v>128</v>
      </c>
      <c r="K543" s="29">
        <v>0.43333333333333335</v>
      </c>
      <c r="L543" s="29">
        <v>0.45</v>
      </c>
      <c r="M543" s="35">
        <f t="shared" ca="1" si="121"/>
        <v>1.6666666666666663E-2</v>
      </c>
      <c r="N543" s="27" t="s">
        <v>423</v>
      </c>
      <c r="O543" s="60"/>
    </row>
    <row r="544" spans="1:15" ht="15" customHeight="1">
      <c r="A544" s="68">
        <v>46224</v>
      </c>
      <c r="B544" s="25">
        <f t="shared" si="122"/>
        <v>0.41666666666666635</v>
      </c>
      <c r="C544" s="26" t="s">
        <v>21</v>
      </c>
      <c r="D544" s="59" t="s">
        <v>30</v>
      </c>
      <c r="E544" s="59" t="s">
        <v>261</v>
      </c>
      <c r="F544" s="27">
        <v>23</v>
      </c>
      <c r="G544" s="28">
        <f t="shared" si="120"/>
        <v>96.600000000000009</v>
      </c>
      <c r="H544" s="26" t="s">
        <v>18</v>
      </c>
      <c r="I544" s="26" t="s">
        <v>57</v>
      </c>
      <c r="J544" s="26" t="s">
        <v>145</v>
      </c>
      <c r="K544" s="29">
        <v>0.54166666666666663</v>
      </c>
      <c r="L544" s="29">
        <v>0.57291666666666663</v>
      </c>
      <c r="M544" s="30">
        <f t="shared" ca="1" si="121"/>
        <v>3.125E-2</v>
      </c>
      <c r="N544" s="27" t="s">
        <v>424</v>
      </c>
      <c r="O544" s="60"/>
    </row>
    <row r="545" spans="1:15" ht="15" customHeight="1">
      <c r="A545" s="69">
        <v>46224</v>
      </c>
      <c r="B545" s="32">
        <f t="shared" si="122"/>
        <v>0.45833333333333304</v>
      </c>
      <c r="C545" s="26" t="s">
        <v>21</v>
      </c>
      <c r="D545" s="59" t="s">
        <v>30</v>
      </c>
      <c r="E545" s="59" t="s">
        <v>261</v>
      </c>
      <c r="F545" s="27">
        <v>12</v>
      </c>
      <c r="G545" s="34">
        <f t="shared" si="120"/>
        <v>50.400000000000006</v>
      </c>
      <c r="H545" s="33" t="s">
        <v>18</v>
      </c>
      <c r="I545" s="33" t="s">
        <v>57</v>
      </c>
      <c r="J545" s="33" t="s">
        <v>34</v>
      </c>
      <c r="K545" s="29">
        <v>0.67500000000000004</v>
      </c>
      <c r="L545" s="29">
        <v>0.79166666666666663</v>
      </c>
      <c r="M545" s="35">
        <f t="shared" ca="1" si="121"/>
        <v>0.11666666666666659</v>
      </c>
      <c r="N545" s="27"/>
      <c r="O545" s="60"/>
    </row>
    <row r="546" spans="1:15" ht="15" customHeight="1">
      <c r="A546" s="68">
        <v>46224</v>
      </c>
      <c r="B546" s="25">
        <f t="shared" si="122"/>
        <v>0.49999999999999972</v>
      </c>
      <c r="C546" s="26" t="s">
        <v>21</v>
      </c>
      <c r="D546" s="59" t="s">
        <v>30</v>
      </c>
      <c r="E546" s="59" t="s">
        <v>261</v>
      </c>
      <c r="F546" s="27">
        <v>25</v>
      </c>
      <c r="G546" s="28">
        <f t="shared" si="120"/>
        <v>105</v>
      </c>
      <c r="H546" s="26"/>
      <c r="I546" s="26"/>
      <c r="J546" s="26"/>
      <c r="K546" s="29"/>
      <c r="L546" s="29"/>
      <c r="M546" s="30" t="str">
        <f t="shared" ca="1" si="121"/>
        <v/>
      </c>
      <c r="N546" s="27"/>
      <c r="O546" s="60"/>
    </row>
    <row r="547" spans="1:15" ht="15" customHeight="1">
      <c r="A547" s="69">
        <v>46224</v>
      </c>
      <c r="B547" s="32">
        <f t="shared" si="122"/>
        <v>0.54166666666666641</v>
      </c>
      <c r="C547" s="26" t="s">
        <v>21</v>
      </c>
      <c r="D547" s="59" t="s">
        <v>38</v>
      </c>
      <c r="E547" s="59" t="s">
        <v>261</v>
      </c>
      <c r="F547" s="27">
        <v>16</v>
      </c>
      <c r="G547" s="34">
        <f t="shared" si="120"/>
        <v>67.2</v>
      </c>
      <c r="H547" s="33"/>
      <c r="I547" s="33"/>
      <c r="J547" s="33"/>
      <c r="K547" s="29"/>
      <c r="L547" s="29"/>
      <c r="M547" s="35" t="str">
        <f t="shared" ca="1" si="121"/>
        <v/>
      </c>
      <c r="N547" s="27"/>
      <c r="O547" s="60"/>
    </row>
    <row r="548" spans="1:15" ht="15" customHeight="1">
      <c r="A548" s="68">
        <v>46224</v>
      </c>
      <c r="B548" s="25">
        <f t="shared" si="122"/>
        <v>0.58333333333333304</v>
      </c>
      <c r="C548" s="26" t="s">
        <v>21</v>
      </c>
      <c r="D548" s="59" t="s">
        <v>38</v>
      </c>
      <c r="E548" s="59" t="s">
        <v>261</v>
      </c>
      <c r="F548" s="27">
        <v>9</v>
      </c>
      <c r="G548" s="28">
        <f t="shared" si="120"/>
        <v>37.800000000000004</v>
      </c>
      <c r="H548" s="26"/>
      <c r="I548" s="26"/>
      <c r="J548" s="26"/>
      <c r="K548" s="29"/>
      <c r="L548" s="29"/>
      <c r="M548" s="30" t="str">
        <f t="shared" ca="1" si="121"/>
        <v/>
      </c>
      <c r="N548" s="27"/>
      <c r="O548" s="60"/>
    </row>
    <row r="549" spans="1:15" ht="15" customHeight="1">
      <c r="A549" s="69">
        <v>46224</v>
      </c>
      <c r="B549" s="32">
        <f t="shared" si="122"/>
        <v>0.62499999999999967</v>
      </c>
      <c r="C549" s="26" t="s">
        <v>21</v>
      </c>
      <c r="D549" s="59" t="s">
        <v>38</v>
      </c>
      <c r="E549" s="59" t="s">
        <v>261</v>
      </c>
      <c r="F549" s="27">
        <v>5</v>
      </c>
      <c r="G549" s="34">
        <f t="shared" si="120"/>
        <v>21</v>
      </c>
      <c r="H549" s="33"/>
      <c r="I549" s="33"/>
      <c r="J549" s="33"/>
      <c r="K549" s="29"/>
      <c r="L549" s="29"/>
      <c r="M549" s="35" t="str">
        <f t="shared" ca="1" si="121"/>
        <v/>
      </c>
      <c r="N549" s="27"/>
      <c r="O549" s="60"/>
    </row>
    <row r="550" spans="1:15" ht="15" customHeight="1">
      <c r="A550" s="68">
        <v>46224</v>
      </c>
      <c r="B550" s="25">
        <f t="shared" si="122"/>
        <v>0.6666666666666663</v>
      </c>
      <c r="C550" s="26" t="s">
        <v>21</v>
      </c>
      <c r="D550" s="59" t="s">
        <v>38</v>
      </c>
      <c r="E550" s="59" t="s">
        <v>261</v>
      </c>
      <c r="F550" s="27">
        <v>18</v>
      </c>
      <c r="G550" s="28">
        <f t="shared" si="120"/>
        <v>75.600000000000009</v>
      </c>
      <c r="H550" s="26"/>
      <c r="I550" s="26"/>
      <c r="J550" s="26"/>
      <c r="K550" s="29"/>
      <c r="L550" s="29"/>
      <c r="M550" s="30" t="str">
        <f t="shared" ca="1" si="121"/>
        <v/>
      </c>
      <c r="N550" s="27"/>
      <c r="O550" s="60"/>
    </row>
    <row r="551" spans="1:15" ht="15" customHeight="1">
      <c r="A551" s="69">
        <v>46224</v>
      </c>
      <c r="B551" s="32">
        <f t="shared" si="122"/>
        <v>0.70833333333333293</v>
      </c>
      <c r="C551" s="26" t="s">
        <v>21</v>
      </c>
      <c r="D551" s="59" t="s">
        <v>38</v>
      </c>
      <c r="E551" s="59" t="s">
        <v>261</v>
      </c>
      <c r="F551" s="27">
        <v>2</v>
      </c>
      <c r="G551" s="34">
        <f t="shared" si="120"/>
        <v>8.4</v>
      </c>
      <c r="H551" s="33"/>
      <c r="I551" s="33"/>
      <c r="J551" s="33"/>
      <c r="K551" s="29"/>
      <c r="L551" s="29"/>
      <c r="M551" s="35" t="str">
        <f t="shared" ca="1" si="121"/>
        <v/>
      </c>
      <c r="N551" s="27"/>
      <c r="O551" s="60"/>
    </row>
    <row r="552" spans="1:15" ht="15" customHeight="1">
      <c r="A552" s="68">
        <v>46224</v>
      </c>
      <c r="B552" s="25">
        <f t="shared" si="122"/>
        <v>0.74999999999999956</v>
      </c>
      <c r="C552" s="26" t="s">
        <v>21</v>
      </c>
      <c r="D552" s="59" t="s">
        <v>38</v>
      </c>
      <c r="E552" s="59" t="s">
        <v>261</v>
      </c>
      <c r="F552" s="27">
        <v>0</v>
      </c>
      <c r="G552" s="28">
        <f t="shared" si="120"/>
        <v>0</v>
      </c>
      <c r="H552" s="26"/>
      <c r="I552" s="26"/>
      <c r="J552" s="26"/>
      <c r="K552" s="29"/>
      <c r="L552" s="29"/>
      <c r="M552" s="30" t="str">
        <f t="shared" ca="1" si="121"/>
        <v/>
      </c>
      <c r="N552" s="27"/>
      <c r="O552" s="60"/>
    </row>
    <row r="553" spans="1:15" ht="15" customHeight="1">
      <c r="A553" s="69">
        <v>46224</v>
      </c>
      <c r="B553" s="32">
        <f t="shared" si="122"/>
        <v>0.79166666666666619</v>
      </c>
      <c r="C553" s="26" t="s">
        <v>21</v>
      </c>
      <c r="D553" s="59" t="s">
        <v>38</v>
      </c>
      <c r="E553" s="59" t="s">
        <v>261</v>
      </c>
      <c r="F553" s="27">
        <v>0</v>
      </c>
      <c r="G553" s="34">
        <f t="shared" si="120"/>
        <v>0</v>
      </c>
      <c r="H553" s="33"/>
      <c r="I553" s="33"/>
      <c r="J553" s="33"/>
      <c r="K553" s="29"/>
      <c r="L553" s="29"/>
      <c r="M553" s="35" t="str">
        <f t="shared" ca="1" si="121"/>
        <v/>
      </c>
      <c r="N553" s="27"/>
      <c r="O553" s="60"/>
    </row>
    <row r="554" spans="1:15" ht="15.75" customHeight="1">
      <c r="A554" s="119" t="s">
        <v>236</v>
      </c>
      <c r="B554" s="120"/>
      <c r="C554" s="120"/>
      <c r="D554" s="120"/>
      <c r="E554" s="121">
        <f>SUM(E542:E553)</f>
        <v>0</v>
      </c>
      <c r="F554" s="36">
        <f>SUM(F542:F553)</f>
        <v>150</v>
      </c>
      <c r="G554" s="36">
        <f>SUM(G542:G553)</f>
        <v>630</v>
      </c>
      <c r="H554" s="37"/>
      <c r="I554" s="37"/>
      <c r="J554" s="37"/>
      <c r="K554" s="61"/>
      <c r="L554" s="61"/>
      <c r="M554" s="38">
        <f ca="1">IFERROR(SUM(M542:M553),"")</f>
        <v>0.17916666666666659</v>
      </c>
      <c r="N554" s="36" t="s">
        <v>237</v>
      </c>
      <c r="O554" s="39">
        <v>583380</v>
      </c>
    </row>
    <row r="555" spans="1:15" ht="15" customHeight="1">
      <c r="A555" s="69">
        <v>46224</v>
      </c>
      <c r="B555" s="32">
        <v>0.83333333333333304</v>
      </c>
      <c r="C555" s="33" t="s">
        <v>45</v>
      </c>
      <c r="D555" s="62" t="s">
        <v>30</v>
      </c>
      <c r="E555" s="62" t="s">
        <v>261</v>
      </c>
      <c r="F555" s="27">
        <v>0</v>
      </c>
      <c r="G555" s="34">
        <f t="shared" ref="G555:G566" si="123">IF(F555="","",IF(E555="PC 17",F555*4.2,IF(E555="PC 19",F555*5,"")))</f>
        <v>0</v>
      </c>
      <c r="H555" s="33" t="s">
        <v>18</v>
      </c>
      <c r="I555" s="33" t="s">
        <v>57</v>
      </c>
      <c r="J555" s="33" t="s">
        <v>128</v>
      </c>
      <c r="K555" s="29">
        <v>0.29166666666666669</v>
      </c>
      <c r="L555" s="29">
        <v>0.83333333333333337</v>
      </c>
      <c r="M555" s="35">
        <v>2.7777777777777776E-2</v>
      </c>
      <c r="N555" s="27"/>
      <c r="O555" s="60"/>
    </row>
    <row r="556" spans="1:15" ht="15" customHeight="1">
      <c r="A556" s="68">
        <v>46224</v>
      </c>
      <c r="B556" s="25">
        <f t="shared" ref="B556:B566" si="124">B555+TIME(0,60,0)</f>
        <v>0.87499999999999967</v>
      </c>
      <c r="C556" s="33" t="s">
        <v>45</v>
      </c>
      <c r="D556" s="62" t="s">
        <v>30</v>
      </c>
      <c r="E556" s="62" t="s">
        <v>261</v>
      </c>
      <c r="F556" s="27">
        <v>5</v>
      </c>
      <c r="G556" s="28">
        <f t="shared" si="123"/>
        <v>21</v>
      </c>
      <c r="H556" s="26" t="s">
        <v>20</v>
      </c>
      <c r="I556" s="26" t="s">
        <v>139</v>
      </c>
      <c r="J556" s="26" t="s">
        <v>74</v>
      </c>
      <c r="K556" s="29">
        <v>0.97777777777777775</v>
      </c>
      <c r="L556" s="29">
        <v>0.98958333333333337</v>
      </c>
      <c r="M556" s="30">
        <f t="shared" ref="M555:M566" ca="1" si="125">IFERROR(IF(K556="","",IF(L556="",MOD(NOW()-K556,1),IF(L556&gt;=K556,L556-K556,L556+1-K556))),"")</f>
        <v>1.1805555555555625E-2</v>
      </c>
      <c r="N556" s="27"/>
      <c r="O556" s="60"/>
    </row>
    <row r="557" spans="1:15" ht="15" customHeight="1">
      <c r="A557" s="69">
        <v>46224</v>
      </c>
      <c r="B557" s="32">
        <f t="shared" si="124"/>
        <v>0.9166666666666663</v>
      </c>
      <c r="C557" s="33" t="s">
        <v>45</v>
      </c>
      <c r="D557" s="62" t="s">
        <v>30</v>
      </c>
      <c r="E557" s="62" t="s">
        <v>261</v>
      </c>
      <c r="F557" s="27">
        <v>27</v>
      </c>
      <c r="G557" s="34">
        <f t="shared" si="123"/>
        <v>113.4</v>
      </c>
      <c r="H557" s="33" t="s">
        <v>20</v>
      </c>
      <c r="I557" s="33"/>
      <c r="J557" s="33" t="s">
        <v>181</v>
      </c>
      <c r="K557" s="29">
        <v>0.125</v>
      </c>
      <c r="L557" s="29">
        <v>0.28402777777777777</v>
      </c>
      <c r="M557" s="35">
        <f t="shared" ca="1" si="125"/>
        <v>0.15902777777777777</v>
      </c>
      <c r="N557" s="27" t="s">
        <v>425</v>
      </c>
      <c r="O557" s="60"/>
    </row>
    <row r="558" spans="1:15" ht="15" customHeight="1">
      <c r="A558" s="68">
        <v>46224</v>
      </c>
      <c r="B558" s="25">
        <f t="shared" si="124"/>
        <v>0.95833333333333293</v>
      </c>
      <c r="C558" s="33" t="s">
        <v>45</v>
      </c>
      <c r="D558" s="62" t="s">
        <v>30</v>
      </c>
      <c r="E558" s="62" t="s">
        <v>261</v>
      </c>
      <c r="F558" s="27">
        <v>19</v>
      </c>
      <c r="G558" s="28">
        <f t="shared" si="123"/>
        <v>79.8</v>
      </c>
      <c r="H558" s="26"/>
      <c r="I558" s="26"/>
      <c r="J558" s="26"/>
      <c r="K558" s="29"/>
      <c r="L558" s="29"/>
      <c r="M558" s="30" t="str">
        <f t="shared" ca="1" si="125"/>
        <v/>
      </c>
      <c r="N558" s="27"/>
      <c r="O558" s="60"/>
    </row>
    <row r="559" spans="1:15" ht="15" customHeight="1">
      <c r="A559" s="69">
        <v>46224</v>
      </c>
      <c r="B559" s="32">
        <f t="shared" si="124"/>
        <v>0.99999999999999956</v>
      </c>
      <c r="C559" s="33" t="s">
        <v>45</v>
      </c>
      <c r="D559" s="62" t="s">
        <v>30</v>
      </c>
      <c r="E559" s="62" t="s">
        <v>261</v>
      </c>
      <c r="F559" s="27">
        <v>14</v>
      </c>
      <c r="G559" s="34">
        <f t="shared" si="123"/>
        <v>58.800000000000004</v>
      </c>
      <c r="H559" s="33"/>
      <c r="I559" s="33"/>
      <c r="J559" s="33"/>
      <c r="K559" s="29"/>
      <c r="L559" s="29"/>
      <c r="M559" s="35" t="str">
        <f t="shared" ca="1" si="125"/>
        <v/>
      </c>
      <c r="N559" s="27"/>
      <c r="O559" s="60"/>
    </row>
    <row r="560" spans="1:15" ht="15" customHeight="1">
      <c r="A560" s="68">
        <v>46224</v>
      </c>
      <c r="B560" s="25">
        <f t="shared" si="124"/>
        <v>1.0416666666666663</v>
      </c>
      <c r="C560" s="33" t="s">
        <v>45</v>
      </c>
      <c r="D560" s="62" t="s">
        <v>30</v>
      </c>
      <c r="E560" s="62" t="s">
        <v>261</v>
      </c>
      <c r="F560" s="27">
        <v>15</v>
      </c>
      <c r="G560" s="28">
        <f t="shared" si="123"/>
        <v>63</v>
      </c>
      <c r="H560" s="26"/>
      <c r="I560" s="26"/>
      <c r="J560" s="26"/>
      <c r="K560" s="29"/>
      <c r="L560" s="29"/>
      <c r="M560" s="30" t="str">
        <f t="shared" ca="1" si="125"/>
        <v/>
      </c>
      <c r="N560" s="27"/>
      <c r="O560" s="60"/>
    </row>
    <row r="561" spans="1:15" ht="15" customHeight="1">
      <c r="A561" s="69">
        <v>46224</v>
      </c>
      <c r="B561" s="32">
        <f t="shared" si="124"/>
        <v>1.083333333333333</v>
      </c>
      <c r="C561" s="33" t="s">
        <v>45</v>
      </c>
      <c r="D561" s="62" t="s">
        <v>30</v>
      </c>
      <c r="E561" s="62" t="s">
        <v>261</v>
      </c>
      <c r="F561" s="27">
        <v>15</v>
      </c>
      <c r="G561" s="34">
        <f t="shared" si="123"/>
        <v>63</v>
      </c>
      <c r="H561" s="33"/>
      <c r="I561" s="33"/>
      <c r="J561" s="33"/>
      <c r="K561" s="29"/>
      <c r="L561" s="29"/>
      <c r="M561" s="35" t="str">
        <f t="shared" ca="1" si="125"/>
        <v/>
      </c>
      <c r="N561" s="27"/>
      <c r="O561" s="60"/>
    </row>
    <row r="562" spans="1:15" ht="15" customHeight="1">
      <c r="A562" s="68">
        <v>46224</v>
      </c>
      <c r="B562" s="25">
        <f t="shared" si="124"/>
        <v>1.1249999999999998</v>
      </c>
      <c r="C562" s="33" t="s">
        <v>45</v>
      </c>
      <c r="D562" s="62" t="s">
        <v>30</v>
      </c>
      <c r="E562" s="62" t="s">
        <v>261</v>
      </c>
      <c r="F562" s="27">
        <v>5</v>
      </c>
      <c r="G562" s="28">
        <f t="shared" si="123"/>
        <v>21</v>
      </c>
      <c r="H562" s="26"/>
      <c r="I562" s="26"/>
      <c r="J562" s="26"/>
      <c r="K562" s="29"/>
      <c r="L562" s="29"/>
      <c r="M562" s="30" t="str">
        <f t="shared" ca="1" si="125"/>
        <v/>
      </c>
      <c r="N562" s="27"/>
      <c r="O562" s="60"/>
    </row>
    <row r="563" spans="1:15" ht="15" customHeight="1">
      <c r="A563" s="69">
        <v>46224</v>
      </c>
      <c r="B563" s="32">
        <f t="shared" si="124"/>
        <v>1.1666666666666665</v>
      </c>
      <c r="C563" s="33" t="s">
        <v>45</v>
      </c>
      <c r="D563" s="62" t="s">
        <v>30</v>
      </c>
      <c r="E563" s="62" t="s">
        <v>261</v>
      </c>
      <c r="F563" s="27">
        <v>5</v>
      </c>
      <c r="G563" s="34">
        <f t="shared" si="123"/>
        <v>21</v>
      </c>
      <c r="H563" s="33"/>
      <c r="I563" s="33"/>
      <c r="J563" s="33"/>
      <c r="K563" s="29"/>
      <c r="L563" s="29"/>
      <c r="M563" s="35" t="str">
        <f t="shared" ca="1" si="125"/>
        <v/>
      </c>
      <c r="N563" s="27"/>
      <c r="O563" s="60"/>
    </row>
    <row r="564" spans="1:15" ht="15" customHeight="1">
      <c r="A564" s="68">
        <v>46224</v>
      </c>
      <c r="B564" s="25">
        <f t="shared" si="124"/>
        <v>1.2083333333333333</v>
      </c>
      <c r="C564" s="33" t="s">
        <v>45</v>
      </c>
      <c r="D564" s="62" t="s">
        <v>30</v>
      </c>
      <c r="E564" s="62" t="s">
        <v>261</v>
      </c>
      <c r="F564" s="27">
        <v>0</v>
      </c>
      <c r="G564" s="28">
        <f t="shared" si="123"/>
        <v>0</v>
      </c>
      <c r="H564" s="26"/>
      <c r="I564" s="26"/>
      <c r="J564" s="26"/>
      <c r="K564" s="29"/>
      <c r="L564" s="29"/>
      <c r="M564" s="30" t="str">
        <f t="shared" ca="1" si="125"/>
        <v/>
      </c>
      <c r="N564" s="27"/>
      <c r="O564" s="60"/>
    </row>
    <row r="565" spans="1:15" ht="15" customHeight="1">
      <c r="A565" s="69">
        <v>46224</v>
      </c>
      <c r="B565" s="32">
        <f t="shared" si="124"/>
        <v>1.25</v>
      </c>
      <c r="C565" s="33" t="s">
        <v>45</v>
      </c>
      <c r="D565" s="62" t="s">
        <v>30</v>
      </c>
      <c r="E565" s="62" t="s">
        <v>261</v>
      </c>
      <c r="F565" s="27">
        <v>0</v>
      </c>
      <c r="G565" s="34">
        <f t="shared" si="123"/>
        <v>0</v>
      </c>
      <c r="H565" s="33"/>
      <c r="I565" s="33"/>
      <c r="J565" s="33"/>
      <c r="K565" s="29"/>
      <c r="L565" s="29"/>
      <c r="M565" s="35" t="str">
        <f t="shared" ca="1" si="125"/>
        <v/>
      </c>
      <c r="N565" s="27"/>
      <c r="O565" s="60"/>
    </row>
    <row r="566" spans="1:15" ht="15" customHeight="1">
      <c r="A566" s="68">
        <v>46224</v>
      </c>
      <c r="B566" s="25">
        <f t="shared" si="124"/>
        <v>1.2916666666666667</v>
      </c>
      <c r="C566" s="33" t="s">
        <v>45</v>
      </c>
      <c r="D566" s="62" t="s">
        <v>30</v>
      </c>
      <c r="E566" s="62" t="s">
        <v>261</v>
      </c>
      <c r="F566" s="27">
        <v>0</v>
      </c>
      <c r="G566" s="28">
        <f t="shared" si="123"/>
        <v>0</v>
      </c>
      <c r="H566" s="26"/>
      <c r="I566" s="26"/>
      <c r="J566" s="26"/>
      <c r="K566" s="29"/>
      <c r="L566" s="29"/>
      <c r="M566" s="30" t="str">
        <f t="shared" ca="1" si="125"/>
        <v/>
      </c>
      <c r="N566" s="27"/>
      <c r="O566" s="60"/>
    </row>
    <row r="567" spans="1:15" ht="15.75" customHeight="1">
      <c r="A567" s="119" t="s">
        <v>238</v>
      </c>
      <c r="B567" s="120"/>
      <c r="C567" s="120"/>
      <c r="D567" s="120"/>
      <c r="E567" s="121">
        <f>SUM(E555:E566)</f>
        <v>0</v>
      </c>
      <c r="F567" s="36">
        <f>SUM(F555:F566)</f>
        <v>105</v>
      </c>
      <c r="G567" s="36">
        <f>SUM(G555:G566)</f>
        <v>441</v>
      </c>
      <c r="H567" s="37"/>
      <c r="I567" s="37"/>
      <c r="J567" s="37"/>
      <c r="K567" s="61"/>
      <c r="L567" s="61"/>
      <c r="M567" s="38">
        <f ca="1">IFERROR(SUM(M555:M566),"")</f>
        <v>0.19861111111111118</v>
      </c>
      <c r="N567" s="36" t="s">
        <v>237</v>
      </c>
      <c r="O567" s="39">
        <v>499820</v>
      </c>
    </row>
    <row r="568" spans="1:15" ht="18" customHeight="1">
      <c r="A568" s="122" t="s">
        <v>239</v>
      </c>
      <c r="B568" s="123"/>
      <c r="C568" s="123"/>
      <c r="D568" s="123"/>
      <c r="E568" s="124">
        <f>E554+E567</f>
        <v>0</v>
      </c>
      <c r="F568" s="40">
        <f>F554+F567</f>
        <v>255</v>
      </c>
      <c r="G568" s="40">
        <f>G554+G567</f>
        <v>1071</v>
      </c>
      <c r="H568" s="41"/>
      <c r="I568" s="41"/>
      <c r="J568" s="41"/>
      <c r="K568" s="63"/>
      <c r="L568" s="63"/>
      <c r="M568" s="42">
        <f ca="1">IFERROR(M554+M567,"")</f>
        <v>0.37777777777777777</v>
      </c>
      <c r="N568" s="40" t="s">
        <v>240</v>
      </c>
      <c r="O568" s="48">
        <f>IFERROR(O554+O567,"")</f>
        <v>1083200</v>
      </c>
    </row>
    <row r="569" spans="1:15" ht="15" customHeight="1">
      <c r="A569" s="69">
        <v>46225</v>
      </c>
      <c r="B569" s="32">
        <v>0.33333333333333298</v>
      </c>
      <c r="C569" s="33" t="s">
        <v>21</v>
      </c>
      <c r="D569" s="62" t="s">
        <v>30</v>
      </c>
      <c r="E569" s="62" t="s">
        <v>261</v>
      </c>
      <c r="F569" s="27"/>
      <c r="G569" s="34" t="str">
        <f t="shared" ref="G569:G580" si="126">IF(F569="","",IF(E569="PC 17",F569*4.2,IF(E569="PC 19",F569*5,"")))</f>
        <v/>
      </c>
      <c r="H569" s="33" t="s">
        <v>18</v>
      </c>
      <c r="I569" s="33" t="s">
        <v>75</v>
      </c>
      <c r="J569" s="33" t="s">
        <v>106</v>
      </c>
      <c r="K569" s="29">
        <v>0.29166666666666669</v>
      </c>
      <c r="L569" s="29">
        <v>0.79166666666666663</v>
      </c>
      <c r="M569" s="35">
        <f t="shared" ref="M569:M574" ca="1" si="127">IFERROR(IF(K569="","",IF(L569="",MOD(NOW()-K569,1),IF(L569&gt;=K569,L569-K569,L569+1-K569))),"")</f>
        <v>0.49999999999999994</v>
      </c>
      <c r="N569" s="27" t="s">
        <v>426</v>
      </c>
      <c r="O569" s="60"/>
    </row>
    <row r="570" spans="1:15" ht="15" customHeight="1">
      <c r="A570" s="68">
        <v>46225</v>
      </c>
      <c r="B570" s="25">
        <f t="shared" ref="B570:B580" si="128">B569+TIME(0,60,0)</f>
        <v>0.37499999999999967</v>
      </c>
      <c r="C570" s="33" t="s">
        <v>21</v>
      </c>
      <c r="D570" s="62" t="s">
        <v>30</v>
      </c>
      <c r="E570" s="62" t="s">
        <v>261</v>
      </c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27"/>
      <c r="O570" s="60"/>
    </row>
    <row r="571" spans="1:15" ht="15" customHeight="1">
      <c r="A571" s="69">
        <v>46225</v>
      </c>
      <c r="B571" s="32">
        <f t="shared" si="128"/>
        <v>0.41666666666666635</v>
      </c>
      <c r="C571" s="33" t="s">
        <v>21</v>
      </c>
      <c r="D571" s="62" t="s">
        <v>30</v>
      </c>
      <c r="E571" s="62" t="s">
        <v>261</v>
      </c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27"/>
      <c r="O571" s="60"/>
    </row>
    <row r="572" spans="1:15" ht="15" customHeight="1">
      <c r="A572" s="68">
        <v>46225</v>
      </c>
      <c r="B572" s="25">
        <f t="shared" si="128"/>
        <v>0.45833333333333304</v>
      </c>
      <c r="C572" s="33" t="s">
        <v>21</v>
      </c>
      <c r="D572" s="62" t="s">
        <v>30</v>
      </c>
      <c r="E572" s="62" t="s">
        <v>261</v>
      </c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27"/>
      <c r="O572" s="60"/>
    </row>
    <row r="573" spans="1:15" ht="15" customHeight="1">
      <c r="A573" s="69">
        <v>46225</v>
      </c>
      <c r="B573" s="32">
        <f t="shared" si="128"/>
        <v>0.49999999999999972</v>
      </c>
      <c r="C573" s="33" t="s">
        <v>21</v>
      </c>
      <c r="D573" s="62" t="s">
        <v>30</v>
      </c>
      <c r="E573" s="62" t="s">
        <v>261</v>
      </c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27"/>
      <c r="O573" s="60"/>
    </row>
    <row r="574" spans="1:15" ht="15" customHeight="1">
      <c r="A574" s="68">
        <v>46225</v>
      </c>
      <c r="B574" s="25">
        <f t="shared" si="128"/>
        <v>0.54166666666666641</v>
      </c>
      <c r="C574" s="33" t="s">
        <v>21</v>
      </c>
      <c r="D574" s="62" t="s">
        <v>30</v>
      </c>
      <c r="E574" s="62" t="s">
        <v>261</v>
      </c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27"/>
      <c r="O574" s="60"/>
    </row>
    <row r="575" spans="1:15" ht="15" customHeight="1">
      <c r="A575" s="69">
        <v>46225</v>
      </c>
      <c r="B575" s="32">
        <f t="shared" si="128"/>
        <v>0.58333333333333304</v>
      </c>
      <c r="C575" s="33" t="s">
        <v>21</v>
      </c>
      <c r="D575" s="62" t="s">
        <v>30</v>
      </c>
      <c r="E575" s="62" t="s">
        <v>261</v>
      </c>
      <c r="F575" s="27"/>
      <c r="G575" s="34" t="str">
        <f t="shared" si="126"/>
        <v/>
      </c>
      <c r="H575" s="33"/>
      <c r="I575" s="33"/>
      <c r="J575" s="33"/>
      <c r="K575" s="29"/>
      <c r="L575" s="29"/>
      <c r="M575" s="35"/>
      <c r="N575" s="27"/>
      <c r="O575" s="60"/>
    </row>
    <row r="576" spans="1:15" ht="15" customHeight="1">
      <c r="A576" s="68">
        <v>46225</v>
      </c>
      <c r="B576" s="25">
        <f t="shared" si="128"/>
        <v>0.62499999999999967</v>
      </c>
      <c r="C576" s="33" t="s">
        <v>21</v>
      </c>
      <c r="D576" s="62" t="s">
        <v>30</v>
      </c>
      <c r="E576" s="62" t="s">
        <v>261</v>
      </c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ca="1">IFERROR(IF(K576="","",IF(L576="",MOD(NOW()-K576,1),IF(L576&gt;=K576,L576-K576,L576+1-K576))),"")</f>
        <v/>
      </c>
      <c r="N576" s="27"/>
      <c r="O576" s="60"/>
    </row>
    <row r="577" spans="1:15" ht="15" customHeight="1">
      <c r="A577" s="69">
        <v>46225</v>
      </c>
      <c r="B577" s="32">
        <f t="shared" si="128"/>
        <v>0.6666666666666663</v>
      </c>
      <c r="C577" s="33" t="s">
        <v>21</v>
      </c>
      <c r="D577" s="62" t="s">
        <v>30</v>
      </c>
      <c r="E577" s="62" t="s">
        <v>261</v>
      </c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ca="1">IFERROR(IF(K577="","",IF(L577="",MOD(NOW()-K577,1),IF(L577&gt;=K577,L577-K577,L577+1-K577))),"")</f>
        <v/>
      </c>
      <c r="N577" s="27"/>
      <c r="O577" s="60"/>
    </row>
    <row r="578" spans="1:15" ht="15" customHeight="1">
      <c r="A578" s="68">
        <v>46225</v>
      </c>
      <c r="B578" s="25">
        <f t="shared" si="128"/>
        <v>0.70833333333333293</v>
      </c>
      <c r="C578" s="33" t="s">
        <v>21</v>
      </c>
      <c r="D578" s="62" t="s">
        <v>30</v>
      </c>
      <c r="E578" s="62" t="s">
        <v>261</v>
      </c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ca="1">IFERROR(IF(K578="","",IF(L578="",MOD(NOW()-K578,1),IF(L578&gt;=K578,L578-K578,L578+1-K578))),"")</f>
        <v/>
      </c>
      <c r="N578" s="27"/>
      <c r="O578" s="60"/>
    </row>
    <row r="579" spans="1:15" ht="15" customHeight="1">
      <c r="A579" s="69">
        <v>46225</v>
      </c>
      <c r="B579" s="32">
        <f t="shared" si="128"/>
        <v>0.74999999999999956</v>
      </c>
      <c r="C579" s="33" t="s">
        <v>21</v>
      </c>
      <c r="D579" s="62" t="s">
        <v>30</v>
      </c>
      <c r="E579" s="62" t="s">
        <v>261</v>
      </c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ca="1">IFERROR(IF(K579="","",IF(L579="",MOD(NOW()-K579,1),IF(L579&gt;=K579,L579-K579,L579+1-K579))),"")</f>
        <v/>
      </c>
      <c r="N579" s="27"/>
      <c r="O579" s="60"/>
    </row>
    <row r="580" spans="1:15" ht="15" customHeight="1">
      <c r="A580" s="68">
        <v>46225</v>
      </c>
      <c r="B580" s="25">
        <f t="shared" si="128"/>
        <v>0.79166666666666619</v>
      </c>
      <c r="C580" s="33" t="s">
        <v>21</v>
      </c>
      <c r="D580" s="62" t="s">
        <v>30</v>
      </c>
      <c r="E580" s="62" t="s">
        <v>261</v>
      </c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ca="1">IFERROR(IF(K580="","",IF(L580="",MOD(NOW()-K580,1),IF(L580&gt;=K580,L580-K580,L580+1-K580))),"")</f>
        <v/>
      </c>
      <c r="N580" s="27"/>
      <c r="O580" s="60"/>
    </row>
    <row r="581" spans="1:15" ht="15.75" customHeight="1">
      <c r="A581" s="119" t="s">
        <v>236</v>
      </c>
      <c r="B581" s="120"/>
      <c r="C581" s="120"/>
      <c r="D581" s="120"/>
      <c r="E581" s="121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61"/>
      <c r="L581" s="61"/>
      <c r="M581" s="38">
        <f ca="1">IFERROR(SUM(M569:M580),"")</f>
        <v>0.49999999999999994</v>
      </c>
      <c r="N581" s="36" t="s">
        <v>237</v>
      </c>
      <c r="O581" s="39">
        <v>0</v>
      </c>
    </row>
    <row r="582" spans="1:15" ht="15" customHeight="1">
      <c r="A582" s="68">
        <v>46225</v>
      </c>
      <c r="B582" s="25">
        <v>0.83333333333333304</v>
      </c>
      <c r="C582" s="26" t="s">
        <v>45</v>
      </c>
      <c r="D582" s="59" t="s">
        <v>30</v>
      </c>
      <c r="E582" s="59" t="s">
        <v>261</v>
      </c>
      <c r="F582" s="27">
        <v>0</v>
      </c>
      <c r="G582" s="28">
        <f t="shared" ref="G582:G593" si="129">IF(F582="","",IF(E582="PC 17",F582*4.2,IF(E582="PC 19",F582*5,"")))</f>
        <v>0</v>
      </c>
      <c r="H582" s="26" t="s">
        <v>18</v>
      </c>
      <c r="I582" s="26" t="s">
        <v>75</v>
      </c>
      <c r="J582" s="26" t="s">
        <v>106</v>
      </c>
      <c r="K582" s="29">
        <v>0.79166666666666663</v>
      </c>
      <c r="L582" s="29">
        <v>0.90833333333333333</v>
      </c>
      <c r="M582" s="30"/>
      <c r="N582" s="27"/>
      <c r="O582" s="60"/>
    </row>
    <row r="583" spans="1:15" ht="15" customHeight="1">
      <c r="A583" s="69">
        <v>46225</v>
      </c>
      <c r="B583" s="32">
        <f t="shared" ref="B583:B593" si="130">B582+TIME(0,60,0)</f>
        <v>0.87499999999999967</v>
      </c>
      <c r="C583" s="26" t="s">
        <v>45</v>
      </c>
      <c r="D583" s="59" t="s">
        <v>30</v>
      </c>
      <c r="E583" s="59" t="s">
        <v>261</v>
      </c>
      <c r="F583" s="27">
        <v>5</v>
      </c>
      <c r="G583" s="34">
        <f t="shared" si="129"/>
        <v>21</v>
      </c>
      <c r="H583" s="33" t="s">
        <v>19</v>
      </c>
      <c r="I583" s="33" t="s">
        <v>160</v>
      </c>
      <c r="J583" s="33" t="s">
        <v>27</v>
      </c>
      <c r="K583" s="29">
        <v>0.23125000000000001</v>
      </c>
      <c r="L583" s="29">
        <v>0.25277777777777777</v>
      </c>
      <c r="M583" s="35">
        <f t="shared" ref="M582:M593" ca="1" si="131">IFERROR(IF(K583="","",IF(L583="",MOD(NOW()-K583,1),IF(L583&gt;=K583,L583-K583,L583+1-K583))),"")</f>
        <v>2.1527777777777757E-2</v>
      </c>
      <c r="N583" s="27"/>
      <c r="O583" s="60"/>
    </row>
    <row r="584" spans="1:15" ht="15" customHeight="1">
      <c r="A584" s="68">
        <v>46225</v>
      </c>
      <c r="B584" s="25">
        <f t="shared" si="130"/>
        <v>0.9166666666666663</v>
      </c>
      <c r="C584" s="26" t="s">
        <v>45</v>
      </c>
      <c r="D584" s="59" t="s">
        <v>30</v>
      </c>
      <c r="E584" s="59" t="s">
        <v>261</v>
      </c>
      <c r="F584" s="27">
        <v>5</v>
      </c>
      <c r="G584" s="28">
        <f t="shared" si="129"/>
        <v>21</v>
      </c>
      <c r="H584" s="26"/>
      <c r="I584" s="26"/>
      <c r="J584" s="26"/>
      <c r="K584" s="29"/>
      <c r="L584" s="29"/>
      <c r="M584" s="30" t="str">
        <f t="shared" ca="1" si="131"/>
        <v/>
      </c>
      <c r="N584" s="27"/>
      <c r="O584" s="60"/>
    </row>
    <row r="585" spans="1:15" ht="15" customHeight="1">
      <c r="A585" s="69">
        <v>46225</v>
      </c>
      <c r="B585" s="32">
        <f t="shared" si="130"/>
        <v>0.95833333333333293</v>
      </c>
      <c r="C585" s="26" t="s">
        <v>45</v>
      </c>
      <c r="D585" s="59" t="s">
        <v>30</v>
      </c>
      <c r="E585" s="59" t="s">
        <v>261</v>
      </c>
      <c r="F585" s="27">
        <v>15</v>
      </c>
      <c r="G585" s="34">
        <f t="shared" si="129"/>
        <v>63</v>
      </c>
      <c r="H585" s="33"/>
      <c r="I585" s="33"/>
      <c r="J585" s="33"/>
      <c r="K585" s="29"/>
      <c r="L585" s="29"/>
      <c r="M585" s="35" t="str">
        <f t="shared" ca="1" si="131"/>
        <v/>
      </c>
      <c r="N585" s="27"/>
      <c r="O585" s="60"/>
    </row>
    <row r="586" spans="1:15" ht="15" customHeight="1">
      <c r="A586" s="68">
        <v>46225</v>
      </c>
      <c r="B586" s="25">
        <f t="shared" si="130"/>
        <v>0.99999999999999956</v>
      </c>
      <c r="C586" s="26" t="s">
        <v>45</v>
      </c>
      <c r="D586" s="59" t="s">
        <v>30</v>
      </c>
      <c r="E586" s="59" t="s">
        <v>261</v>
      </c>
      <c r="F586" s="27">
        <v>23</v>
      </c>
      <c r="G586" s="28">
        <f t="shared" si="129"/>
        <v>96.600000000000009</v>
      </c>
      <c r="H586" s="26"/>
      <c r="I586" s="26"/>
      <c r="J586" s="26"/>
      <c r="K586" s="29"/>
      <c r="L586" s="29"/>
      <c r="M586" s="30" t="str">
        <f t="shared" ca="1" si="131"/>
        <v/>
      </c>
      <c r="N586" s="27"/>
      <c r="O586" s="60"/>
    </row>
    <row r="587" spans="1:15" ht="15" customHeight="1">
      <c r="A587" s="69">
        <v>46225</v>
      </c>
      <c r="B587" s="32">
        <f t="shared" si="130"/>
        <v>1.0416666666666663</v>
      </c>
      <c r="C587" s="26" t="s">
        <v>45</v>
      </c>
      <c r="D587" s="59" t="s">
        <v>30</v>
      </c>
      <c r="E587" s="57" t="s">
        <v>261</v>
      </c>
      <c r="F587" s="27">
        <v>26</v>
      </c>
      <c r="G587" s="34">
        <f>IF(F587="","",IF(E588="PC 17",F587*4.2,IF(E588="PC 19",F587*5,"")))</f>
        <v>109.2</v>
      </c>
      <c r="H587" s="33"/>
      <c r="I587" s="33"/>
      <c r="J587" s="33"/>
      <c r="K587" s="29"/>
      <c r="L587" s="29"/>
      <c r="M587" s="35" t="str">
        <f t="shared" ca="1" si="131"/>
        <v/>
      </c>
      <c r="N587" s="27"/>
      <c r="O587" s="60"/>
    </row>
    <row r="588" spans="1:15" ht="15" customHeight="1">
      <c r="A588" s="68">
        <v>46225</v>
      </c>
      <c r="B588" s="25">
        <f t="shared" si="130"/>
        <v>1.083333333333333</v>
      </c>
      <c r="C588" s="26" t="s">
        <v>45</v>
      </c>
      <c r="D588" s="59" t="s">
        <v>30</v>
      </c>
      <c r="E588" s="59" t="s">
        <v>261</v>
      </c>
      <c r="F588" s="27">
        <v>8</v>
      </c>
      <c r="G588" s="28">
        <v>34</v>
      </c>
      <c r="H588" s="26"/>
      <c r="I588" s="26"/>
      <c r="J588" s="26"/>
      <c r="K588" s="29"/>
      <c r="L588" s="29"/>
      <c r="M588" s="30" t="str">
        <f t="shared" ca="1" si="131"/>
        <v/>
      </c>
      <c r="N588" s="27"/>
      <c r="O588" s="60"/>
    </row>
    <row r="589" spans="1:15" ht="15" customHeight="1">
      <c r="A589" s="69">
        <v>46225</v>
      </c>
      <c r="B589" s="32">
        <f t="shared" si="130"/>
        <v>1.1249999999999998</v>
      </c>
      <c r="C589" s="26" t="s">
        <v>45</v>
      </c>
      <c r="D589" s="59" t="s">
        <v>30</v>
      </c>
      <c r="E589" s="59" t="s">
        <v>261</v>
      </c>
      <c r="F589" s="27">
        <v>15</v>
      </c>
      <c r="G589" s="34">
        <f t="shared" si="129"/>
        <v>63</v>
      </c>
      <c r="H589" s="33"/>
      <c r="I589" s="33"/>
      <c r="J589" s="33"/>
      <c r="K589" s="29"/>
      <c r="L589" s="29"/>
      <c r="M589" s="35" t="str">
        <f t="shared" ca="1" si="131"/>
        <v/>
      </c>
      <c r="N589" s="27"/>
      <c r="O589" s="60"/>
    </row>
    <row r="590" spans="1:15" ht="15" customHeight="1">
      <c r="A590" s="68">
        <v>46225</v>
      </c>
      <c r="B590" s="25">
        <f t="shared" si="130"/>
        <v>1.1666666666666665</v>
      </c>
      <c r="C590" s="26" t="s">
        <v>45</v>
      </c>
      <c r="D590" s="59" t="s">
        <v>30</v>
      </c>
      <c r="E590" s="59" t="s">
        <v>261</v>
      </c>
      <c r="F590" s="27">
        <v>15</v>
      </c>
      <c r="G590" s="28">
        <f t="shared" si="129"/>
        <v>63</v>
      </c>
      <c r="H590" s="26"/>
      <c r="I590" s="26"/>
      <c r="J590" s="26"/>
      <c r="K590" s="29"/>
      <c r="L590" s="29"/>
      <c r="M590" s="30" t="str">
        <f t="shared" ca="1" si="131"/>
        <v/>
      </c>
      <c r="N590" s="27"/>
      <c r="O590" s="60"/>
    </row>
    <row r="591" spans="1:15" ht="15" customHeight="1">
      <c r="A591" s="69">
        <v>46225</v>
      </c>
      <c r="B591" s="32">
        <f t="shared" si="130"/>
        <v>1.2083333333333333</v>
      </c>
      <c r="C591" s="26" t="s">
        <v>45</v>
      </c>
      <c r="D591" s="59" t="s">
        <v>30</v>
      </c>
      <c r="E591" s="59" t="s">
        <v>261</v>
      </c>
      <c r="F591" s="27">
        <v>17</v>
      </c>
      <c r="G591" s="34">
        <f t="shared" si="129"/>
        <v>71.400000000000006</v>
      </c>
      <c r="H591" s="33"/>
      <c r="I591" s="33"/>
      <c r="J591" s="33"/>
      <c r="K591" s="29"/>
      <c r="L591" s="29"/>
      <c r="M591" s="35" t="str">
        <f t="shared" ca="1" si="131"/>
        <v/>
      </c>
      <c r="N591" s="27"/>
      <c r="O591" s="60"/>
    </row>
    <row r="592" spans="1:15" ht="15" customHeight="1">
      <c r="A592" s="68">
        <v>46225</v>
      </c>
      <c r="B592" s="25">
        <f t="shared" si="130"/>
        <v>1.25</v>
      </c>
      <c r="C592" s="26" t="s">
        <v>45</v>
      </c>
      <c r="D592" s="59" t="s">
        <v>30</v>
      </c>
      <c r="E592" s="59" t="s">
        <v>261</v>
      </c>
      <c r="F592" s="27">
        <v>0</v>
      </c>
      <c r="G592" s="28">
        <f t="shared" si="129"/>
        <v>0</v>
      </c>
      <c r="H592" s="26"/>
      <c r="I592" s="26"/>
      <c r="J592" s="26"/>
      <c r="K592" s="29"/>
      <c r="L592" s="29"/>
      <c r="M592" s="30" t="str">
        <f t="shared" ca="1" si="131"/>
        <v/>
      </c>
      <c r="N592" s="27"/>
      <c r="O592" s="60"/>
    </row>
    <row r="593" spans="1:15" ht="15" customHeight="1">
      <c r="A593" s="69">
        <v>46225</v>
      </c>
      <c r="B593" s="32">
        <f t="shared" si="130"/>
        <v>1.2916666666666667</v>
      </c>
      <c r="C593" s="26" t="s">
        <v>45</v>
      </c>
      <c r="D593" s="59" t="s">
        <v>30</v>
      </c>
      <c r="E593" s="59" t="s">
        <v>261</v>
      </c>
      <c r="F593" s="27">
        <v>0</v>
      </c>
      <c r="G593" s="34">
        <f t="shared" si="129"/>
        <v>0</v>
      </c>
      <c r="H593" s="33"/>
      <c r="I593" s="33"/>
      <c r="J593" s="33"/>
      <c r="K593" s="29"/>
      <c r="L593" s="29"/>
      <c r="M593" s="35" t="str">
        <f t="shared" ca="1" si="131"/>
        <v/>
      </c>
      <c r="N593" s="27"/>
      <c r="O593" s="60"/>
    </row>
    <row r="594" spans="1:15" ht="15.75" customHeight="1">
      <c r="A594" s="119" t="s">
        <v>238</v>
      </c>
      <c r="B594" s="120"/>
      <c r="C594" s="120"/>
      <c r="D594" s="120"/>
      <c r="E594" s="121">
        <f>SUM(E582:E593)</f>
        <v>0</v>
      </c>
      <c r="F594" s="36">
        <f>SUM(F582:F593)</f>
        <v>129</v>
      </c>
      <c r="G594" s="36">
        <f>SUM(G582:G593)</f>
        <v>542.20000000000005</v>
      </c>
      <c r="H594" s="37"/>
      <c r="I594" s="37"/>
      <c r="J594" s="37"/>
      <c r="K594" s="61"/>
      <c r="L594" s="61"/>
      <c r="M594" s="38">
        <f ca="1">IFERROR(SUM(M582:M593),"")</f>
        <v>2.1527777777777757E-2</v>
      </c>
      <c r="N594" s="36" t="s">
        <v>237</v>
      </c>
      <c r="O594" s="39">
        <v>572580</v>
      </c>
    </row>
    <row r="595" spans="1:15" ht="18" customHeight="1">
      <c r="A595" s="122" t="s">
        <v>239</v>
      </c>
      <c r="B595" s="123"/>
      <c r="C595" s="123"/>
      <c r="D595" s="123"/>
      <c r="E595" s="124">
        <f>E581+E594</f>
        <v>0</v>
      </c>
      <c r="F595" s="40">
        <f>F581+F594</f>
        <v>129</v>
      </c>
      <c r="G595" s="40">
        <f>G581+G594</f>
        <v>542.20000000000005</v>
      </c>
      <c r="H595" s="41"/>
      <c r="I595" s="41"/>
      <c r="J595" s="41"/>
      <c r="K595" s="63"/>
      <c r="L595" s="63"/>
      <c r="M595" s="42">
        <f ca="1">IFERROR(M581+M594,"")</f>
        <v>0.5215277777777777</v>
      </c>
      <c r="N595" s="40" t="s">
        <v>240</v>
      </c>
      <c r="O595" s="48">
        <f>IFERROR(O581+O594,"")</f>
        <v>572580</v>
      </c>
    </row>
    <row r="596" spans="1:15" ht="15" customHeight="1">
      <c r="A596" s="68">
        <v>46226</v>
      </c>
      <c r="B596" s="25">
        <v>0.33333333333333298</v>
      </c>
      <c r="C596" s="26" t="s">
        <v>29</v>
      </c>
      <c r="D596" s="59" t="s">
        <v>30</v>
      </c>
      <c r="E596" s="59" t="s">
        <v>261</v>
      </c>
      <c r="F596" s="27">
        <v>27</v>
      </c>
      <c r="G596" s="28">
        <f t="shared" ref="G596:G607" si="132">IF(F596="","",IF(E596="PC 17",F596*4.2,IF(E596="PC 19",F596*5,"")))</f>
        <v>113.4</v>
      </c>
      <c r="H596" s="26" t="s">
        <v>18</v>
      </c>
      <c r="I596" s="26" t="s">
        <v>75</v>
      </c>
      <c r="J596" s="26" t="s">
        <v>221</v>
      </c>
      <c r="K596" s="29">
        <v>0.31944444444444442</v>
      </c>
      <c r="L596" s="29">
        <v>0.3347222222222222</v>
      </c>
      <c r="M596" s="30">
        <f t="shared" ref="M596:M607" ca="1" si="133">IFERROR(IF(K596="","",IF(L596="",MOD(NOW()-K596,1),IF(L596&gt;=K596,L596-K596,L596+1-K596))),"")</f>
        <v>1.5277777777777779E-2</v>
      </c>
      <c r="N596" s="27"/>
      <c r="O596" s="60"/>
    </row>
    <row r="597" spans="1:15" ht="15" customHeight="1">
      <c r="A597" s="69">
        <v>46226</v>
      </c>
      <c r="B597" s="32">
        <f t="shared" ref="B597:B607" si="134">B596+TIME(0,60,0)</f>
        <v>0.37499999999999967</v>
      </c>
      <c r="C597" s="26" t="s">
        <v>29</v>
      </c>
      <c r="D597" s="59" t="s">
        <v>30</v>
      </c>
      <c r="E597" s="59" t="s">
        <v>261</v>
      </c>
      <c r="F597" s="27">
        <v>13</v>
      </c>
      <c r="G597" s="34">
        <f t="shared" si="132"/>
        <v>54.6</v>
      </c>
      <c r="H597" s="33" t="s">
        <v>20</v>
      </c>
      <c r="I597" s="33" t="s">
        <v>57</v>
      </c>
      <c r="J597" s="33" t="s">
        <v>51</v>
      </c>
      <c r="K597" s="29">
        <v>0.35069444444444442</v>
      </c>
      <c r="L597" s="29">
        <v>0.35416666666666669</v>
      </c>
      <c r="M597" s="35">
        <f t="shared" ca="1" si="133"/>
        <v>3.4722222222222654E-3</v>
      </c>
      <c r="N597" s="27"/>
      <c r="O597" s="60"/>
    </row>
    <row r="598" spans="1:15" ht="15" customHeight="1">
      <c r="A598" s="68">
        <v>46226</v>
      </c>
      <c r="B598" s="25">
        <f t="shared" si="134"/>
        <v>0.41666666666666635</v>
      </c>
      <c r="C598" s="26" t="s">
        <v>29</v>
      </c>
      <c r="D598" s="59" t="s">
        <v>30</v>
      </c>
      <c r="E598" s="59" t="s">
        <v>261</v>
      </c>
      <c r="F598" s="27">
        <v>16</v>
      </c>
      <c r="G598" s="28">
        <f t="shared" si="132"/>
        <v>67.2</v>
      </c>
      <c r="H598" s="26" t="s">
        <v>20</v>
      </c>
      <c r="I598" s="26" t="s">
        <v>127</v>
      </c>
      <c r="J598" s="26" t="s">
        <v>113</v>
      </c>
      <c r="K598" s="29">
        <v>0.37708333333333333</v>
      </c>
      <c r="L598" s="29">
        <v>0.38124999999999998</v>
      </c>
      <c r="M598" s="30">
        <f t="shared" ca="1" si="133"/>
        <v>4.1666666666666519E-3</v>
      </c>
      <c r="N598" s="27"/>
      <c r="O598" s="60"/>
    </row>
    <row r="599" spans="1:15" ht="15" customHeight="1">
      <c r="A599" s="69">
        <v>46226</v>
      </c>
      <c r="B599" s="32">
        <f t="shared" si="134"/>
        <v>0.45833333333333304</v>
      </c>
      <c r="C599" s="26" t="s">
        <v>29</v>
      </c>
      <c r="D599" s="59" t="s">
        <v>30</v>
      </c>
      <c r="E599" s="59" t="s">
        <v>261</v>
      </c>
      <c r="F599" s="27">
        <v>20</v>
      </c>
      <c r="G599" s="34">
        <f t="shared" si="132"/>
        <v>84</v>
      </c>
      <c r="H599" s="33" t="s">
        <v>20</v>
      </c>
      <c r="I599" s="33" t="s">
        <v>155</v>
      </c>
      <c r="J599" s="33" t="s">
        <v>74</v>
      </c>
      <c r="K599" s="29">
        <v>0.47430555555555554</v>
      </c>
      <c r="L599" s="29">
        <v>0.47916666666666669</v>
      </c>
      <c r="M599" s="35">
        <f t="shared" ca="1" si="133"/>
        <v>4.8611111111111494E-3</v>
      </c>
      <c r="N599" s="27"/>
      <c r="O599" s="60"/>
    </row>
    <row r="600" spans="1:15" ht="15" customHeight="1">
      <c r="A600" s="68">
        <v>46226</v>
      </c>
      <c r="B600" s="25">
        <f t="shared" si="134"/>
        <v>0.49999999999999972</v>
      </c>
      <c r="C600" s="26" t="s">
        <v>29</v>
      </c>
      <c r="D600" s="59" t="s">
        <v>30</v>
      </c>
      <c r="E600" s="59" t="s">
        <v>261</v>
      </c>
      <c r="F600" s="27">
        <v>5</v>
      </c>
      <c r="G600" s="28">
        <f t="shared" si="132"/>
        <v>21</v>
      </c>
      <c r="H600" s="26" t="s">
        <v>20</v>
      </c>
      <c r="I600" s="26" t="s">
        <v>155</v>
      </c>
      <c r="J600" s="33" t="s">
        <v>74</v>
      </c>
      <c r="K600" s="29">
        <v>0.49722222222222223</v>
      </c>
      <c r="L600" s="29">
        <v>0.5</v>
      </c>
      <c r="M600" s="30">
        <f t="shared" ca="1" si="133"/>
        <v>2.7777777777777679E-3</v>
      </c>
      <c r="N600" s="27"/>
      <c r="O600" s="60"/>
    </row>
    <row r="601" spans="1:15" ht="15" customHeight="1">
      <c r="A601" s="69">
        <v>46226</v>
      </c>
      <c r="B601" s="32">
        <f t="shared" si="134"/>
        <v>0.54166666666666641</v>
      </c>
      <c r="C601" s="26" t="s">
        <v>29</v>
      </c>
      <c r="D601" s="59" t="s">
        <v>30</v>
      </c>
      <c r="E601" s="59" t="s">
        <v>261</v>
      </c>
      <c r="F601" s="27">
        <v>17</v>
      </c>
      <c r="G601" s="34">
        <f t="shared" si="132"/>
        <v>71.400000000000006</v>
      </c>
      <c r="H601" s="26" t="s">
        <v>19</v>
      </c>
      <c r="I601" s="33" t="s">
        <v>160</v>
      </c>
      <c r="J601" s="33" t="s">
        <v>27</v>
      </c>
      <c r="K601" s="29">
        <v>0.59791666666666665</v>
      </c>
      <c r="L601" s="29">
        <v>0.62222222222222223</v>
      </c>
      <c r="M601" s="35">
        <f t="shared" ca="1" si="133"/>
        <v>2.430555555555558E-2</v>
      </c>
      <c r="N601" s="27" t="s">
        <v>427</v>
      </c>
      <c r="O601" s="60"/>
    </row>
    <row r="602" spans="1:15" ht="15" customHeight="1">
      <c r="A602" s="68">
        <v>46226</v>
      </c>
      <c r="B602" s="25">
        <f t="shared" si="134"/>
        <v>0.58333333333333304</v>
      </c>
      <c r="C602" s="26" t="s">
        <v>29</v>
      </c>
      <c r="D602" s="59" t="s">
        <v>30</v>
      </c>
      <c r="E602" s="59" t="s">
        <v>261</v>
      </c>
      <c r="F602" s="27">
        <v>19</v>
      </c>
      <c r="G602" s="28">
        <f t="shared" si="132"/>
        <v>79.8</v>
      </c>
      <c r="H602" s="26" t="s">
        <v>18</v>
      </c>
      <c r="I602" s="26" t="s">
        <v>75</v>
      </c>
      <c r="J602" s="26" t="s">
        <v>100</v>
      </c>
      <c r="K602" s="29">
        <v>0.70833333333333337</v>
      </c>
      <c r="L602" s="29">
        <v>0.79166666666666663</v>
      </c>
      <c r="M602" s="30">
        <f t="shared" ca="1" si="133"/>
        <v>8.3333333333333259E-2</v>
      </c>
      <c r="N602" s="27"/>
      <c r="O602" s="60"/>
    </row>
    <row r="603" spans="1:15" ht="15" customHeight="1">
      <c r="A603" s="69">
        <v>46226</v>
      </c>
      <c r="B603" s="32">
        <f t="shared" si="134"/>
        <v>0.62499999999999967</v>
      </c>
      <c r="C603" s="26" t="s">
        <v>29</v>
      </c>
      <c r="D603" s="59" t="s">
        <v>30</v>
      </c>
      <c r="E603" s="59" t="s">
        <v>261</v>
      </c>
      <c r="F603" s="27">
        <v>5</v>
      </c>
      <c r="G603" s="34">
        <f t="shared" si="132"/>
        <v>21</v>
      </c>
      <c r="H603" s="33"/>
      <c r="I603" s="33"/>
      <c r="J603" s="33"/>
      <c r="K603" s="29"/>
      <c r="L603" s="29"/>
      <c r="M603" s="35" t="str">
        <f t="shared" ca="1" si="133"/>
        <v/>
      </c>
      <c r="N603" s="27"/>
      <c r="O603" s="60"/>
    </row>
    <row r="604" spans="1:15" ht="15" customHeight="1">
      <c r="A604" s="68">
        <v>46226</v>
      </c>
      <c r="B604" s="25">
        <f t="shared" si="134"/>
        <v>0.6666666666666663</v>
      </c>
      <c r="C604" s="26" t="s">
        <v>29</v>
      </c>
      <c r="D604" s="59" t="s">
        <v>30</v>
      </c>
      <c r="E604" s="59" t="s">
        <v>261</v>
      </c>
      <c r="F604" s="27">
        <v>14</v>
      </c>
      <c r="G604" s="28">
        <f t="shared" si="132"/>
        <v>58.800000000000004</v>
      </c>
      <c r="H604" s="26"/>
      <c r="I604" s="26"/>
      <c r="J604" s="26"/>
      <c r="K604" s="29"/>
      <c r="L604" s="29"/>
      <c r="M604" s="30" t="str">
        <f t="shared" ca="1" si="133"/>
        <v/>
      </c>
      <c r="N604" s="27"/>
      <c r="O604" s="60"/>
    </row>
    <row r="605" spans="1:15" ht="15" customHeight="1">
      <c r="A605" s="69">
        <v>46226</v>
      </c>
      <c r="B605" s="32">
        <f t="shared" si="134"/>
        <v>0.70833333333333293</v>
      </c>
      <c r="C605" s="26" t="s">
        <v>29</v>
      </c>
      <c r="D605" s="59" t="s">
        <v>30</v>
      </c>
      <c r="E605" s="59" t="s">
        <v>261</v>
      </c>
      <c r="F605" s="27">
        <v>24</v>
      </c>
      <c r="G605" s="34">
        <f t="shared" si="132"/>
        <v>100.80000000000001</v>
      </c>
      <c r="H605" s="33"/>
      <c r="I605" s="33"/>
      <c r="J605" s="33"/>
      <c r="K605" s="29"/>
      <c r="L605" s="29"/>
      <c r="M605" s="35" t="str">
        <f t="shared" ca="1" si="133"/>
        <v/>
      </c>
      <c r="N605" s="27"/>
      <c r="O605" s="60"/>
    </row>
    <row r="606" spans="1:15" ht="15" customHeight="1">
      <c r="A606" s="68">
        <v>46226</v>
      </c>
      <c r="B606" s="25">
        <f t="shared" si="134"/>
        <v>0.74999999999999956</v>
      </c>
      <c r="C606" s="26" t="s">
        <v>29</v>
      </c>
      <c r="D606" s="59" t="s">
        <v>30</v>
      </c>
      <c r="E606" s="59" t="s">
        <v>261</v>
      </c>
      <c r="F606" s="27">
        <v>0</v>
      </c>
      <c r="G606" s="28">
        <f t="shared" si="132"/>
        <v>0</v>
      </c>
      <c r="H606" s="26"/>
      <c r="I606" s="26"/>
      <c r="J606" s="26"/>
      <c r="K606" s="29"/>
      <c r="L606" s="29"/>
      <c r="M606" s="30" t="str">
        <f t="shared" ca="1" si="133"/>
        <v/>
      </c>
      <c r="N606" s="27"/>
      <c r="O606" s="60"/>
    </row>
    <row r="607" spans="1:15" ht="15" customHeight="1">
      <c r="A607" s="69">
        <v>46226</v>
      </c>
      <c r="B607" s="32">
        <f t="shared" si="134"/>
        <v>0.79166666666666619</v>
      </c>
      <c r="C607" s="26" t="s">
        <v>29</v>
      </c>
      <c r="D607" s="59" t="s">
        <v>30</v>
      </c>
      <c r="E607" s="59" t="s">
        <v>261</v>
      </c>
      <c r="F607" s="27">
        <v>0</v>
      </c>
      <c r="G607" s="34">
        <f t="shared" si="132"/>
        <v>0</v>
      </c>
      <c r="H607" s="33"/>
      <c r="I607" s="33"/>
      <c r="J607" s="33"/>
      <c r="K607" s="29"/>
      <c r="L607" s="29"/>
      <c r="M607" s="35" t="str">
        <f t="shared" ca="1" si="133"/>
        <v/>
      </c>
      <c r="N607" s="27"/>
      <c r="O607" s="60"/>
    </row>
    <row r="608" spans="1:15" ht="15.75" customHeight="1">
      <c r="A608" s="119" t="s">
        <v>236</v>
      </c>
      <c r="B608" s="120"/>
      <c r="C608" s="120"/>
      <c r="D608" s="120"/>
      <c r="E608" s="121">
        <f>SUM(E596:E607)</f>
        <v>0</v>
      </c>
      <c r="F608" s="36">
        <f>SUM(F596:F607)</f>
        <v>160</v>
      </c>
      <c r="G608" s="36">
        <f>SUM(G596:G607)</f>
        <v>672</v>
      </c>
      <c r="H608" s="37"/>
      <c r="I608" s="37"/>
      <c r="J608" s="37"/>
      <c r="K608" s="61"/>
      <c r="L608" s="61"/>
      <c r="M608" s="38">
        <f ca="1">IFERROR(SUM(M596:M607),"")</f>
        <v>0.13819444444444445</v>
      </c>
      <c r="N608" s="36" t="s">
        <v>237</v>
      </c>
      <c r="O608" s="39">
        <v>685860</v>
      </c>
    </row>
    <row r="609" spans="1:15" ht="15" customHeight="1">
      <c r="A609" s="69">
        <v>46226</v>
      </c>
      <c r="B609" s="32">
        <v>0.83333333333333304</v>
      </c>
      <c r="C609" s="33" t="s">
        <v>45</v>
      </c>
      <c r="D609" s="62" t="s">
        <v>30</v>
      </c>
      <c r="E609" s="62" t="s">
        <v>261</v>
      </c>
      <c r="F609" s="27">
        <v>0</v>
      </c>
      <c r="G609" s="34">
        <f t="shared" ref="G609:G614" si="135">IF(F609="","",IF(E609="PC 17",F609*4.2,IF(E609="PC 19",F609*5,"")))</f>
        <v>0</v>
      </c>
      <c r="H609" s="33" t="s">
        <v>18</v>
      </c>
      <c r="I609" s="33" t="s">
        <v>75</v>
      </c>
      <c r="J609" s="33" t="s">
        <v>100</v>
      </c>
      <c r="K609" s="29">
        <v>0.79166666666666663</v>
      </c>
      <c r="L609" s="29">
        <v>0.875</v>
      </c>
      <c r="M609" s="35">
        <f t="shared" ref="M609:M620" ca="1" si="136">IFERROR(IF(K609="","",IF(L609="",MOD(NOW()-K609,1),IF(L609&gt;=K609,L609-K609,L609+1-K609))),"")</f>
        <v>8.333333333333337E-2</v>
      </c>
      <c r="N609" s="27"/>
      <c r="O609" s="60"/>
    </row>
    <row r="610" spans="1:15" ht="15" customHeight="1">
      <c r="A610" s="68">
        <v>46226</v>
      </c>
      <c r="B610" s="25">
        <f t="shared" ref="B610:B620" si="137">B609+TIME(0,60,0)</f>
        <v>0.87499999999999967</v>
      </c>
      <c r="C610" s="33" t="s">
        <v>45</v>
      </c>
      <c r="D610" s="62" t="s">
        <v>30</v>
      </c>
      <c r="E610" s="62" t="s">
        <v>261</v>
      </c>
      <c r="F610" s="27">
        <v>0</v>
      </c>
      <c r="G610" s="28">
        <f t="shared" si="135"/>
        <v>0</v>
      </c>
      <c r="H610" s="26" t="s">
        <v>19</v>
      </c>
      <c r="I610" s="26" t="s">
        <v>57</v>
      </c>
      <c r="J610" s="26" t="s">
        <v>27</v>
      </c>
      <c r="K610" s="29">
        <v>6.0416666666666667E-2</v>
      </c>
      <c r="L610" s="29">
        <v>7.7777777777777779E-2</v>
      </c>
      <c r="M610" s="30">
        <f t="shared" ca="1" si="136"/>
        <v>1.7361111111111112E-2</v>
      </c>
      <c r="N610" s="27"/>
      <c r="O610" s="60"/>
    </row>
    <row r="611" spans="1:15" ht="15" customHeight="1">
      <c r="A611" s="69">
        <v>46226</v>
      </c>
      <c r="B611" s="32">
        <f t="shared" si="137"/>
        <v>0.9166666666666663</v>
      </c>
      <c r="C611" s="33" t="s">
        <v>45</v>
      </c>
      <c r="D611" s="62" t="s">
        <v>30</v>
      </c>
      <c r="E611" s="62" t="s">
        <v>234</v>
      </c>
      <c r="F611" s="27">
        <v>8</v>
      </c>
      <c r="G611" s="34">
        <f t="shared" si="135"/>
        <v>40</v>
      </c>
      <c r="H611" s="33" t="s">
        <v>19</v>
      </c>
      <c r="I611" s="33" t="s">
        <v>52</v>
      </c>
      <c r="J611" s="33" t="s">
        <v>27</v>
      </c>
      <c r="K611" s="29">
        <v>0.17569444444444443</v>
      </c>
      <c r="L611" s="29">
        <v>0.19166666666666668</v>
      </c>
      <c r="M611" s="35">
        <f t="shared" ca="1" si="136"/>
        <v>1.5972222222222249E-2</v>
      </c>
      <c r="N611" s="27"/>
      <c r="O611" s="60"/>
    </row>
    <row r="612" spans="1:15" ht="15" customHeight="1">
      <c r="A612" s="68">
        <v>46226</v>
      </c>
      <c r="B612" s="25">
        <f t="shared" si="137"/>
        <v>0.95833333333333293</v>
      </c>
      <c r="C612" s="33" t="s">
        <v>45</v>
      </c>
      <c r="D612" s="62" t="s">
        <v>30</v>
      </c>
      <c r="E612" s="62" t="s">
        <v>261</v>
      </c>
      <c r="F612" s="27">
        <v>3</v>
      </c>
      <c r="G612" s="28">
        <f t="shared" si="135"/>
        <v>12.600000000000001</v>
      </c>
      <c r="H612" s="26"/>
      <c r="I612" s="26"/>
      <c r="J612" s="26"/>
      <c r="K612" s="29"/>
      <c r="L612" s="29"/>
      <c r="M612" s="30" t="str">
        <f t="shared" ca="1" si="136"/>
        <v/>
      </c>
      <c r="N612" s="27"/>
      <c r="O612" s="60"/>
    </row>
    <row r="613" spans="1:15" ht="15" customHeight="1">
      <c r="A613" s="69">
        <v>46226</v>
      </c>
      <c r="B613" s="32">
        <f t="shared" si="137"/>
        <v>0.99999999999999956</v>
      </c>
      <c r="C613" s="33" t="s">
        <v>45</v>
      </c>
      <c r="D613" s="62" t="s">
        <v>30</v>
      </c>
      <c r="E613" s="62" t="s">
        <v>261</v>
      </c>
      <c r="F613" s="27">
        <v>9</v>
      </c>
      <c r="G613" s="34">
        <f t="shared" si="135"/>
        <v>37.800000000000004</v>
      </c>
      <c r="H613" s="33"/>
      <c r="I613" s="33"/>
      <c r="J613" s="33"/>
      <c r="K613" s="29"/>
      <c r="L613" s="29"/>
      <c r="M613" s="35" t="str">
        <f t="shared" ca="1" si="136"/>
        <v/>
      </c>
      <c r="N613" s="27"/>
      <c r="O613" s="60"/>
    </row>
    <row r="614" spans="1:15" ht="15" customHeight="1">
      <c r="A614" s="68">
        <v>46226</v>
      </c>
      <c r="B614" s="25">
        <f t="shared" si="137"/>
        <v>1.0416666666666663</v>
      </c>
      <c r="C614" s="33" t="s">
        <v>45</v>
      </c>
      <c r="D614" s="62" t="s">
        <v>30</v>
      </c>
      <c r="E614" s="62" t="s">
        <v>261</v>
      </c>
      <c r="F614" s="27">
        <v>12</v>
      </c>
      <c r="G614" s="28">
        <f t="shared" si="135"/>
        <v>50.400000000000006</v>
      </c>
      <c r="H614" s="26"/>
      <c r="I614" s="26"/>
      <c r="J614" s="26"/>
      <c r="K614" s="29"/>
      <c r="L614" s="29"/>
      <c r="M614" s="30" t="str">
        <f t="shared" ca="1" si="136"/>
        <v/>
      </c>
      <c r="N614" s="27"/>
      <c r="O614" s="60"/>
    </row>
    <row r="615" spans="1:15" ht="15" customHeight="1">
      <c r="A615" s="69">
        <v>46226</v>
      </c>
      <c r="B615" s="32">
        <f t="shared" si="137"/>
        <v>1.083333333333333</v>
      </c>
      <c r="C615" s="33" t="s">
        <v>45</v>
      </c>
      <c r="D615" s="62" t="s">
        <v>30</v>
      </c>
      <c r="E615" s="62" t="s">
        <v>261</v>
      </c>
      <c r="F615" s="27">
        <v>0</v>
      </c>
      <c r="G615" s="34">
        <v>0</v>
      </c>
      <c r="H615" s="33"/>
      <c r="I615" s="33"/>
      <c r="J615" s="33"/>
      <c r="K615" s="29"/>
      <c r="L615" s="29"/>
      <c r="M615" s="35" t="str">
        <f t="shared" ca="1" si="136"/>
        <v/>
      </c>
      <c r="N615" s="27"/>
      <c r="O615" s="60"/>
    </row>
    <row r="616" spans="1:15" ht="15" customHeight="1">
      <c r="A616" s="68">
        <v>46226</v>
      </c>
      <c r="B616" s="25">
        <f t="shared" si="137"/>
        <v>1.1249999999999998</v>
      </c>
      <c r="C616" s="33" t="s">
        <v>45</v>
      </c>
      <c r="D616" s="62" t="s">
        <v>30</v>
      </c>
      <c r="E616" s="62" t="s">
        <v>261</v>
      </c>
      <c r="F616" s="27">
        <v>12</v>
      </c>
      <c r="G616" s="28">
        <f>IF(F616="","",IF(E616="PC 17",F616*4.2,IF(E616="PC 19",F616*5,"")))</f>
        <v>50.400000000000006</v>
      </c>
      <c r="H616" s="26"/>
      <c r="I616" s="26"/>
      <c r="J616" s="26"/>
      <c r="K616" s="29"/>
      <c r="L616" s="29"/>
      <c r="M616" s="30" t="str">
        <f t="shared" ca="1" si="136"/>
        <v/>
      </c>
      <c r="N616" s="27"/>
      <c r="O616" s="60"/>
    </row>
    <row r="617" spans="1:15" ht="15" customHeight="1">
      <c r="A617" s="69">
        <v>46226</v>
      </c>
      <c r="B617" s="32">
        <f t="shared" si="137"/>
        <v>1.1666666666666665</v>
      </c>
      <c r="C617" s="33" t="s">
        <v>45</v>
      </c>
      <c r="D617" s="62" t="s">
        <v>30</v>
      </c>
      <c r="E617" s="62" t="s">
        <v>261</v>
      </c>
      <c r="F617" s="27">
        <v>9</v>
      </c>
      <c r="G617" s="34">
        <f>IF(F617="","",IF(E617="PC 17",F617*4.2,IF(E617="PC 19",F617*5,"")))</f>
        <v>37.800000000000004</v>
      </c>
      <c r="H617" s="33"/>
      <c r="I617" s="33"/>
      <c r="J617" s="33"/>
      <c r="K617" s="29"/>
      <c r="L617" s="29"/>
      <c r="M617" s="35" t="str">
        <f t="shared" ca="1" si="136"/>
        <v/>
      </c>
      <c r="N617" s="27"/>
      <c r="O617" s="60"/>
    </row>
    <row r="618" spans="1:15" ht="15" customHeight="1">
      <c r="A618" s="68">
        <v>46226</v>
      </c>
      <c r="B618" s="25">
        <f t="shared" si="137"/>
        <v>1.2083333333333333</v>
      </c>
      <c r="C618" s="33" t="s">
        <v>45</v>
      </c>
      <c r="D618" s="62" t="s">
        <v>30</v>
      </c>
      <c r="E618" s="62" t="s">
        <v>261</v>
      </c>
      <c r="F618" s="27">
        <v>10</v>
      </c>
      <c r="G618" s="28">
        <f>IF(F618="","",IF(E618="PC 17",F618*4.2,IF(E618="PC 19",F618*5,"")))</f>
        <v>42</v>
      </c>
      <c r="H618" s="26"/>
      <c r="I618" s="26"/>
      <c r="J618" s="26"/>
      <c r="K618" s="29"/>
      <c r="L618" s="29"/>
      <c r="M618" s="30" t="str">
        <f t="shared" ca="1" si="136"/>
        <v/>
      </c>
      <c r="N618" s="27"/>
      <c r="O618" s="60"/>
    </row>
    <row r="619" spans="1:15" ht="15" customHeight="1">
      <c r="A619" s="69">
        <v>46226</v>
      </c>
      <c r="B619" s="32">
        <f t="shared" si="137"/>
        <v>1.25</v>
      </c>
      <c r="C619" s="33" t="s">
        <v>45</v>
      </c>
      <c r="D619" s="62" t="s">
        <v>30</v>
      </c>
      <c r="E619" s="62" t="s">
        <v>261</v>
      </c>
      <c r="F619" s="27">
        <v>19</v>
      </c>
      <c r="G619" s="34">
        <f>IF(F619="","",IF(E619="PC 17",F619*4.2,IF(E619="PC 19",F619*5,"")))</f>
        <v>79.8</v>
      </c>
      <c r="H619" s="33"/>
      <c r="I619" s="33"/>
      <c r="J619" s="33"/>
      <c r="K619" s="29"/>
      <c r="L619" s="29"/>
      <c r="M619" s="35" t="str">
        <f t="shared" ca="1" si="136"/>
        <v/>
      </c>
      <c r="N619" s="27"/>
      <c r="O619" s="60"/>
    </row>
    <row r="620" spans="1:15" ht="15" customHeight="1">
      <c r="A620" s="68">
        <v>46226</v>
      </c>
      <c r="B620" s="25">
        <f t="shared" si="137"/>
        <v>1.2916666666666667</v>
      </c>
      <c r="C620" s="33" t="s">
        <v>45</v>
      </c>
      <c r="D620" s="62" t="s">
        <v>30</v>
      </c>
      <c r="E620" s="62" t="s">
        <v>261</v>
      </c>
      <c r="F620" s="27">
        <v>0</v>
      </c>
      <c r="G620" s="28">
        <f>IF(F620="","",IF(E620="PC 17",F620*4.2,IF(E620="PC 19",F620*5,"")))</f>
        <v>0</v>
      </c>
      <c r="H620" s="26"/>
      <c r="I620" s="26"/>
      <c r="J620" s="26"/>
      <c r="K620" s="29"/>
      <c r="L620" s="29"/>
      <c r="M620" s="30" t="str">
        <f t="shared" ca="1" si="136"/>
        <v/>
      </c>
      <c r="N620" s="27"/>
      <c r="O620" s="60"/>
    </row>
    <row r="621" spans="1:15" ht="15.75" customHeight="1">
      <c r="A621" s="119" t="s">
        <v>238</v>
      </c>
      <c r="B621" s="120"/>
      <c r="C621" s="120"/>
      <c r="D621" s="120"/>
      <c r="E621" s="121">
        <f>SUM(E609:E620)</f>
        <v>0</v>
      </c>
      <c r="F621" s="36">
        <f>SUM(F609:F620)</f>
        <v>82</v>
      </c>
      <c r="G621" s="36">
        <f>SUM(G609:G620)</f>
        <v>350.8</v>
      </c>
      <c r="H621" s="37"/>
      <c r="I621" s="37"/>
      <c r="J621" s="37"/>
      <c r="K621" s="61"/>
      <c r="L621" s="61"/>
      <c r="M621" s="38">
        <f ca="1">IFERROR(SUM(M609:M620),"")</f>
        <v>0.11666666666666672</v>
      </c>
      <c r="N621" s="36" t="s">
        <v>237</v>
      </c>
      <c r="O621" s="39">
        <v>414860</v>
      </c>
    </row>
    <row r="622" spans="1:15" ht="18" customHeight="1">
      <c r="A622" s="122" t="s">
        <v>239</v>
      </c>
      <c r="B622" s="123"/>
      <c r="C622" s="123"/>
      <c r="D622" s="123"/>
      <c r="E622" s="124">
        <f>E608+E621</f>
        <v>0</v>
      </c>
      <c r="F622" s="40">
        <f>F608+F621</f>
        <v>242</v>
      </c>
      <c r="G622" s="40">
        <f>G608+G621</f>
        <v>1022.8</v>
      </c>
      <c r="H622" s="41"/>
      <c r="I622" s="41"/>
      <c r="J622" s="41"/>
      <c r="K622" s="63"/>
      <c r="L622" s="63"/>
      <c r="M622" s="42">
        <f ca="1">IFERROR(M608+M621,"")</f>
        <v>0.2548611111111112</v>
      </c>
      <c r="N622" s="40" t="s">
        <v>240</v>
      </c>
      <c r="O622" s="48">
        <f>IFERROR(O608+O621,"")</f>
        <v>1100720</v>
      </c>
    </row>
    <row r="623" spans="1:15" ht="15" customHeight="1">
      <c r="A623" s="69">
        <v>46227</v>
      </c>
      <c r="B623" s="32">
        <v>0.33333333333333298</v>
      </c>
      <c r="C623" s="33" t="s">
        <v>29</v>
      </c>
      <c r="D623" s="62" t="s">
        <v>30</v>
      </c>
      <c r="E623" s="62" t="s">
        <v>261</v>
      </c>
      <c r="F623" s="27">
        <v>18</v>
      </c>
      <c r="G623" s="34">
        <f t="shared" ref="G623:G634" si="138">IF(F623="","",IF(E623="PC 17",F623*4.2,IF(E623="PC 19",F623*5,"")))</f>
        <v>75.600000000000009</v>
      </c>
      <c r="H623" s="33" t="s">
        <v>18</v>
      </c>
      <c r="I623" s="33" t="s">
        <v>75</v>
      </c>
      <c r="J623" s="33" t="s">
        <v>211</v>
      </c>
      <c r="K623" s="29">
        <v>0.45833333333333331</v>
      </c>
      <c r="L623" s="29">
        <v>0.46180555555555558</v>
      </c>
      <c r="M623" s="35">
        <f t="shared" ref="M623:M634" ca="1" si="139">IFERROR(IF(K623="","",IF(L623="",MOD(NOW()-K623,1),IF(L623&gt;=K623,L623-K623,L623+1-K623))),"")</f>
        <v>3.4722222222222654E-3</v>
      </c>
      <c r="N623" s="27"/>
      <c r="O623" s="60"/>
    </row>
    <row r="624" spans="1:15" ht="15" customHeight="1">
      <c r="A624" s="68">
        <v>46227</v>
      </c>
      <c r="B624" s="25">
        <f t="shared" ref="B624:B634" si="140">B623+TIME(0,60,0)</f>
        <v>0.37499999999999967</v>
      </c>
      <c r="C624" s="33" t="s">
        <v>29</v>
      </c>
      <c r="D624" s="62" t="s">
        <v>30</v>
      </c>
      <c r="E624" s="62" t="s">
        <v>261</v>
      </c>
      <c r="F624" s="27">
        <v>11</v>
      </c>
      <c r="G624" s="28">
        <f t="shared" si="138"/>
        <v>46.2</v>
      </c>
      <c r="H624" s="26" t="s">
        <v>20</v>
      </c>
      <c r="I624" s="26" t="s">
        <v>57</v>
      </c>
      <c r="J624" s="26" t="s">
        <v>28</v>
      </c>
      <c r="K624" s="29">
        <v>0.57291666666666663</v>
      </c>
      <c r="L624" s="29">
        <v>0.57916666666666672</v>
      </c>
      <c r="M624" s="30">
        <f t="shared" ca="1" si="139"/>
        <v>6.2500000000000888E-3</v>
      </c>
      <c r="N624" s="27"/>
      <c r="O624" s="60"/>
    </row>
    <row r="625" spans="1:15" ht="15" customHeight="1">
      <c r="A625" s="69">
        <v>46227</v>
      </c>
      <c r="B625" s="32">
        <f t="shared" si="140"/>
        <v>0.41666666666666635</v>
      </c>
      <c r="C625" s="33" t="s">
        <v>29</v>
      </c>
      <c r="D625" s="62" t="s">
        <v>30</v>
      </c>
      <c r="E625" s="62" t="s">
        <v>261</v>
      </c>
      <c r="F625" s="27">
        <v>14</v>
      </c>
      <c r="G625" s="34">
        <f t="shared" si="138"/>
        <v>58.800000000000004</v>
      </c>
      <c r="H625" s="33" t="s">
        <v>18</v>
      </c>
      <c r="I625" s="33" t="s">
        <v>75</v>
      </c>
      <c r="J625" s="33" t="s">
        <v>221</v>
      </c>
      <c r="K625" s="29">
        <v>0.58333333333333337</v>
      </c>
      <c r="L625" s="29">
        <v>0.59444444444444444</v>
      </c>
      <c r="M625" s="35">
        <f t="shared" ca="1" si="139"/>
        <v>1.1111111111111072E-2</v>
      </c>
      <c r="N625" s="27"/>
      <c r="O625" s="60"/>
    </row>
    <row r="626" spans="1:15" ht="15" customHeight="1">
      <c r="A626" s="68">
        <v>46227</v>
      </c>
      <c r="B626" s="25">
        <f t="shared" si="140"/>
        <v>0.45833333333333304</v>
      </c>
      <c r="C626" s="33" t="s">
        <v>29</v>
      </c>
      <c r="D626" s="62" t="s">
        <v>30</v>
      </c>
      <c r="E626" s="62" t="s">
        <v>261</v>
      </c>
      <c r="F626" s="27">
        <v>11</v>
      </c>
      <c r="G626" s="28">
        <f t="shared" si="138"/>
        <v>46.2</v>
      </c>
      <c r="H626" s="26" t="s">
        <v>18</v>
      </c>
      <c r="I626" s="26" t="s">
        <v>75</v>
      </c>
      <c r="J626" s="26" t="s">
        <v>111</v>
      </c>
      <c r="K626" s="29">
        <v>0.59861111111111109</v>
      </c>
      <c r="L626" s="29">
        <v>0.62361111111111112</v>
      </c>
      <c r="M626" s="30">
        <f t="shared" ca="1" si="139"/>
        <v>2.5000000000000022E-2</v>
      </c>
      <c r="N626" s="27"/>
      <c r="O626" s="60"/>
    </row>
    <row r="627" spans="1:15" ht="15" customHeight="1">
      <c r="A627" s="69">
        <v>46227</v>
      </c>
      <c r="B627" s="32">
        <f t="shared" si="140"/>
        <v>0.49999999999999972</v>
      </c>
      <c r="C627" s="33" t="s">
        <v>29</v>
      </c>
      <c r="D627" s="62" t="s">
        <v>30</v>
      </c>
      <c r="E627" s="62" t="s">
        <v>261</v>
      </c>
      <c r="F627" s="27">
        <v>10</v>
      </c>
      <c r="G627" s="34">
        <f t="shared" si="138"/>
        <v>42</v>
      </c>
      <c r="H627" s="33" t="s">
        <v>20</v>
      </c>
      <c r="I627" s="33" t="s">
        <v>153</v>
      </c>
      <c r="J627" s="33"/>
      <c r="K627" s="29">
        <v>0.64583333333333337</v>
      </c>
      <c r="L627" s="29">
        <v>0.67291666666666672</v>
      </c>
      <c r="M627" s="35">
        <f t="shared" ca="1" si="139"/>
        <v>2.7083333333333348E-2</v>
      </c>
      <c r="N627" s="27" t="s">
        <v>428</v>
      </c>
      <c r="O627" s="60"/>
    </row>
    <row r="628" spans="1:15" ht="15" customHeight="1">
      <c r="A628" s="68">
        <v>46227</v>
      </c>
      <c r="B628" s="25">
        <f t="shared" si="140"/>
        <v>0.54166666666666641</v>
      </c>
      <c r="C628" s="33" t="s">
        <v>29</v>
      </c>
      <c r="D628" s="62" t="s">
        <v>30</v>
      </c>
      <c r="E628" s="62" t="s">
        <v>261</v>
      </c>
      <c r="F628" s="27">
        <v>17</v>
      </c>
      <c r="G628" s="28">
        <f t="shared" si="138"/>
        <v>71.400000000000006</v>
      </c>
      <c r="H628" s="26" t="s">
        <v>18</v>
      </c>
      <c r="I628" s="26" t="s">
        <v>75</v>
      </c>
      <c r="J628" s="26" t="s">
        <v>221</v>
      </c>
      <c r="K628" s="29">
        <v>0.68819444444444444</v>
      </c>
      <c r="L628" s="29">
        <v>0.79166666666666663</v>
      </c>
      <c r="M628" s="30">
        <f t="shared" ca="1" si="139"/>
        <v>0.10347222222222219</v>
      </c>
      <c r="N628" s="27"/>
      <c r="O628" s="60"/>
    </row>
    <row r="629" spans="1:15" ht="15" customHeight="1">
      <c r="A629" s="69">
        <v>46227</v>
      </c>
      <c r="B629" s="32">
        <f t="shared" si="140"/>
        <v>0.58333333333333304</v>
      </c>
      <c r="C629" s="33" t="s">
        <v>29</v>
      </c>
      <c r="D629" s="62" t="s">
        <v>30</v>
      </c>
      <c r="E629" s="62" t="s">
        <v>261</v>
      </c>
      <c r="F629" s="27">
        <v>1</v>
      </c>
      <c r="G629" s="34">
        <f t="shared" si="138"/>
        <v>4.2</v>
      </c>
      <c r="H629" s="33"/>
      <c r="I629" s="33"/>
      <c r="J629" s="33"/>
      <c r="K629" s="29"/>
      <c r="L629" s="29"/>
      <c r="M629" s="35" t="str">
        <f t="shared" ca="1" si="139"/>
        <v/>
      </c>
      <c r="N629" s="27"/>
      <c r="O629" s="60"/>
    </row>
    <row r="630" spans="1:15" ht="15" customHeight="1">
      <c r="A630" s="68">
        <v>46227</v>
      </c>
      <c r="B630" s="25">
        <f t="shared" si="140"/>
        <v>0.62499999999999967</v>
      </c>
      <c r="C630" s="33" t="s">
        <v>29</v>
      </c>
      <c r="D630" s="62" t="s">
        <v>30</v>
      </c>
      <c r="E630" s="62" t="s">
        <v>261</v>
      </c>
      <c r="F630" s="27">
        <v>1</v>
      </c>
      <c r="G630" s="28">
        <f t="shared" si="138"/>
        <v>4.2</v>
      </c>
      <c r="H630" s="26"/>
      <c r="I630" s="26"/>
      <c r="J630" s="26"/>
      <c r="K630" s="29"/>
      <c r="L630" s="29"/>
      <c r="M630" s="30" t="str">
        <f t="shared" ca="1" si="139"/>
        <v/>
      </c>
      <c r="N630" s="27"/>
      <c r="O630" s="60"/>
    </row>
    <row r="631" spans="1:15" ht="15" customHeight="1">
      <c r="A631" s="69">
        <v>46227</v>
      </c>
      <c r="B631" s="32">
        <f t="shared" si="140"/>
        <v>0.6666666666666663</v>
      </c>
      <c r="C631" s="33" t="s">
        <v>29</v>
      </c>
      <c r="D631" s="62" t="s">
        <v>30</v>
      </c>
      <c r="E631" s="62" t="s">
        <v>261</v>
      </c>
      <c r="F631" s="27">
        <v>3</v>
      </c>
      <c r="G631" s="34">
        <f t="shared" si="138"/>
        <v>12.600000000000001</v>
      </c>
      <c r="H631" s="33"/>
      <c r="I631" s="33"/>
      <c r="J631" s="33"/>
      <c r="K631" s="29"/>
      <c r="L631" s="29"/>
      <c r="M631" s="35" t="str">
        <f t="shared" ca="1" si="139"/>
        <v/>
      </c>
      <c r="N631" s="27"/>
      <c r="O631" s="60"/>
    </row>
    <row r="632" spans="1:15" ht="15" customHeight="1">
      <c r="A632" s="68">
        <v>46227</v>
      </c>
      <c r="B632" s="25">
        <f t="shared" si="140"/>
        <v>0.70833333333333293</v>
      </c>
      <c r="C632" s="33" t="s">
        <v>29</v>
      </c>
      <c r="D632" s="62" t="s">
        <v>30</v>
      </c>
      <c r="E632" s="62" t="s">
        <v>261</v>
      </c>
      <c r="F632" s="27">
        <v>0</v>
      </c>
      <c r="G632" s="28">
        <f t="shared" si="138"/>
        <v>0</v>
      </c>
      <c r="H632" s="26"/>
      <c r="I632" s="26"/>
      <c r="J632" s="26"/>
      <c r="K632" s="29"/>
      <c r="L632" s="29"/>
      <c r="M632" s="30" t="str">
        <f t="shared" ca="1" si="139"/>
        <v/>
      </c>
      <c r="N632" s="27"/>
      <c r="O632" s="60"/>
    </row>
    <row r="633" spans="1:15" ht="15" customHeight="1">
      <c r="A633" s="69">
        <v>46227</v>
      </c>
      <c r="B633" s="32">
        <f t="shared" si="140"/>
        <v>0.74999999999999956</v>
      </c>
      <c r="C633" s="33" t="s">
        <v>29</v>
      </c>
      <c r="D633" s="62" t="s">
        <v>30</v>
      </c>
      <c r="E633" s="62" t="s">
        <v>261</v>
      </c>
      <c r="F633" s="27">
        <v>0</v>
      </c>
      <c r="G633" s="34">
        <f t="shared" si="138"/>
        <v>0</v>
      </c>
      <c r="H633" s="33"/>
      <c r="I633" s="33"/>
      <c r="J633" s="33"/>
      <c r="K633" s="29"/>
      <c r="L633" s="29"/>
      <c r="M633" s="35" t="str">
        <f t="shared" ca="1" si="139"/>
        <v/>
      </c>
      <c r="N633" s="27"/>
      <c r="O633" s="60"/>
    </row>
    <row r="634" spans="1:15" ht="15" customHeight="1">
      <c r="A634" s="68">
        <v>46227</v>
      </c>
      <c r="B634" s="25">
        <f t="shared" si="140"/>
        <v>0.79166666666666619</v>
      </c>
      <c r="C634" s="33" t="s">
        <v>29</v>
      </c>
      <c r="D634" s="62" t="s">
        <v>30</v>
      </c>
      <c r="E634" s="62" t="s">
        <v>261</v>
      </c>
      <c r="F634" s="27">
        <v>0</v>
      </c>
      <c r="G634" s="28">
        <f t="shared" si="138"/>
        <v>0</v>
      </c>
      <c r="H634" s="26"/>
      <c r="I634" s="26"/>
      <c r="J634" s="26"/>
      <c r="K634" s="29"/>
      <c r="L634" s="29"/>
      <c r="M634" s="30" t="str">
        <f t="shared" ca="1" si="139"/>
        <v/>
      </c>
      <c r="N634" s="27"/>
      <c r="O634" s="60"/>
    </row>
    <row r="635" spans="1:15" ht="15.75" customHeight="1">
      <c r="A635" s="119" t="s">
        <v>236</v>
      </c>
      <c r="B635" s="120"/>
      <c r="C635" s="120"/>
      <c r="D635" s="120"/>
      <c r="E635" s="121">
        <f>SUM(E623:E634)</f>
        <v>0</v>
      </c>
      <c r="F635" s="36">
        <f>SUM(F623:F634)</f>
        <v>86</v>
      </c>
      <c r="G635" s="36">
        <f>SUM(G623:G634)</f>
        <v>361.20000000000005</v>
      </c>
      <c r="H635" s="37"/>
      <c r="I635" s="37"/>
      <c r="J635" s="37"/>
      <c r="K635" s="61"/>
      <c r="L635" s="61"/>
      <c r="M635" s="38">
        <f ca="1">IFERROR(SUM(M623:M634),"")</f>
        <v>0.17638888888888898</v>
      </c>
      <c r="N635" s="36" t="s">
        <v>237</v>
      </c>
      <c r="O635" s="39">
        <v>360420</v>
      </c>
    </row>
    <row r="636" spans="1:15" ht="15" customHeight="1">
      <c r="A636" s="68">
        <v>46227</v>
      </c>
      <c r="B636" s="25">
        <v>0.83333333333333304</v>
      </c>
      <c r="C636" s="26" t="s">
        <v>21</v>
      </c>
      <c r="D636" s="59" t="s">
        <v>30</v>
      </c>
      <c r="E636" s="59" t="s">
        <v>261</v>
      </c>
      <c r="F636" s="27">
        <v>0</v>
      </c>
      <c r="G636" s="28">
        <f t="shared" ref="G636:G647" si="141">IF(F636="","",IF(E636="PC 17",F636*4.2,IF(E636="PC 19",F636*5,"")))</f>
        <v>0</v>
      </c>
      <c r="H636" s="26" t="s">
        <v>18</v>
      </c>
      <c r="I636" s="26" t="s">
        <v>75</v>
      </c>
      <c r="J636" s="26" t="s">
        <v>106</v>
      </c>
      <c r="K636" s="29">
        <v>0.79166666666666663</v>
      </c>
      <c r="L636" s="29">
        <v>0.96666666666666667</v>
      </c>
      <c r="M636" s="30">
        <f t="shared" ref="M636:M647" ca="1" si="142">IFERROR(IF(K636="","",IF(L636="",MOD(NOW()-K636,1),IF(L636&gt;=K636,L636-K636,L636+1-K636))),"")</f>
        <v>0.17500000000000004</v>
      </c>
      <c r="N636" s="27" t="s">
        <v>429</v>
      </c>
      <c r="O636" s="60"/>
    </row>
    <row r="637" spans="1:15" ht="15" customHeight="1">
      <c r="A637" s="69">
        <v>46227</v>
      </c>
      <c r="B637" s="32">
        <f t="shared" ref="B637:B647" si="143">B636+TIME(0,60,0)</f>
        <v>0.87499999999999967</v>
      </c>
      <c r="C637" s="26" t="s">
        <v>21</v>
      </c>
      <c r="D637" s="59" t="s">
        <v>30</v>
      </c>
      <c r="E637" s="59" t="s">
        <v>261</v>
      </c>
      <c r="F637" s="27">
        <v>0</v>
      </c>
      <c r="G637" s="34">
        <f t="shared" si="141"/>
        <v>0</v>
      </c>
      <c r="H637" s="26" t="s">
        <v>18</v>
      </c>
      <c r="I637" s="26" t="s">
        <v>75</v>
      </c>
      <c r="J637" s="26" t="s">
        <v>106</v>
      </c>
      <c r="K637" s="29">
        <v>0.99791666666666667</v>
      </c>
      <c r="L637" s="29">
        <v>5.8333333333333334E-2</v>
      </c>
      <c r="M637" s="35">
        <f t="shared" ca="1" si="142"/>
        <v>6.0416666666666674E-2</v>
      </c>
      <c r="N637" s="27"/>
      <c r="O637" s="60"/>
    </row>
    <row r="638" spans="1:15" ht="15" customHeight="1">
      <c r="A638" s="68">
        <v>46227</v>
      </c>
      <c r="B638" s="25">
        <f t="shared" si="143"/>
        <v>0.9166666666666663</v>
      </c>
      <c r="C638" s="26" t="s">
        <v>21</v>
      </c>
      <c r="D638" s="59" t="s">
        <v>30</v>
      </c>
      <c r="E638" s="59" t="s">
        <v>261</v>
      </c>
      <c r="F638" s="27">
        <v>0</v>
      </c>
      <c r="G638" s="28">
        <f t="shared" si="141"/>
        <v>0</v>
      </c>
      <c r="H638" s="26" t="s">
        <v>20</v>
      </c>
      <c r="I638" s="26" t="s">
        <v>57</v>
      </c>
      <c r="J638" s="26" t="s">
        <v>56</v>
      </c>
      <c r="K638" s="29">
        <v>0.11458333333333333</v>
      </c>
      <c r="L638" s="29">
        <v>0.125</v>
      </c>
      <c r="M638" s="30">
        <f t="shared" ca="1" si="142"/>
        <v>1.0416666666666671E-2</v>
      </c>
      <c r="N638" s="27"/>
      <c r="O638" s="60"/>
    </row>
    <row r="639" spans="1:15" ht="15" customHeight="1">
      <c r="A639" s="69">
        <v>46227</v>
      </c>
      <c r="B639" s="32">
        <f t="shared" si="143"/>
        <v>0.95833333333333293</v>
      </c>
      <c r="C639" s="26" t="s">
        <v>21</v>
      </c>
      <c r="D639" s="59" t="s">
        <v>30</v>
      </c>
      <c r="E639" s="59" t="s">
        <v>261</v>
      </c>
      <c r="F639" s="27">
        <v>0</v>
      </c>
      <c r="G639" s="34">
        <f t="shared" si="141"/>
        <v>0</v>
      </c>
      <c r="H639" s="33"/>
      <c r="I639" s="33"/>
      <c r="J639" s="33"/>
      <c r="K639" s="29"/>
      <c r="L639" s="29"/>
      <c r="M639" s="35" t="str">
        <f t="shared" ca="1" si="142"/>
        <v/>
      </c>
      <c r="N639" s="27"/>
      <c r="O639" s="60"/>
    </row>
    <row r="640" spans="1:15" ht="15" customHeight="1">
      <c r="A640" s="68">
        <v>46227</v>
      </c>
      <c r="B640" s="25">
        <f t="shared" si="143"/>
        <v>0.99999999999999956</v>
      </c>
      <c r="C640" s="26" t="s">
        <v>21</v>
      </c>
      <c r="D640" s="59" t="s">
        <v>30</v>
      </c>
      <c r="E640" s="59" t="s">
        <v>261</v>
      </c>
      <c r="F640" s="27">
        <v>12</v>
      </c>
      <c r="G640" s="28">
        <f t="shared" si="141"/>
        <v>50.400000000000006</v>
      </c>
      <c r="H640" s="26"/>
      <c r="I640" s="26"/>
      <c r="J640" s="26"/>
      <c r="K640" s="29"/>
      <c r="L640" s="29"/>
      <c r="M640" s="30" t="str">
        <f t="shared" ca="1" si="142"/>
        <v/>
      </c>
      <c r="N640" s="27"/>
      <c r="O640" s="60"/>
    </row>
    <row r="641" spans="1:15" ht="15" customHeight="1">
      <c r="A641" s="69">
        <v>46227</v>
      </c>
      <c r="B641" s="32">
        <f t="shared" si="143"/>
        <v>1.0416666666666663</v>
      </c>
      <c r="C641" s="26" t="s">
        <v>21</v>
      </c>
      <c r="D641" s="59" t="s">
        <v>30</v>
      </c>
      <c r="E641" s="59" t="s">
        <v>261</v>
      </c>
      <c r="F641" s="27">
        <v>0</v>
      </c>
      <c r="G641" s="34">
        <f t="shared" si="141"/>
        <v>0</v>
      </c>
      <c r="H641" s="33"/>
      <c r="I641" s="33"/>
      <c r="J641" s="33"/>
      <c r="K641" s="29"/>
      <c r="L641" s="29"/>
      <c r="M641" s="35" t="str">
        <f t="shared" ca="1" si="142"/>
        <v/>
      </c>
      <c r="N641" s="27"/>
      <c r="O641" s="60"/>
    </row>
    <row r="642" spans="1:15" ht="15" customHeight="1">
      <c r="A642" s="68">
        <v>46227</v>
      </c>
      <c r="B642" s="25">
        <f t="shared" si="143"/>
        <v>1.083333333333333</v>
      </c>
      <c r="C642" s="26" t="s">
        <v>21</v>
      </c>
      <c r="D642" s="59" t="s">
        <v>30</v>
      </c>
      <c r="E642" s="59" t="s">
        <v>261</v>
      </c>
      <c r="F642" s="27">
        <v>10</v>
      </c>
      <c r="G642" s="28">
        <f t="shared" si="141"/>
        <v>42</v>
      </c>
      <c r="H642" s="26"/>
      <c r="I642" s="26"/>
      <c r="J642" s="26"/>
      <c r="K642" s="29"/>
      <c r="L642" s="29"/>
      <c r="M642" s="30" t="str">
        <f t="shared" ca="1" si="142"/>
        <v/>
      </c>
      <c r="N642" s="27"/>
      <c r="O642" s="60"/>
    </row>
    <row r="643" spans="1:15" ht="15" customHeight="1">
      <c r="A643" s="69">
        <v>46227</v>
      </c>
      <c r="B643" s="32">
        <f t="shared" si="143"/>
        <v>1.1249999999999998</v>
      </c>
      <c r="C643" s="26" t="s">
        <v>21</v>
      </c>
      <c r="D643" s="59" t="s">
        <v>30</v>
      </c>
      <c r="E643" s="59" t="s">
        <v>261</v>
      </c>
      <c r="F643" s="27">
        <v>5</v>
      </c>
      <c r="G643" s="34">
        <f t="shared" si="141"/>
        <v>21</v>
      </c>
      <c r="H643" s="33"/>
      <c r="I643" s="33"/>
      <c r="J643" s="33"/>
      <c r="K643" s="29"/>
      <c r="L643" s="29"/>
      <c r="M643" s="35" t="str">
        <f t="shared" ca="1" si="142"/>
        <v/>
      </c>
      <c r="N643" s="27"/>
      <c r="O643" s="60"/>
    </row>
    <row r="644" spans="1:15" ht="15" customHeight="1">
      <c r="A644" s="68">
        <v>46227</v>
      </c>
      <c r="B644" s="25">
        <f t="shared" si="143"/>
        <v>1.1666666666666665</v>
      </c>
      <c r="C644" s="26" t="s">
        <v>21</v>
      </c>
      <c r="D644" s="59" t="s">
        <v>30</v>
      </c>
      <c r="E644" s="59" t="s">
        <v>261</v>
      </c>
      <c r="F644" s="27">
        <v>10</v>
      </c>
      <c r="G644" s="28">
        <f t="shared" si="141"/>
        <v>42</v>
      </c>
      <c r="H644" s="26"/>
      <c r="I644" s="26"/>
      <c r="J644" s="26"/>
      <c r="K644" s="29"/>
      <c r="L644" s="29"/>
      <c r="M644" s="30" t="str">
        <f t="shared" ca="1" si="142"/>
        <v/>
      </c>
      <c r="N644" s="27"/>
      <c r="O644" s="60"/>
    </row>
    <row r="645" spans="1:15" ht="15" customHeight="1">
      <c r="A645" s="69">
        <v>46227</v>
      </c>
      <c r="B645" s="32">
        <f t="shared" si="143"/>
        <v>1.2083333333333333</v>
      </c>
      <c r="C645" s="26" t="s">
        <v>21</v>
      </c>
      <c r="D645" s="59" t="s">
        <v>30</v>
      </c>
      <c r="E645" s="59" t="s">
        <v>261</v>
      </c>
      <c r="F645" s="27">
        <v>20</v>
      </c>
      <c r="G645" s="34">
        <f t="shared" si="141"/>
        <v>84</v>
      </c>
      <c r="H645" s="33"/>
      <c r="I645" s="33"/>
      <c r="J645" s="33"/>
      <c r="K645" s="29"/>
      <c r="L645" s="29"/>
      <c r="M645" s="35" t="str">
        <f t="shared" ca="1" si="142"/>
        <v/>
      </c>
      <c r="N645" s="27"/>
      <c r="O645" s="60"/>
    </row>
    <row r="646" spans="1:15" ht="15" customHeight="1">
      <c r="A646" s="68">
        <v>46227</v>
      </c>
      <c r="B646" s="25">
        <f t="shared" si="143"/>
        <v>1.25</v>
      </c>
      <c r="C646" s="26" t="s">
        <v>21</v>
      </c>
      <c r="D646" s="59" t="s">
        <v>30</v>
      </c>
      <c r="E646" s="59" t="s">
        <v>261</v>
      </c>
      <c r="F646" s="27">
        <v>12</v>
      </c>
      <c r="G646" s="28">
        <f t="shared" si="141"/>
        <v>50.400000000000006</v>
      </c>
      <c r="H646" s="26"/>
      <c r="I646" s="26"/>
      <c r="J646" s="26"/>
      <c r="K646" s="29"/>
      <c r="L646" s="29"/>
      <c r="M646" s="30" t="str">
        <f t="shared" ca="1" si="142"/>
        <v/>
      </c>
      <c r="N646" s="27"/>
      <c r="O646" s="60"/>
    </row>
    <row r="647" spans="1:15" ht="15" customHeight="1">
      <c r="A647" s="69">
        <v>46227</v>
      </c>
      <c r="B647" s="32">
        <f t="shared" si="143"/>
        <v>1.2916666666666667</v>
      </c>
      <c r="C647" s="26" t="s">
        <v>21</v>
      </c>
      <c r="D647" s="59" t="s">
        <v>30</v>
      </c>
      <c r="E647" s="59" t="s">
        <v>261</v>
      </c>
      <c r="F647" s="27">
        <v>0</v>
      </c>
      <c r="G647" s="34">
        <f t="shared" si="141"/>
        <v>0</v>
      </c>
      <c r="H647" s="33"/>
      <c r="I647" s="33"/>
      <c r="J647" s="33"/>
      <c r="K647" s="29"/>
      <c r="L647" s="29"/>
      <c r="M647" s="35" t="str">
        <f t="shared" ca="1" si="142"/>
        <v/>
      </c>
      <c r="N647" s="27"/>
      <c r="O647" s="60"/>
    </row>
    <row r="648" spans="1:15" ht="15.75" customHeight="1">
      <c r="A648" s="119" t="s">
        <v>238</v>
      </c>
      <c r="B648" s="120"/>
      <c r="C648" s="120"/>
      <c r="D648" s="120"/>
      <c r="E648" s="121">
        <f>SUM(E636:E647)</f>
        <v>0</v>
      </c>
      <c r="F648" s="36">
        <f>SUM(F636:F647)</f>
        <v>69</v>
      </c>
      <c r="G648" s="36">
        <f>SUM(G636:G647)</f>
        <v>289.8</v>
      </c>
      <c r="H648" s="37"/>
      <c r="I648" s="37"/>
      <c r="J648" s="37"/>
      <c r="K648" s="61"/>
      <c r="L648" s="61"/>
      <c r="M648" s="38">
        <f ca="1">IFERROR(SUM(M636:M647),"")</f>
        <v>0.2458333333333334</v>
      </c>
      <c r="N648" s="36" t="s">
        <v>237</v>
      </c>
      <c r="O648" s="39">
        <v>284850</v>
      </c>
    </row>
    <row r="649" spans="1:15" ht="18" customHeight="1">
      <c r="A649" s="122" t="s">
        <v>239</v>
      </c>
      <c r="B649" s="123"/>
      <c r="C649" s="123"/>
      <c r="D649" s="123"/>
      <c r="E649" s="124">
        <f>E635+E648</f>
        <v>0</v>
      </c>
      <c r="F649" s="40">
        <f>F635+F648</f>
        <v>155</v>
      </c>
      <c r="G649" s="40">
        <f>G635+G648</f>
        <v>651</v>
      </c>
      <c r="H649" s="41"/>
      <c r="I649" s="41"/>
      <c r="J649" s="41"/>
      <c r="K649" s="63"/>
      <c r="L649" s="63"/>
      <c r="M649" s="42">
        <f ca="1">IFERROR(M635+M648,"")</f>
        <v>0.42222222222222239</v>
      </c>
      <c r="N649" s="40" t="s">
        <v>240</v>
      </c>
      <c r="O649" s="48">
        <f>IFERROR(O635+O648,"")</f>
        <v>645270</v>
      </c>
    </row>
    <row r="650" spans="1:15" ht="15" customHeight="1">
      <c r="A650" s="68">
        <v>46228</v>
      </c>
      <c r="B650" s="25">
        <v>0.33333333333333298</v>
      </c>
      <c r="C650" s="26" t="s">
        <v>29</v>
      </c>
      <c r="D650" s="59" t="s">
        <v>30</v>
      </c>
      <c r="E650" s="59"/>
      <c r="F650" s="27">
        <v>0</v>
      </c>
      <c r="G650" s="28" t="str">
        <f t="shared" ref="G650:G661" si="144">IF(F650="","",IF(E650="PC 17",F650*4.2,IF(E650="PC 19",F650*5,"")))</f>
        <v/>
      </c>
      <c r="H650" s="26" t="s">
        <v>18</v>
      </c>
      <c r="I650" s="26" t="s">
        <v>75</v>
      </c>
      <c r="J650" s="26" t="s">
        <v>221</v>
      </c>
      <c r="K650" s="29">
        <v>0.29166666666666669</v>
      </c>
      <c r="L650" s="29">
        <v>0.79166666666666663</v>
      </c>
      <c r="M650" s="30">
        <f t="shared" ref="M650:M661" ca="1" si="145">IFERROR(IF(K650="","",IF(L650="",MOD(NOW()-K650,1),IF(L650&gt;=K650,L650-K650,L650+1-K650))),"")</f>
        <v>0.49999999999999994</v>
      </c>
      <c r="N650" s="27" t="s">
        <v>430</v>
      </c>
      <c r="O650" s="60"/>
    </row>
    <row r="651" spans="1:15" ht="15" customHeight="1">
      <c r="A651" s="69">
        <v>46228</v>
      </c>
      <c r="B651" s="32">
        <f t="shared" ref="B651:B661" si="146">B650+TIME(0,60,0)</f>
        <v>0.37499999999999967</v>
      </c>
      <c r="C651" s="26" t="s">
        <v>29</v>
      </c>
      <c r="D651" s="59" t="s">
        <v>30</v>
      </c>
      <c r="E651" s="59"/>
      <c r="F651" s="27">
        <v>0</v>
      </c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27"/>
      <c r="O651" s="60"/>
    </row>
    <row r="652" spans="1:15" ht="15" customHeight="1">
      <c r="A652" s="68">
        <v>46228</v>
      </c>
      <c r="B652" s="25">
        <f t="shared" si="146"/>
        <v>0.41666666666666635</v>
      </c>
      <c r="C652" s="26" t="s">
        <v>29</v>
      </c>
      <c r="D652" s="59" t="s">
        <v>30</v>
      </c>
      <c r="E652" s="59"/>
      <c r="F652" s="27">
        <v>0</v>
      </c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27"/>
      <c r="O652" s="60"/>
    </row>
    <row r="653" spans="1:15" ht="15" customHeight="1">
      <c r="A653" s="69">
        <v>46228</v>
      </c>
      <c r="B653" s="32">
        <f t="shared" si="146"/>
        <v>0.45833333333333304</v>
      </c>
      <c r="C653" s="26" t="s">
        <v>29</v>
      </c>
      <c r="D653" s="59" t="s">
        <v>30</v>
      </c>
      <c r="E653" s="59"/>
      <c r="F653" s="27">
        <v>0</v>
      </c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27"/>
      <c r="O653" s="60"/>
    </row>
    <row r="654" spans="1:15" ht="15" customHeight="1">
      <c r="A654" s="68">
        <v>46228</v>
      </c>
      <c r="B654" s="25">
        <f t="shared" si="146"/>
        <v>0.49999999999999972</v>
      </c>
      <c r="C654" s="26" t="s">
        <v>29</v>
      </c>
      <c r="D654" s="59" t="s">
        <v>30</v>
      </c>
      <c r="E654" s="59"/>
      <c r="F654" s="27">
        <v>0</v>
      </c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27"/>
      <c r="O654" s="60"/>
    </row>
    <row r="655" spans="1:15" ht="15" customHeight="1">
      <c r="A655" s="69">
        <v>46228</v>
      </c>
      <c r="B655" s="32">
        <f t="shared" si="146"/>
        <v>0.54166666666666641</v>
      </c>
      <c r="C655" s="26" t="s">
        <v>29</v>
      </c>
      <c r="D655" s="59" t="s">
        <v>30</v>
      </c>
      <c r="E655" s="59"/>
      <c r="F655" s="27">
        <v>0</v>
      </c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27"/>
      <c r="O655" s="60"/>
    </row>
    <row r="656" spans="1:15" ht="15" customHeight="1">
      <c r="A656" s="68">
        <v>46228</v>
      </c>
      <c r="B656" s="25">
        <f t="shared" si="146"/>
        <v>0.58333333333333304</v>
      </c>
      <c r="C656" s="26" t="s">
        <v>29</v>
      </c>
      <c r="D656" s="59" t="s">
        <v>30</v>
      </c>
      <c r="E656" s="59"/>
      <c r="F656" s="27">
        <v>0</v>
      </c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27"/>
      <c r="O656" s="60"/>
    </row>
    <row r="657" spans="1:15" ht="15" customHeight="1">
      <c r="A657" s="69">
        <v>46228</v>
      </c>
      <c r="B657" s="32">
        <f t="shared" si="146"/>
        <v>0.62499999999999967</v>
      </c>
      <c r="C657" s="26" t="s">
        <v>29</v>
      </c>
      <c r="D657" s="59" t="s">
        <v>30</v>
      </c>
      <c r="E657" s="59"/>
      <c r="F657" s="27">
        <v>0</v>
      </c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27"/>
      <c r="O657" s="60"/>
    </row>
    <row r="658" spans="1:15" ht="15" customHeight="1">
      <c r="A658" s="68">
        <v>46228</v>
      </c>
      <c r="B658" s="25">
        <f t="shared" si="146"/>
        <v>0.6666666666666663</v>
      </c>
      <c r="C658" s="26" t="s">
        <v>29</v>
      </c>
      <c r="D658" s="59" t="s">
        <v>30</v>
      </c>
      <c r="E658" s="59"/>
      <c r="F658" s="27">
        <v>0</v>
      </c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27"/>
      <c r="O658" s="60"/>
    </row>
    <row r="659" spans="1:15" ht="15" customHeight="1">
      <c r="A659" s="69">
        <v>46228</v>
      </c>
      <c r="B659" s="32">
        <f t="shared" si="146"/>
        <v>0.70833333333333293</v>
      </c>
      <c r="C659" s="26" t="s">
        <v>29</v>
      </c>
      <c r="D659" s="59" t="s">
        <v>30</v>
      </c>
      <c r="E659" s="59"/>
      <c r="F659" s="27">
        <v>0</v>
      </c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27"/>
      <c r="O659" s="60"/>
    </row>
    <row r="660" spans="1:15" ht="15" customHeight="1">
      <c r="A660" s="68">
        <v>46228</v>
      </c>
      <c r="B660" s="25">
        <f t="shared" si="146"/>
        <v>0.74999999999999956</v>
      </c>
      <c r="C660" s="26" t="s">
        <v>29</v>
      </c>
      <c r="D660" s="59" t="s">
        <v>30</v>
      </c>
      <c r="E660" s="59"/>
      <c r="F660" s="27">
        <v>0</v>
      </c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27"/>
      <c r="O660" s="60"/>
    </row>
    <row r="661" spans="1:15" ht="15" customHeight="1">
      <c r="A661" s="69">
        <v>46228</v>
      </c>
      <c r="B661" s="32">
        <f t="shared" si="146"/>
        <v>0.79166666666666619</v>
      </c>
      <c r="C661" s="26" t="s">
        <v>29</v>
      </c>
      <c r="D661" s="59" t="s">
        <v>30</v>
      </c>
      <c r="E661" s="59"/>
      <c r="F661" s="27">
        <v>0</v>
      </c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27"/>
      <c r="O661" s="60"/>
    </row>
    <row r="662" spans="1:15" ht="15.75" customHeight="1">
      <c r="A662" s="119" t="s">
        <v>236</v>
      </c>
      <c r="B662" s="120"/>
      <c r="C662" s="120"/>
      <c r="D662" s="120"/>
      <c r="E662" s="121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61"/>
      <c r="L662" s="61"/>
      <c r="M662" s="38">
        <f ca="1">IFERROR(SUM(M650:M661),"")</f>
        <v>0.49999999999999994</v>
      </c>
      <c r="N662" s="36" t="s">
        <v>237</v>
      </c>
      <c r="O662" s="39"/>
    </row>
    <row r="663" spans="1:15" ht="15" customHeight="1">
      <c r="A663" s="69">
        <v>46228</v>
      </c>
      <c r="B663" s="32">
        <v>0.83333333333333304</v>
      </c>
      <c r="C663" s="33" t="s">
        <v>21</v>
      </c>
      <c r="D663" s="62"/>
      <c r="E663" s="62"/>
      <c r="F663" s="27"/>
      <c r="G663" s="34" t="str">
        <f t="shared" ref="G663:G674" si="147">IF(F663="","",IF(E663="PC 17",F663*4.2,IF(E663="PC 19",F663*5,"")))</f>
        <v/>
      </c>
      <c r="H663" s="33" t="s">
        <v>18</v>
      </c>
      <c r="I663" s="33" t="s">
        <v>75</v>
      </c>
      <c r="J663" s="33" t="s">
        <v>221</v>
      </c>
      <c r="K663" s="29">
        <v>0.79166666666666663</v>
      </c>
      <c r="L663" s="29">
        <v>2.7777777777777776E-2</v>
      </c>
      <c r="M663" s="35">
        <f t="shared" ref="M663:M674" ca="1" si="148">IFERROR(IF(K663="","",IF(L663="",MOD(NOW()-K663,1),IF(L663&gt;=K663,L663-K663,L663+1-K663))),"")</f>
        <v>0.23611111111111105</v>
      </c>
      <c r="N663" s="27"/>
      <c r="O663" s="60"/>
    </row>
    <row r="664" spans="1:15" ht="15" customHeight="1">
      <c r="A664" s="68">
        <v>46228</v>
      </c>
      <c r="B664" s="25">
        <f t="shared" ref="B664:B674" si="149">B663+TIME(0,60,0)</f>
        <v>0.87499999999999967</v>
      </c>
      <c r="C664" s="33" t="s">
        <v>21</v>
      </c>
      <c r="D664" s="62"/>
      <c r="E664" s="62"/>
      <c r="F664" s="27"/>
      <c r="G664" s="28" t="str">
        <f t="shared" si="147"/>
        <v/>
      </c>
      <c r="H664" s="26" t="s">
        <v>19</v>
      </c>
      <c r="I664" s="26" t="s">
        <v>160</v>
      </c>
      <c r="J664" s="26" t="s">
        <v>27</v>
      </c>
      <c r="K664" s="29">
        <v>0.22222222222222221</v>
      </c>
      <c r="L664" s="29">
        <v>0.24166666666666667</v>
      </c>
      <c r="M664" s="30">
        <f t="shared" ca="1" si="148"/>
        <v>1.9444444444444459E-2</v>
      </c>
      <c r="N664" s="27"/>
      <c r="O664" s="60"/>
    </row>
    <row r="665" spans="1:15" ht="15" customHeight="1">
      <c r="A665" s="69">
        <v>46228</v>
      </c>
      <c r="B665" s="32">
        <f t="shared" si="149"/>
        <v>0.9166666666666663</v>
      </c>
      <c r="C665" s="33" t="s">
        <v>21</v>
      </c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27"/>
      <c r="O665" s="60"/>
    </row>
    <row r="666" spans="1:15" ht="15" customHeight="1">
      <c r="A666" s="68">
        <v>46228</v>
      </c>
      <c r="B666" s="25">
        <f t="shared" si="149"/>
        <v>0.95833333333333293</v>
      </c>
      <c r="C666" s="33" t="s">
        <v>21</v>
      </c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27" t="s">
        <v>431</v>
      </c>
      <c r="O666" s="60"/>
    </row>
    <row r="667" spans="1:15" ht="15" customHeight="1">
      <c r="A667" s="69">
        <v>46228</v>
      </c>
      <c r="B667" s="32">
        <f t="shared" si="149"/>
        <v>0.99999999999999956</v>
      </c>
      <c r="C667" s="33" t="s">
        <v>21</v>
      </c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27"/>
      <c r="O667" s="60"/>
    </row>
    <row r="668" spans="1:15" ht="15" customHeight="1">
      <c r="A668" s="68">
        <v>46228</v>
      </c>
      <c r="B668" s="25">
        <f t="shared" si="149"/>
        <v>1.0416666666666663</v>
      </c>
      <c r="C668" s="33" t="s">
        <v>21</v>
      </c>
      <c r="D668" s="62" t="s">
        <v>30</v>
      </c>
      <c r="E668" s="62" t="s">
        <v>261</v>
      </c>
      <c r="F668" s="27">
        <v>13</v>
      </c>
      <c r="G668" s="28">
        <f t="shared" si="147"/>
        <v>54.6</v>
      </c>
      <c r="H668" s="26"/>
      <c r="I668" s="26"/>
      <c r="J668" s="26"/>
      <c r="K668" s="29"/>
      <c r="L668" s="29"/>
      <c r="M668" s="30" t="str">
        <f t="shared" ca="1" si="148"/>
        <v/>
      </c>
      <c r="N668" s="27"/>
      <c r="O668" s="60"/>
    </row>
    <row r="669" spans="1:15" ht="15" customHeight="1">
      <c r="A669" s="69">
        <v>46228</v>
      </c>
      <c r="B669" s="32">
        <f t="shared" si="149"/>
        <v>1.083333333333333</v>
      </c>
      <c r="C669" s="33" t="s">
        <v>21</v>
      </c>
      <c r="D669" s="62" t="s">
        <v>30</v>
      </c>
      <c r="E669" s="62" t="s">
        <v>261</v>
      </c>
      <c r="F669" s="27">
        <v>20</v>
      </c>
      <c r="G669" s="34">
        <f t="shared" si="147"/>
        <v>84</v>
      </c>
      <c r="H669" s="33"/>
      <c r="I669" s="33"/>
      <c r="J669" s="33"/>
      <c r="K669" s="29"/>
      <c r="L669" s="29"/>
      <c r="M669" s="35" t="str">
        <f t="shared" ca="1" si="148"/>
        <v/>
      </c>
      <c r="N669" s="27"/>
      <c r="O669" s="60"/>
    </row>
    <row r="670" spans="1:15" ht="15" customHeight="1">
      <c r="A670" s="68">
        <v>46228</v>
      </c>
      <c r="B670" s="25">
        <f t="shared" si="149"/>
        <v>1.1249999999999998</v>
      </c>
      <c r="C670" s="33" t="s">
        <v>21</v>
      </c>
      <c r="D670" s="62" t="s">
        <v>30</v>
      </c>
      <c r="E670" s="62" t="s">
        <v>261</v>
      </c>
      <c r="F670" s="27">
        <v>20</v>
      </c>
      <c r="G670" s="28">
        <f t="shared" si="147"/>
        <v>84</v>
      </c>
      <c r="H670" s="26"/>
      <c r="I670" s="26"/>
      <c r="J670" s="26"/>
      <c r="K670" s="29"/>
      <c r="L670" s="29"/>
      <c r="M670" s="30" t="str">
        <f t="shared" ca="1" si="148"/>
        <v/>
      </c>
      <c r="N670" s="27"/>
      <c r="O670" s="60"/>
    </row>
    <row r="671" spans="1:15" ht="15" customHeight="1">
      <c r="A671" s="69">
        <v>46228</v>
      </c>
      <c r="B671" s="32">
        <f t="shared" si="149"/>
        <v>1.1666666666666665</v>
      </c>
      <c r="C671" s="33" t="s">
        <v>21</v>
      </c>
      <c r="D671" s="62" t="s">
        <v>30</v>
      </c>
      <c r="E671" s="62" t="s">
        <v>261</v>
      </c>
      <c r="F671" s="27">
        <v>15</v>
      </c>
      <c r="G671" s="34">
        <f t="shared" si="147"/>
        <v>63</v>
      </c>
      <c r="H671" s="33"/>
      <c r="I671" s="33"/>
      <c r="J671" s="33"/>
      <c r="K671" s="29"/>
      <c r="L671" s="29"/>
      <c r="M671" s="35" t="str">
        <f t="shared" ca="1" si="148"/>
        <v/>
      </c>
      <c r="N671" s="27"/>
      <c r="O671" s="60"/>
    </row>
    <row r="672" spans="1:15" ht="15" customHeight="1">
      <c r="A672" s="68">
        <v>46228</v>
      </c>
      <c r="B672" s="25">
        <f t="shared" si="149"/>
        <v>1.2083333333333333</v>
      </c>
      <c r="C672" s="33" t="s">
        <v>21</v>
      </c>
      <c r="D672" s="62" t="s">
        <v>30</v>
      </c>
      <c r="E672" s="62" t="s">
        <v>261</v>
      </c>
      <c r="F672" s="27">
        <v>22</v>
      </c>
      <c r="G672" s="28">
        <f t="shared" si="147"/>
        <v>92.4</v>
      </c>
      <c r="H672" s="26"/>
      <c r="I672" s="26"/>
      <c r="J672" s="26"/>
      <c r="K672" s="29"/>
      <c r="L672" s="29"/>
      <c r="M672" s="30" t="str">
        <f t="shared" ca="1" si="148"/>
        <v/>
      </c>
      <c r="N672" s="27"/>
      <c r="O672" s="60"/>
    </row>
    <row r="673" spans="1:15" ht="15" customHeight="1">
      <c r="A673" s="69">
        <v>46228</v>
      </c>
      <c r="B673" s="32">
        <f t="shared" si="149"/>
        <v>1.25</v>
      </c>
      <c r="C673" s="33" t="s">
        <v>21</v>
      </c>
      <c r="D673" s="62" t="s">
        <v>30</v>
      </c>
      <c r="E673" s="62" t="s">
        <v>261</v>
      </c>
      <c r="F673" s="27">
        <v>11</v>
      </c>
      <c r="G673" s="34">
        <f t="shared" si="147"/>
        <v>46.2</v>
      </c>
      <c r="H673" s="33"/>
      <c r="I673" s="33"/>
      <c r="J673" s="33"/>
      <c r="K673" s="29"/>
      <c r="L673" s="29"/>
      <c r="M673" s="35" t="str">
        <f t="shared" ca="1" si="148"/>
        <v/>
      </c>
      <c r="N673" s="27"/>
      <c r="O673" s="60"/>
    </row>
    <row r="674" spans="1:15" ht="15" customHeight="1">
      <c r="A674" s="68">
        <v>46228</v>
      </c>
      <c r="B674" s="25">
        <f t="shared" si="149"/>
        <v>1.2916666666666667</v>
      </c>
      <c r="C674" s="33" t="s">
        <v>21</v>
      </c>
      <c r="D674" s="62" t="s">
        <v>30</v>
      </c>
      <c r="E674" s="62" t="s">
        <v>261</v>
      </c>
      <c r="F674" s="27">
        <v>7</v>
      </c>
      <c r="G674" s="28">
        <f t="shared" si="147"/>
        <v>29.400000000000002</v>
      </c>
      <c r="H674" s="26"/>
      <c r="I674" s="26"/>
      <c r="J674" s="26"/>
      <c r="K674" s="29"/>
      <c r="L674" s="29"/>
      <c r="M674" s="30" t="str">
        <f t="shared" ca="1" si="148"/>
        <v/>
      </c>
      <c r="N674" s="27"/>
      <c r="O674" s="60"/>
    </row>
    <row r="675" spans="1:15" ht="15.75" customHeight="1">
      <c r="A675" s="119" t="s">
        <v>238</v>
      </c>
      <c r="B675" s="120"/>
      <c r="C675" s="120"/>
      <c r="D675" s="120"/>
      <c r="E675" s="121">
        <f>SUM(E663:E674)</f>
        <v>0</v>
      </c>
      <c r="F675" s="36">
        <f>SUM(F663:F674)</f>
        <v>108</v>
      </c>
      <c r="G675" s="36">
        <f>SUM(G663:G674)</f>
        <v>453.59999999999997</v>
      </c>
      <c r="H675" s="37"/>
      <c r="I675" s="37"/>
      <c r="J675" s="37"/>
      <c r="K675" s="61"/>
      <c r="L675" s="61"/>
      <c r="M675" s="38">
        <f ca="1">IFERROR(SUM(M663:M674),"")</f>
        <v>0.25555555555555554</v>
      </c>
      <c r="N675" s="36" t="s">
        <v>237</v>
      </c>
      <c r="O675" s="39">
        <v>486620</v>
      </c>
    </row>
    <row r="676" spans="1:15" ht="18" customHeight="1">
      <c r="A676" s="122" t="s">
        <v>239</v>
      </c>
      <c r="B676" s="123"/>
      <c r="C676" s="123"/>
      <c r="D676" s="123"/>
      <c r="E676" s="124">
        <f>E662+E675</f>
        <v>0</v>
      </c>
      <c r="F676" s="40">
        <f>F662+F675</f>
        <v>108</v>
      </c>
      <c r="G676" s="40">
        <f>G662+G675</f>
        <v>453.59999999999997</v>
      </c>
      <c r="H676" s="41"/>
      <c r="I676" s="41"/>
      <c r="J676" s="41"/>
      <c r="K676" s="63"/>
      <c r="L676" s="63"/>
      <c r="M676" s="42">
        <f ca="1">IFERROR(M662+M675,"")</f>
        <v>0.75555555555555554</v>
      </c>
      <c r="N676" s="40" t="s">
        <v>240</v>
      </c>
      <c r="O676" s="48">
        <f>IFERROR(O662+O675,"")</f>
        <v>486620</v>
      </c>
    </row>
    <row r="677" spans="1:15" ht="15" customHeight="1">
      <c r="A677" s="69">
        <v>46229</v>
      </c>
      <c r="B677" s="32">
        <v>0.33333333333333298</v>
      </c>
      <c r="C677" s="33" t="s">
        <v>29</v>
      </c>
      <c r="D677" s="62" t="s">
        <v>30</v>
      </c>
      <c r="E677" s="62" t="s">
        <v>261</v>
      </c>
      <c r="F677" s="27">
        <v>22</v>
      </c>
      <c r="G677" s="34">
        <f t="shared" ref="G677:G688" si="150">IF(F677="","",IF(E677="PC 17",F677*4.2,IF(E677="PC 19",F677*5,"")))</f>
        <v>92.4</v>
      </c>
      <c r="H677" s="33" t="s">
        <v>20</v>
      </c>
      <c r="I677" s="33" t="s">
        <v>57</v>
      </c>
      <c r="J677" s="33" t="s">
        <v>51</v>
      </c>
      <c r="K677" s="29">
        <v>0.31736111111111109</v>
      </c>
      <c r="L677" s="29">
        <v>0.31944444444444442</v>
      </c>
      <c r="M677" s="35">
        <f t="shared" ref="M677:M688" ca="1" si="151">IFERROR(IF(K677="","",IF(L677="",MOD(NOW()-K677,1),IF(L677&gt;=K677,L677-K677,L677+1-K677))),"")</f>
        <v>2.0833333333333259E-3</v>
      </c>
      <c r="N677" s="27"/>
      <c r="O677" s="60"/>
    </row>
    <row r="678" spans="1:15" ht="15" customHeight="1">
      <c r="A678" s="68">
        <v>46229</v>
      </c>
      <c r="B678" s="25">
        <f t="shared" ref="B678:B688" si="152">B677+TIME(0,60,0)</f>
        <v>0.37499999999999967</v>
      </c>
      <c r="C678" s="33" t="s">
        <v>29</v>
      </c>
      <c r="D678" s="62" t="s">
        <v>30</v>
      </c>
      <c r="E678" s="62" t="s">
        <v>261</v>
      </c>
      <c r="F678" s="27">
        <v>20</v>
      </c>
      <c r="G678" s="28">
        <f t="shared" si="150"/>
        <v>84</v>
      </c>
      <c r="H678" s="26" t="s">
        <v>18</v>
      </c>
      <c r="I678" s="26" t="s">
        <v>160</v>
      </c>
      <c r="J678" s="26" t="s">
        <v>122</v>
      </c>
      <c r="K678" s="29">
        <v>0.39861111111111114</v>
      </c>
      <c r="L678" s="29">
        <v>0.43472222222222223</v>
      </c>
      <c r="M678" s="30">
        <f t="shared" ca="1" si="151"/>
        <v>3.6111111111111094E-2</v>
      </c>
      <c r="N678" s="27"/>
      <c r="O678" s="60"/>
    </row>
    <row r="679" spans="1:15" ht="15" customHeight="1">
      <c r="A679" s="69">
        <v>46229</v>
      </c>
      <c r="B679" s="32">
        <f t="shared" si="152"/>
        <v>0.41666666666666635</v>
      </c>
      <c r="C679" s="33" t="s">
        <v>29</v>
      </c>
      <c r="D679" s="62" t="s">
        <v>30</v>
      </c>
      <c r="E679" s="62" t="s">
        <v>261</v>
      </c>
      <c r="F679" s="27">
        <v>14</v>
      </c>
      <c r="G679" s="34">
        <f t="shared" si="150"/>
        <v>58.800000000000004</v>
      </c>
      <c r="H679" s="33" t="s">
        <v>20</v>
      </c>
      <c r="I679" s="33" t="s">
        <v>57</v>
      </c>
      <c r="J679" s="33" t="s">
        <v>62</v>
      </c>
      <c r="K679" s="29">
        <v>0.50763888888888886</v>
      </c>
      <c r="L679" s="29">
        <v>0.51597222222222228</v>
      </c>
      <c r="M679" s="35">
        <f t="shared" ca="1" si="151"/>
        <v>8.3333333333334147E-3</v>
      </c>
      <c r="N679" s="27"/>
      <c r="O679" s="60"/>
    </row>
    <row r="680" spans="1:15" ht="15" customHeight="1">
      <c r="A680" s="68">
        <v>46229</v>
      </c>
      <c r="B680" s="25">
        <f t="shared" si="152"/>
        <v>0.45833333333333304</v>
      </c>
      <c r="C680" s="33" t="s">
        <v>29</v>
      </c>
      <c r="D680" s="62" t="s">
        <v>30</v>
      </c>
      <c r="E680" s="62" t="s">
        <v>261</v>
      </c>
      <c r="F680" s="27">
        <v>13</v>
      </c>
      <c r="G680" s="28">
        <f t="shared" si="150"/>
        <v>54.6</v>
      </c>
      <c r="H680" s="26" t="s">
        <v>20</v>
      </c>
      <c r="I680" s="26" t="s">
        <v>52</v>
      </c>
      <c r="J680" s="26" t="s">
        <v>28</v>
      </c>
      <c r="K680" s="29">
        <v>0.57638888888888884</v>
      </c>
      <c r="L680" s="29">
        <v>0.59722222222222221</v>
      </c>
      <c r="M680" s="30">
        <f t="shared" ca="1" si="151"/>
        <v>2.083333333333337E-2</v>
      </c>
      <c r="N680" s="27"/>
      <c r="O680" s="60"/>
    </row>
    <row r="681" spans="1:15" ht="15" customHeight="1">
      <c r="A681" s="69">
        <v>46229</v>
      </c>
      <c r="B681" s="32">
        <f t="shared" si="152"/>
        <v>0.49999999999999972</v>
      </c>
      <c r="C681" s="33" t="s">
        <v>29</v>
      </c>
      <c r="D681" s="62" t="s">
        <v>30</v>
      </c>
      <c r="E681" s="57" t="s">
        <v>261</v>
      </c>
      <c r="F681" s="27">
        <v>10</v>
      </c>
      <c r="G681" s="34">
        <f>IF(F681="","",IF(E682="PC 17",F681*4.2,IF(E682="PC 19",F681*5,"")))</f>
        <v>42</v>
      </c>
      <c r="H681" s="33" t="s">
        <v>19</v>
      </c>
      <c r="I681" s="33" t="s">
        <v>160</v>
      </c>
      <c r="J681" s="33" t="s">
        <v>27</v>
      </c>
      <c r="K681" s="29">
        <v>0.70833333333333337</v>
      </c>
      <c r="L681" s="29">
        <v>0.72430555555555554</v>
      </c>
      <c r="M681" s="35">
        <f t="shared" ca="1" si="151"/>
        <v>1.5972222222222165E-2</v>
      </c>
      <c r="N681" s="27"/>
      <c r="O681" s="60"/>
    </row>
    <row r="682" spans="1:15" ht="15" customHeight="1">
      <c r="A682" s="68">
        <v>46229</v>
      </c>
      <c r="B682" s="25">
        <f t="shared" si="152"/>
        <v>0.54166666666666641</v>
      </c>
      <c r="C682" s="33" t="s">
        <v>29</v>
      </c>
      <c r="D682" s="62" t="s">
        <v>30</v>
      </c>
      <c r="E682" s="62" t="s">
        <v>261</v>
      </c>
      <c r="F682" s="27">
        <v>17</v>
      </c>
      <c r="G682" s="28"/>
      <c r="H682" s="26" t="s">
        <v>18</v>
      </c>
      <c r="I682" s="26" t="s">
        <v>52</v>
      </c>
      <c r="J682" s="26" t="s">
        <v>122</v>
      </c>
      <c r="K682" s="29">
        <v>0.72430555555555554</v>
      </c>
      <c r="L682" s="29">
        <v>0.7319444444444444</v>
      </c>
      <c r="M682" s="30">
        <f t="shared" ca="1" si="151"/>
        <v>7.6388888888888618E-3</v>
      </c>
      <c r="N682" s="27"/>
      <c r="O682" s="60"/>
    </row>
    <row r="683" spans="1:15" ht="15" customHeight="1">
      <c r="A683" s="69">
        <v>46229</v>
      </c>
      <c r="B683" s="32">
        <f t="shared" si="152"/>
        <v>0.58333333333333304</v>
      </c>
      <c r="C683" s="33" t="s">
        <v>29</v>
      </c>
      <c r="D683" s="62" t="s">
        <v>30</v>
      </c>
      <c r="E683" s="62" t="s">
        <v>261</v>
      </c>
      <c r="F683" s="27">
        <v>25</v>
      </c>
      <c r="G683" s="34">
        <f t="shared" si="150"/>
        <v>105</v>
      </c>
      <c r="H683" s="33"/>
      <c r="I683" s="33"/>
      <c r="J683" s="33"/>
      <c r="K683" s="29"/>
      <c r="L683" s="29"/>
      <c r="M683" s="35" t="str">
        <f t="shared" ca="1" si="151"/>
        <v/>
      </c>
      <c r="N683" s="27"/>
      <c r="O683" s="60"/>
    </row>
    <row r="684" spans="1:15" ht="15" customHeight="1">
      <c r="A684" s="68">
        <v>46229</v>
      </c>
      <c r="B684" s="25">
        <f t="shared" si="152"/>
        <v>0.62499999999999967</v>
      </c>
      <c r="C684" s="33" t="s">
        <v>29</v>
      </c>
      <c r="D684" s="62" t="s">
        <v>30</v>
      </c>
      <c r="E684" s="62" t="s">
        <v>261</v>
      </c>
      <c r="F684" s="27">
        <v>24</v>
      </c>
      <c r="G684" s="28">
        <f t="shared" si="150"/>
        <v>100.80000000000001</v>
      </c>
      <c r="H684" s="26"/>
      <c r="I684" s="26"/>
      <c r="J684" s="26"/>
      <c r="K684" s="29"/>
      <c r="L684" s="29"/>
      <c r="M684" s="30" t="str">
        <f t="shared" ca="1" si="151"/>
        <v/>
      </c>
      <c r="N684" s="27"/>
      <c r="O684" s="60"/>
    </row>
    <row r="685" spans="1:15" ht="15" customHeight="1">
      <c r="A685" s="69">
        <v>46229</v>
      </c>
      <c r="B685" s="32">
        <f t="shared" si="152"/>
        <v>0.6666666666666663</v>
      </c>
      <c r="C685" s="33" t="s">
        <v>29</v>
      </c>
      <c r="D685" s="62" t="s">
        <v>30</v>
      </c>
      <c r="E685" s="62" t="s">
        <v>261</v>
      </c>
      <c r="F685" s="27">
        <v>22</v>
      </c>
      <c r="G685" s="34">
        <f t="shared" si="150"/>
        <v>92.4</v>
      </c>
      <c r="H685" s="33"/>
      <c r="I685" s="33"/>
      <c r="J685" s="33"/>
      <c r="K685" s="29"/>
      <c r="L685" s="29"/>
      <c r="M685" s="35" t="str">
        <f t="shared" ca="1" si="151"/>
        <v/>
      </c>
      <c r="N685" s="27"/>
      <c r="O685" s="60"/>
    </row>
    <row r="686" spans="1:15" ht="15" customHeight="1">
      <c r="A686" s="68">
        <v>46229</v>
      </c>
      <c r="B686" s="25">
        <f t="shared" si="152"/>
        <v>0.70833333333333293</v>
      </c>
      <c r="C686" s="33" t="s">
        <v>29</v>
      </c>
      <c r="D686" s="62" t="s">
        <v>30</v>
      </c>
      <c r="E686" s="62" t="s">
        <v>261</v>
      </c>
      <c r="F686" s="27">
        <v>17</v>
      </c>
      <c r="G686" s="34">
        <f t="shared" si="150"/>
        <v>71.400000000000006</v>
      </c>
      <c r="H686" s="26"/>
      <c r="I686" s="26"/>
      <c r="J686" s="26"/>
      <c r="K686" s="29"/>
      <c r="L686" s="29"/>
      <c r="M686" s="30" t="str">
        <f t="shared" ca="1" si="151"/>
        <v/>
      </c>
      <c r="N686" s="27"/>
      <c r="O686" s="60"/>
    </row>
    <row r="687" spans="1:15" ht="15" customHeight="1">
      <c r="A687" s="69">
        <v>46229</v>
      </c>
      <c r="B687" s="32">
        <f t="shared" si="152"/>
        <v>0.74999999999999956</v>
      </c>
      <c r="C687" s="33" t="s">
        <v>29</v>
      </c>
      <c r="D687" s="62" t="s">
        <v>30</v>
      </c>
      <c r="E687" s="62" t="s">
        <v>261</v>
      </c>
      <c r="F687" s="27">
        <v>10</v>
      </c>
      <c r="G687" s="34">
        <f t="shared" si="150"/>
        <v>42</v>
      </c>
      <c r="H687" s="33"/>
      <c r="I687" s="33"/>
      <c r="J687" s="33"/>
      <c r="K687" s="29"/>
      <c r="L687" s="29"/>
      <c r="M687" s="35" t="str">
        <f t="shared" ca="1" si="151"/>
        <v/>
      </c>
      <c r="N687" s="27"/>
      <c r="O687" s="60"/>
    </row>
    <row r="688" spans="1:15" ht="15" customHeight="1">
      <c r="A688" s="68">
        <v>46229</v>
      </c>
      <c r="B688" s="25">
        <f t="shared" si="152"/>
        <v>0.79166666666666619</v>
      </c>
      <c r="C688" s="33" t="s">
        <v>29</v>
      </c>
      <c r="D688" s="62" t="s">
        <v>30</v>
      </c>
      <c r="E688" s="62" t="s">
        <v>261</v>
      </c>
      <c r="F688" s="27">
        <v>5</v>
      </c>
      <c r="G688" s="28">
        <f t="shared" si="150"/>
        <v>21</v>
      </c>
      <c r="H688" s="26"/>
      <c r="I688" s="26"/>
      <c r="J688" s="26"/>
      <c r="K688" s="29"/>
      <c r="L688" s="29"/>
      <c r="M688" s="30" t="str">
        <f t="shared" ca="1" si="151"/>
        <v/>
      </c>
      <c r="N688" s="27"/>
      <c r="O688" s="60"/>
    </row>
    <row r="689" spans="1:15" ht="15.75" customHeight="1">
      <c r="A689" s="119" t="s">
        <v>236</v>
      </c>
      <c r="B689" s="120"/>
      <c r="C689" s="120"/>
      <c r="D689" s="120"/>
      <c r="E689" s="121">
        <f>SUM(E677:E688)</f>
        <v>0</v>
      </c>
      <c r="F689" s="36">
        <f>SUM(F677:F688)</f>
        <v>199</v>
      </c>
      <c r="G689" s="36">
        <f>SUM(G677:G688)</f>
        <v>764.4</v>
      </c>
      <c r="H689" s="37"/>
      <c r="I689" s="37"/>
      <c r="J689" s="37"/>
      <c r="K689" s="61"/>
      <c r="L689" s="61"/>
      <c r="M689" s="38">
        <f ca="1">IFERROR(SUM(M677:M688),"")</f>
        <v>9.0972222222222232E-2</v>
      </c>
      <c r="N689" s="36" t="s">
        <v>237</v>
      </c>
      <c r="O689" s="39">
        <v>838060</v>
      </c>
    </row>
    <row r="690" spans="1:15" ht="15" customHeight="1">
      <c r="A690" s="68">
        <v>46229</v>
      </c>
      <c r="B690" s="25">
        <v>0.83333333333333304</v>
      </c>
      <c r="C690" s="26" t="s">
        <v>21</v>
      </c>
      <c r="D690" s="59" t="s">
        <v>30</v>
      </c>
      <c r="E690" s="59" t="s">
        <v>261</v>
      </c>
      <c r="F690" s="27">
        <v>26</v>
      </c>
      <c r="G690" s="28">
        <f t="shared" ref="G690:G701" si="153">IF(F690="","",IF(E690="PC 17",F690*4.2,IF(E690="PC 19",F690*5,"")))</f>
        <v>109.2</v>
      </c>
      <c r="H690" s="26" t="s">
        <v>20</v>
      </c>
      <c r="I690" s="26" t="s">
        <v>57</v>
      </c>
      <c r="J690" s="26" t="s">
        <v>28</v>
      </c>
      <c r="K690" s="29">
        <v>0.84722222222222221</v>
      </c>
      <c r="L690" s="29">
        <v>0.85763888888888884</v>
      </c>
      <c r="M690" s="30">
        <f t="shared" ref="M690:M701" ca="1" si="154">IFERROR(IF(K690="","",IF(L690="",MOD(NOW()-K690,1),IF(L690&gt;=K690,L690-K690,L690+1-K690))),"")</f>
        <v>1.041666666666663E-2</v>
      </c>
      <c r="N690" s="27"/>
      <c r="O690" s="60"/>
    </row>
    <row r="691" spans="1:15" ht="15" customHeight="1">
      <c r="A691" s="69">
        <v>46229</v>
      </c>
      <c r="B691" s="32">
        <f t="shared" ref="B691:B701" si="155">B690+TIME(0,60,0)</f>
        <v>0.87499999999999967</v>
      </c>
      <c r="C691" s="26" t="s">
        <v>21</v>
      </c>
      <c r="D691" s="59" t="s">
        <v>30</v>
      </c>
      <c r="E691" s="59" t="s">
        <v>234</v>
      </c>
      <c r="F691" s="27">
        <v>11</v>
      </c>
      <c r="G691" s="34">
        <f t="shared" si="153"/>
        <v>55</v>
      </c>
      <c r="H691" s="33" t="s">
        <v>20</v>
      </c>
      <c r="I691" s="33" t="s">
        <v>57</v>
      </c>
      <c r="J691" s="33" t="s">
        <v>56</v>
      </c>
      <c r="K691" s="29">
        <v>0.91319444444444442</v>
      </c>
      <c r="L691" s="29">
        <v>0.92500000000000004</v>
      </c>
      <c r="M691" s="35">
        <f t="shared" ca="1" si="154"/>
        <v>1.1805555555555625E-2</v>
      </c>
      <c r="N691" s="27" t="s">
        <v>432</v>
      </c>
      <c r="O691" s="60"/>
    </row>
    <row r="692" spans="1:15" ht="15" customHeight="1">
      <c r="A692" s="68">
        <v>46229</v>
      </c>
      <c r="B692" s="25">
        <f t="shared" si="155"/>
        <v>0.9166666666666663</v>
      </c>
      <c r="C692" s="26" t="s">
        <v>21</v>
      </c>
      <c r="D692" s="59" t="s">
        <v>30</v>
      </c>
      <c r="E692" s="59" t="s">
        <v>234</v>
      </c>
      <c r="F692" s="27">
        <v>14</v>
      </c>
      <c r="G692" s="28">
        <f t="shared" si="153"/>
        <v>70</v>
      </c>
      <c r="H692" s="26" t="s">
        <v>20</v>
      </c>
      <c r="I692" s="26" t="s">
        <v>57</v>
      </c>
      <c r="J692" s="26" t="s">
        <v>28</v>
      </c>
      <c r="K692" s="29">
        <v>0.16319444444444445</v>
      </c>
      <c r="L692" s="29">
        <v>0.19097222222222221</v>
      </c>
      <c r="M692" s="30">
        <f t="shared" ca="1" si="154"/>
        <v>2.7777777777777762E-2</v>
      </c>
      <c r="N692" s="27" t="s">
        <v>433</v>
      </c>
      <c r="O692" s="60"/>
    </row>
    <row r="693" spans="1:15" ht="15" customHeight="1">
      <c r="A693" s="69">
        <v>46229</v>
      </c>
      <c r="B693" s="32">
        <f t="shared" si="155"/>
        <v>0.95833333333333293</v>
      </c>
      <c r="C693" s="26" t="s">
        <v>21</v>
      </c>
      <c r="D693" s="59" t="s">
        <v>30</v>
      </c>
      <c r="E693" s="59" t="s">
        <v>261</v>
      </c>
      <c r="F693" s="27">
        <v>6</v>
      </c>
      <c r="G693" s="34">
        <f t="shared" si="153"/>
        <v>25.200000000000003</v>
      </c>
      <c r="H693" s="33"/>
      <c r="I693" s="33"/>
      <c r="J693" s="33"/>
      <c r="K693" s="29"/>
      <c r="L693" s="29"/>
      <c r="M693" s="35" t="str">
        <f t="shared" ca="1" si="154"/>
        <v/>
      </c>
      <c r="N693" s="27"/>
      <c r="O693" s="60"/>
    </row>
    <row r="694" spans="1:15" ht="15" customHeight="1">
      <c r="A694" s="68">
        <v>46229</v>
      </c>
      <c r="B694" s="25">
        <f t="shared" si="155"/>
        <v>0.99999999999999956</v>
      </c>
      <c r="C694" s="26" t="s">
        <v>21</v>
      </c>
      <c r="D694" s="59" t="s">
        <v>30</v>
      </c>
      <c r="E694" s="59" t="s">
        <v>261</v>
      </c>
      <c r="F694" s="27">
        <v>22</v>
      </c>
      <c r="G694" s="28">
        <f t="shared" si="153"/>
        <v>92.4</v>
      </c>
      <c r="H694" s="26"/>
      <c r="I694" s="26"/>
      <c r="J694" s="26"/>
      <c r="K694" s="29"/>
      <c r="L694" s="29"/>
      <c r="M694" s="30" t="str">
        <f t="shared" ca="1" si="154"/>
        <v/>
      </c>
      <c r="N694" s="27"/>
      <c r="O694" s="60"/>
    </row>
    <row r="695" spans="1:15" ht="15" customHeight="1">
      <c r="A695" s="69">
        <v>46229</v>
      </c>
      <c r="B695" s="32">
        <f t="shared" si="155"/>
        <v>1.0416666666666663</v>
      </c>
      <c r="C695" s="26" t="s">
        <v>21</v>
      </c>
      <c r="D695" s="59" t="s">
        <v>30</v>
      </c>
      <c r="E695" s="59" t="s">
        <v>261</v>
      </c>
      <c r="F695" s="27">
        <v>20</v>
      </c>
      <c r="G695" s="34">
        <f t="shared" si="153"/>
        <v>84</v>
      </c>
      <c r="H695" s="33"/>
      <c r="I695" s="33"/>
      <c r="J695" s="33"/>
      <c r="K695" s="29"/>
      <c r="L695" s="29"/>
      <c r="M695" s="35" t="str">
        <f t="shared" ca="1" si="154"/>
        <v/>
      </c>
      <c r="N695" s="27"/>
      <c r="O695" s="60"/>
    </row>
    <row r="696" spans="1:15" ht="15" customHeight="1">
      <c r="A696" s="68">
        <v>46229</v>
      </c>
      <c r="B696" s="25">
        <f t="shared" si="155"/>
        <v>1.083333333333333</v>
      </c>
      <c r="C696" s="26" t="s">
        <v>21</v>
      </c>
      <c r="D696" s="59" t="s">
        <v>30</v>
      </c>
      <c r="E696" s="59" t="s">
        <v>261</v>
      </c>
      <c r="F696" s="27">
        <v>22</v>
      </c>
      <c r="G696" s="28">
        <f t="shared" si="153"/>
        <v>92.4</v>
      </c>
      <c r="H696" s="26"/>
      <c r="I696" s="26"/>
      <c r="J696" s="26"/>
      <c r="K696" s="29"/>
      <c r="L696" s="29"/>
      <c r="M696" s="30" t="str">
        <f t="shared" ca="1" si="154"/>
        <v/>
      </c>
      <c r="N696" s="27"/>
      <c r="O696" s="60"/>
    </row>
    <row r="697" spans="1:15" ht="15" customHeight="1">
      <c r="A697" s="69">
        <v>46229</v>
      </c>
      <c r="B697" s="32">
        <f t="shared" si="155"/>
        <v>1.1249999999999998</v>
      </c>
      <c r="C697" s="26" t="s">
        <v>21</v>
      </c>
      <c r="D697" s="59" t="s">
        <v>30</v>
      </c>
      <c r="E697" s="59" t="s">
        <v>261</v>
      </c>
      <c r="F697" s="27">
        <v>14</v>
      </c>
      <c r="G697" s="34">
        <f t="shared" si="153"/>
        <v>58.800000000000004</v>
      </c>
      <c r="H697" s="33"/>
      <c r="I697" s="33"/>
      <c r="J697" s="33"/>
      <c r="K697" s="29"/>
      <c r="L697" s="29"/>
      <c r="M697" s="35" t="str">
        <f t="shared" ca="1" si="154"/>
        <v/>
      </c>
      <c r="N697" s="27"/>
      <c r="O697" s="60"/>
    </row>
    <row r="698" spans="1:15" ht="15" customHeight="1">
      <c r="A698" s="68">
        <v>46229</v>
      </c>
      <c r="B698" s="25">
        <f t="shared" si="155"/>
        <v>1.1666666666666665</v>
      </c>
      <c r="C698" s="26" t="s">
        <v>21</v>
      </c>
      <c r="D698" s="59" t="s">
        <v>30</v>
      </c>
      <c r="E698" s="59" t="s">
        <v>261</v>
      </c>
      <c r="F698" s="27">
        <v>25</v>
      </c>
      <c r="G698" s="28">
        <f t="shared" si="153"/>
        <v>105</v>
      </c>
      <c r="H698" s="26"/>
      <c r="I698" s="26"/>
      <c r="J698" s="26"/>
      <c r="K698" s="29"/>
      <c r="L698" s="29"/>
      <c r="M698" s="30" t="str">
        <f t="shared" ca="1" si="154"/>
        <v/>
      </c>
      <c r="N698" s="27"/>
      <c r="O698" s="60"/>
    </row>
    <row r="699" spans="1:15" ht="15" customHeight="1">
      <c r="A699" s="69">
        <v>46229</v>
      </c>
      <c r="B699" s="32">
        <f t="shared" si="155"/>
        <v>1.2083333333333333</v>
      </c>
      <c r="C699" s="26" t="s">
        <v>21</v>
      </c>
      <c r="D699" s="59" t="s">
        <v>30</v>
      </c>
      <c r="E699" s="59" t="s">
        <v>261</v>
      </c>
      <c r="F699" s="27">
        <v>5</v>
      </c>
      <c r="G699" s="34">
        <f t="shared" si="153"/>
        <v>21</v>
      </c>
      <c r="H699" s="33"/>
      <c r="I699" s="33"/>
      <c r="J699" s="33"/>
      <c r="K699" s="29"/>
      <c r="L699" s="29"/>
      <c r="M699" s="35" t="str">
        <f t="shared" ca="1" si="154"/>
        <v/>
      </c>
      <c r="N699" s="27"/>
      <c r="O699" s="60"/>
    </row>
    <row r="700" spans="1:15" ht="15" customHeight="1">
      <c r="A700" s="68">
        <v>46229</v>
      </c>
      <c r="B700" s="25">
        <f t="shared" si="155"/>
        <v>1.25</v>
      </c>
      <c r="C700" s="26" t="s">
        <v>21</v>
      </c>
      <c r="D700" s="59" t="s">
        <v>30</v>
      </c>
      <c r="E700" s="59" t="s">
        <v>261</v>
      </c>
      <c r="F700" s="27">
        <v>22</v>
      </c>
      <c r="G700" s="28">
        <f t="shared" si="153"/>
        <v>92.4</v>
      </c>
      <c r="H700" s="26"/>
      <c r="I700" s="26"/>
      <c r="J700" s="26"/>
      <c r="K700" s="29"/>
      <c r="L700" s="29"/>
      <c r="M700" s="30" t="str">
        <f t="shared" ca="1" si="154"/>
        <v/>
      </c>
      <c r="N700" s="27"/>
      <c r="O700" s="60"/>
    </row>
    <row r="701" spans="1:15" ht="15" customHeight="1">
      <c r="A701" s="69">
        <v>46229</v>
      </c>
      <c r="B701" s="32">
        <f t="shared" si="155"/>
        <v>1.2916666666666667</v>
      </c>
      <c r="C701" s="26" t="s">
        <v>21</v>
      </c>
      <c r="D701" s="59" t="s">
        <v>30</v>
      </c>
      <c r="E701" s="59" t="s">
        <v>261</v>
      </c>
      <c r="F701" s="27">
        <v>5</v>
      </c>
      <c r="G701" s="34">
        <f t="shared" si="153"/>
        <v>21</v>
      </c>
      <c r="H701" s="33"/>
      <c r="I701" s="33"/>
      <c r="J701" s="33"/>
      <c r="K701" s="29"/>
      <c r="L701" s="29"/>
      <c r="M701" s="35" t="str">
        <f t="shared" ca="1" si="154"/>
        <v/>
      </c>
      <c r="N701" s="27"/>
      <c r="O701" s="60"/>
    </row>
    <row r="702" spans="1:15" ht="15.75" customHeight="1">
      <c r="A702" s="119" t="s">
        <v>238</v>
      </c>
      <c r="B702" s="120"/>
      <c r="C702" s="120"/>
      <c r="D702" s="120"/>
      <c r="E702" s="121">
        <f>SUM(E690:E701)</f>
        <v>0</v>
      </c>
      <c r="F702" s="36">
        <f>SUM(F690:F701)</f>
        <v>192</v>
      </c>
      <c r="G702" s="36">
        <f>SUM(G690:G701)</f>
        <v>826.39999999999986</v>
      </c>
      <c r="H702" s="37"/>
      <c r="I702" s="37"/>
      <c r="J702" s="37"/>
      <c r="K702" s="61"/>
      <c r="L702" s="61"/>
      <c r="M702" s="38">
        <f ca="1">IFERROR(SUM(M690:M701),"")</f>
        <v>5.0000000000000017E-2</v>
      </c>
      <c r="N702" s="36" t="s">
        <v>237</v>
      </c>
      <c r="O702" s="39">
        <v>988790</v>
      </c>
    </row>
    <row r="703" spans="1:15" ht="18" customHeight="1">
      <c r="A703" s="122" t="s">
        <v>239</v>
      </c>
      <c r="B703" s="123"/>
      <c r="C703" s="123"/>
      <c r="D703" s="123"/>
      <c r="E703" s="124">
        <f>E689+E702</f>
        <v>0</v>
      </c>
      <c r="F703" s="40">
        <f>F689+F702</f>
        <v>391</v>
      </c>
      <c r="G703" s="40">
        <f>G689+G702</f>
        <v>1590.7999999999997</v>
      </c>
      <c r="H703" s="41"/>
      <c r="I703" s="41"/>
      <c r="J703" s="41"/>
      <c r="K703" s="63"/>
      <c r="L703" s="63"/>
      <c r="M703" s="42">
        <f ca="1">IFERROR(M689+M702,"")</f>
        <v>0.14097222222222225</v>
      </c>
      <c r="N703" s="40" t="s">
        <v>240</v>
      </c>
      <c r="O703" s="48">
        <f>IFERROR(O689+O702,"")</f>
        <v>1826850</v>
      </c>
    </row>
    <row r="704" spans="1:15" ht="15" customHeight="1">
      <c r="A704" s="68">
        <v>46230</v>
      </c>
      <c r="B704" s="25">
        <v>0.33333333333333298</v>
      </c>
      <c r="C704" s="26" t="s">
        <v>29</v>
      </c>
      <c r="D704" s="59" t="s">
        <v>30</v>
      </c>
      <c r="E704" s="59" t="s">
        <v>261</v>
      </c>
      <c r="F704" s="27">
        <v>2</v>
      </c>
      <c r="G704" s="28">
        <f t="shared" ref="G704:G715" si="156">IF(F704="","",IF(E704="PC 17",F704*4.2,IF(E704="PC 19",F704*5,"")))</f>
        <v>8.4</v>
      </c>
      <c r="H704" s="26" t="s">
        <v>19</v>
      </c>
      <c r="I704" s="26" t="s">
        <v>52</v>
      </c>
      <c r="J704" s="26" t="s">
        <v>35</v>
      </c>
      <c r="K704" s="29">
        <v>0.29166666666666669</v>
      </c>
      <c r="L704" s="29">
        <v>0.33333333333333331</v>
      </c>
      <c r="M704" s="30">
        <f t="shared" ref="M704:M715" ca="1" si="157">IFERROR(IF(K704="","",IF(L704="",MOD(NOW()-K704,1),IF(L704&gt;=K704,L704-K704,L704+1-K704))),"")</f>
        <v>4.166666666666663E-2</v>
      </c>
      <c r="N704" s="27" t="s">
        <v>287</v>
      </c>
      <c r="O704" s="60"/>
    </row>
    <row r="705" spans="1:15" ht="15" customHeight="1">
      <c r="A705" s="69">
        <v>46230</v>
      </c>
      <c r="B705" s="32">
        <f t="shared" ref="B705:B715" si="158">B704+TIME(0,60,0)</f>
        <v>0.37499999999999967</v>
      </c>
      <c r="C705" s="26" t="s">
        <v>29</v>
      </c>
      <c r="D705" s="59" t="s">
        <v>30</v>
      </c>
      <c r="E705" s="59" t="s">
        <v>261</v>
      </c>
      <c r="F705" s="27">
        <v>1</v>
      </c>
      <c r="G705" s="34">
        <f t="shared" si="156"/>
        <v>4.2</v>
      </c>
      <c r="H705" s="33" t="s">
        <v>17</v>
      </c>
      <c r="I705" s="33" t="s">
        <v>138</v>
      </c>
      <c r="J705" s="33" t="s">
        <v>115</v>
      </c>
      <c r="K705" s="29">
        <v>0.35486111111111113</v>
      </c>
      <c r="L705" s="29">
        <v>0.37083333333333335</v>
      </c>
      <c r="M705" s="35">
        <f t="shared" ca="1" si="157"/>
        <v>1.5972222222222221E-2</v>
      </c>
      <c r="N705" s="27"/>
      <c r="O705" s="60"/>
    </row>
    <row r="706" spans="1:15" ht="15" customHeight="1">
      <c r="A706" s="68">
        <v>46230</v>
      </c>
      <c r="B706" s="25">
        <f t="shared" si="158"/>
        <v>0.41666666666666635</v>
      </c>
      <c r="C706" s="26" t="s">
        <v>29</v>
      </c>
      <c r="D706" s="59" t="s">
        <v>30</v>
      </c>
      <c r="E706" s="59" t="s">
        <v>261</v>
      </c>
      <c r="F706" s="27">
        <v>13</v>
      </c>
      <c r="G706" s="28">
        <f t="shared" si="156"/>
        <v>54.6</v>
      </c>
      <c r="H706" s="26" t="s">
        <v>19</v>
      </c>
      <c r="I706" s="26" t="s">
        <v>57</v>
      </c>
      <c r="J706" s="26" t="s">
        <v>43</v>
      </c>
      <c r="K706" s="29">
        <v>0.33333333333333331</v>
      </c>
      <c r="L706" s="29">
        <v>0.3923611111111111</v>
      </c>
      <c r="M706" s="30">
        <f t="shared" ca="1" si="157"/>
        <v>5.902777777777779E-2</v>
      </c>
      <c r="N706" s="27" t="s">
        <v>329</v>
      </c>
      <c r="O706" s="60"/>
    </row>
    <row r="707" spans="1:15" ht="15" customHeight="1">
      <c r="A707" s="69">
        <v>46230</v>
      </c>
      <c r="B707" s="32">
        <f t="shared" si="158"/>
        <v>0.45833333333333304</v>
      </c>
      <c r="C707" s="26" t="s">
        <v>29</v>
      </c>
      <c r="D707" s="59" t="s">
        <v>30</v>
      </c>
      <c r="E707" s="59" t="s">
        <v>261</v>
      </c>
      <c r="F707" s="27">
        <v>30</v>
      </c>
      <c r="G707" s="34">
        <f t="shared" si="156"/>
        <v>126</v>
      </c>
      <c r="H707" s="33" t="s">
        <v>20</v>
      </c>
      <c r="I707" s="33" t="s">
        <v>57</v>
      </c>
      <c r="J707" s="33" t="s">
        <v>28</v>
      </c>
      <c r="K707" s="29">
        <v>0.43472222222222223</v>
      </c>
      <c r="L707" s="29">
        <v>0.44305555555555554</v>
      </c>
      <c r="M707" s="35">
        <f t="shared" ca="1" si="157"/>
        <v>8.3333333333333037E-3</v>
      </c>
      <c r="N707" s="27"/>
      <c r="O707" s="60"/>
    </row>
    <row r="708" spans="1:15" ht="15" customHeight="1">
      <c r="A708" s="68">
        <v>46230</v>
      </c>
      <c r="B708" s="25">
        <f t="shared" si="158"/>
        <v>0.49999999999999972</v>
      </c>
      <c r="C708" s="26" t="s">
        <v>29</v>
      </c>
      <c r="D708" s="59" t="s">
        <v>30</v>
      </c>
      <c r="E708" s="59" t="s">
        <v>261</v>
      </c>
      <c r="F708" s="27">
        <v>17</v>
      </c>
      <c r="G708" s="28">
        <f t="shared" si="156"/>
        <v>71.400000000000006</v>
      </c>
      <c r="H708" s="26" t="s">
        <v>18</v>
      </c>
      <c r="I708" s="26" t="s">
        <v>52</v>
      </c>
      <c r="J708" s="26" t="s">
        <v>128</v>
      </c>
      <c r="K708" s="29">
        <v>0.63055555555555554</v>
      </c>
      <c r="L708" s="29">
        <v>0.69513888888888886</v>
      </c>
      <c r="M708" s="30">
        <f t="shared" ca="1" si="157"/>
        <v>6.4583333333333326E-2</v>
      </c>
      <c r="N708" s="27"/>
      <c r="O708" s="60"/>
    </row>
    <row r="709" spans="1:15" ht="15" customHeight="1">
      <c r="A709" s="69">
        <v>46230</v>
      </c>
      <c r="B709" s="32">
        <f t="shared" si="158"/>
        <v>0.54166666666666641</v>
      </c>
      <c r="C709" s="26" t="s">
        <v>29</v>
      </c>
      <c r="D709" s="59" t="s">
        <v>30</v>
      </c>
      <c r="E709" s="59" t="s">
        <v>261</v>
      </c>
      <c r="F709" s="27">
        <v>14</v>
      </c>
      <c r="G709" s="34">
        <f t="shared" si="156"/>
        <v>58.800000000000004</v>
      </c>
      <c r="H709" s="33" t="s">
        <v>18</v>
      </c>
      <c r="I709" s="33" t="s">
        <v>127</v>
      </c>
      <c r="J709" s="33" t="s">
        <v>164</v>
      </c>
      <c r="K709" s="29">
        <v>0.69027777777777777</v>
      </c>
      <c r="L709" s="29">
        <v>0.70694444444444449</v>
      </c>
      <c r="M709" s="35">
        <f t="shared" ca="1" si="157"/>
        <v>1.6666666666666718E-2</v>
      </c>
      <c r="N709" s="27"/>
      <c r="O709" s="60"/>
    </row>
    <row r="710" spans="1:15" ht="15" customHeight="1">
      <c r="A710" s="68">
        <v>46230</v>
      </c>
      <c r="B710" s="25">
        <f t="shared" si="158"/>
        <v>0.58333333333333304</v>
      </c>
      <c r="C710" s="26" t="s">
        <v>29</v>
      </c>
      <c r="D710" s="59" t="s">
        <v>30</v>
      </c>
      <c r="E710" s="59" t="s">
        <v>261</v>
      </c>
      <c r="F710" s="27">
        <v>16</v>
      </c>
      <c r="G710" s="28">
        <f t="shared" si="156"/>
        <v>67.2</v>
      </c>
      <c r="H710" s="26"/>
      <c r="I710" s="26"/>
      <c r="J710" s="26"/>
      <c r="K710" s="29"/>
      <c r="L710" s="29"/>
      <c r="M710" s="30" t="str">
        <f t="shared" ca="1" si="157"/>
        <v/>
      </c>
      <c r="N710" s="27"/>
      <c r="O710" s="60"/>
    </row>
    <row r="711" spans="1:15" ht="15" customHeight="1">
      <c r="A711" s="69">
        <v>46230</v>
      </c>
      <c r="B711" s="32">
        <f t="shared" si="158"/>
        <v>0.62499999999999967</v>
      </c>
      <c r="C711" s="26" t="s">
        <v>29</v>
      </c>
      <c r="D711" s="59" t="s">
        <v>30</v>
      </c>
      <c r="E711" s="59" t="s">
        <v>261</v>
      </c>
      <c r="F711" s="27">
        <v>13</v>
      </c>
      <c r="G711" s="34">
        <f t="shared" si="156"/>
        <v>54.6</v>
      </c>
      <c r="H711" s="33"/>
      <c r="I711" s="33"/>
      <c r="J711" s="33"/>
      <c r="K711" s="29"/>
      <c r="L711" s="29"/>
      <c r="M711" s="35" t="str">
        <f t="shared" ca="1" si="157"/>
        <v/>
      </c>
      <c r="N711" s="27"/>
      <c r="O711" s="60"/>
    </row>
    <row r="712" spans="1:15" ht="15" customHeight="1">
      <c r="A712" s="68">
        <v>46230</v>
      </c>
      <c r="B712" s="25">
        <f t="shared" si="158"/>
        <v>0.6666666666666663</v>
      </c>
      <c r="C712" s="26" t="s">
        <v>29</v>
      </c>
      <c r="D712" s="59" t="s">
        <v>30</v>
      </c>
      <c r="E712" s="59" t="s">
        <v>261</v>
      </c>
      <c r="F712" s="27">
        <v>0</v>
      </c>
      <c r="G712" s="28">
        <f t="shared" si="156"/>
        <v>0</v>
      </c>
      <c r="H712" s="26"/>
      <c r="I712" s="26"/>
      <c r="J712" s="26"/>
      <c r="K712" s="29"/>
      <c r="L712" s="29"/>
      <c r="M712" s="30" t="str">
        <f t="shared" ca="1" si="157"/>
        <v/>
      </c>
      <c r="N712" s="27"/>
      <c r="O712" s="60"/>
    </row>
    <row r="713" spans="1:15" ht="15" customHeight="1">
      <c r="A713" s="69">
        <v>46230</v>
      </c>
      <c r="B713" s="32">
        <f t="shared" si="158"/>
        <v>0.70833333333333293</v>
      </c>
      <c r="C713" s="26" t="s">
        <v>29</v>
      </c>
      <c r="D713" s="59" t="s">
        <v>30</v>
      </c>
      <c r="E713" s="59" t="s">
        <v>261</v>
      </c>
      <c r="F713" s="27">
        <v>15</v>
      </c>
      <c r="G713" s="34">
        <f t="shared" si="156"/>
        <v>63</v>
      </c>
      <c r="H713" s="33"/>
      <c r="I713" s="33"/>
      <c r="J713" s="33"/>
      <c r="K713" s="29"/>
      <c r="L713" s="29"/>
      <c r="M713" s="35" t="str">
        <f t="shared" ca="1" si="157"/>
        <v/>
      </c>
      <c r="N713" s="27"/>
      <c r="O713" s="60"/>
    </row>
    <row r="714" spans="1:15" ht="15" customHeight="1">
      <c r="A714" s="68">
        <v>46230</v>
      </c>
      <c r="B714" s="25">
        <f t="shared" si="158"/>
        <v>0.74999999999999956</v>
      </c>
      <c r="C714" s="26" t="s">
        <v>29</v>
      </c>
      <c r="D714" s="59" t="s">
        <v>30</v>
      </c>
      <c r="E714" s="59" t="s">
        <v>261</v>
      </c>
      <c r="F714" s="27">
        <v>3</v>
      </c>
      <c r="G714" s="28">
        <f t="shared" si="156"/>
        <v>12.600000000000001</v>
      </c>
      <c r="H714" s="26"/>
      <c r="I714" s="26"/>
      <c r="J714" s="26"/>
      <c r="K714" s="29"/>
      <c r="L714" s="29"/>
      <c r="M714" s="30" t="str">
        <f t="shared" ca="1" si="157"/>
        <v/>
      </c>
      <c r="N714" s="27"/>
      <c r="O714" s="60"/>
    </row>
    <row r="715" spans="1:15" ht="15" customHeight="1">
      <c r="A715" s="69">
        <v>46230</v>
      </c>
      <c r="B715" s="32">
        <f t="shared" si="158"/>
        <v>0.79166666666666619</v>
      </c>
      <c r="C715" s="26" t="s">
        <v>29</v>
      </c>
      <c r="D715" s="59" t="s">
        <v>30</v>
      </c>
      <c r="E715" s="59" t="s">
        <v>261</v>
      </c>
      <c r="F715" s="27">
        <v>8</v>
      </c>
      <c r="G715" s="34">
        <f t="shared" si="156"/>
        <v>33.6</v>
      </c>
      <c r="H715" s="33"/>
      <c r="I715" s="33"/>
      <c r="J715" s="33"/>
      <c r="K715" s="29"/>
      <c r="L715" s="29"/>
      <c r="M715" s="35" t="str">
        <f t="shared" ca="1" si="157"/>
        <v/>
      </c>
      <c r="N715" s="27"/>
      <c r="O715" s="60"/>
    </row>
    <row r="716" spans="1:15" ht="15.75" customHeight="1">
      <c r="A716" s="119" t="s">
        <v>236</v>
      </c>
      <c r="B716" s="120"/>
      <c r="C716" s="120"/>
      <c r="D716" s="120"/>
      <c r="E716" s="121">
        <f>SUM(E704:E715)</f>
        <v>0</v>
      </c>
      <c r="F716" s="36">
        <f>SUM(F704:F715)</f>
        <v>132</v>
      </c>
      <c r="G716" s="36">
        <f>SUM(G704:G715)</f>
        <v>554.40000000000009</v>
      </c>
      <c r="H716" s="37"/>
      <c r="I716" s="37"/>
      <c r="J716" s="37"/>
      <c r="K716" s="61"/>
      <c r="L716" s="61"/>
      <c r="M716" s="38">
        <f ca="1">IFERROR(SUM(M704:M715),"")</f>
        <v>0.20624999999999999</v>
      </c>
      <c r="N716" s="36" t="s">
        <v>237</v>
      </c>
      <c r="O716" s="39">
        <v>613260</v>
      </c>
    </row>
    <row r="717" spans="1:15" ht="15" customHeight="1">
      <c r="A717" s="69">
        <v>46230</v>
      </c>
      <c r="B717" s="32">
        <v>0.83333333333333304</v>
      </c>
      <c r="C717" s="33" t="s">
        <v>21</v>
      </c>
      <c r="D717" s="62" t="s">
        <v>30</v>
      </c>
      <c r="E717" s="62" t="s">
        <v>261</v>
      </c>
      <c r="F717" s="27">
        <v>20</v>
      </c>
      <c r="G717" s="34">
        <f t="shared" ref="G717:G728" si="159">IF(F717="","",IF(E717="PC 17",F717*4.2,IF(E717="PC 19",F717*5,"")))</f>
        <v>84</v>
      </c>
      <c r="H717" s="33" t="s">
        <v>20</v>
      </c>
      <c r="I717" s="33" t="s">
        <v>57</v>
      </c>
      <c r="J717" s="33" t="s">
        <v>28</v>
      </c>
      <c r="K717" s="29">
        <v>0.84305555555555556</v>
      </c>
      <c r="L717" s="29">
        <v>0.85902777777777772</v>
      </c>
      <c r="M717" s="35">
        <f t="shared" ref="M717:M728" ca="1" si="160">IFERROR(IF(K717="","",IF(L717="",MOD(NOW()-K717,1),IF(L717&gt;=K717,L717-K717,L717+1-K717))),"")</f>
        <v>1.5972222222222165E-2</v>
      </c>
      <c r="N717" s="27"/>
      <c r="O717" s="60"/>
    </row>
    <row r="718" spans="1:15" ht="15" customHeight="1">
      <c r="A718" s="68">
        <v>46230</v>
      </c>
      <c r="B718" s="25">
        <f t="shared" ref="B718:B728" si="161">B717+TIME(0,60,0)</f>
        <v>0.87499999999999967</v>
      </c>
      <c r="C718" s="33" t="s">
        <v>21</v>
      </c>
      <c r="D718" s="62" t="s">
        <v>30</v>
      </c>
      <c r="E718" s="62" t="s">
        <v>234</v>
      </c>
      <c r="F718" s="27">
        <v>4</v>
      </c>
      <c r="G718" s="28">
        <f t="shared" si="159"/>
        <v>20</v>
      </c>
      <c r="H718" s="26" t="s">
        <v>19</v>
      </c>
      <c r="I718" s="26" t="s">
        <v>160</v>
      </c>
      <c r="J718" s="26" t="s">
        <v>27</v>
      </c>
      <c r="K718" s="29">
        <v>0.89930555555555558</v>
      </c>
      <c r="L718" s="29">
        <v>0.91319444444444442</v>
      </c>
      <c r="M718" s="30">
        <f t="shared" ca="1" si="160"/>
        <v>1.388888888888884E-2</v>
      </c>
      <c r="N718" s="27"/>
      <c r="O718" s="60"/>
    </row>
    <row r="719" spans="1:15" ht="15" customHeight="1">
      <c r="A719" s="69">
        <v>46230</v>
      </c>
      <c r="B719" s="32">
        <f t="shared" si="161"/>
        <v>0.9166666666666663</v>
      </c>
      <c r="C719" s="33" t="s">
        <v>21</v>
      </c>
      <c r="D719" s="62" t="s">
        <v>30</v>
      </c>
      <c r="E719" s="62" t="s">
        <v>261</v>
      </c>
      <c r="F719" s="27">
        <v>23</v>
      </c>
      <c r="G719" s="34">
        <f t="shared" si="159"/>
        <v>96.600000000000009</v>
      </c>
      <c r="H719" s="33" t="s">
        <v>20</v>
      </c>
      <c r="I719" s="33" t="s">
        <v>57</v>
      </c>
      <c r="J719" s="33" t="s">
        <v>28</v>
      </c>
      <c r="K719" s="29">
        <v>0.99305555555555558</v>
      </c>
      <c r="L719" s="29">
        <v>0.99791666666666667</v>
      </c>
      <c r="M719" s="35">
        <f t="shared" ca="1" si="160"/>
        <v>4.8611111111110938E-3</v>
      </c>
      <c r="N719" s="27"/>
      <c r="O719" s="60"/>
    </row>
    <row r="720" spans="1:15" ht="15" customHeight="1">
      <c r="A720" s="68">
        <v>46230</v>
      </c>
      <c r="B720" s="25">
        <f t="shared" si="161"/>
        <v>0.95833333333333293</v>
      </c>
      <c r="C720" s="33" t="s">
        <v>21</v>
      </c>
      <c r="D720" s="62" t="s">
        <v>30</v>
      </c>
      <c r="E720" s="62" t="s">
        <v>261</v>
      </c>
      <c r="F720" s="27">
        <v>22</v>
      </c>
      <c r="G720" s="28">
        <f t="shared" si="159"/>
        <v>92.4</v>
      </c>
      <c r="H720" s="26" t="s">
        <v>20</v>
      </c>
      <c r="I720" s="26" t="s">
        <v>52</v>
      </c>
      <c r="J720" s="26" t="s">
        <v>28</v>
      </c>
      <c r="K720" s="29">
        <v>1.3888888888888889E-3</v>
      </c>
      <c r="L720" s="29">
        <v>1.1805555555555555E-2</v>
      </c>
      <c r="M720" s="30">
        <f t="shared" ca="1" si="160"/>
        <v>1.0416666666666666E-2</v>
      </c>
      <c r="N720" s="27"/>
      <c r="O720" s="60"/>
    </row>
    <row r="721" spans="1:15" ht="15" customHeight="1">
      <c r="A721" s="69">
        <v>46230</v>
      </c>
      <c r="B721" s="32">
        <f t="shared" si="161"/>
        <v>0.99999999999999956</v>
      </c>
      <c r="C721" s="33" t="s">
        <v>21</v>
      </c>
      <c r="D721" s="62" t="s">
        <v>30</v>
      </c>
      <c r="E721" s="62" t="s">
        <v>261</v>
      </c>
      <c r="F721" s="27">
        <v>8</v>
      </c>
      <c r="G721" s="34">
        <f t="shared" si="159"/>
        <v>33.6</v>
      </c>
      <c r="H721" s="33" t="s">
        <v>20</v>
      </c>
      <c r="I721" s="33" t="s">
        <v>52</v>
      </c>
      <c r="J721" s="33" t="s">
        <v>62</v>
      </c>
      <c r="K721" s="29">
        <v>9.6527777777777782E-2</v>
      </c>
      <c r="L721" s="29">
        <v>0.1</v>
      </c>
      <c r="M721" s="35">
        <f t="shared" ca="1" si="160"/>
        <v>3.4722222222222238E-3</v>
      </c>
      <c r="N721" s="27"/>
      <c r="O721" s="60"/>
    </row>
    <row r="722" spans="1:15" ht="15" customHeight="1">
      <c r="A722" s="68">
        <v>46230</v>
      </c>
      <c r="B722" s="25">
        <f t="shared" si="161"/>
        <v>1.0416666666666663</v>
      </c>
      <c r="C722" s="33" t="s">
        <v>21</v>
      </c>
      <c r="D722" s="62" t="s">
        <v>30</v>
      </c>
      <c r="E722" s="62" t="s">
        <v>261</v>
      </c>
      <c r="F722" s="27">
        <v>14</v>
      </c>
      <c r="G722" s="28">
        <f t="shared" si="159"/>
        <v>58.800000000000004</v>
      </c>
      <c r="H722" s="26" t="s">
        <v>20</v>
      </c>
      <c r="I722" s="26" t="s">
        <v>139</v>
      </c>
      <c r="J722" s="26" t="s">
        <v>74</v>
      </c>
      <c r="K722" s="29">
        <v>0.18055555555555555</v>
      </c>
      <c r="L722" s="29">
        <v>0.19097222222222221</v>
      </c>
      <c r="M722" s="30">
        <f t="shared" ca="1" si="160"/>
        <v>1.0416666666666657E-2</v>
      </c>
      <c r="N722" s="27"/>
      <c r="O722" s="60"/>
    </row>
    <row r="723" spans="1:15" ht="15" customHeight="1">
      <c r="A723" s="69">
        <v>46230</v>
      </c>
      <c r="B723" s="32">
        <f t="shared" si="161"/>
        <v>1.083333333333333</v>
      </c>
      <c r="C723" s="33" t="s">
        <v>21</v>
      </c>
      <c r="D723" s="62" t="s">
        <v>30</v>
      </c>
      <c r="E723" s="62" t="s">
        <v>261</v>
      </c>
      <c r="F723" s="27">
        <v>20</v>
      </c>
      <c r="G723" s="34">
        <f t="shared" si="159"/>
        <v>84</v>
      </c>
      <c r="H723" s="33" t="s">
        <v>19</v>
      </c>
      <c r="I723" s="33" t="s">
        <v>52</v>
      </c>
      <c r="J723" s="33" t="s">
        <v>27</v>
      </c>
      <c r="K723" s="29">
        <v>0.2013888888888889</v>
      </c>
      <c r="L723" s="29">
        <v>0.21527777777777779</v>
      </c>
      <c r="M723" s="35">
        <f t="shared" ca="1" si="160"/>
        <v>1.3888888888888895E-2</v>
      </c>
      <c r="N723" s="27" t="s">
        <v>434</v>
      </c>
      <c r="O723" s="60"/>
    </row>
    <row r="724" spans="1:15" ht="15" customHeight="1">
      <c r="A724" s="68">
        <v>46230</v>
      </c>
      <c r="B724" s="25">
        <f t="shared" si="161"/>
        <v>1.1249999999999998</v>
      </c>
      <c r="C724" s="33" t="s">
        <v>21</v>
      </c>
      <c r="D724" s="62" t="s">
        <v>30</v>
      </c>
      <c r="E724" s="62" t="s">
        <v>261</v>
      </c>
      <c r="F724" s="27">
        <v>7</v>
      </c>
      <c r="G724" s="28">
        <f t="shared" si="159"/>
        <v>29.400000000000002</v>
      </c>
      <c r="H724" s="26"/>
      <c r="I724" s="26"/>
      <c r="J724" s="26"/>
      <c r="K724" s="29"/>
      <c r="L724" s="29"/>
      <c r="M724" s="30" t="str">
        <f t="shared" ca="1" si="160"/>
        <v/>
      </c>
      <c r="N724" s="27"/>
      <c r="O724" s="60"/>
    </row>
    <row r="725" spans="1:15" ht="15" customHeight="1">
      <c r="A725" s="69">
        <v>46230</v>
      </c>
      <c r="B725" s="32">
        <f t="shared" si="161"/>
        <v>1.1666666666666665</v>
      </c>
      <c r="C725" s="33" t="s">
        <v>21</v>
      </c>
      <c r="D725" s="62" t="s">
        <v>30</v>
      </c>
      <c r="E725" s="62" t="s">
        <v>234</v>
      </c>
      <c r="F725" s="27">
        <v>28</v>
      </c>
      <c r="G725" s="34">
        <f t="shared" si="159"/>
        <v>140</v>
      </c>
      <c r="H725" s="33"/>
      <c r="I725" s="33"/>
      <c r="J725" s="33"/>
      <c r="K725" s="29"/>
      <c r="L725" s="29"/>
      <c r="M725" s="35" t="str">
        <f t="shared" ca="1" si="160"/>
        <v/>
      </c>
      <c r="N725" s="27"/>
      <c r="O725" s="60"/>
    </row>
    <row r="726" spans="1:15" ht="15" customHeight="1">
      <c r="A726" s="68">
        <v>46230</v>
      </c>
      <c r="B726" s="25">
        <f t="shared" si="161"/>
        <v>1.2083333333333333</v>
      </c>
      <c r="C726" s="33" t="s">
        <v>21</v>
      </c>
      <c r="D726" s="62" t="s">
        <v>30</v>
      </c>
      <c r="E726" s="62" t="s">
        <v>234</v>
      </c>
      <c r="F726" s="27">
        <v>11</v>
      </c>
      <c r="G726" s="28">
        <f t="shared" si="159"/>
        <v>55</v>
      </c>
      <c r="H726" s="26"/>
      <c r="I726" s="26"/>
      <c r="J726" s="26"/>
      <c r="K726" s="29"/>
      <c r="L726" s="29"/>
      <c r="M726" s="30" t="str">
        <f t="shared" ca="1" si="160"/>
        <v/>
      </c>
      <c r="N726" s="27"/>
      <c r="O726" s="60"/>
    </row>
    <row r="727" spans="1:15" ht="15" customHeight="1">
      <c r="A727" s="69">
        <v>46230</v>
      </c>
      <c r="B727" s="32">
        <f t="shared" si="161"/>
        <v>1.25</v>
      </c>
      <c r="C727" s="33" t="s">
        <v>21</v>
      </c>
      <c r="D727" s="62" t="s">
        <v>30</v>
      </c>
      <c r="E727" s="62" t="s">
        <v>234</v>
      </c>
      <c r="F727" s="27">
        <v>10</v>
      </c>
      <c r="G727" s="34">
        <f t="shared" si="159"/>
        <v>50</v>
      </c>
      <c r="H727" s="33"/>
      <c r="I727" s="33"/>
      <c r="J727" s="33"/>
      <c r="K727" s="29"/>
      <c r="L727" s="29"/>
      <c r="M727" s="35" t="str">
        <f t="shared" ca="1" si="160"/>
        <v/>
      </c>
      <c r="N727" s="27"/>
      <c r="O727" s="60"/>
    </row>
    <row r="728" spans="1:15" ht="15" customHeight="1">
      <c r="A728" s="68">
        <v>46230</v>
      </c>
      <c r="B728" s="25">
        <f t="shared" si="161"/>
        <v>1.2916666666666667</v>
      </c>
      <c r="C728" s="33" t="s">
        <v>21</v>
      </c>
      <c r="D728" s="62" t="s">
        <v>30</v>
      </c>
      <c r="E728" s="62" t="s">
        <v>261</v>
      </c>
      <c r="F728" s="27">
        <v>5</v>
      </c>
      <c r="G728" s="28">
        <f t="shared" si="159"/>
        <v>21</v>
      </c>
      <c r="H728" s="26"/>
      <c r="I728" s="26"/>
      <c r="J728" s="26"/>
      <c r="K728" s="29"/>
      <c r="L728" s="29"/>
      <c r="M728" s="30" t="str">
        <f t="shared" ca="1" si="160"/>
        <v/>
      </c>
      <c r="N728" s="27"/>
      <c r="O728" s="60"/>
    </row>
    <row r="729" spans="1:15" ht="15.75" customHeight="1">
      <c r="A729" s="119" t="s">
        <v>238</v>
      </c>
      <c r="B729" s="120"/>
      <c r="C729" s="120"/>
      <c r="D729" s="120"/>
      <c r="E729" s="121">
        <f>SUM(E717:E728)</f>
        <v>0</v>
      </c>
      <c r="F729" s="36">
        <f>SUM(F717:F728)</f>
        <v>172</v>
      </c>
      <c r="G729" s="36">
        <f>SUM(G717:G728)</f>
        <v>764.8</v>
      </c>
      <c r="H729" s="37"/>
      <c r="I729" s="37"/>
      <c r="J729" s="37"/>
      <c r="K729" s="61"/>
      <c r="L729" s="61"/>
      <c r="M729" s="38">
        <f ca="1">IFERROR(SUM(M717:M728),"")</f>
        <v>7.2916666666666546E-2</v>
      </c>
      <c r="N729" s="36" t="s">
        <v>237</v>
      </c>
      <c r="O729" s="39">
        <v>852470</v>
      </c>
    </row>
    <row r="730" spans="1:15" ht="18" customHeight="1">
      <c r="A730" s="122" t="s">
        <v>239</v>
      </c>
      <c r="B730" s="123"/>
      <c r="C730" s="123"/>
      <c r="D730" s="123"/>
      <c r="E730" s="124">
        <f>E716+E729</f>
        <v>0</v>
      </c>
      <c r="F730" s="40">
        <f>F716+F729</f>
        <v>304</v>
      </c>
      <c r="G730" s="40">
        <f>G716+G729</f>
        <v>1319.2</v>
      </c>
      <c r="H730" s="41"/>
      <c r="I730" s="41"/>
      <c r="J730" s="41"/>
      <c r="K730" s="63"/>
      <c r="L730" s="63"/>
      <c r="M730" s="42">
        <f ca="1">IFERROR(M716+M729,"")</f>
        <v>0.27916666666666656</v>
      </c>
      <c r="N730" s="40" t="s">
        <v>240</v>
      </c>
      <c r="O730" s="48">
        <f>IFERROR(O716+O729,"")</f>
        <v>1465730</v>
      </c>
    </row>
    <row r="731" spans="1:15" ht="15" customHeight="1">
      <c r="A731" s="69">
        <v>46231</v>
      </c>
      <c r="B731" s="32">
        <v>0.33333333333333298</v>
      </c>
      <c r="C731" s="33" t="s">
        <v>29</v>
      </c>
      <c r="D731" s="62" t="s">
        <v>30</v>
      </c>
      <c r="E731" s="62" t="s">
        <v>261</v>
      </c>
      <c r="F731" s="27">
        <v>15</v>
      </c>
      <c r="G731" s="34">
        <f t="shared" ref="G731:G742" si="162">IF(F731="","",IF(E731="PC 17",F731*4.2,IF(E731="PC 19",F731*5,"")))</f>
        <v>63</v>
      </c>
      <c r="H731" s="33" t="s">
        <v>20</v>
      </c>
      <c r="I731" s="33" t="s">
        <v>153</v>
      </c>
      <c r="J731" s="33" t="s">
        <v>192</v>
      </c>
      <c r="K731" s="29">
        <v>0.30555555555555558</v>
      </c>
      <c r="L731" s="29">
        <v>0.31319444444444444</v>
      </c>
      <c r="M731" s="35">
        <f t="shared" ref="M731:M742" ca="1" si="163">IFERROR(IF(K731="","",IF(L731="",MOD(NOW()-K731,1),IF(L731&gt;=K731,L731-K731,L731+1-K731))),"")</f>
        <v>7.6388888888888618E-3</v>
      </c>
      <c r="N731" s="27"/>
      <c r="O731" s="60"/>
    </row>
    <row r="732" spans="1:15" ht="15" customHeight="1">
      <c r="A732" s="68">
        <v>46231</v>
      </c>
      <c r="B732" s="25">
        <f t="shared" ref="B732:B742" si="164">B731+TIME(0,60,0)</f>
        <v>0.37499999999999967</v>
      </c>
      <c r="C732" s="33" t="s">
        <v>29</v>
      </c>
      <c r="D732" s="62" t="s">
        <v>30</v>
      </c>
      <c r="E732" s="59" t="s">
        <v>261</v>
      </c>
      <c r="F732" s="27">
        <v>10</v>
      </c>
      <c r="G732" s="28">
        <f t="shared" si="162"/>
        <v>42</v>
      </c>
      <c r="H732" s="26" t="s">
        <v>20</v>
      </c>
      <c r="I732" s="26" t="s">
        <v>52</v>
      </c>
      <c r="J732" s="26" t="s">
        <v>56</v>
      </c>
      <c r="K732" s="29">
        <v>0.33611111111111114</v>
      </c>
      <c r="L732" s="29">
        <v>0.3576388888888889</v>
      </c>
      <c r="M732" s="30">
        <f t="shared" ca="1" si="163"/>
        <v>2.1527777777777757E-2</v>
      </c>
      <c r="N732" s="27" t="s">
        <v>435</v>
      </c>
      <c r="O732" s="60"/>
    </row>
    <row r="733" spans="1:15" ht="15" customHeight="1">
      <c r="A733" s="69">
        <v>46231</v>
      </c>
      <c r="B733" s="32">
        <f t="shared" si="164"/>
        <v>0.41666666666666635</v>
      </c>
      <c r="C733" s="33" t="s">
        <v>29</v>
      </c>
      <c r="D733" s="62" t="s">
        <v>30</v>
      </c>
      <c r="E733" s="62" t="s">
        <v>261</v>
      </c>
      <c r="F733" s="27">
        <v>6</v>
      </c>
      <c r="G733" s="34">
        <f t="shared" si="162"/>
        <v>25.200000000000003</v>
      </c>
      <c r="H733" s="33" t="s">
        <v>19</v>
      </c>
      <c r="I733" s="33" t="s">
        <v>57</v>
      </c>
      <c r="J733" s="33" t="s">
        <v>27</v>
      </c>
      <c r="K733" s="29">
        <v>0.33611111111111114</v>
      </c>
      <c r="L733" s="29">
        <v>0.3576388888888889</v>
      </c>
      <c r="M733" s="35">
        <f t="shared" ca="1" si="163"/>
        <v>2.1527777777777757E-2</v>
      </c>
      <c r="N733" s="27"/>
      <c r="O733" s="60"/>
    </row>
    <row r="734" spans="1:15" ht="15" customHeight="1">
      <c r="A734" s="68">
        <v>46231</v>
      </c>
      <c r="B734" s="25">
        <f t="shared" si="164"/>
        <v>0.45833333333333304</v>
      </c>
      <c r="C734" s="33" t="s">
        <v>29</v>
      </c>
      <c r="D734" s="62" t="s">
        <v>30</v>
      </c>
      <c r="E734" s="59" t="s">
        <v>261</v>
      </c>
      <c r="F734" s="27">
        <v>16</v>
      </c>
      <c r="G734" s="28">
        <f t="shared" si="162"/>
        <v>67.2</v>
      </c>
      <c r="H734" s="26" t="s">
        <v>18</v>
      </c>
      <c r="I734" s="26" t="s">
        <v>127</v>
      </c>
      <c r="J734" s="26" t="s">
        <v>164</v>
      </c>
      <c r="K734" s="29">
        <v>0.42708333333333331</v>
      </c>
      <c r="L734" s="29">
        <v>0.4513888888888889</v>
      </c>
      <c r="M734" s="30">
        <f t="shared" ca="1" si="163"/>
        <v>2.430555555555558E-2</v>
      </c>
      <c r="N734" s="27" t="s">
        <v>436</v>
      </c>
      <c r="O734" s="60"/>
    </row>
    <row r="735" spans="1:15" ht="15" customHeight="1">
      <c r="A735" s="69">
        <v>46231</v>
      </c>
      <c r="B735" s="32">
        <f t="shared" si="164"/>
        <v>0.49999999999999972</v>
      </c>
      <c r="C735" s="33" t="s">
        <v>29</v>
      </c>
      <c r="D735" s="62" t="s">
        <v>30</v>
      </c>
      <c r="E735" s="62" t="s">
        <v>261</v>
      </c>
      <c r="F735" s="27">
        <v>14</v>
      </c>
      <c r="G735" s="34">
        <f t="shared" si="162"/>
        <v>58.800000000000004</v>
      </c>
      <c r="H735" s="33" t="s">
        <v>20</v>
      </c>
      <c r="I735" s="33" t="s">
        <v>155</v>
      </c>
      <c r="J735" s="33" t="s">
        <v>74</v>
      </c>
      <c r="K735" s="29">
        <v>0.49305555555555558</v>
      </c>
      <c r="L735" s="29">
        <v>0.47152777777777777</v>
      </c>
      <c r="M735" s="35">
        <f t="shared" ca="1" si="163"/>
        <v>0.97847222222222219</v>
      </c>
      <c r="N735" s="27"/>
      <c r="O735" s="60"/>
    </row>
    <row r="736" spans="1:15" ht="15" customHeight="1">
      <c r="A736" s="68">
        <v>46231</v>
      </c>
      <c r="B736" s="25">
        <f t="shared" si="164"/>
        <v>0.54166666666666641</v>
      </c>
      <c r="C736" s="33" t="s">
        <v>29</v>
      </c>
      <c r="D736" s="62" t="s">
        <v>30</v>
      </c>
      <c r="E736" s="59" t="s">
        <v>261</v>
      </c>
      <c r="F736" s="27">
        <v>0</v>
      </c>
      <c r="G736" s="28">
        <f t="shared" si="162"/>
        <v>0</v>
      </c>
      <c r="H736" s="26" t="s">
        <v>19</v>
      </c>
      <c r="I736" s="26" t="s">
        <v>52</v>
      </c>
      <c r="J736" s="26" t="s">
        <v>27</v>
      </c>
      <c r="K736" s="29">
        <v>0.6069444444444444</v>
      </c>
      <c r="L736" s="29">
        <v>0.61875000000000002</v>
      </c>
      <c r="M736" s="30">
        <f t="shared" ca="1" si="163"/>
        <v>1.1805555555555625E-2</v>
      </c>
      <c r="N736" s="27"/>
      <c r="O736" s="60"/>
    </row>
    <row r="737" spans="1:15" ht="15" customHeight="1">
      <c r="A737" s="69">
        <v>46231</v>
      </c>
      <c r="B737" s="32">
        <f t="shared" si="164"/>
        <v>0.58333333333333304</v>
      </c>
      <c r="C737" s="33" t="s">
        <v>29</v>
      </c>
      <c r="D737" s="62" t="s">
        <v>30</v>
      </c>
      <c r="E737" s="62" t="s">
        <v>261</v>
      </c>
      <c r="F737" s="27">
        <v>26</v>
      </c>
      <c r="G737" s="34">
        <f t="shared" si="162"/>
        <v>109.2</v>
      </c>
      <c r="H737" s="33" t="s">
        <v>20</v>
      </c>
      <c r="I737" s="33" t="s">
        <v>57</v>
      </c>
      <c r="J737" s="33" t="s">
        <v>132</v>
      </c>
      <c r="K737" s="29">
        <v>0.70694444444444449</v>
      </c>
      <c r="L737" s="29">
        <v>0.71805555555555556</v>
      </c>
      <c r="M737" s="35">
        <f t="shared" ca="1" si="163"/>
        <v>1.1111111111111072E-2</v>
      </c>
      <c r="N737" s="27"/>
      <c r="O737" s="60"/>
    </row>
    <row r="738" spans="1:15" ht="15" customHeight="1">
      <c r="A738" s="68">
        <v>46231</v>
      </c>
      <c r="B738" s="25">
        <f t="shared" si="164"/>
        <v>0.62499999999999967</v>
      </c>
      <c r="C738" s="33" t="s">
        <v>29</v>
      </c>
      <c r="D738" s="62" t="s">
        <v>30</v>
      </c>
      <c r="E738" s="59" t="s">
        <v>261</v>
      </c>
      <c r="F738" s="27">
        <v>25</v>
      </c>
      <c r="G738" s="28">
        <f t="shared" si="162"/>
        <v>105</v>
      </c>
      <c r="H738" s="26" t="s">
        <v>20</v>
      </c>
      <c r="I738" s="26" t="s">
        <v>150</v>
      </c>
      <c r="J738" s="26" t="s">
        <v>180</v>
      </c>
      <c r="K738" s="29">
        <v>0.71388888888888891</v>
      </c>
      <c r="L738" s="29">
        <v>0.74097222222222225</v>
      </c>
      <c r="M738" s="30">
        <f t="shared" ca="1" si="163"/>
        <v>2.7083333333333348E-2</v>
      </c>
      <c r="N738" s="27"/>
      <c r="O738" s="60"/>
    </row>
    <row r="739" spans="1:15" ht="15" customHeight="1">
      <c r="A739" s="69">
        <v>46231</v>
      </c>
      <c r="B739" s="32">
        <f t="shared" si="164"/>
        <v>0.6666666666666663</v>
      </c>
      <c r="C739" s="33" t="s">
        <v>29</v>
      </c>
      <c r="D739" s="62" t="s">
        <v>30</v>
      </c>
      <c r="E739" s="62" t="s">
        <v>261</v>
      </c>
      <c r="F739" s="27">
        <v>27</v>
      </c>
      <c r="G739" s="34">
        <f t="shared" si="162"/>
        <v>113.4</v>
      </c>
      <c r="H739" s="33" t="s">
        <v>19</v>
      </c>
      <c r="I739" s="33" t="s">
        <v>57</v>
      </c>
      <c r="J739" s="33" t="s">
        <v>27</v>
      </c>
      <c r="K739" s="29">
        <v>0.71805555555555556</v>
      </c>
      <c r="L739" s="29">
        <v>0.72291666666666665</v>
      </c>
      <c r="M739" s="35">
        <f t="shared" ca="1" si="163"/>
        <v>4.8611111111110938E-3</v>
      </c>
      <c r="N739" s="27"/>
      <c r="O739" s="60"/>
    </row>
    <row r="740" spans="1:15" ht="15" customHeight="1">
      <c r="A740" s="68">
        <v>46231</v>
      </c>
      <c r="B740" s="25">
        <f t="shared" si="164"/>
        <v>0.70833333333333293</v>
      </c>
      <c r="C740" s="33" t="s">
        <v>29</v>
      </c>
      <c r="D740" s="62" t="s">
        <v>30</v>
      </c>
      <c r="E740" s="59" t="s">
        <v>261</v>
      </c>
      <c r="F740" s="27">
        <v>5</v>
      </c>
      <c r="G740" s="28">
        <f t="shared" si="162"/>
        <v>21</v>
      </c>
      <c r="H740" s="26"/>
      <c r="I740" s="26"/>
      <c r="J740" s="26"/>
      <c r="K740" s="29"/>
      <c r="L740" s="29"/>
      <c r="M740" s="30" t="str">
        <f t="shared" ca="1" si="163"/>
        <v/>
      </c>
      <c r="N740" s="27"/>
      <c r="O740" s="60"/>
    </row>
    <row r="741" spans="1:15" ht="15" customHeight="1">
      <c r="A741" s="69">
        <v>46231</v>
      </c>
      <c r="B741" s="32">
        <f t="shared" si="164"/>
        <v>0.74999999999999956</v>
      </c>
      <c r="C741" s="33" t="s">
        <v>29</v>
      </c>
      <c r="D741" s="62" t="s">
        <v>30</v>
      </c>
      <c r="E741" s="62" t="s">
        <v>261</v>
      </c>
      <c r="F741" s="27">
        <v>5</v>
      </c>
      <c r="G741" s="34">
        <f t="shared" si="162"/>
        <v>21</v>
      </c>
      <c r="H741" s="33"/>
      <c r="I741" s="33"/>
      <c r="J741" s="33"/>
      <c r="K741" s="29"/>
      <c r="L741" s="29"/>
      <c r="M741" s="35" t="str">
        <f t="shared" ca="1" si="163"/>
        <v/>
      </c>
      <c r="N741" s="27"/>
      <c r="O741" s="60"/>
    </row>
    <row r="742" spans="1:15" ht="15" customHeight="1">
      <c r="A742" s="68">
        <v>46231</v>
      </c>
      <c r="B742" s="25">
        <f t="shared" si="164"/>
        <v>0.79166666666666619</v>
      </c>
      <c r="C742" s="33" t="s">
        <v>29</v>
      </c>
      <c r="D742" s="62" t="s">
        <v>30</v>
      </c>
      <c r="E742" s="59" t="s">
        <v>261</v>
      </c>
      <c r="F742" s="27">
        <v>8</v>
      </c>
      <c r="G742" s="28">
        <f t="shared" si="162"/>
        <v>33.6</v>
      </c>
      <c r="H742" s="26"/>
      <c r="I742" s="26"/>
      <c r="J742" s="26"/>
      <c r="K742" s="29"/>
      <c r="L742" s="29"/>
      <c r="M742" s="30" t="str">
        <f t="shared" ca="1" si="163"/>
        <v/>
      </c>
      <c r="N742" s="27"/>
      <c r="O742" s="60"/>
    </row>
    <row r="743" spans="1:15" ht="15.75" customHeight="1">
      <c r="A743" s="119" t="s">
        <v>236</v>
      </c>
      <c r="B743" s="120"/>
      <c r="C743" s="120"/>
      <c r="D743" s="120"/>
      <c r="E743" s="121">
        <f>SUM(E731:E742)</f>
        <v>0</v>
      </c>
      <c r="F743" s="36">
        <f>SUM(F731:F742)</f>
        <v>157</v>
      </c>
      <c r="G743" s="36">
        <f>SUM(G731:G742)</f>
        <v>659.4</v>
      </c>
      <c r="H743" s="37"/>
      <c r="I743" s="37"/>
      <c r="J743" s="37"/>
      <c r="K743" s="61"/>
      <c r="L743" s="61"/>
      <c r="M743" s="38">
        <f ca="1">IFERROR(SUM(M731:M742),"")</f>
        <v>1.1083333333333334</v>
      </c>
      <c r="N743" s="36" t="s">
        <v>237</v>
      </c>
      <c r="O743" s="39">
        <v>635080</v>
      </c>
    </row>
    <row r="744" spans="1:15" ht="15" customHeight="1">
      <c r="A744" s="68">
        <v>46231</v>
      </c>
      <c r="B744" s="25">
        <v>0.83333333333333304</v>
      </c>
      <c r="C744" s="26" t="s">
        <v>21</v>
      </c>
      <c r="D744" s="59" t="s">
        <v>30</v>
      </c>
      <c r="E744" s="59" t="s">
        <v>261</v>
      </c>
      <c r="F744" s="27">
        <v>24</v>
      </c>
      <c r="G744" s="28">
        <f t="shared" ref="G744:G755" si="165">IF(F744="","",IF(E744="PC 17",F744*4.2,IF(E744="PC 19",F744*5,"")))</f>
        <v>100.80000000000001</v>
      </c>
      <c r="H744" s="26" t="s">
        <v>17</v>
      </c>
      <c r="I744" s="26"/>
      <c r="J744" s="26" t="s">
        <v>25</v>
      </c>
      <c r="K744" s="29">
        <v>0.88888888888888884</v>
      </c>
      <c r="L744" s="29">
        <v>0.92708333333333337</v>
      </c>
      <c r="M744" s="30">
        <f t="shared" ref="M744:M755" ca="1" si="166">IFERROR(IF(K744="","",IF(L744="",MOD(NOW()-K744,1),IF(L744&gt;=K744,L744-K744,L744+1-K744))),"")</f>
        <v>3.8194444444444531E-2</v>
      </c>
      <c r="N744" s="27"/>
      <c r="O744" s="60"/>
    </row>
    <row r="745" spans="1:15" ht="15" customHeight="1">
      <c r="A745" s="69">
        <v>46231</v>
      </c>
      <c r="B745" s="32">
        <f t="shared" ref="B745:B755" si="167">B744+TIME(0,60,0)</f>
        <v>0.87499999999999967</v>
      </c>
      <c r="C745" s="26" t="s">
        <v>21</v>
      </c>
      <c r="D745" s="59" t="s">
        <v>30</v>
      </c>
      <c r="E745" s="59" t="s">
        <v>261</v>
      </c>
      <c r="F745" s="27">
        <v>17</v>
      </c>
      <c r="G745" s="34">
        <f t="shared" si="165"/>
        <v>71.400000000000006</v>
      </c>
      <c r="H745" s="33" t="s">
        <v>20</v>
      </c>
      <c r="I745" s="33" t="s">
        <v>139</v>
      </c>
      <c r="J745" s="33" t="s">
        <v>205</v>
      </c>
      <c r="K745" s="29">
        <v>0.92708333333333337</v>
      </c>
      <c r="L745" s="29">
        <v>0.93333333333333335</v>
      </c>
      <c r="M745" s="35">
        <f t="shared" ca="1" si="166"/>
        <v>6.2499999999999778E-3</v>
      </c>
      <c r="N745" s="27"/>
      <c r="O745" s="60"/>
    </row>
    <row r="746" spans="1:15" ht="15" customHeight="1">
      <c r="A746" s="68">
        <v>46231</v>
      </c>
      <c r="B746" s="25">
        <f t="shared" si="167"/>
        <v>0.9166666666666663</v>
      </c>
      <c r="C746" s="26" t="s">
        <v>21</v>
      </c>
      <c r="D746" s="59" t="s">
        <v>30</v>
      </c>
      <c r="E746" s="59" t="s">
        <v>261</v>
      </c>
      <c r="F746" s="27">
        <v>9</v>
      </c>
      <c r="G746" s="28">
        <f t="shared" si="165"/>
        <v>37.800000000000004</v>
      </c>
      <c r="H746" s="26" t="s">
        <v>19</v>
      </c>
      <c r="I746" s="26" t="s">
        <v>160</v>
      </c>
      <c r="J746" s="33" t="s">
        <v>27</v>
      </c>
      <c r="K746" s="29">
        <v>4.8611111111111112E-2</v>
      </c>
      <c r="L746" s="29">
        <v>6.5972222222222224E-2</v>
      </c>
      <c r="M746" s="30">
        <f t="shared" ca="1" si="166"/>
        <v>1.7361111111111112E-2</v>
      </c>
      <c r="N746" s="27"/>
      <c r="O746" s="60"/>
    </row>
    <row r="747" spans="1:15" ht="15" customHeight="1">
      <c r="A747" s="69">
        <v>46231</v>
      </c>
      <c r="B747" s="32">
        <f t="shared" si="167"/>
        <v>0.95833333333333293</v>
      </c>
      <c r="C747" s="26" t="s">
        <v>21</v>
      </c>
      <c r="D747" s="59" t="s">
        <v>30</v>
      </c>
      <c r="E747" s="59" t="s">
        <v>261</v>
      </c>
      <c r="F747" s="27">
        <v>8</v>
      </c>
      <c r="G747" s="34">
        <f t="shared" si="165"/>
        <v>33.6</v>
      </c>
      <c r="H747" s="33" t="s">
        <v>20</v>
      </c>
      <c r="I747" s="33" t="s">
        <v>139</v>
      </c>
      <c r="J747" s="33" t="s">
        <v>205</v>
      </c>
      <c r="K747" s="29">
        <v>6.5972222222222224E-2</v>
      </c>
      <c r="L747" s="29">
        <v>8.0555555555555561E-2</v>
      </c>
      <c r="M747" s="35">
        <f t="shared" ca="1" si="166"/>
        <v>1.4583333333333337E-2</v>
      </c>
      <c r="N747" s="27"/>
      <c r="O747" s="60"/>
    </row>
    <row r="748" spans="1:15" ht="15" customHeight="1">
      <c r="A748" s="68">
        <v>46231</v>
      </c>
      <c r="B748" s="25">
        <f t="shared" si="167"/>
        <v>0.99999999999999956</v>
      </c>
      <c r="C748" s="26" t="s">
        <v>21</v>
      </c>
      <c r="D748" s="59" t="s">
        <v>30</v>
      </c>
      <c r="E748" s="59" t="s">
        <v>261</v>
      </c>
      <c r="F748" s="27">
        <v>13</v>
      </c>
      <c r="G748" s="28">
        <f t="shared" si="165"/>
        <v>54.6</v>
      </c>
      <c r="H748" s="26" t="s">
        <v>17</v>
      </c>
      <c r="I748" s="26"/>
      <c r="J748" s="26" t="s">
        <v>25</v>
      </c>
      <c r="K748" s="29">
        <v>0.11805555555555555</v>
      </c>
      <c r="L748" s="29">
        <v>0.1388888888888889</v>
      </c>
      <c r="M748" s="30">
        <f t="shared" ca="1" si="166"/>
        <v>2.0833333333333343E-2</v>
      </c>
      <c r="N748" s="27"/>
      <c r="O748" s="60"/>
    </row>
    <row r="749" spans="1:15" ht="15" customHeight="1">
      <c r="A749" s="69">
        <v>46231</v>
      </c>
      <c r="B749" s="32">
        <f t="shared" si="167"/>
        <v>1.0416666666666663</v>
      </c>
      <c r="C749" s="26" t="s">
        <v>21</v>
      </c>
      <c r="D749" s="59" t="s">
        <v>30</v>
      </c>
      <c r="E749" s="59" t="s">
        <v>261</v>
      </c>
      <c r="F749" s="27">
        <v>21</v>
      </c>
      <c r="G749" s="34">
        <f t="shared" si="165"/>
        <v>88.2</v>
      </c>
      <c r="H749" s="33" t="s">
        <v>16</v>
      </c>
      <c r="I749" s="33"/>
      <c r="J749" s="33" t="s">
        <v>86</v>
      </c>
      <c r="K749" s="29">
        <v>0.22222222222222221</v>
      </c>
      <c r="L749" s="29">
        <v>0.29166666666666669</v>
      </c>
      <c r="M749" s="35">
        <f t="shared" ca="1" si="166"/>
        <v>6.9444444444444475E-2</v>
      </c>
      <c r="N749" s="27"/>
      <c r="O749" s="60"/>
    </row>
    <row r="750" spans="1:15" ht="15" customHeight="1">
      <c r="A750" s="68">
        <v>46231</v>
      </c>
      <c r="B750" s="25">
        <f t="shared" si="167"/>
        <v>1.083333333333333</v>
      </c>
      <c r="C750" s="26" t="s">
        <v>21</v>
      </c>
      <c r="D750" s="59" t="s">
        <v>30</v>
      </c>
      <c r="E750" s="59" t="s">
        <v>261</v>
      </c>
      <c r="F750" s="27">
        <v>1</v>
      </c>
      <c r="G750" s="28">
        <f t="shared" si="165"/>
        <v>4.2</v>
      </c>
      <c r="H750" s="26"/>
      <c r="I750" s="26"/>
      <c r="J750" s="26"/>
      <c r="K750" s="29"/>
      <c r="L750" s="29"/>
      <c r="M750" s="30" t="str">
        <f t="shared" ca="1" si="166"/>
        <v/>
      </c>
      <c r="N750" s="27"/>
      <c r="O750" s="60"/>
    </row>
    <row r="751" spans="1:15" ht="15" customHeight="1">
      <c r="A751" s="69">
        <v>46231</v>
      </c>
      <c r="B751" s="32">
        <f t="shared" si="167"/>
        <v>1.1249999999999998</v>
      </c>
      <c r="C751" s="26" t="s">
        <v>21</v>
      </c>
      <c r="D751" s="59" t="s">
        <v>30</v>
      </c>
      <c r="E751" s="59" t="s">
        <v>261</v>
      </c>
      <c r="F751" s="27">
        <v>6</v>
      </c>
      <c r="G751" s="34">
        <f t="shared" si="165"/>
        <v>25.200000000000003</v>
      </c>
      <c r="H751" s="33"/>
      <c r="I751" s="33"/>
      <c r="J751" s="33"/>
      <c r="K751" s="29"/>
      <c r="L751" s="29"/>
      <c r="M751" s="35" t="str">
        <f t="shared" ca="1" si="166"/>
        <v/>
      </c>
      <c r="N751" s="27"/>
      <c r="O751" s="60"/>
    </row>
    <row r="752" spans="1:15" ht="15" customHeight="1">
      <c r="A752" s="68">
        <v>46231</v>
      </c>
      <c r="B752" s="25">
        <f t="shared" si="167"/>
        <v>1.1666666666666665</v>
      </c>
      <c r="C752" s="26" t="s">
        <v>21</v>
      </c>
      <c r="D752" s="59" t="s">
        <v>30</v>
      </c>
      <c r="E752" s="59" t="s">
        <v>261</v>
      </c>
      <c r="F752" s="27">
        <v>10</v>
      </c>
      <c r="G752" s="28">
        <f t="shared" si="165"/>
        <v>42</v>
      </c>
      <c r="H752" s="26"/>
      <c r="I752" s="26"/>
      <c r="J752" s="26"/>
      <c r="K752" s="29"/>
      <c r="L752" s="29"/>
      <c r="M752" s="30" t="str">
        <f t="shared" ca="1" si="166"/>
        <v/>
      </c>
      <c r="N752" s="27"/>
      <c r="O752" s="60"/>
    </row>
    <row r="753" spans="1:15" ht="15" customHeight="1">
      <c r="A753" s="69">
        <v>46231</v>
      </c>
      <c r="B753" s="32">
        <f t="shared" si="167"/>
        <v>1.2083333333333333</v>
      </c>
      <c r="C753" s="26" t="s">
        <v>21</v>
      </c>
      <c r="D753" s="59" t="s">
        <v>30</v>
      </c>
      <c r="E753" s="59" t="s">
        <v>261</v>
      </c>
      <c r="F753" s="27">
        <v>0</v>
      </c>
      <c r="G753" s="34">
        <f t="shared" si="165"/>
        <v>0</v>
      </c>
      <c r="H753" s="33"/>
      <c r="I753" s="33"/>
      <c r="J753" s="33"/>
      <c r="K753" s="29"/>
      <c r="L753" s="29"/>
      <c r="M753" s="35" t="str">
        <f t="shared" ca="1" si="166"/>
        <v/>
      </c>
      <c r="N753" s="27"/>
      <c r="O753" s="60"/>
    </row>
    <row r="754" spans="1:15" ht="15" customHeight="1">
      <c r="A754" s="68">
        <v>46231</v>
      </c>
      <c r="B754" s="25">
        <f t="shared" si="167"/>
        <v>1.25</v>
      </c>
      <c r="C754" s="26" t="s">
        <v>21</v>
      </c>
      <c r="D754" s="59" t="s">
        <v>30</v>
      </c>
      <c r="E754" s="59" t="s">
        <v>261</v>
      </c>
      <c r="F754" s="27">
        <v>0</v>
      </c>
      <c r="G754" s="28">
        <f t="shared" si="165"/>
        <v>0</v>
      </c>
      <c r="H754" s="26"/>
      <c r="I754" s="26"/>
      <c r="J754" s="26"/>
      <c r="K754" s="29"/>
      <c r="L754" s="29"/>
      <c r="M754" s="30" t="str">
        <f t="shared" ca="1" si="166"/>
        <v/>
      </c>
      <c r="N754" s="27"/>
      <c r="O754" s="60"/>
    </row>
    <row r="755" spans="1:15" ht="15" customHeight="1">
      <c r="A755" s="69">
        <v>46231</v>
      </c>
      <c r="B755" s="32">
        <f t="shared" si="167"/>
        <v>1.2916666666666667</v>
      </c>
      <c r="C755" s="26" t="s">
        <v>21</v>
      </c>
      <c r="D755" s="59" t="s">
        <v>30</v>
      </c>
      <c r="E755" s="59" t="s">
        <v>261</v>
      </c>
      <c r="F755" s="27">
        <v>0</v>
      </c>
      <c r="G755" s="34">
        <f t="shared" si="165"/>
        <v>0</v>
      </c>
      <c r="H755" s="33"/>
      <c r="I755" s="33"/>
      <c r="J755" s="33"/>
      <c r="K755" s="29"/>
      <c r="L755" s="29"/>
      <c r="M755" s="35" t="str">
        <f t="shared" ca="1" si="166"/>
        <v/>
      </c>
      <c r="N755" s="27"/>
      <c r="O755" s="60"/>
    </row>
    <row r="756" spans="1:15" ht="15.75" customHeight="1">
      <c r="A756" s="119" t="s">
        <v>238</v>
      </c>
      <c r="B756" s="120"/>
      <c r="C756" s="120"/>
      <c r="D756" s="120"/>
      <c r="E756" s="121">
        <f>SUM(E744:E755)</f>
        <v>0</v>
      </c>
      <c r="F756" s="36">
        <f>SUM(F744:F755)</f>
        <v>109</v>
      </c>
      <c r="G756" s="36">
        <f>SUM(G744:G755)</f>
        <v>457.8</v>
      </c>
      <c r="H756" s="37"/>
      <c r="I756" s="37"/>
      <c r="J756" s="37"/>
      <c r="K756" s="61"/>
      <c r="L756" s="61"/>
      <c r="M756" s="38">
        <f ca="1">IFERROR(SUM(M744:M755),"")</f>
        <v>0.16666666666666677</v>
      </c>
      <c r="N756" s="36" t="s">
        <v>237</v>
      </c>
      <c r="O756" s="39">
        <v>545970</v>
      </c>
    </row>
    <row r="757" spans="1:15" ht="18" customHeight="1">
      <c r="A757" s="122" t="s">
        <v>239</v>
      </c>
      <c r="B757" s="123"/>
      <c r="C757" s="123"/>
      <c r="D757" s="123"/>
      <c r="E757" s="124">
        <f>E743+E756</f>
        <v>0</v>
      </c>
      <c r="F757" s="40">
        <f>F743+F756</f>
        <v>266</v>
      </c>
      <c r="G757" s="40">
        <f>G743+G756</f>
        <v>1117.2</v>
      </c>
      <c r="H757" s="41"/>
      <c r="I757" s="41"/>
      <c r="J757" s="41"/>
      <c r="K757" s="63"/>
      <c r="L757" s="63"/>
      <c r="M757" s="42">
        <f ca="1">IFERROR(M743+M756,"")</f>
        <v>1.2750000000000001</v>
      </c>
      <c r="N757" s="40" t="s">
        <v>240</v>
      </c>
      <c r="O757" s="48">
        <f>IFERROR(O743+O756,"")</f>
        <v>1181050</v>
      </c>
    </row>
    <row r="758" spans="1:15" ht="15" customHeight="1">
      <c r="A758" s="68">
        <v>46232</v>
      </c>
      <c r="B758" s="25">
        <v>0.33333333333333298</v>
      </c>
      <c r="C758" s="26" t="s">
        <v>29</v>
      </c>
      <c r="D758" s="59" t="s">
        <v>30</v>
      </c>
      <c r="E758" s="59"/>
      <c r="F758" s="27">
        <v>0</v>
      </c>
      <c r="G758" s="28" t="str">
        <f t="shared" ref="G758:G769" si="168">IF(F758="","",IF(E758="PC 17",F758*4.2,IF(E758="PC 19",F758*5,"")))</f>
        <v/>
      </c>
      <c r="H758" s="26" t="s">
        <v>16</v>
      </c>
      <c r="I758" s="26"/>
      <c r="J758" s="26" t="s">
        <v>86</v>
      </c>
      <c r="K758" s="29">
        <v>0.29166666666666669</v>
      </c>
      <c r="L758" s="29">
        <v>0.72916666666666663</v>
      </c>
      <c r="M758" s="30">
        <f t="shared" ref="M758:M769" ca="1" si="169">IFERROR(IF(K758="","",IF(L758="",MOD(NOW()-K758,1),IF(L758&gt;=K758,L758-K758,L758+1-K758))),"")</f>
        <v>0.43749999999999994</v>
      </c>
      <c r="N758" s="27"/>
      <c r="O758" s="60"/>
    </row>
    <row r="759" spans="1:15" ht="15" customHeight="1">
      <c r="A759" s="69">
        <v>46232</v>
      </c>
      <c r="B759" s="32">
        <f t="shared" ref="B759:B769" si="170">B758+TIME(0,60,0)</f>
        <v>0.37499999999999967</v>
      </c>
      <c r="C759" s="26" t="s">
        <v>29</v>
      </c>
      <c r="D759" s="59" t="s">
        <v>30</v>
      </c>
      <c r="E759" s="62"/>
      <c r="F759" s="27">
        <v>0</v>
      </c>
      <c r="G759" s="34" t="str">
        <f t="shared" si="168"/>
        <v/>
      </c>
      <c r="H759" s="33" t="s">
        <v>17</v>
      </c>
      <c r="I759" s="33"/>
      <c r="J759" s="33" t="s">
        <v>86</v>
      </c>
      <c r="K759" s="29">
        <v>0.73541666666666672</v>
      </c>
      <c r="L759" s="29">
        <v>0.76041666666666663</v>
      </c>
      <c r="M759" s="35">
        <f t="shared" ca="1" si="169"/>
        <v>2.4999999999999911E-2</v>
      </c>
      <c r="N759" s="27" t="s">
        <v>344</v>
      </c>
      <c r="O759" s="60"/>
    </row>
    <row r="760" spans="1:15" ht="15" customHeight="1">
      <c r="A760" s="68">
        <v>46232</v>
      </c>
      <c r="B760" s="25">
        <f t="shared" si="170"/>
        <v>0.41666666666666635</v>
      </c>
      <c r="C760" s="26" t="s">
        <v>29</v>
      </c>
      <c r="D760" s="59" t="s">
        <v>30</v>
      </c>
      <c r="E760" s="59"/>
      <c r="F760" s="27">
        <v>0</v>
      </c>
      <c r="G760" s="28" t="str">
        <f t="shared" si="168"/>
        <v/>
      </c>
      <c r="H760" s="26" t="s">
        <v>17</v>
      </c>
      <c r="I760" s="26"/>
      <c r="J760" s="26" t="s">
        <v>25</v>
      </c>
      <c r="K760" s="29">
        <v>0.76458333333333328</v>
      </c>
      <c r="L760" s="29">
        <v>0.76597222222222228</v>
      </c>
      <c r="M760" s="30">
        <f t="shared" ca="1" si="169"/>
        <v>1.388888888888995E-3</v>
      </c>
      <c r="N760" s="27"/>
      <c r="O760" s="60"/>
    </row>
    <row r="761" spans="1:15" ht="15" customHeight="1">
      <c r="A761" s="69">
        <v>46232</v>
      </c>
      <c r="B761" s="32">
        <f t="shared" si="170"/>
        <v>0.45833333333333304</v>
      </c>
      <c r="C761" s="26" t="s">
        <v>29</v>
      </c>
      <c r="D761" s="59" t="s">
        <v>30</v>
      </c>
      <c r="E761" s="62"/>
      <c r="F761" s="27">
        <v>0</v>
      </c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27"/>
      <c r="O761" s="60"/>
    </row>
    <row r="762" spans="1:15" ht="15" customHeight="1">
      <c r="A762" s="68">
        <v>46232</v>
      </c>
      <c r="B762" s="25">
        <f t="shared" si="170"/>
        <v>0.49999999999999972</v>
      </c>
      <c r="C762" s="26" t="s">
        <v>29</v>
      </c>
      <c r="D762" s="59" t="s">
        <v>30</v>
      </c>
      <c r="E762" s="59"/>
      <c r="F762" s="27">
        <v>0</v>
      </c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27"/>
      <c r="O762" s="60"/>
    </row>
    <row r="763" spans="1:15" ht="15" customHeight="1">
      <c r="A763" s="69">
        <v>46232</v>
      </c>
      <c r="B763" s="32">
        <f t="shared" si="170"/>
        <v>0.54166666666666641</v>
      </c>
      <c r="C763" s="26" t="s">
        <v>29</v>
      </c>
      <c r="D763" s="59" t="s">
        <v>30</v>
      </c>
      <c r="E763" s="62"/>
      <c r="F763" s="27">
        <v>0</v>
      </c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27"/>
      <c r="O763" s="60"/>
    </row>
    <row r="764" spans="1:15" ht="15" customHeight="1">
      <c r="A764" s="68">
        <v>46232</v>
      </c>
      <c r="B764" s="25">
        <f t="shared" si="170"/>
        <v>0.58333333333333304</v>
      </c>
      <c r="C764" s="26" t="s">
        <v>29</v>
      </c>
      <c r="D764" s="59" t="s">
        <v>30</v>
      </c>
      <c r="E764" s="59"/>
      <c r="F764" s="27">
        <v>0</v>
      </c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27"/>
      <c r="O764" s="60"/>
    </row>
    <row r="765" spans="1:15" ht="15" customHeight="1">
      <c r="A765" s="69">
        <v>46232</v>
      </c>
      <c r="B765" s="32">
        <f t="shared" si="170"/>
        <v>0.62499999999999967</v>
      </c>
      <c r="C765" s="26" t="s">
        <v>29</v>
      </c>
      <c r="D765" s="59" t="s">
        <v>30</v>
      </c>
      <c r="E765" s="62"/>
      <c r="F765" s="27">
        <v>0</v>
      </c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27"/>
      <c r="O765" s="60"/>
    </row>
    <row r="766" spans="1:15" ht="15" customHeight="1">
      <c r="A766" s="68">
        <v>46232</v>
      </c>
      <c r="B766" s="25">
        <f t="shared" si="170"/>
        <v>0.6666666666666663</v>
      </c>
      <c r="C766" s="26" t="s">
        <v>29</v>
      </c>
      <c r="D766" s="59" t="s">
        <v>30</v>
      </c>
      <c r="E766" s="59"/>
      <c r="F766" s="27">
        <v>0</v>
      </c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27"/>
      <c r="O766" s="60"/>
    </row>
    <row r="767" spans="1:15" ht="15" customHeight="1">
      <c r="A767" s="69">
        <v>46232</v>
      </c>
      <c r="B767" s="32">
        <f t="shared" si="170"/>
        <v>0.70833333333333293</v>
      </c>
      <c r="C767" s="26" t="s">
        <v>29</v>
      </c>
      <c r="D767" s="59" t="s">
        <v>30</v>
      </c>
      <c r="E767" s="62"/>
      <c r="F767" s="27">
        <v>0</v>
      </c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27"/>
      <c r="O767" s="60"/>
    </row>
    <row r="768" spans="1:15" ht="15" customHeight="1">
      <c r="A768" s="68">
        <v>46232</v>
      </c>
      <c r="B768" s="25">
        <f t="shared" si="170"/>
        <v>0.74999999999999956</v>
      </c>
      <c r="C768" s="26" t="s">
        <v>29</v>
      </c>
      <c r="D768" s="59" t="s">
        <v>30</v>
      </c>
      <c r="E768" s="59" t="s">
        <v>261</v>
      </c>
      <c r="F768" s="27">
        <v>5</v>
      </c>
      <c r="G768" s="28">
        <f t="shared" si="168"/>
        <v>21</v>
      </c>
      <c r="H768" s="26"/>
      <c r="I768" s="26"/>
      <c r="J768" s="26"/>
      <c r="K768" s="29"/>
      <c r="L768" s="29"/>
      <c r="M768" s="30" t="str">
        <f t="shared" ca="1" si="169"/>
        <v/>
      </c>
      <c r="N768" s="27"/>
      <c r="O768" s="60"/>
    </row>
    <row r="769" spans="1:15" ht="15" customHeight="1">
      <c r="A769" s="69">
        <v>46232</v>
      </c>
      <c r="B769" s="32">
        <f t="shared" si="170"/>
        <v>0.79166666666666619</v>
      </c>
      <c r="C769" s="26" t="s">
        <v>29</v>
      </c>
      <c r="D769" s="59" t="s">
        <v>30</v>
      </c>
      <c r="E769" s="62" t="s">
        <v>261</v>
      </c>
      <c r="F769" s="27">
        <v>3</v>
      </c>
      <c r="G769" s="34">
        <f t="shared" si="168"/>
        <v>12.600000000000001</v>
      </c>
      <c r="H769" s="33"/>
      <c r="I769" s="33"/>
      <c r="J769" s="33"/>
      <c r="K769" s="29"/>
      <c r="L769" s="29"/>
      <c r="M769" s="35" t="str">
        <f t="shared" ca="1" si="169"/>
        <v/>
      </c>
      <c r="N769" s="27"/>
      <c r="O769" s="60"/>
    </row>
    <row r="770" spans="1:15" ht="15.75" customHeight="1">
      <c r="A770" s="119" t="s">
        <v>236</v>
      </c>
      <c r="B770" s="120"/>
      <c r="C770" s="120"/>
      <c r="D770" s="120"/>
      <c r="E770" s="121">
        <f>SUM(E758:E769)</f>
        <v>0</v>
      </c>
      <c r="F770" s="36">
        <f>SUM(F758:F769)</f>
        <v>8</v>
      </c>
      <c r="G770" s="36">
        <f>SUM(G758:G769)</f>
        <v>33.6</v>
      </c>
      <c r="H770" s="37"/>
      <c r="I770" s="37"/>
      <c r="J770" s="37"/>
      <c r="K770" s="61"/>
      <c r="L770" s="61"/>
      <c r="M770" s="38">
        <f ca="1">IFERROR(SUM(M758:M769),"")</f>
        <v>0.46388888888888885</v>
      </c>
      <c r="N770" s="36" t="s">
        <v>237</v>
      </c>
      <c r="O770" s="39">
        <v>39360</v>
      </c>
    </row>
    <row r="771" spans="1:15" ht="15" customHeight="1">
      <c r="A771" s="69">
        <v>46232</v>
      </c>
      <c r="B771" s="32">
        <v>0.83333333333333304</v>
      </c>
      <c r="C771" s="33" t="s">
        <v>21</v>
      </c>
      <c r="D771" s="62" t="s">
        <v>22</v>
      </c>
      <c r="E771" s="62" t="s">
        <v>261</v>
      </c>
      <c r="F771" s="27">
        <v>30</v>
      </c>
      <c r="G771" s="34">
        <f t="shared" ref="G771:G782" si="171">IF(F771="","",IF(E771="PC 17",F771*4.2,IF(E771="PC 19",F771*5,"")))</f>
        <v>126</v>
      </c>
      <c r="H771" s="33" t="s">
        <v>18</v>
      </c>
      <c r="I771" s="33" t="s">
        <v>57</v>
      </c>
      <c r="J771" s="33" t="s">
        <v>154</v>
      </c>
      <c r="K771" s="29">
        <v>0.97222222222222221</v>
      </c>
      <c r="L771" s="29">
        <v>3.472222222222222E-3</v>
      </c>
      <c r="M771" s="35">
        <f t="shared" ref="M771:M782" ca="1" si="172">IFERROR(IF(K771="","",IF(L771="",MOD(NOW()-K771,1),IF(L771&gt;=K771,L771-K771,L771+1-K771))),"")</f>
        <v>3.1250000000000111E-2</v>
      </c>
      <c r="N771" s="27" t="s">
        <v>433</v>
      </c>
      <c r="O771" s="60"/>
    </row>
    <row r="772" spans="1:15" ht="15" customHeight="1">
      <c r="A772" s="68">
        <v>46232</v>
      </c>
      <c r="B772" s="25">
        <f t="shared" ref="B772:B782" si="173">B771+TIME(0,60,0)</f>
        <v>0.87499999999999967</v>
      </c>
      <c r="C772" s="33" t="s">
        <v>21</v>
      </c>
      <c r="D772" s="62" t="s">
        <v>22</v>
      </c>
      <c r="E772" s="62" t="s">
        <v>234</v>
      </c>
      <c r="F772" s="27">
        <v>12</v>
      </c>
      <c r="G772" s="28">
        <f t="shared" si="171"/>
        <v>60</v>
      </c>
      <c r="H772" s="26" t="s">
        <v>20</v>
      </c>
      <c r="I772" s="26" t="s">
        <v>52</v>
      </c>
      <c r="J772" s="26" t="s">
        <v>62</v>
      </c>
      <c r="K772" s="29">
        <v>5.2083333333333336E-2</v>
      </c>
      <c r="L772" s="29">
        <v>5.6944444444444443E-2</v>
      </c>
      <c r="M772" s="30">
        <f t="shared" ca="1" si="172"/>
        <v>4.8611111111111077E-3</v>
      </c>
      <c r="N772" s="27"/>
      <c r="O772" s="60"/>
    </row>
    <row r="773" spans="1:15" ht="15" customHeight="1">
      <c r="A773" s="69">
        <v>46232</v>
      </c>
      <c r="B773" s="32">
        <f t="shared" si="173"/>
        <v>0.9166666666666663</v>
      </c>
      <c r="C773" s="33" t="s">
        <v>21</v>
      </c>
      <c r="D773" s="62" t="s">
        <v>22</v>
      </c>
      <c r="E773" s="62" t="s">
        <v>261</v>
      </c>
      <c r="F773" s="27">
        <v>25</v>
      </c>
      <c r="G773" s="34">
        <f t="shared" si="171"/>
        <v>105</v>
      </c>
      <c r="H773" s="33" t="s">
        <v>18</v>
      </c>
      <c r="I773" s="33" t="s">
        <v>75</v>
      </c>
      <c r="J773" s="33" t="s">
        <v>100</v>
      </c>
      <c r="K773" s="29">
        <v>0.1423611111111111</v>
      </c>
      <c r="L773" s="29">
        <v>0.15972222222222221</v>
      </c>
      <c r="M773" s="35">
        <f t="shared" ca="1" si="172"/>
        <v>1.7361111111111105E-2</v>
      </c>
      <c r="N773" s="27"/>
      <c r="O773" s="60"/>
    </row>
    <row r="774" spans="1:15" ht="15" customHeight="1">
      <c r="A774" s="68">
        <v>46232</v>
      </c>
      <c r="B774" s="25">
        <f t="shared" si="173"/>
        <v>0.95833333333333293</v>
      </c>
      <c r="C774" s="33" t="s">
        <v>21</v>
      </c>
      <c r="D774" s="62" t="s">
        <v>22</v>
      </c>
      <c r="E774" s="62" t="s">
        <v>261</v>
      </c>
      <c r="F774" s="27">
        <v>24</v>
      </c>
      <c r="G774" s="28">
        <f t="shared" si="171"/>
        <v>100.80000000000001</v>
      </c>
      <c r="H774" s="26" t="s">
        <v>18</v>
      </c>
      <c r="I774" s="26" t="s">
        <v>75</v>
      </c>
      <c r="J774" s="26" t="s">
        <v>100</v>
      </c>
      <c r="K774" s="29">
        <v>0.2</v>
      </c>
      <c r="L774" s="29">
        <v>0.29166666666666669</v>
      </c>
      <c r="M774" s="30">
        <f t="shared" ca="1" si="172"/>
        <v>9.1666666666666674E-2</v>
      </c>
      <c r="N774" s="27" t="s">
        <v>437</v>
      </c>
      <c r="O774" s="60"/>
    </row>
    <row r="775" spans="1:15" ht="15" customHeight="1">
      <c r="A775" s="69">
        <v>46232</v>
      </c>
      <c r="B775" s="32">
        <f t="shared" si="173"/>
        <v>0.99999999999999956</v>
      </c>
      <c r="C775" s="33" t="s">
        <v>21</v>
      </c>
      <c r="D775" s="62" t="s">
        <v>22</v>
      </c>
      <c r="E775" s="62" t="s">
        <v>261</v>
      </c>
      <c r="F775" s="27">
        <v>6</v>
      </c>
      <c r="G775" s="34">
        <f t="shared" si="171"/>
        <v>25.200000000000003</v>
      </c>
      <c r="H775" s="33"/>
      <c r="I775" s="33"/>
      <c r="J775" s="33"/>
      <c r="K775" s="29"/>
      <c r="L775" s="29"/>
      <c r="M775" s="35" t="str">
        <f t="shared" ca="1" si="172"/>
        <v/>
      </c>
      <c r="N775" s="27"/>
      <c r="O775" s="60"/>
    </row>
    <row r="776" spans="1:15" ht="15" customHeight="1">
      <c r="A776" s="68">
        <v>46232</v>
      </c>
      <c r="B776" s="25">
        <f t="shared" si="173"/>
        <v>1.0416666666666663</v>
      </c>
      <c r="C776" s="33" t="s">
        <v>21</v>
      </c>
      <c r="D776" s="62" t="s">
        <v>22</v>
      </c>
      <c r="E776" s="62" t="s">
        <v>261</v>
      </c>
      <c r="F776" s="27">
        <v>15</v>
      </c>
      <c r="G776" s="28">
        <f t="shared" si="171"/>
        <v>63</v>
      </c>
      <c r="H776" s="26"/>
      <c r="I776" s="26"/>
      <c r="J776" s="26"/>
      <c r="K776" s="29"/>
      <c r="L776" s="29"/>
      <c r="M776" s="30" t="str">
        <f t="shared" ca="1" si="172"/>
        <v/>
      </c>
      <c r="N776" s="27"/>
      <c r="O776" s="60"/>
    </row>
    <row r="777" spans="1:15" ht="15" customHeight="1">
      <c r="A777" s="69">
        <v>46232</v>
      </c>
      <c r="B777" s="32">
        <f t="shared" si="173"/>
        <v>1.083333333333333</v>
      </c>
      <c r="C777" s="33" t="s">
        <v>21</v>
      </c>
      <c r="D777" s="62" t="s">
        <v>22</v>
      </c>
      <c r="E777" s="62" t="s">
        <v>261</v>
      </c>
      <c r="F777" s="27">
        <v>12</v>
      </c>
      <c r="G777" s="34">
        <f t="shared" si="171"/>
        <v>50.400000000000006</v>
      </c>
      <c r="H777" s="33"/>
      <c r="I777" s="33"/>
      <c r="J777" s="33"/>
      <c r="K777" s="29"/>
      <c r="L777" s="29"/>
      <c r="M777" s="35" t="str">
        <f t="shared" ca="1" si="172"/>
        <v/>
      </c>
      <c r="N777" s="27"/>
      <c r="O777" s="60"/>
    </row>
    <row r="778" spans="1:15" ht="15" customHeight="1">
      <c r="A778" s="68">
        <v>46232</v>
      </c>
      <c r="B778" s="25">
        <f t="shared" si="173"/>
        <v>1.1249999999999998</v>
      </c>
      <c r="C778" s="33" t="s">
        <v>21</v>
      </c>
      <c r="D778" s="62" t="s">
        <v>22</v>
      </c>
      <c r="E778" s="62" t="s">
        <v>261</v>
      </c>
      <c r="F778" s="27">
        <v>12</v>
      </c>
      <c r="G778" s="28">
        <f t="shared" si="171"/>
        <v>50.400000000000006</v>
      </c>
      <c r="H778" s="26"/>
      <c r="I778" s="26"/>
      <c r="J778" s="26"/>
      <c r="K778" s="29"/>
      <c r="L778" s="29"/>
      <c r="M778" s="30" t="str">
        <f t="shared" ca="1" si="172"/>
        <v/>
      </c>
      <c r="N778" s="27"/>
      <c r="O778" s="60"/>
    </row>
    <row r="779" spans="1:15" ht="15" customHeight="1">
      <c r="A779" s="69">
        <v>46232</v>
      </c>
      <c r="B779" s="32">
        <f t="shared" si="173"/>
        <v>1.1666666666666665</v>
      </c>
      <c r="C779" s="33" t="s">
        <v>21</v>
      </c>
      <c r="D779" s="62" t="s">
        <v>30</v>
      </c>
      <c r="E779" s="62" t="s">
        <v>261</v>
      </c>
      <c r="F779" s="27">
        <v>11</v>
      </c>
      <c r="G779" s="34">
        <f t="shared" si="171"/>
        <v>46.2</v>
      </c>
      <c r="H779" s="33"/>
      <c r="I779" s="33"/>
      <c r="J779" s="33"/>
      <c r="K779" s="29"/>
      <c r="L779" s="29"/>
      <c r="M779" s="35" t="str">
        <f t="shared" ca="1" si="172"/>
        <v/>
      </c>
      <c r="N779" s="27"/>
      <c r="O779" s="60"/>
    </row>
    <row r="780" spans="1:15" ht="15" customHeight="1">
      <c r="A780" s="68">
        <v>46232</v>
      </c>
      <c r="B780" s="25">
        <f t="shared" si="173"/>
        <v>1.2083333333333333</v>
      </c>
      <c r="C780" s="33" t="s">
        <v>21</v>
      </c>
      <c r="D780" s="62" t="s">
        <v>30</v>
      </c>
      <c r="E780" s="62" t="s">
        <v>261</v>
      </c>
      <c r="F780" s="27">
        <v>16</v>
      </c>
      <c r="G780" s="28">
        <f t="shared" si="171"/>
        <v>67.2</v>
      </c>
      <c r="H780" s="26"/>
      <c r="I780" s="26"/>
      <c r="J780" s="26"/>
      <c r="K780" s="29"/>
      <c r="L780" s="29"/>
      <c r="M780" s="30" t="str">
        <f t="shared" ca="1" si="172"/>
        <v/>
      </c>
      <c r="N780" s="27"/>
      <c r="O780" s="60"/>
    </row>
    <row r="781" spans="1:15" ht="15" customHeight="1">
      <c r="A781" s="69">
        <v>46232</v>
      </c>
      <c r="B781" s="32">
        <f t="shared" si="173"/>
        <v>1.25</v>
      </c>
      <c r="C781" s="33" t="s">
        <v>21</v>
      </c>
      <c r="D781" s="62" t="s">
        <v>30</v>
      </c>
      <c r="E781" s="62" t="s">
        <v>261</v>
      </c>
      <c r="F781" s="27">
        <v>5</v>
      </c>
      <c r="G781" s="34">
        <f t="shared" si="171"/>
        <v>21</v>
      </c>
      <c r="H781" s="33"/>
      <c r="I781" s="33"/>
      <c r="J781" s="33"/>
      <c r="K781" s="29"/>
      <c r="L781" s="29"/>
      <c r="M781" s="35" t="str">
        <f t="shared" ca="1" si="172"/>
        <v/>
      </c>
      <c r="N781" s="27"/>
      <c r="O781" s="60"/>
    </row>
    <row r="782" spans="1:15" ht="15" customHeight="1">
      <c r="A782" s="68">
        <v>46232</v>
      </c>
      <c r="B782" s="25">
        <f t="shared" si="173"/>
        <v>1.2916666666666667</v>
      </c>
      <c r="C782" s="33" t="s">
        <v>21</v>
      </c>
      <c r="D782" s="62" t="s">
        <v>30</v>
      </c>
      <c r="E782" s="62" t="s">
        <v>261</v>
      </c>
      <c r="F782" s="27">
        <v>0</v>
      </c>
      <c r="G782" s="28">
        <f t="shared" si="171"/>
        <v>0</v>
      </c>
      <c r="H782" s="26"/>
      <c r="I782" s="26"/>
      <c r="J782" s="26"/>
      <c r="K782" s="29"/>
      <c r="L782" s="29"/>
      <c r="M782" s="30" t="str">
        <f t="shared" ca="1" si="172"/>
        <v/>
      </c>
      <c r="N782" s="27"/>
      <c r="O782" s="60"/>
    </row>
    <row r="783" spans="1:15" ht="15.75" customHeight="1">
      <c r="A783" s="119" t="s">
        <v>238</v>
      </c>
      <c r="B783" s="120"/>
      <c r="C783" s="120"/>
      <c r="D783" s="120"/>
      <c r="E783" s="121">
        <f>SUM(E771:E782)</f>
        <v>0</v>
      </c>
      <c r="F783" s="36">
        <f>SUM(F771:F782)</f>
        <v>168</v>
      </c>
      <c r="G783" s="36">
        <f>SUM(G771:G782)</f>
        <v>715.2</v>
      </c>
      <c r="H783" s="37"/>
      <c r="I783" s="37"/>
      <c r="J783" s="37"/>
      <c r="K783" s="61"/>
      <c r="L783" s="61"/>
      <c r="M783" s="38">
        <f ca="1">IFERROR(SUM(M771:M782),"")</f>
        <v>0.14513888888888898</v>
      </c>
      <c r="N783" s="36" t="s">
        <v>237</v>
      </c>
      <c r="O783" s="39">
        <v>747380</v>
      </c>
    </row>
    <row r="784" spans="1:15" ht="18" customHeight="1">
      <c r="A784" s="122" t="s">
        <v>239</v>
      </c>
      <c r="B784" s="123"/>
      <c r="C784" s="123"/>
      <c r="D784" s="123"/>
      <c r="E784" s="124">
        <f>E770+E783</f>
        <v>0</v>
      </c>
      <c r="F784" s="40">
        <f>F770+F783</f>
        <v>176</v>
      </c>
      <c r="G784" s="40">
        <f>G770+G783</f>
        <v>748.80000000000007</v>
      </c>
      <c r="H784" s="41"/>
      <c r="I784" s="41"/>
      <c r="J784" s="41"/>
      <c r="K784" s="63"/>
      <c r="L784" s="63"/>
      <c r="M784" s="42">
        <f ca="1">IFERROR(M770+M783,"")</f>
        <v>0.60902777777777783</v>
      </c>
      <c r="N784" s="40" t="s">
        <v>240</v>
      </c>
      <c r="O784" s="48">
        <f>IFERROR(O770+O783,"")</f>
        <v>786740</v>
      </c>
    </row>
    <row r="785" spans="1:15" ht="15" customHeight="1">
      <c r="A785" s="69">
        <v>46233</v>
      </c>
      <c r="B785" s="32">
        <v>0.33333333333333298</v>
      </c>
      <c r="C785" s="33" t="s">
        <v>29</v>
      </c>
      <c r="D785" s="62" t="s">
        <v>22</v>
      </c>
      <c r="E785" s="62"/>
      <c r="F785" s="27">
        <v>0</v>
      </c>
      <c r="G785" s="34" t="str">
        <f>IF(F785="","",IF(E785="PC 17",F785*4.2,IF(E785="PC 19",F785*5,"")))</f>
        <v/>
      </c>
      <c r="H785" s="33" t="s">
        <v>16</v>
      </c>
      <c r="I785" s="33"/>
      <c r="J785" s="33" t="s">
        <v>86</v>
      </c>
      <c r="K785" s="29">
        <v>0.29166666666666669</v>
      </c>
      <c r="L785" s="29">
        <v>0.56041666666666667</v>
      </c>
      <c r="M785" s="35">
        <f t="shared" ref="M785:M796" ca="1" si="174">IFERROR(IF(K785="","",IF(L785="",MOD(NOW()-K785,1),IF(L785&gt;=K785,L785-K785,L785+1-K785))),"")</f>
        <v>0.26874999999999999</v>
      </c>
      <c r="N785" s="27"/>
      <c r="O785" s="60"/>
    </row>
    <row r="786" spans="1:15" ht="15" customHeight="1">
      <c r="A786" s="68">
        <v>46233</v>
      </c>
      <c r="B786" s="25">
        <f t="shared" ref="B786:B796" si="175">B785+TIME(0,60,0)</f>
        <v>0.37499999999999967</v>
      </c>
      <c r="C786" s="33" t="s">
        <v>29</v>
      </c>
      <c r="D786" s="62" t="s">
        <v>22</v>
      </c>
      <c r="E786" s="59"/>
      <c r="F786" s="27">
        <v>0</v>
      </c>
      <c r="G786" s="34" t="str">
        <f t="shared" ref="G786:G809" si="176">IF(F786="","",IF(E786="PC 17",F786*4.2,IF(E786="PC 19",F786*5,"")))</f>
        <v/>
      </c>
      <c r="H786" s="26"/>
      <c r="I786" s="26"/>
      <c r="J786" s="26"/>
      <c r="K786" s="29"/>
      <c r="L786" s="29"/>
      <c r="M786" s="30" t="str">
        <f t="shared" ca="1" si="174"/>
        <v/>
      </c>
      <c r="N786" s="27" t="s">
        <v>438</v>
      </c>
      <c r="O786" s="60"/>
    </row>
    <row r="787" spans="1:15" ht="15" customHeight="1">
      <c r="A787" s="69">
        <v>46233</v>
      </c>
      <c r="B787" s="32">
        <f t="shared" si="175"/>
        <v>0.41666666666666635</v>
      </c>
      <c r="C787" s="33" t="s">
        <v>29</v>
      </c>
      <c r="D787" s="62" t="s">
        <v>22</v>
      </c>
      <c r="E787" s="62"/>
      <c r="F787" s="27">
        <v>0</v>
      </c>
      <c r="G787" s="34" t="str">
        <f t="shared" si="176"/>
        <v/>
      </c>
      <c r="H787" s="33" t="s">
        <v>18</v>
      </c>
      <c r="I787" s="33" t="s">
        <v>75</v>
      </c>
      <c r="J787" s="33" t="s">
        <v>100</v>
      </c>
      <c r="K787" s="29">
        <v>0.61111111111111116</v>
      </c>
      <c r="L787" s="29">
        <v>0.67708333333333337</v>
      </c>
      <c r="M787" s="35">
        <f t="shared" ca="1" si="174"/>
        <v>6.597222222222221E-2</v>
      </c>
      <c r="N787" s="27"/>
      <c r="O787" s="60"/>
    </row>
    <row r="788" spans="1:15" ht="15" customHeight="1">
      <c r="A788" s="68">
        <v>46233</v>
      </c>
      <c r="B788" s="25">
        <f t="shared" si="175"/>
        <v>0.45833333333333304</v>
      </c>
      <c r="C788" s="33" t="s">
        <v>29</v>
      </c>
      <c r="D788" s="62" t="s">
        <v>22</v>
      </c>
      <c r="E788" s="59"/>
      <c r="F788" s="27">
        <v>0</v>
      </c>
      <c r="G788" s="34" t="str">
        <f t="shared" si="176"/>
        <v/>
      </c>
      <c r="H788" s="26" t="s">
        <v>18</v>
      </c>
      <c r="I788" s="26" t="s">
        <v>75</v>
      </c>
      <c r="J788" s="26" t="s">
        <v>221</v>
      </c>
      <c r="K788" s="29">
        <v>0.67708333333333337</v>
      </c>
      <c r="L788" s="29">
        <v>0.79166666666666663</v>
      </c>
      <c r="M788" s="30">
        <f t="shared" ca="1" si="174"/>
        <v>0.11458333333333326</v>
      </c>
      <c r="N788" s="27" t="s">
        <v>439</v>
      </c>
      <c r="O788" s="60"/>
    </row>
    <row r="789" spans="1:15" ht="15" customHeight="1">
      <c r="A789" s="69">
        <v>46233</v>
      </c>
      <c r="B789" s="32">
        <f t="shared" si="175"/>
        <v>0.49999999999999972</v>
      </c>
      <c r="C789" s="33" t="s">
        <v>29</v>
      </c>
      <c r="D789" s="62" t="s">
        <v>22</v>
      </c>
      <c r="E789" s="62"/>
      <c r="F789" s="27">
        <v>0</v>
      </c>
      <c r="G789" s="34" t="str">
        <f t="shared" si="176"/>
        <v/>
      </c>
      <c r="H789" s="33"/>
      <c r="I789" s="33"/>
      <c r="J789" s="33"/>
      <c r="K789" s="29"/>
      <c r="L789" s="29"/>
      <c r="M789" s="35" t="str">
        <f t="shared" ca="1" si="174"/>
        <v/>
      </c>
      <c r="N789" s="27"/>
      <c r="O789" s="60"/>
    </row>
    <row r="790" spans="1:15" ht="15" customHeight="1">
      <c r="A790" s="68">
        <v>46233</v>
      </c>
      <c r="B790" s="25">
        <f t="shared" si="175"/>
        <v>0.54166666666666641</v>
      </c>
      <c r="C790" s="33" t="s">
        <v>29</v>
      </c>
      <c r="D790" s="62" t="s">
        <v>22</v>
      </c>
      <c r="E790" s="59"/>
      <c r="F790" s="27">
        <v>0</v>
      </c>
      <c r="G790" s="34" t="str">
        <f t="shared" si="176"/>
        <v/>
      </c>
      <c r="H790" s="26"/>
      <c r="I790" s="26"/>
      <c r="J790" s="26"/>
      <c r="K790" s="29"/>
      <c r="L790" s="29"/>
      <c r="M790" s="30" t="str">
        <f t="shared" ca="1" si="174"/>
        <v/>
      </c>
      <c r="N790" s="27" t="s">
        <v>440</v>
      </c>
      <c r="O790" s="60"/>
    </row>
    <row r="791" spans="1:15" ht="15" customHeight="1">
      <c r="A791" s="69">
        <v>46233</v>
      </c>
      <c r="B791" s="32">
        <f t="shared" si="175"/>
        <v>0.58333333333333304</v>
      </c>
      <c r="C791" s="33" t="s">
        <v>29</v>
      </c>
      <c r="D791" s="62" t="s">
        <v>22</v>
      </c>
      <c r="E791" s="62" t="s">
        <v>261</v>
      </c>
      <c r="F791" s="27">
        <v>15</v>
      </c>
      <c r="G791" s="34">
        <f t="shared" si="176"/>
        <v>63</v>
      </c>
      <c r="H791" s="33"/>
      <c r="I791" s="33"/>
      <c r="J791" s="33"/>
      <c r="K791" s="29"/>
      <c r="L791" s="29"/>
      <c r="M791" s="35" t="str">
        <f t="shared" ca="1" si="174"/>
        <v/>
      </c>
      <c r="N791" s="27"/>
      <c r="O791" s="60"/>
    </row>
    <row r="792" spans="1:15" ht="15" customHeight="1">
      <c r="A792" s="68">
        <v>46233</v>
      </c>
      <c r="B792" s="25">
        <f t="shared" si="175"/>
        <v>0.62499999999999967</v>
      </c>
      <c r="C792" s="33" t="s">
        <v>29</v>
      </c>
      <c r="D792" s="62" t="s">
        <v>22</v>
      </c>
      <c r="E792" s="59" t="s">
        <v>261</v>
      </c>
      <c r="F792" s="27">
        <v>7</v>
      </c>
      <c r="G792" s="34">
        <f t="shared" si="176"/>
        <v>29.400000000000002</v>
      </c>
      <c r="H792" s="26"/>
      <c r="I792" s="26"/>
      <c r="J792" s="26"/>
      <c r="K792" s="29"/>
      <c r="L792" s="29"/>
      <c r="M792" s="30" t="str">
        <f t="shared" ca="1" si="174"/>
        <v/>
      </c>
      <c r="N792" s="27"/>
      <c r="O792" s="60"/>
    </row>
    <row r="793" spans="1:15" ht="15" customHeight="1">
      <c r="A793" s="69">
        <v>46233</v>
      </c>
      <c r="B793" s="32">
        <f t="shared" si="175"/>
        <v>0.6666666666666663</v>
      </c>
      <c r="C793" s="33" t="s">
        <v>29</v>
      </c>
      <c r="D793" s="62" t="s">
        <v>22</v>
      </c>
      <c r="E793" s="62" t="s">
        <v>261</v>
      </c>
      <c r="F793" s="27">
        <v>0</v>
      </c>
      <c r="G793" s="34">
        <f t="shared" si="176"/>
        <v>0</v>
      </c>
      <c r="H793" s="33"/>
      <c r="I793" s="33"/>
      <c r="J793" s="33"/>
      <c r="K793" s="29"/>
      <c r="L793" s="29"/>
      <c r="M793" s="35" t="str">
        <f t="shared" ca="1" si="174"/>
        <v/>
      </c>
      <c r="N793" s="27"/>
      <c r="O793" s="60"/>
    </row>
    <row r="794" spans="1:15" ht="15" customHeight="1">
      <c r="A794" s="68">
        <v>46233</v>
      </c>
      <c r="B794" s="25">
        <f t="shared" si="175"/>
        <v>0.70833333333333293</v>
      </c>
      <c r="C794" s="33" t="s">
        <v>29</v>
      </c>
      <c r="D794" s="62" t="s">
        <v>22</v>
      </c>
      <c r="E794" s="59" t="s">
        <v>261</v>
      </c>
      <c r="F794" s="27">
        <v>0</v>
      </c>
      <c r="G794" s="34">
        <f t="shared" si="176"/>
        <v>0</v>
      </c>
      <c r="H794" s="26"/>
      <c r="I794" s="26"/>
      <c r="J794" s="26"/>
      <c r="K794" s="29"/>
      <c r="L794" s="29"/>
      <c r="M794" s="30" t="str">
        <f t="shared" ca="1" si="174"/>
        <v/>
      </c>
      <c r="N794" s="27"/>
      <c r="O794" s="60"/>
    </row>
    <row r="795" spans="1:15" ht="15" customHeight="1">
      <c r="A795" s="69">
        <v>46233</v>
      </c>
      <c r="B795" s="32">
        <f t="shared" si="175"/>
        <v>0.74999999999999956</v>
      </c>
      <c r="C795" s="33" t="s">
        <v>29</v>
      </c>
      <c r="D795" s="62" t="s">
        <v>22</v>
      </c>
      <c r="E795" s="62" t="s">
        <v>261</v>
      </c>
      <c r="F795" s="27">
        <v>0</v>
      </c>
      <c r="G795" s="34">
        <f t="shared" si="176"/>
        <v>0</v>
      </c>
      <c r="H795" s="33"/>
      <c r="I795" s="33"/>
      <c r="J795" s="33"/>
      <c r="K795" s="29"/>
      <c r="L795" s="29"/>
      <c r="M795" s="35" t="str">
        <f t="shared" ca="1" si="174"/>
        <v/>
      </c>
      <c r="N795" s="27"/>
      <c r="O795" s="60"/>
    </row>
    <row r="796" spans="1:15" ht="15" customHeight="1">
      <c r="A796" s="68">
        <v>46233</v>
      </c>
      <c r="B796" s="25">
        <f t="shared" si="175"/>
        <v>0.79166666666666619</v>
      </c>
      <c r="C796" s="33" t="s">
        <v>29</v>
      </c>
      <c r="D796" s="62" t="s">
        <v>22</v>
      </c>
      <c r="E796" s="59" t="s">
        <v>261</v>
      </c>
      <c r="F796" s="27">
        <v>0</v>
      </c>
      <c r="G796" s="34">
        <f t="shared" si="176"/>
        <v>0</v>
      </c>
      <c r="H796" s="26"/>
      <c r="I796" s="26"/>
      <c r="J796" s="26"/>
      <c r="K796" s="29"/>
      <c r="L796" s="29"/>
      <c r="M796" s="30" t="str">
        <f t="shared" ca="1" si="174"/>
        <v/>
      </c>
      <c r="N796" s="27"/>
      <c r="O796" s="60"/>
    </row>
    <row r="797" spans="1:15" ht="15.75" customHeight="1">
      <c r="A797" s="119" t="s">
        <v>236</v>
      </c>
      <c r="B797" s="120"/>
      <c r="C797" s="120"/>
      <c r="D797" s="120"/>
      <c r="E797" s="121">
        <f>SUM(E785:E796)</f>
        <v>0</v>
      </c>
      <c r="F797" s="36">
        <f>SUM(F785:F796)</f>
        <v>22</v>
      </c>
      <c r="G797" s="36">
        <f>SUM(G785:G796)</f>
        <v>92.4</v>
      </c>
      <c r="H797" s="37"/>
      <c r="I797" s="37"/>
      <c r="J797" s="37"/>
      <c r="K797" s="61"/>
      <c r="L797" s="61"/>
      <c r="M797" s="38">
        <f ca="1">IFERROR(SUM(M785:M796),"")</f>
        <v>0.44930555555555546</v>
      </c>
      <c r="N797" s="36" t="s">
        <v>237</v>
      </c>
      <c r="O797" s="39">
        <v>99040</v>
      </c>
    </row>
    <row r="798" spans="1:15" ht="15" customHeight="1">
      <c r="A798" s="68">
        <v>46233</v>
      </c>
      <c r="B798" s="25">
        <v>0.83333333333333304</v>
      </c>
      <c r="C798" s="26" t="s">
        <v>21</v>
      </c>
      <c r="D798" s="59" t="s">
        <v>22</v>
      </c>
      <c r="E798" s="59" t="s">
        <v>261</v>
      </c>
      <c r="F798" s="27">
        <v>0</v>
      </c>
      <c r="G798" s="34">
        <f t="shared" si="176"/>
        <v>0</v>
      </c>
      <c r="H798" s="26" t="s">
        <v>18</v>
      </c>
      <c r="I798" s="26" t="s">
        <v>75</v>
      </c>
      <c r="J798" s="26" t="s">
        <v>100</v>
      </c>
      <c r="K798" s="29">
        <v>0.79166666666666663</v>
      </c>
      <c r="L798" s="29">
        <v>0.89583333333333337</v>
      </c>
      <c r="M798" s="30">
        <f t="shared" ref="M798:M809" ca="1" si="177">IFERROR(IF(K798="","",IF(L798="",MOD(NOW()-K798,1),IF(L798&gt;=K798,L798-K798,L798+1-K798))),"")</f>
        <v>0.10416666666666674</v>
      </c>
      <c r="N798" s="27"/>
      <c r="O798" s="60"/>
    </row>
    <row r="799" spans="1:15" ht="15" customHeight="1">
      <c r="A799" s="69">
        <v>46233</v>
      </c>
      <c r="B799" s="32">
        <f t="shared" ref="B799:B809" si="178">B798+TIME(0,60,0)</f>
        <v>0.87499999999999967</v>
      </c>
      <c r="C799" s="26" t="s">
        <v>21</v>
      </c>
      <c r="D799" s="59" t="s">
        <v>22</v>
      </c>
      <c r="E799" s="59" t="s">
        <v>261</v>
      </c>
      <c r="F799" s="27">
        <v>0</v>
      </c>
      <c r="G799" s="34">
        <f t="shared" si="176"/>
        <v>0</v>
      </c>
      <c r="H799" s="26" t="s">
        <v>18</v>
      </c>
      <c r="I799" s="33" t="s">
        <v>75</v>
      </c>
      <c r="J799" s="26" t="s">
        <v>100</v>
      </c>
      <c r="K799" s="29">
        <v>0.91666666666666663</v>
      </c>
      <c r="L799" s="29">
        <v>0.95138888888888884</v>
      </c>
      <c r="M799" s="35">
        <f t="shared" ca="1" si="177"/>
        <v>3.472222222222221E-2</v>
      </c>
      <c r="N799" s="27"/>
      <c r="O799" s="60"/>
    </row>
    <row r="800" spans="1:15" ht="15" customHeight="1">
      <c r="A800" s="68">
        <v>46233</v>
      </c>
      <c r="B800" s="25">
        <f t="shared" si="178"/>
        <v>0.9166666666666663</v>
      </c>
      <c r="C800" s="26" t="s">
        <v>21</v>
      </c>
      <c r="D800" s="59" t="s">
        <v>22</v>
      </c>
      <c r="E800" s="59" t="s">
        <v>261</v>
      </c>
      <c r="F800" s="27">
        <v>14</v>
      </c>
      <c r="G800" s="34">
        <f t="shared" si="176"/>
        <v>58.800000000000004</v>
      </c>
      <c r="H800" s="26" t="s">
        <v>19</v>
      </c>
      <c r="I800" s="26" t="s">
        <v>160</v>
      </c>
      <c r="J800" s="26" t="s">
        <v>27</v>
      </c>
      <c r="K800" s="29">
        <v>0.14930555555555555</v>
      </c>
      <c r="L800" s="29">
        <v>0.16111111111111112</v>
      </c>
      <c r="M800" s="30">
        <f t="shared" ca="1" si="177"/>
        <v>1.1805555555555569E-2</v>
      </c>
      <c r="N800" s="27"/>
      <c r="O800" s="60"/>
    </row>
    <row r="801" spans="1:15" ht="15" customHeight="1">
      <c r="A801" s="69">
        <v>46233</v>
      </c>
      <c r="B801" s="32">
        <f t="shared" si="178"/>
        <v>0.95833333333333293</v>
      </c>
      <c r="C801" s="26" t="s">
        <v>21</v>
      </c>
      <c r="D801" s="59" t="s">
        <v>22</v>
      </c>
      <c r="E801" s="59" t="s">
        <v>261</v>
      </c>
      <c r="F801" s="27">
        <v>20</v>
      </c>
      <c r="G801" s="34">
        <f t="shared" si="176"/>
        <v>84</v>
      </c>
      <c r="H801" s="33" t="s">
        <v>20</v>
      </c>
      <c r="I801" s="33" t="s">
        <v>57</v>
      </c>
      <c r="J801" s="33" t="s">
        <v>51</v>
      </c>
      <c r="K801" s="29">
        <v>0.17916666666666667</v>
      </c>
      <c r="L801" s="29">
        <v>0.18611111111111112</v>
      </c>
      <c r="M801" s="35">
        <f t="shared" ca="1" si="177"/>
        <v>6.9444444444444475E-3</v>
      </c>
      <c r="N801" s="27" t="s">
        <v>441</v>
      </c>
      <c r="O801" s="60"/>
    </row>
    <row r="802" spans="1:15" ht="15" customHeight="1">
      <c r="A802" s="68">
        <v>46233</v>
      </c>
      <c r="B802" s="25">
        <f t="shared" si="178"/>
        <v>0.99999999999999956</v>
      </c>
      <c r="C802" s="26" t="s">
        <v>21</v>
      </c>
      <c r="D802" s="59" t="s">
        <v>22</v>
      </c>
      <c r="E802" s="59" t="s">
        <v>261</v>
      </c>
      <c r="F802" s="27">
        <v>10</v>
      </c>
      <c r="G802" s="34">
        <f t="shared" si="176"/>
        <v>42</v>
      </c>
      <c r="H802" s="26" t="s">
        <v>17</v>
      </c>
      <c r="I802" s="26"/>
      <c r="J802" s="26" t="s">
        <v>41</v>
      </c>
      <c r="K802" s="29">
        <v>0.22916666666666666</v>
      </c>
      <c r="L802" s="29">
        <v>0.2388888888888889</v>
      </c>
      <c r="M802" s="30">
        <f t="shared" ca="1" si="177"/>
        <v>9.7222222222222432E-3</v>
      </c>
      <c r="N802" s="27"/>
      <c r="O802" s="60"/>
    </row>
    <row r="803" spans="1:15" ht="15" customHeight="1">
      <c r="A803" s="69">
        <v>46233</v>
      </c>
      <c r="B803" s="32">
        <f t="shared" si="178"/>
        <v>1.0416666666666663</v>
      </c>
      <c r="C803" s="26" t="s">
        <v>21</v>
      </c>
      <c r="D803" s="59" t="s">
        <v>22</v>
      </c>
      <c r="E803" s="59" t="s">
        <v>261</v>
      </c>
      <c r="F803" s="27">
        <v>22</v>
      </c>
      <c r="G803" s="34">
        <f t="shared" si="176"/>
        <v>92.4</v>
      </c>
      <c r="H803" s="33"/>
      <c r="I803" s="33"/>
      <c r="J803" s="33"/>
      <c r="K803" s="29"/>
      <c r="L803" s="29"/>
      <c r="M803" s="35" t="str">
        <f t="shared" ca="1" si="177"/>
        <v/>
      </c>
      <c r="N803" s="27"/>
      <c r="O803" s="60"/>
    </row>
    <row r="804" spans="1:15" ht="15" customHeight="1">
      <c r="A804" s="68">
        <v>46233</v>
      </c>
      <c r="B804" s="25">
        <f t="shared" si="178"/>
        <v>1.083333333333333</v>
      </c>
      <c r="C804" s="26" t="s">
        <v>21</v>
      </c>
      <c r="D804" s="59" t="s">
        <v>22</v>
      </c>
      <c r="E804" s="59" t="s">
        <v>261</v>
      </c>
      <c r="F804" s="27">
        <v>21</v>
      </c>
      <c r="G804" s="34">
        <f t="shared" si="176"/>
        <v>88.2</v>
      </c>
      <c r="H804" s="26"/>
      <c r="I804" s="26"/>
      <c r="J804" s="26"/>
      <c r="K804" s="29"/>
      <c r="L804" s="29"/>
      <c r="M804" s="30" t="str">
        <f t="shared" ca="1" si="177"/>
        <v/>
      </c>
      <c r="N804" s="27"/>
      <c r="O804" s="60"/>
    </row>
    <row r="805" spans="1:15" ht="15" customHeight="1">
      <c r="A805" s="69">
        <v>46233</v>
      </c>
      <c r="B805" s="32">
        <f t="shared" si="178"/>
        <v>1.1249999999999998</v>
      </c>
      <c r="C805" s="26" t="s">
        <v>21</v>
      </c>
      <c r="D805" s="59" t="s">
        <v>22</v>
      </c>
      <c r="E805" s="59" t="s">
        <v>261</v>
      </c>
      <c r="F805" s="27">
        <v>18</v>
      </c>
      <c r="G805" s="34">
        <f t="shared" si="176"/>
        <v>75.600000000000009</v>
      </c>
      <c r="H805" s="33"/>
      <c r="I805" s="33"/>
      <c r="J805" s="33"/>
      <c r="K805" s="29"/>
      <c r="L805" s="29"/>
      <c r="M805" s="35" t="str">
        <f t="shared" ca="1" si="177"/>
        <v/>
      </c>
      <c r="N805" s="27"/>
      <c r="O805" s="60"/>
    </row>
    <row r="806" spans="1:15" ht="15" customHeight="1">
      <c r="A806" s="68">
        <v>46233</v>
      </c>
      <c r="B806" s="25">
        <f t="shared" si="178"/>
        <v>1.1666666666666665</v>
      </c>
      <c r="C806" s="26" t="s">
        <v>21</v>
      </c>
      <c r="D806" s="59" t="s">
        <v>22</v>
      </c>
      <c r="E806" s="59" t="s">
        <v>261</v>
      </c>
      <c r="F806" s="27">
        <v>15</v>
      </c>
      <c r="G806" s="34">
        <f t="shared" si="176"/>
        <v>63</v>
      </c>
      <c r="H806" s="26"/>
      <c r="I806" s="26"/>
      <c r="J806" s="26"/>
      <c r="K806" s="29"/>
      <c r="L806" s="29"/>
      <c r="M806" s="30" t="str">
        <f t="shared" ca="1" si="177"/>
        <v/>
      </c>
      <c r="N806" s="27"/>
      <c r="O806" s="60"/>
    </row>
    <row r="807" spans="1:15" ht="15" customHeight="1">
      <c r="A807" s="69">
        <v>46233</v>
      </c>
      <c r="B807" s="32">
        <f t="shared" si="178"/>
        <v>1.2083333333333333</v>
      </c>
      <c r="C807" s="26" t="s">
        <v>21</v>
      </c>
      <c r="D807" s="59" t="s">
        <v>22</v>
      </c>
      <c r="E807" s="59" t="s">
        <v>261</v>
      </c>
      <c r="F807" s="27">
        <v>19</v>
      </c>
      <c r="G807" s="34">
        <f t="shared" si="176"/>
        <v>79.8</v>
      </c>
      <c r="H807" s="33"/>
      <c r="I807" s="33"/>
      <c r="J807" s="33"/>
      <c r="K807" s="29"/>
      <c r="L807" s="29"/>
      <c r="M807" s="35" t="str">
        <f t="shared" ca="1" si="177"/>
        <v/>
      </c>
      <c r="N807" s="27"/>
      <c r="O807" s="60"/>
    </row>
    <row r="808" spans="1:15" ht="15" customHeight="1">
      <c r="A808" s="68">
        <v>46233</v>
      </c>
      <c r="B808" s="25">
        <f t="shared" si="178"/>
        <v>1.25</v>
      </c>
      <c r="C808" s="26" t="s">
        <v>21</v>
      </c>
      <c r="D808" s="59" t="s">
        <v>22</v>
      </c>
      <c r="E808" s="59" t="s">
        <v>261</v>
      </c>
      <c r="F808" s="27">
        <v>13</v>
      </c>
      <c r="G808" s="34">
        <f t="shared" si="176"/>
        <v>54.6</v>
      </c>
      <c r="H808" s="26"/>
      <c r="I808" s="26"/>
      <c r="J808" s="26"/>
      <c r="K808" s="29"/>
      <c r="L808" s="29"/>
      <c r="M808" s="30" t="str">
        <f t="shared" ca="1" si="177"/>
        <v/>
      </c>
      <c r="N808" s="27"/>
      <c r="O808" s="60"/>
    </row>
    <row r="809" spans="1:15" ht="15" customHeight="1">
      <c r="A809" s="69">
        <v>46233</v>
      </c>
      <c r="B809" s="32">
        <f t="shared" si="178"/>
        <v>1.2916666666666667</v>
      </c>
      <c r="C809" s="26" t="s">
        <v>21</v>
      </c>
      <c r="D809" s="59" t="s">
        <v>22</v>
      </c>
      <c r="E809" s="59" t="s">
        <v>261</v>
      </c>
      <c r="F809" s="27">
        <v>8</v>
      </c>
      <c r="G809" s="34">
        <f t="shared" si="176"/>
        <v>33.6</v>
      </c>
      <c r="H809" s="33"/>
      <c r="I809" s="33"/>
      <c r="J809" s="33"/>
      <c r="K809" s="29"/>
      <c r="L809" s="29"/>
      <c r="M809" s="35" t="str">
        <f t="shared" ca="1" si="177"/>
        <v/>
      </c>
      <c r="N809" s="27"/>
      <c r="O809" s="60"/>
    </row>
    <row r="810" spans="1:15" ht="15.75" customHeight="1">
      <c r="A810" s="119" t="s">
        <v>238</v>
      </c>
      <c r="B810" s="120"/>
      <c r="C810" s="120"/>
      <c r="D810" s="120"/>
      <c r="E810" s="121">
        <f>SUM(E798:E809)</f>
        <v>0</v>
      </c>
      <c r="F810" s="36">
        <f>SUM(F798:F809)</f>
        <v>160</v>
      </c>
      <c r="G810" s="36">
        <f>SUM(G798:G809)</f>
        <v>672.00000000000011</v>
      </c>
      <c r="H810" s="37"/>
      <c r="I810" s="37"/>
      <c r="J810" s="37"/>
      <c r="K810" s="61"/>
      <c r="L810" s="61"/>
      <c r="M810" s="38">
        <f ca="1">IFERROR(SUM(M798:M809),"")</f>
        <v>0.16736111111111121</v>
      </c>
      <c r="N810" s="36" t="s">
        <v>237</v>
      </c>
      <c r="O810" s="39">
        <v>784390</v>
      </c>
    </row>
    <row r="811" spans="1:15" ht="18" customHeight="1">
      <c r="A811" s="122" t="s">
        <v>239</v>
      </c>
      <c r="B811" s="123"/>
      <c r="C811" s="123"/>
      <c r="D811" s="123"/>
      <c r="E811" s="124">
        <f>E797+E810</f>
        <v>0</v>
      </c>
      <c r="F811" s="40">
        <f>F797+F810</f>
        <v>182</v>
      </c>
      <c r="G811" s="40">
        <f>G797+G810</f>
        <v>764.40000000000009</v>
      </c>
      <c r="H811" s="41"/>
      <c r="I811" s="41"/>
      <c r="J811" s="41"/>
      <c r="K811" s="63"/>
      <c r="L811" s="63"/>
      <c r="M811" s="42">
        <f ca="1">IFERROR(M797+M810,"")</f>
        <v>0.6166666666666667</v>
      </c>
      <c r="N811" s="40" t="s">
        <v>240</v>
      </c>
      <c r="O811" s="43">
        <f>IFERROR(O797+O810,"")</f>
        <v>883430</v>
      </c>
    </row>
    <row r="812" spans="1:15" ht="15">
      <c r="A812" s="106">
        <v>46234</v>
      </c>
      <c r="B812" s="103">
        <v>0.33333333333333298</v>
      </c>
      <c r="C812" s="80" t="s">
        <v>45</v>
      </c>
      <c r="D812" s="99" t="s">
        <v>22</v>
      </c>
      <c r="E812" s="99" t="s">
        <v>261</v>
      </c>
      <c r="F812" s="100">
        <v>10</v>
      </c>
      <c r="G812" s="104">
        <f>IF(F812="","",IF(E812="PC 17",F812*4.2,IF(E812="PC 19",F812*5,"")))</f>
        <v>42</v>
      </c>
      <c r="H812" s="80" t="s">
        <v>16</v>
      </c>
      <c r="I812" s="80" t="s">
        <v>57</v>
      </c>
      <c r="J812" s="80" t="s">
        <v>48</v>
      </c>
      <c r="K812" s="98">
        <v>0.3263888888888889</v>
      </c>
      <c r="L812" s="98">
        <v>0.39166666666666666</v>
      </c>
      <c r="M812" s="78">
        <f ca="1">IFERROR(IF(K812="","",IF(L812="",MOD(NOW()-K812,1),IF(L812&gt;=K812,L812-K812,L812+1-K812))),"")</f>
        <v>6.5277777777777768E-2</v>
      </c>
      <c r="N812" s="105"/>
      <c r="O812" s="47"/>
    </row>
    <row r="813" spans="1:15" ht="15">
      <c r="A813" s="102">
        <v>46234</v>
      </c>
      <c r="B813" s="107">
        <f>B812+TIME(0,60,0)</f>
        <v>0.37499999999999967</v>
      </c>
      <c r="C813" s="80" t="s">
        <v>45</v>
      </c>
      <c r="D813" s="99" t="s">
        <v>22</v>
      </c>
      <c r="E813" s="108" t="s">
        <v>261</v>
      </c>
      <c r="F813" s="100">
        <v>0</v>
      </c>
      <c r="G813" s="104">
        <f>IF(F813="","",IF(E813="PC 17",F813*4.2,IF(E813="PC 19",F813*5,"")))</f>
        <v>0</v>
      </c>
      <c r="H813" s="81" t="s">
        <v>20</v>
      </c>
      <c r="I813" s="81" t="s">
        <v>57</v>
      </c>
      <c r="J813" s="81" t="s">
        <v>28</v>
      </c>
      <c r="K813" s="98">
        <v>0.4236111111111111</v>
      </c>
      <c r="L813" s="98">
        <v>0.42916666666666664</v>
      </c>
      <c r="M813" s="79">
        <f ca="1">IFERROR(IF(K813="","",IF(L813="",MOD(NOW()-K813,1),IF(L813&gt;=K813,L813-K813,L813+1-K813))),"")</f>
        <v>5.5555555555555358E-3</v>
      </c>
      <c r="N813" s="105"/>
      <c r="O813" s="47"/>
    </row>
    <row r="814" spans="1:15" ht="15">
      <c r="A814" s="106">
        <v>46234</v>
      </c>
      <c r="B814" s="103">
        <f>B813+TIME(0,60,0)</f>
        <v>0.41666666666666635</v>
      </c>
      <c r="C814" s="80" t="s">
        <v>45</v>
      </c>
      <c r="D814" s="99" t="s">
        <v>22</v>
      </c>
      <c r="E814" s="99" t="s">
        <v>261</v>
      </c>
      <c r="F814" s="100">
        <v>6</v>
      </c>
      <c r="G814" s="104">
        <f>IF(F814="","",IF(E814="PC 17",F814*4.2,IF(E814="PC 19",F814*5,"")))</f>
        <v>25.200000000000003</v>
      </c>
      <c r="H814" s="80" t="s">
        <v>19</v>
      </c>
      <c r="I814" s="80" t="s">
        <v>160</v>
      </c>
      <c r="J814" s="80" t="s">
        <v>27</v>
      </c>
      <c r="K814" s="98">
        <v>0.55902777777777779</v>
      </c>
      <c r="L814" s="98">
        <v>0.58333333333333337</v>
      </c>
      <c r="M814" s="78">
        <f ca="1">IFERROR(IF(K814="","",IF(L814="",MOD(NOW()-K814,1),IF(L814&gt;=K814,L814-K814,L814+1-K814))),"")</f>
        <v>2.430555555555558E-2</v>
      </c>
      <c r="N814" s="105" t="s">
        <v>442</v>
      </c>
      <c r="O814" s="47"/>
    </row>
    <row r="815" spans="1:15" ht="15">
      <c r="A815" s="102">
        <v>46234</v>
      </c>
      <c r="B815" s="107">
        <f>B814+TIME(0,60,0)</f>
        <v>0.45833333333333304</v>
      </c>
      <c r="C815" s="80" t="s">
        <v>45</v>
      </c>
      <c r="D815" s="99" t="s">
        <v>22</v>
      </c>
      <c r="E815" s="108" t="s">
        <v>261</v>
      </c>
      <c r="F815" s="100">
        <v>16</v>
      </c>
      <c r="G815" s="104">
        <f>IF(F815="","",IF(E815="PC 17",F815*4.2,IF(E815="PC 19",F815*5,"")))</f>
        <v>67.2</v>
      </c>
      <c r="H815" s="81" t="s">
        <v>20</v>
      </c>
      <c r="I815" s="81" t="s">
        <v>57</v>
      </c>
      <c r="J815" s="81" t="s">
        <v>28</v>
      </c>
      <c r="K815" s="98">
        <v>0.74027777777777781</v>
      </c>
      <c r="L815" s="98">
        <v>0.76111111111111107</v>
      </c>
      <c r="M815" s="79">
        <f ca="1">IFERROR(IF(K815="","",IF(L815="",MOD(NOW()-K815,1),IF(L815&gt;=K815,L815-K815,L815+1-K815))),"")</f>
        <v>2.0833333333333259E-2</v>
      </c>
      <c r="N815" s="105"/>
      <c r="O815" s="47"/>
    </row>
    <row r="816" spans="1:15" ht="15">
      <c r="A816" s="106">
        <v>46234</v>
      </c>
      <c r="B816" s="103">
        <f>B815+TIME(0,60,0)</f>
        <v>0.49999999999999972</v>
      </c>
      <c r="C816" s="80" t="s">
        <v>45</v>
      </c>
      <c r="D816" s="99" t="s">
        <v>22</v>
      </c>
      <c r="E816" s="99" t="s">
        <v>261</v>
      </c>
      <c r="F816" s="100">
        <v>7</v>
      </c>
      <c r="G816" s="104">
        <f>IF(F816="","",IF(E816="PC 17",F816*4.2,IF(E816="PC 19",F816*5,"")))</f>
        <v>29.400000000000002</v>
      </c>
      <c r="H816" s="80"/>
      <c r="I816" s="80"/>
      <c r="J816" s="80"/>
      <c r="K816" s="98"/>
      <c r="L816" s="98"/>
      <c r="M816" s="78" t="str">
        <f ca="1">IFERROR(IF(K816="","",IF(L816="",MOD(NOW()-K816,1),IF(L816&gt;=K816,L816-K816,L816+1-K816))),"")</f>
        <v/>
      </c>
      <c r="N816" s="105"/>
      <c r="O816" s="47"/>
    </row>
    <row r="817" spans="1:15" ht="15">
      <c r="A817" s="102">
        <v>46234</v>
      </c>
      <c r="B817" s="107">
        <f>B816+TIME(0,60,0)</f>
        <v>0.54166666666666641</v>
      </c>
      <c r="C817" s="80" t="s">
        <v>45</v>
      </c>
      <c r="D817" s="99" t="s">
        <v>22</v>
      </c>
      <c r="E817" s="108" t="s">
        <v>261</v>
      </c>
      <c r="F817" s="100">
        <v>19</v>
      </c>
      <c r="G817" s="104">
        <f>IF(F817="","",IF(E817="PC 17",F817*4.2,IF(E817="PC 19",F817*5,"")))</f>
        <v>79.8</v>
      </c>
      <c r="H817" s="81"/>
      <c r="I817" s="81"/>
      <c r="J817" s="81"/>
      <c r="K817" s="98"/>
      <c r="L817" s="98"/>
      <c r="M817" s="79" t="str">
        <f ca="1">IFERROR(IF(K817="","",IF(L817="",MOD(NOW()-K817,1),IF(L817&gt;=K817,L817-K817,L817+1-K817))),"")</f>
        <v/>
      </c>
      <c r="N817" s="105"/>
      <c r="O817" s="47"/>
    </row>
    <row r="818" spans="1:15" ht="15">
      <c r="A818" s="106">
        <v>46234</v>
      </c>
      <c r="B818" s="103">
        <f>B817+TIME(0,60,0)</f>
        <v>0.58333333333333304</v>
      </c>
      <c r="C818" s="80" t="s">
        <v>45</v>
      </c>
      <c r="D818" s="99" t="s">
        <v>30</v>
      </c>
      <c r="E818" s="99" t="s">
        <v>261</v>
      </c>
      <c r="F818" s="100">
        <v>8</v>
      </c>
      <c r="G818" s="104">
        <f>IF(F818="","",IF(E818="PC 17",F818*4.2,IF(E818="PC 19",F818*5,"")))</f>
        <v>33.6</v>
      </c>
      <c r="H818" s="80"/>
      <c r="I818" s="80"/>
      <c r="J818" s="80"/>
      <c r="K818" s="98"/>
      <c r="L818" s="98"/>
      <c r="M818" s="78" t="str">
        <f ca="1">IFERROR(IF(K818="","",IF(L818="",MOD(NOW()-K818,1),IF(L818&gt;=K818,L818-K818,L818+1-K818))),"")</f>
        <v/>
      </c>
      <c r="N818" s="105"/>
      <c r="O818" s="47"/>
    </row>
    <row r="819" spans="1:15" ht="15">
      <c r="A819" s="102">
        <v>46234</v>
      </c>
      <c r="B819" s="107">
        <f>B818+TIME(0,60,0)</f>
        <v>0.62499999999999967</v>
      </c>
      <c r="C819" s="80" t="s">
        <v>45</v>
      </c>
      <c r="D819" s="99" t="s">
        <v>30</v>
      </c>
      <c r="E819" s="108" t="s">
        <v>261</v>
      </c>
      <c r="F819" s="100">
        <v>14</v>
      </c>
      <c r="G819" s="104">
        <f>IF(F819="","",IF(E819="PC 17",F819*4.2,IF(E819="PC 19",F819*5,"")))</f>
        <v>58.800000000000004</v>
      </c>
      <c r="H819" s="81"/>
      <c r="I819" s="81"/>
      <c r="J819" s="81"/>
      <c r="K819" s="98"/>
      <c r="L819" s="98"/>
      <c r="M819" s="79" t="str">
        <f ca="1">IFERROR(IF(K819="","",IF(L819="",MOD(NOW()-K819,1),IF(L819&gt;=K819,L819-K819,L819+1-K819))),"")</f>
        <v/>
      </c>
      <c r="N819" s="105"/>
      <c r="O819" s="47"/>
    </row>
    <row r="820" spans="1:15" ht="15">
      <c r="A820" s="106">
        <v>46234</v>
      </c>
      <c r="B820" s="103">
        <f>B819+TIME(0,60,0)</f>
        <v>0.6666666666666663</v>
      </c>
      <c r="C820" s="80" t="s">
        <v>45</v>
      </c>
      <c r="D820" s="99" t="s">
        <v>30</v>
      </c>
      <c r="E820" s="99" t="s">
        <v>261</v>
      </c>
      <c r="F820" s="100">
        <v>14</v>
      </c>
      <c r="G820" s="104">
        <f>IF(F820="","",IF(E820="PC 17",F820*4.2,IF(E820="PC 19",F820*5,"")))</f>
        <v>58.800000000000004</v>
      </c>
      <c r="H820" s="80"/>
      <c r="I820" s="80"/>
      <c r="J820" s="80"/>
      <c r="K820" s="98"/>
      <c r="L820" s="98"/>
      <c r="M820" s="78" t="str">
        <f ca="1">IFERROR(IF(K820="","",IF(L820="",MOD(NOW()-K820,1),IF(L820&gt;=K820,L820-K820,L820+1-K820))),"")</f>
        <v/>
      </c>
      <c r="N820" s="105"/>
      <c r="O820" s="47"/>
    </row>
    <row r="821" spans="1:15" ht="15">
      <c r="A821" s="102">
        <v>46234</v>
      </c>
      <c r="B821" s="107">
        <f>B820+TIME(0,60,0)</f>
        <v>0.70833333333333293</v>
      </c>
      <c r="C821" s="80" t="s">
        <v>45</v>
      </c>
      <c r="D821" s="99" t="s">
        <v>30</v>
      </c>
      <c r="E821" s="108" t="s">
        <v>261</v>
      </c>
      <c r="F821" s="100">
        <v>12</v>
      </c>
      <c r="G821" s="104">
        <f>IF(F821="","",IF(E821="PC 17",F821*4.2,IF(E821="PC 19",F821*5,"")))</f>
        <v>50.400000000000006</v>
      </c>
      <c r="H821" s="81"/>
      <c r="I821" s="81"/>
      <c r="J821" s="81"/>
      <c r="K821" s="98"/>
      <c r="L821" s="98"/>
      <c r="M821" s="79" t="str">
        <f ca="1">IFERROR(IF(K821="","",IF(L821="",MOD(NOW()-K821,1),IF(L821&gt;=K821,L821-K821,L821+1-K821))),"")</f>
        <v/>
      </c>
      <c r="N821" s="105"/>
      <c r="O821" s="47"/>
    </row>
    <row r="822" spans="1:15" ht="15">
      <c r="A822" s="106">
        <v>46234</v>
      </c>
      <c r="B822" s="103">
        <f>B821+TIME(0,60,0)</f>
        <v>0.74999999999999956</v>
      </c>
      <c r="C822" s="80" t="s">
        <v>45</v>
      </c>
      <c r="D822" s="99" t="s">
        <v>22</v>
      </c>
      <c r="E822" s="99" t="s">
        <v>261</v>
      </c>
      <c r="F822" s="100">
        <v>10</v>
      </c>
      <c r="G822" s="104">
        <f>IF(F822="","",IF(E822="PC 17",F822*4.2,IF(E822="PC 19",F822*5,"")))</f>
        <v>42</v>
      </c>
      <c r="H822" s="80"/>
      <c r="I822" s="80"/>
      <c r="J822" s="80"/>
      <c r="K822" s="98"/>
      <c r="L822" s="98"/>
      <c r="M822" s="78" t="str">
        <f ca="1">IFERROR(IF(K822="","",IF(L822="",MOD(NOW()-K822,1),IF(L822&gt;=K822,L822-K822,L822+1-K822))),"")</f>
        <v/>
      </c>
      <c r="N822" s="105"/>
      <c r="O822" s="47"/>
    </row>
    <row r="823" spans="1:15" ht="15">
      <c r="A823" s="102">
        <v>46234</v>
      </c>
      <c r="B823" s="107">
        <f>B822+TIME(0,60,0)</f>
        <v>0.79166666666666619</v>
      </c>
      <c r="C823" s="80" t="s">
        <v>45</v>
      </c>
      <c r="D823" s="99" t="s">
        <v>22</v>
      </c>
      <c r="E823" s="108" t="s">
        <v>261</v>
      </c>
      <c r="F823" s="100">
        <v>3</v>
      </c>
      <c r="G823" s="104">
        <f>IF(F823="","",IF(E823="PC 17",F823*4.2,IF(E823="PC 19",F823*5,"")))</f>
        <v>12.600000000000001</v>
      </c>
      <c r="H823" s="81"/>
      <c r="I823" s="81"/>
      <c r="J823" s="81"/>
      <c r="K823" s="98"/>
      <c r="L823" s="98"/>
      <c r="M823" s="79" t="str">
        <f ca="1">IFERROR(IF(K823="","",IF(L823="",MOD(NOW()-K823,1),IF(L823&gt;=K823,L823-K823,L823+1-K823))),"")</f>
        <v/>
      </c>
      <c r="N823" s="105"/>
      <c r="O823" s="47"/>
    </row>
    <row r="824" spans="1:15" ht="15">
      <c r="A824" s="113" t="s">
        <v>236</v>
      </c>
      <c r="B824" s="114"/>
      <c r="C824" s="114"/>
      <c r="D824" s="114"/>
      <c r="E824" s="115">
        <f>SUM(E812:E823)</f>
        <v>0</v>
      </c>
      <c r="F824" s="109">
        <f>SUM(F812:F823)</f>
        <v>119</v>
      </c>
      <c r="G824" s="109">
        <f>SUM(G812:G823)</f>
        <v>499.80000000000007</v>
      </c>
      <c r="H824" s="37"/>
      <c r="I824" s="37"/>
      <c r="J824" s="37"/>
      <c r="K824" s="37"/>
      <c r="L824" s="37"/>
      <c r="M824" s="110">
        <f ca="1">IFERROR(SUM(M812:M823),"")</f>
        <v>0.11597222222222214</v>
      </c>
      <c r="N824" s="109" t="s">
        <v>237</v>
      </c>
      <c r="O824" s="77">
        <v>545810</v>
      </c>
    </row>
    <row r="825" spans="1:15" ht="15">
      <c r="A825" s="106">
        <v>46234</v>
      </c>
      <c r="B825" s="107">
        <v>0.83333333333333304</v>
      </c>
      <c r="C825" s="81" t="s">
        <v>29</v>
      </c>
      <c r="D825" s="108"/>
      <c r="E825" s="108"/>
      <c r="F825" s="100"/>
      <c r="G825" s="104" t="str">
        <f>IF(F825="","",IF(E825="PC 17",F825*4.2,IF(E825="PC 19",F825*5,"")))</f>
        <v/>
      </c>
      <c r="H825" s="81"/>
      <c r="I825" s="81"/>
      <c r="J825" s="81"/>
      <c r="K825" s="98"/>
      <c r="L825" s="98"/>
      <c r="M825" s="79" t="str">
        <f ca="1">IFERROR(IF(K825="","",IF(L825="",MOD(NOW()-K825,1),IF(L825&gt;=K825,L825-K825,L825+1-K825))),"")</f>
        <v/>
      </c>
      <c r="N825" s="105"/>
      <c r="O825" s="47"/>
    </row>
    <row r="826" spans="1:15" ht="15">
      <c r="A826" s="102">
        <v>46234</v>
      </c>
      <c r="B826" s="103">
        <f>B825+TIME(0,60,0)</f>
        <v>0.87499999999999967</v>
      </c>
      <c r="C826" s="81" t="s">
        <v>29</v>
      </c>
      <c r="D826" s="108"/>
      <c r="E826" s="108"/>
      <c r="F826" s="100"/>
      <c r="G826" s="104" t="str">
        <f>IF(F826="","",IF(E826="PC 17",F826*4.2,IF(E826="PC 19",F826*5,"")))</f>
        <v/>
      </c>
      <c r="H826" s="80"/>
      <c r="I826" s="80"/>
      <c r="J826" s="80"/>
      <c r="K826" s="98"/>
      <c r="L826" s="98"/>
      <c r="M826" s="78" t="str">
        <f ca="1">IFERROR(IF(K826="","",IF(L826="",MOD(NOW()-K826,1),IF(L826&gt;=K826,L826-K826,L826+1-K826))),"")</f>
        <v/>
      </c>
      <c r="N826" s="105"/>
      <c r="O826" s="47"/>
    </row>
    <row r="827" spans="1:15" ht="15">
      <c r="A827" s="106">
        <v>46234</v>
      </c>
      <c r="B827" s="107">
        <f>B826+TIME(0,60,0)</f>
        <v>0.9166666666666663</v>
      </c>
      <c r="C827" s="81" t="s">
        <v>29</v>
      </c>
      <c r="D827" s="108"/>
      <c r="E827" s="108"/>
      <c r="F827" s="100"/>
      <c r="G827" s="104" t="str">
        <f>IF(F827="","",IF(E827="PC 17",F827*4.2,IF(E827="PC 19",F827*5,"")))</f>
        <v/>
      </c>
      <c r="H827" s="81"/>
      <c r="I827" s="81"/>
      <c r="J827" s="81"/>
      <c r="K827" s="98"/>
      <c r="L827" s="98"/>
      <c r="M827" s="79" t="str">
        <f ca="1">IFERROR(IF(K827="","",IF(L827="",MOD(NOW()-K827,1),IF(L827&gt;=K827,L827-K827,L827+1-K827))),"")</f>
        <v/>
      </c>
      <c r="N827" s="105"/>
      <c r="O827" s="47"/>
    </row>
    <row r="828" spans="1:15" ht="15">
      <c r="A828" s="102">
        <v>46234</v>
      </c>
      <c r="B828" s="103">
        <f>B827+TIME(0,60,0)</f>
        <v>0.95833333333333293</v>
      </c>
      <c r="C828" s="81" t="s">
        <v>29</v>
      </c>
      <c r="D828" s="108"/>
      <c r="E828" s="108"/>
      <c r="F828" s="100"/>
      <c r="G828" s="104" t="str">
        <f>IF(F828="","",IF(E828="PC 17",F828*4.2,IF(E828="PC 19",F828*5,"")))</f>
        <v/>
      </c>
      <c r="H828" s="80"/>
      <c r="I828" s="80"/>
      <c r="J828" s="80"/>
      <c r="K828" s="98"/>
      <c r="L828" s="98"/>
      <c r="M828" s="78" t="str">
        <f ca="1">IFERROR(IF(K828="","",IF(L828="",MOD(NOW()-K828,1),IF(L828&gt;=K828,L828-K828,L828+1-K828))),"")</f>
        <v/>
      </c>
      <c r="N828" s="105"/>
      <c r="O828" s="47"/>
    </row>
    <row r="829" spans="1:15" ht="15">
      <c r="A829" s="106">
        <v>46234</v>
      </c>
      <c r="B829" s="107">
        <f>B828+TIME(0,60,0)</f>
        <v>0.99999999999999956</v>
      </c>
      <c r="C829" s="81" t="s">
        <v>29</v>
      </c>
      <c r="D829" s="108"/>
      <c r="E829" s="108"/>
      <c r="F829" s="100"/>
      <c r="G829" s="104" t="str">
        <f>IF(F829="","",IF(E829="PC 17",F829*4.2,IF(E829="PC 19",F829*5,"")))</f>
        <v/>
      </c>
      <c r="H829" s="81"/>
      <c r="I829" s="81"/>
      <c r="J829" s="81"/>
      <c r="K829" s="98"/>
      <c r="L829" s="98"/>
      <c r="M829" s="79" t="str">
        <f ca="1">IFERROR(IF(K829="","",IF(L829="",MOD(NOW()-K829,1),IF(L829&gt;=K829,L829-K829,L829+1-K829))),"")</f>
        <v/>
      </c>
      <c r="N829" s="105"/>
      <c r="O829" s="47"/>
    </row>
    <row r="830" spans="1:15" ht="15">
      <c r="A830" s="102">
        <v>46234</v>
      </c>
      <c r="B830" s="103">
        <f>B829+TIME(0,60,0)</f>
        <v>1.0416666666666663</v>
      </c>
      <c r="C830" s="81" t="s">
        <v>29</v>
      </c>
      <c r="D830" s="108"/>
      <c r="E830" s="108"/>
      <c r="F830" s="100"/>
      <c r="G830" s="104" t="str">
        <f>IF(F830="","",IF(E830="PC 17",F830*4.2,IF(E830="PC 19",F830*5,"")))</f>
        <v/>
      </c>
      <c r="H830" s="80"/>
      <c r="I830" s="80"/>
      <c r="J830" s="80"/>
      <c r="K830" s="98"/>
      <c r="L830" s="98"/>
      <c r="M830" s="78" t="str">
        <f ca="1">IFERROR(IF(K830="","",IF(L830="",MOD(NOW()-K830,1),IF(L830&gt;=K830,L830-K830,L830+1-K830))),"")</f>
        <v/>
      </c>
      <c r="N830" s="105"/>
      <c r="O830" s="47"/>
    </row>
    <row r="831" spans="1:15" ht="15">
      <c r="A831" s="106">
        <v>46234</v>
      </c>
      <c r="B831" s="107">
        <f>B830+TIME(0,60,0)</f>
        <v>1.083333333333333</v>
      </c>
      <c r="C831" s="81" t="s">
        <v>29</v>
      </c>
      <c r="D831" s="108"/>
      <c r="E831" s="108"/>
      <c r="F831" s="100"/>
      <c r="G831" s="104" t="str">
        <f>IF(F831="","",IF(E831="PC 17",F831*4.2,IF(E831="PC 19",F831*5,"")))</f>
        <v/>
      </c>
      <c r="H831" s="81"/>
      <c r="I831" s="81"/>
      <c r="J831" s="81"/>
      <c r="K831" s="98"/>
      <c r="L831" s="98"/>
      <c r="M831" s="79" t="str">
        <f ca="1">IFERROR(IF(K831="","",IF(L831="",MOD(NOW()-K831,1),IF(L831&gt;=K831,L831-K831,L831+1-K831))),"")</f>
        <v/>
      </c>
      <c r="N831" s="105"/>
      <c r="O831" s="47"/>
    </row>
    <row r="832" spans="1:15" ht="15">
      <c r="A832" s="102">
        <v>46234</v>
      </c>
      <c r="B832" s="103">
        <f>B831+TIME(0,60,0)</f>
        <v>1.1249999999999998</v>
      </c>
      <c r="C832" s="81" t="s">
        <v>29</v>
      </c>
      <c r="D832" s="108"/>
      <c r="E832" s="108"/>
      <c r="F832" s="100"/>
      <c r="G832" s="104" t="str">
        <f>IF(F832="","",IF(E832="PC 17",F832*4.2,IF(E832="PC 19",F832*5,"")))</f>
        <v/>
      </c>
      <c r="H832" s="80"/>
      <c r="I832" s="80"/>
      <c r="J832" s="80"/>
      <c r="K832" s="98"/>
      <c r="L832" s="98"/>
      <c r="M832" s="78" t="str">
        <f ca="1">IFERROR(IF(K832="","",IF(L832="",MOD(NOW()-K832,1),IF(L832&gt;=K832,L832-K832,L832+1-K832))),"")</f>
        <v/>
      </c>
      <c r="N832" s="105"/>
      <c r="O832" s="47"/>
    </row>
    <row r="833" spans="1:15" ht="15">
      <c r="A833" s="106">
        <v>46234</v>
      </c>
      <c r="B833" s="107">
        <f>B832+TIME(0,60,0)</f>
        <v>1.1666666666666665</v>
      </c>
      <c r="C833" s="81" t="s">
        <v>29</v>
      </c>
      <c r="D833" s="108"/>
      <c r="E833" s="108"/>
      <c r="F833" s="100"/>
      <c r="G833" s="104" t="str">
        <f>IF(F833="","",IF(E833="PC 17",F833*4.2,IF(E833="PC 19",F833*5,"")))</f>
        <v/>
      </c>
      <c r="H833" s="81"/>
      <c r="I833" s="81"/>
      <c r="J833" s="81"/>
      <c r="K833" s="98"/>
      <c r="L833" s="98"/>
      <c r="M833" s="79" t="str">
        <f ca="1">IFERROR(IF(K833="","",IF(L833="",MOD(NOW()-K833,1),IF(L833&gt;=K833,L833-K833,L833+1-K833))),"")</f>
        <v/>
      </c>
      <c r="N833" s="105"/>
      <c r="O833" s="47"/>
    </row>
    <row r="834" spans="1:15" ht="15">
      <c r="A834" s="102">
        <v>46234</v>
      </c>
      <c r="B834" s="103">
        <f>B833+TIME(0,60,0)</f>
        <v>1.2083333333333333</v>
      </c>
      <c r="C834" s="81" t="s">
        <v>29</v>
      </c>
      <c r="D834" s="108"/>
      <c r="E834" s="108"/>
      <c r="F834" s="100"/>
      <c r="G834" s="104" t="str">
        <f>IF(F834="","",IF(E834="PC 17",F834*4.2,IF(E834="PC 19",F834*5,"")))</f>
        <v/>
      </c>
      <c r="H834" s="80"/>
      <c r="I834" s="80"/>
      <c r="J834" s="80"/>
      <c r="K834" s="98"/>
      <c r="L834" s="98"/>
      <c r="M834" s="78" t="str">
        <f ca="1">IFERROR(IF(K834="","",IF(L834="",MOD(NOW()-K834,1),IF(L834&gt;=K834,L834-K834,L834+1-K834))),"")</f>
        <v/>
      </c>
      <c r="N834" s="105"/>
      <c r="O834" s="47"/>
    </row>
    <row r="835" spans="1:15" ht="15">
      <c r="A835" s="106">
        <v>46234</v>
      </c>
      <c r="B835" s="107">
        <f>B834+TIME(0,60,0)</f>
        <v>1.25</v>
      </c>
      <c r="C835" s="81" t="s">
        <v>29</v>
      </c>
      <c r="D835" s="108"/>
      <c r="E835" s="108"/>
      <c r="F835" s="100"/>
      <c r="G835" s="104" t="str">
        <f>IF(F835="","",IF(E835="PC 17",F835*4.2,IF(E835="PC 19",F835*5,"")))</f>
        <v/>
      </c>
      <c r="H835" s="81"/>
      <c r="I835" s="81"/>
      <c r="J835" s="81"/>
      <c r="K835" s="98"/>
      <c r="L835" s="98"/>
      <c r="M835" s="79" t="str">
        <f ca="1">IFERROR(IF(K835="","",IF(L835="",MOD(NOW()-K835,1),IF(L835&gt;=K835,L835-K835,L835+1-K835))),"")</f>
        <v/>
      </c>
      <c r="N835" s="105"/>
      <c r="O835" s="47"/>
    </row>
    <row r="836" spans="1:15" ht="15">
      <c r="A836" s="102">
        <v>46234</v>
      </c>
      <c r="B836" s="103">
        <f>B835+TIME(0,60,0)</f>
        <v>1.2916666666666667</v>
      </c>
      <c r="C836" s="81" t="s">
        <v>29</v>
      </c>
      <c r="D836" s="108"/>
      <c r="E836" s="108"/>
      <c r="F836" s="100"/>
      <c r="G836" s="104" t="str">
        <f>IF(F836="","",IF(E836="PC 17",F836*4.2,IF(E836="PC 19",F836*5,"")))</f>
        <v/>
      </c>
      <c r="H836" s="80"/>
      <c r="I836" s="80"/>
      <c r="J836" s="80"/>
      <c r="K836" s="98"/>
      <c r="L836" s="98"/>
      <c r="M836" s="78" t="str">
        <f ca="1">IFERROR(IF(K836="","",IF(L836="",MOD(NOW()-K836,1),IF(L836&gt;=K836,L836-K836,L836+1-K836))),"")</f>
        <v/>
      </c>
      <c r="N836" s="105"/>
      <c r="O836" s="47"/>
    </row>
    <row r="837" spans="1:15" ht="15">
      <c r="A837" s="113" t="s">
        <v>238</v>
      </c>
      <c r="B837" s="114"/>
      <c r="C837" s="114"/>
      <c r="D837" s="114"/>
      <c r="E837" s="115">
        <f>SUM(E825:E836)</f>
        <v>0</v>
      </c>
      <c r="F837" s="109">
        <f>SUM(F825:F836)</f>
        <v>0</v>
      </c>
      <c r="G837" s="109">
        <f>SUM(G825:G836)</f>
        <v>0</v>
      </c>
      <c r="H837" s="37"/>
      <c r="I837" s="37"/>
      <c r="J837" s="37"/>
      <c r="K837" s="37"/>
      <c r="L837" s="37"/>
      <c r="M837" s="110">
        <f ca="1">IFERROR(SUM(M825:M836),"")</f>
        <v>0</v>
      </c>
      <c r="N837" s="109" t="s">
        <v>237</v>
      </c>
      <c r="O837" s="77"/>
    </row>
    <row r="838" spans="1:15" ht="15">
      <c r="A838" s="116" t="s">
        <v>239</v>
      </c>
      <c r="B838" s="117"/>
      <c r="C838" s="117"/>
      <c r="D838" s="117"/>
      <c r="E838" s="118">
        <f>E824+E837</f>
        <v>0</v>
      </c>
      <c r="F838" s="111">
        <f>F824+F837</f>
        <v>119</v>
      </c>
      <c r="G838" s="111">
        <f>G824+G837</f>
        <v>499.80000000000007</v>
      </c>
      <c r="H838" s="41"/>
      <c r="I838" s="41"/>
      <c r="J838" s="41"/>
      <c r="K838" s="41"/>
      <c r="L838" s="41"/>
      <c r="M838" s="112">
        <f ca="1">IFERROR(M824+M837,"")</f>
        <v>0.11597222222222214</v>
      </c>
      <c r="N838" s="111" t="s">
        <v>240</v>
      </c>
      <c r="O838" s="82">
        <f>IFERROR(O824+O837,"")</f>
        <v>545810</v>
      </c>
    </row>
  </sheetData>
  <mergeCells count="92"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52:E352"/>
    <mergeCell ref="A378:E378"/>
    <mergeCell ref="A379:E379"/>
    <mergeCell ref="A392:E392"/>
    <mergeCell ref="A311:E311"/>
    <mergeCell ref="A324:E324"/>
    <mergeCell ref="A325:E325"/>
    <mergeCell ref="A338:E338"/>
    <mergeCell ref="A351:E351"/>
    <mergeCell ref="A405:E405"/>
    <mergeCell ref="A406:E406"/>
    <mergeCell ref="A419:E419"/>
    <mergeCell ref="A432:E432"/>
    <mergeCell ref="A433:E433"/>
    <mergeCell ref="A446:E446"/>
    <mergeCell ref="A459:E459"/>
    <mergeCell ref="A460:E460"/>
    <mergeCell ref="A473:E473"/>
    <mergeCell ref="A486:E486"/>
    <mergeCell ref="A487:E487"/>
    <mergeCell ref="A500:E500"/>
    <mergeCell ref="A595:E595"/>
    <mergeCell ref="A513:E513"/>
    <mergeCell ref="A514:E514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770:E770"/>
    <mergeCell ref="A783:E783"/>
    <mergeCell ref="A784:E784"/>
    <mergeCell ref="A703:E703"/>
    <mergeCell ref="A716:E716"/>
    <mergeCell ref="A729:E729"/>
    <mergeCell ref="A730:E730"/>
    <mergeCell ref="A743:E743"/>
    <mergeCell ref="A108:E108"/>
    <mergeCell ref="A109:E109"/>
    <mergeCell ref="A122:E122"/>
    <mergeCell ref="A756:E756"/>
    <mergeCell ref="A757:E757"/>
    <mergeCell ref="A702:E702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55:E55"/>
    <mergeCell ref="A68:E68"/>
    <mergeCell ref="A81:E81"/>
    <mergeCell ref="A82:E82"/>
    <mergeCell ref="A95:E95"/>
    <mergeCell ref="A14:E14"/>
    <mergeCell ref="A27:E27"/>
    <mergeCell ref="A28:E28"/>
    <mergeCell ref="A41:E41"/>
    <mergeCell ref="A54:E54"/>
    <mergeCell ref="A824:E824"/>
    <mergeCell ref="A837:E837"/>
    <mergeCell ref="A838:E838"/>
    <mergeCell ref="A797:E797"/>
    <mergeCell ref="A810:E810"/>
    <mergeCell ref="A811:E811"/>
  </mergeCells>
  <dataValidations count="2">
    <dataValidation type="list" showErrorMessage="1" errorTitle="Atenção" error="Selecione primeiro o Tipo de Parada (col G) e depois escolha a Descrição da lista." sqref="J2:J900" xr:uid="{00000000-0002-0000-05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2:E13 E15:E26 E29:E325 E327:E449 E451:E586 E588:E680 E682:E838" xr:uid="{00000000-0002-0000-0500-000001000000}">
      <formula1>"PC 17,PC 19"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500-000002000000}">
          <x14:formula1>
            <xm:f>Cadastro!$A$4:$A$50</xm:f>
          </x14:formula1>
          <x14:formula2>
            <xm:f>0</xm:f>
          </x14:formula2>
          <xm:sqref>C15:C26 C2:C13 C29:C364 C366:C900</xm:sqref>
        </x14:dataValidation>
        <x14:dataValidation type="list" allowBlank="1" showErrorMessage="1" errorTitle="Valor inválido" error="Selecione da lista." xr:uid="{00000000-0002-0000-0500-000003000000}">
          <x14:formula1>
            <xm:f>Cadastro!$C$4:$C$10</xm:f>
          </x14:formula1>
          <x14:formula2>
            <xm:f>0</xm:f>
          </x14:formula2>
          <xm:sqref>D15:D26 D2:D13 C365 D29:D900</xm:sqref>
        </x14:dataValidation>
        <x14:dataValidation type="list" allowBlank="1" showErrorMessage="1" errorTitle="Valor inválido" error="Selecione da lista." xr:uid="{00000000-0002-0000-0500-000004000000}">
          <x14:formula1>
            <xm:f>Cadastro!$E$4:$E$10</xm:f>
          </x14:formula1>
          <x14:formula2>
            <xm:f>0</xm:f>
          </x14:formula2>
          <xm:sqref>H2:H900</xm:sqref>
        </x14:dataValidation>
        <x14:dataValidation type="list" allowBlank="1" showErrorMessage="1" errorTitle="Valor inválido" error="Selecione da lista." xr:uid="{00000000-0002-0000-0500-000005000000}">
          <x14:formula1>
            <xm:f>Cadastro!$G$4:$G$40</xm:f>
          </x14:formula1>
          <x14:formula2>
            <xm:f>0</xm:f>
          </x14:formula2>
          <xm:sqref>I2:I900</xm:sqref>
        </x14:dataValidation>
      </x14:dataValidations>
    </ext>
  </extLst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771c9ca5-affe-4166-ad8c-7e4536f98f4b">
      <Terms xmlns="http://schemas.microsoft.com/office/infopath/2007/PartnerControls"/>
    </lcf76f155ced4ddcb4097134ff3c332f>
    <TaxCatchAll xmlns="96dcb152-1051-46f1-b38f-17beadf9ed92" xsi:nil="true"/>
  </documentManagement>
</p:properties>
</file>

<file path=customXml/item2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4C9456936DC32F4C9D787AB435C2C3BB" ma:contentTypeVersion="15" ma:contentTypeDescription="Crie um novo documento." ma:contentTypeScope="" ma:versionID="cde10143d681ace848011b09d2a40ca2">
  <xsd:schema xmlns:xsd="http://www.w3.org/2001/XMLSchema" xmlns:xs="http://www.w3.org/2001/XMLSchema" xmlns:p="http://schemas.microsoft.com/office/2006/metadata/properties" xmlns:ns2="771c9ca5-affe-4166-ad8c-7e4536f98f4b" xmlns:ns3="96dcb152-1051-46f1-b38f-17beadf9ed92" targetNamespace="http://schemas.microsoft.com/office/2006/metadata/properties" ma:root="true" ma:fieldsID="b58577bee4be32fade944865b42fef82" ns2:_="" ns3:_="">
    <xsd:import namespace="771c9ca5-affe-4166-ad8c-7e4536f98f4b"/>
    <xsd:import namespace="96dcb152-1051-46f1-b38f-17beadf9ed92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ObjectDetectorVersions" minOccurs="0"/>
                <xsd:element ref="ns2:MediaServiceDateTaken" minOccurs="0"/>
                <xsd:element ref="ns2:MediaLengthInSeconds" minOccurs="0"/>
                <xsd:element ref="ns2:lcf76f155ced4ddcb4097134ff3c332f" minOccurs="0"/>
                <xsd:element ref="ns3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3:SharedWithUsers" minOccurs="0"/>
                <xsd:element ref="ns3:SharedWithDetails" minOccurs="0"/>
                <xsd:element ref="ns2:MediaServiceSearchProperties" minOccurs="0"/>
                <xsd:element ref="ns2:MediaServiceLocation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771c9ca5-affe-4166-ad8c-7e4536f98f4b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ObjectDetectorVersions" ma:index="10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DateTaken" ma:index="11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12" nillable="true" ma:displayName="MediaLengthInSeconds" ma:hidden="true" ma:internalName="MediaLengthInSeconds" ma:readOnly="true">
      <xsd:simpleType>
        <xsd:restriction base="dms:Unknown"/>
      </xsd:simpleType>
    </xsd:element>
    <xsd:element name="lcf76f155ced4ddcb4097134ff3c332f" ma:index="14" nillable="true" ma:taxonomy="true" ma:internalName="lcf76f155ced4ddcb4097134ff3c332f" ma:taxonomyFieldName="MediaServiceImageTags" ma:displayName="Marcações de imagem" ma:readOnly="false" ma:fieldId="{5cf76f15-5ced-4ddc-b409-7134ff3c332f}" ma:taxonomyMulti="true" ma:sspId="d3a35e9d-021b-4bc8-accf-289ae1bc576f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6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7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8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SearchProperties" ma:index="21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Location" ma:index="22" nillable="true" ma:displayName="Location" ma:indexed="true" ma:internalName="MediaServiceLocation" ma:readOnly="true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96dcb152-1051-46f1-b38f-17beadf9ed92" elementFormDefault="qualified">
    <xsd:import namespace="http://schemas.microsoft.com/office/2006/documentManagement/types"/>
    <xsd:import namespace="http://schemas.microsoft.com/office/infopath/2007/PartnerControls"/>
    <xsd:element name="TaxCatchAll" ma:index="15" nillable="true" ma:displayName="Taxonomy Catch All Column" ma:hidden="true" ma:list="{78614362-da93-469a-82cb-5240dfd14525}" ma:internalName="TaxCatchAll" ma:showField="CatchAllData" ma:web="96dcb152-1051-46f1-b38f-17beadf9ed92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  <xsd:element name="SharedWithUsers" ma:index="19" nillable="true" ma:displayName="Compartilhado com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20" nillable="true" ma:displayName="Detalhes de Compartilhado Com" ma:internalName="SharedWithDetails" ma:readOnly="true">
      <xsd:simpleType>
        <xsd:restriction base="dms:Note">
          <xsd:maxLength value="255"/>
        </xsd:restriction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3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Props1.xml><?xml version="1.0" encoding="utf-8"?>
<ds:datastoreItem xmlns:ds="http://schemas.openxmlformats.org/officeDocument/2006/customXml" ds:itemID="{60A38338-7112-4F45-BCE1-49C5EC8DDAF1}"/>
</file>

<file path=customXml/itemProps2.xml><?xml version="1.0" encoding="utf-8"?>
<ds:datastoreItem xmlns:ds="http://schemas.openxmlformats.org/officeDocument/2006/customXml" ds:itemID="{2878EAE7-5404-4D83-90A8-98DF7BC2EF45}"/>
</file>

<file path=customXml/itemProps3.xml><?xml version="1.0" encoding="utf-8"?>
<ds:datastoreItem xmlns:ds="http://schemas.openxmlformats.org/officeDocument/2006/customXml" ds:itemID="{288F5DF9-2BBC-43A5-A79A-7C7087BA3892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openpyxl</dc:creator>
  <cp:keywords/>
  <dc:description/>
  <cp:lastModifiedBy>Controle Planta</cp:lastModifiedBy>
  <cp:revision>0</cp:revision>
  <dcterms:created xsi:type="dcterms:W3CDTF">2026-06-05T19:56:02Z</dcterms:created>
  <dcterms:modified xsi:type="dcterms:W3CDTF">2026-08-01T00:02:19Z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0x0101004C9456936DC32F4C9D787AB435C2C3BB</vt:lpwstr>
  </property>
  <property fmtid="{D5CDD505-2E9C-101B-9397-08002B2CF9AE}" pid="3" name="MediaServiceImageTags">
    <vt:lpwstr/>
  </property>
</Properties>
</file>