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613" documentId="8_{AF585B22-221D-4780-BB9C-493D365A6A02}" xr6:coauthVersionLast="47" xr6:coauthVersionMax="47" xr10:uidLastSave="{7298BC77-EEBC-411D-BE7B-8986A1066FCD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4" i="4" l="1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<sst xmlns="http://schemas.openxmlformats.org/spreadsheetml/2006/main" count="2004" uniqueCount="217">
  <si>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</si>
  <si>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</si>
  <si>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</si>
  <si>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</si>
  <si>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</si>
  <si>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</si>
  <si>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</si>
  <si>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</si>
  <si>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</si>
  <si>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</si>
  <si>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</si>
  <si>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</si>
  <si>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</si>
  <si>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</si>
  <si>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</si>
  <si>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</si>
  <si>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</si>
  <si>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</si>
  <si>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</si>
  <si>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</si>
  <si>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</si>
  <si>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</si>
  <si>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</si>
  <si>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</si>
  <si>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</si>
  <si>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</si>
  <si>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</si>
  <si>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</si>
  <si>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</si>
  <si>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</si>
  <si>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</si>
  <si>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</si>
  <si>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</si>
  <si>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</si>
  <si>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</si>
  <si>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</si>
  <si>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</si>
  <si>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</si>
  <si>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</si>
  <si>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</si>
  <si>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</si>
  <si>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</si>
  <si>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</si>
  <si>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</si>
  <si>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</si>
  <si>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</si>
  <si>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</si>
  <si>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</si>
  <si>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</si>
  <si>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</si>
  <si>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</si>
  <si>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</si>
  <si>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</si>
  <si>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</si>
  <si>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</si>
  <si>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</si>
  <si>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</si>
  <si>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</si>
  <si>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</si>
  <si>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</si>
  <si>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</si>
  <si>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</si>
  <si>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</si>
  <si>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</si>
  <si>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</si>
  <si>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</si>
  <si>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</si>
  <si>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</si>
  <si>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</si>
  <si>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</si>
  <si>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</si>
  <si>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</si>
  <si>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</si>
  <si>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</si>
  <si>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</si>
  <si>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</si>
  <si>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</si>
  <si>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</si>
  <si>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</si>
  <si>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</si>
  <si>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</si>
  <si>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</si>
  <si>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</si>
  <si>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</si>
  <si>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</si>
  <si>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</si>
  <si>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</si>
  <si>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</si>
  <si>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</si>
  <si>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</si>
  <si>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</si>
  <si>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</si>
  <si>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</si>
  <si>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</si>
  <si>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</si>
  <si>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</si>
  <si>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</si>
  <si>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</si>
  <si>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</si>
  <si>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</si>
  <si>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</si>
  <si>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</si>
  <si>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</si>
  <si>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</si>
  <si>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</si>
  <si>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</si>
  <si>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</si>
  <si>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</si>
  <si>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</si>
  <si>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</si>
  <si>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</si>
  <si>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</si>
  <si>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</si>
  <si>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</si>
  <si>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</si>
  <si>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</si>
  <si>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</si>
  <si>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</si>
  <si>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</si>
  <si>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</si>
  <si>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</si>
  <si>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</si>
  <si>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</si>
  <si>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</si>
  <si>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</si>
  <si>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</si>
  <si>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</si>
  <si>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</si>
  <si>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</si>
  <si>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</si>
  <si>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</si>
  <si>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</si>
  <si>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</si>
  <si>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</si>
  <si>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</si>
  <si>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</si>
  <si>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</si>
  <si>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</si>
  <si>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</si>
  <si>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</si>
  <si>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</si>
  <si>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</si>
  <si>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</si>
  <si>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</si>
  <si>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</si>
  <si>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</si>
  <si>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</si>
  <si>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</si>
  <si>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</si>
  <si>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</si>
  <si>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</si>
  <si>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</si>
  <si>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</si>
  <si>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</si>
  <si>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</si>
  <si>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</si>
  <si>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</si>
  <si>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</si>
  <si>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</si>
  <si>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</si>
  <si>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</si>
  <si>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</si>
  <si>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</si>
  <si>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</si>
  <si>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</si>
  <si>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</si>
  <si>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</si>
  <si>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</si>
  <si>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</si>
  <si>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</si>
  <si>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</si>
  <si>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</si>
  <si>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</si>
  <si>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</si>
  <si>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</si>
  <si>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</si>
  <si>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</si>
  <si>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</si>
  <si>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</si>
  <si>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</si>
  <si>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</si>
  <si>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</si>
  <si>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</si>
  <si>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</si>
  <si>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</si>
  <si>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</si>
  <si>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</si>
  <si>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</si>
  <si>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</si>
  <si>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</si>
  <si>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</si>
  <si>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</si>
  <si>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</si>
  <si>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</si>
  <si>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</si>
  <si>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</si>
  <si>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</si>
  <si>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</si>
  <si>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</si>
  <si>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</si>
  <si>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</si>
  <si>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</si>
  <si>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</si>
  <si>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</si>
  <si>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</si>
  <si>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</si>
  <si>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</si>
  <si>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</si>
  <si>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</si>
  <si>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manutençao no rolamento do moinho 4</t>
  </si>
  <si>
    <t>troca de martelo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</si>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</sst>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2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2"/>
      <color rgb="FF1B3A6B"/>
      <name val="Arial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3" fontId="21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J17" sqref="J17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8" t="s">
        <v>0</v>
      </c>
      <c r="B1" s="88"/>
      <c r="C1" s="88"/>
      <c r="D1" s="88"/>
      <c r="E1" s="88"/>
      <c r="F1" s="88"/>
      <c r="G1" s="88"/>
    </row>
    <row r="2" spans="1:7" ht="24.75" customHeight="1">
      <c r="A2" s="89"/>
      <c r="B2" s="8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1953130</v>
      </c>
      <c r="D6" s="8">
        <f>IFERROR('Linha 1'!O82,"")</f>
        <v>0</v>
      </c>
      <c r="E6" s="8">
        <f>IFERROR('Linha 2'!O82,"")</f>
        <v>441440</v>
      </c>
      <c r="F6" s="8">
        <f>IFERROR('Linha 3'!O82,"")</f>
        <v>763370</v>
      </c>
      <c r="G6" s="9">
        <f t="shared" si="0"/>
        <v>1204810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0" t="s">
        <v>9</v>
      </c>
      <c r="B35" s="90"/>
      <c r="C35" s="13">
        <f>IFERROR(SUM(C4:C34),"")</f>
        <v>5693520</v>
      </c>
      <c r="D35" s="13">
        <f>IFERROR(SUM(D4:D34),"")</f>
        <v>1648560</v>
      </c>
      <c r="E35" s="13">
        <f>IFERROR(SUM(E4:E34),"")</f>
        <v>1372350</v>
      </c>
      <c r="F35" s="13">
        <f>IFERROR(SUM(F4:F34),"")</f>
        <v>2071570</v>
      </c>
      <c r="G35" s="13">
        <f>IFERROR(SUM(G4:G34),"")</f>
        <v>5092480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38" zoomScale="85" zoomScaleNormal="85" workbookViewId="0">
      <selection activeCell="K54" sqref="K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1" t="s">
        <v>10</v>
      </c>
      <c r="B1" s="91"/>
      <c r="C1" s="91"/>
      <c r="D1" s="91"/>
      <c r="E1" s="91"/>
      <c r="F1" s="91"/>
      <c r="G1" s="91"/>
      <c r="H1" s="92"/>
      <c r="I1" s="93" t="s">
        <v>11</v>
      </c>
      <c r="J1" s="93"/>
      <c r="K1" s="93"/>
      <c r="L1" s="93"/>
      <c r="M1" s="93"/>
    </row>
    <row r="2" spans="1:13" ht="4.5" customHeight="1">
      <c r="H2" s="9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2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2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2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2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2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2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2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2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2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2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2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2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2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2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2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2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2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2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2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2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2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2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2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2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2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2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2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2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2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2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2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2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2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92"/>
      <c r="I46" s="16"/>
      <c r="J46" s="16"/>
      <c r="K46" s="16" t="s">
        <v>172</v>
      </c>
      <c r="L46" s="16"/>
      <c r="M46" s="16"/>
    </row>
    <row r="47" spans="1:13" ht="15.75" customHeight="1">
      <c r="A47" s="17"/>
      <c r="C47" s="17"/>
      <c r="E47" s="17"/>
      <c r="G47" s="17"/>
      <c r="H47" s="92"/>
      <c r="I47" s="17"/>
      <c r="J47" s="17"/>
      <c r="K47" s="17" t="s">
        <v>173</v>
      </c>
      <c r="L47" s="17"/>
      <c r="M47" s="17"/>
    </row>
    <row r="48" spans="1:13" ht="15.75" customHeight="1">
      <c r="A48" s="16"/>
      <c r="C48" s="16"/>
      <c r="E48" s="16"/>
      <c r="G48" s="16"/>
      <c r="H48" s="92"/>
      <c r="I48" s="16"/>
      <c r="J48" s="16"/>
      <c r="K48" s="16" t="s">
        <v>174</v>
      </c>
      <c r="L48" s="16"/>
      <c r="M48" s="16"/>
    </row>
    <row r="49" spans="1:13" ht="18" customHeight="1">
      <c r="H49" s="92"/>
      <c r="I49" s="17"/>
      <c r="J49" s="17"/>
      <c r="K49" s="17" t="s">
        <v>175</v>
      </c>
      <c r="L49" s="17"/>
      <c r="M49" s="17"/>
    </row>
    <row r="50" spans="1:13" ht="21" customHeight="1">
      <c r="A50" s="19" t="s">
        <v>176</v>
      </c>
      <c r="B50" s="19"/>
      <c r="C50" s="19"/>
      <c r="D50" s="19"/>
      <c r="E50" s="19"/>
      <c r="F50" s="19"/>
      <c r="G50" s="19"/>
      <c r="H50" s="92"/>
      <c r="I50" s="16"/>
      <c r="J50" s="16"/>
      <c r="K50" s="16" t="s">
        <v>177</v>
      </c>
      <c r="L50" s="16"/>
      <c r="M50" s="16"/>
    </row>
    <row r="51" spans="1:13" ht="24" customHeight="1">
      <c r="H51" s="92"/>
      <c r="I51" s="17"/>
      <c r="J51" s="17"/>
      <c r="K51" s="17" t="s">
        <v>178</v>
      </c>
      <c r="L51" s="17"/>
      <c r="M51" s="17"/>
    </row>
    <row r="52" spans="1:13" ht="24" customHeight="1">
      <c r="H52" s="92"/>
      <c r="I52" s="16"/>
      <c r="J52" s="16"/>
      <c r="K52" s="16" t="s">
        <v>179</v>
      </c>
      <c r="L52" s="16"/>
      <c r="M52" s="16"/>
    </row>
    <row r="53" spans="1:13" ht="36" customHeight="1">
      <c r="H53" s="92"/>
      <c r="I53" s="17"/>
      <c r="J53" s="17"/>
      <c r="K53" s="17" t="s">
        <v>180</v>
      </c>
      <c r="L53" s="17"/>
      <c r="M53" s="17"/>
    </row>
    <row r="54" spans="1:13" ht="15" customHeight="1">
      <c r="H54" s="92"/>
      <c r="I54" s="16"/>
      <c r="J54" s="16"/>
      <c r="K54" s="16"/>
      <c r="L54" s="16"/>
      <c r="M54" s="16"/>
    </row>
    <row r="55" spans="1:13" ht="15" customHeight="1">
      <c r="H55" s="92"/>
      <c r="I55" s="17"/>
      <c r="J55" s="17"/>
      <c r="K55" s="17"/>
      <c r="L55" s="17"/>
      <c r="M55" s="17"/>
    </row>
    <row r="56" spans="1:13" ht="15" customHeight="1">
      <c r="H56" s="92"/>
      <c r="I56" s="16"/>
      <c r="J56" s="16"/>
      <c r="K56" s="16"/>
      <c r="L56" s="16"/>
      <c r="M56" s="16"/>
    </row>
    <row r="57" spans="1:13" ht="15" customHeight="1">
      <c r="H57" s="92"/>
      <c r="I57" s="17"/>
      <c r="J57" s="17"/>
      <c r="K57" s="17"/>
      <c r="L57" s="17"/>
      <c r="M57" s="17"/>
    </row>
    <row r="58" spans="1:13" ht="15" customHeight="1">
      <c r="H58" s="92"/>
      <c r="I58" s="16"/>
      <c r="J58" s="16"/>
      <c r="K58" s="16"/>
      <c r="L58" s="16"/>
      <c r="M58" s="16"/>
    </row>
    <row r="59" spans="1:13" ht="15" customHeight="1">
      <c r="H59" s="92"/>
      <c r="I59" s="17"/>
      <c r="J59" s="17"/>
      <c r="K59" s="17"/>
      <c r="L59" s="17"/>
      <c r="M59" s="17"/>
    </row>
    <row r="60" spans="1:13" ht="15" customHeight="1">
      <c r="H60" s="92"/>
      <c r="I60" s="16"/>
      <c r="J60" s="16"/>
      <c r="K60" s="16"/>
      <c r="L60" s="16"/>
      <c r="M60" s="16"/>
    </row>
    <row r="61" spans="1:13" ht="15" customHeight="1">
      <c r="H61" s="92"/>
      <c r="I61" s="17"/>
      <c r="J61" s="17"/>
      <c r="K61" s="17"/>
      <c r="L61" s="17"/>
      <c r="M61" s="17"/>
    </row>
    <row r="62" spans="1:13" ht="15" customHeight="1">
      <c r="H62" s="92"/>
      <c r="I62" s="16"/>
      <c r="J62" s="16"/>
      <c r="K62" s="16"/>
      <c r="L62" s="16"/>
      <c r="M62" s="16"/>
    </row>
    <row r="63" spans="1:13" ht="15" customHeight="1">
      <c r="H63" s="92"/>
      <c r="I63" s="17"/>
      <c r="J63" s="17"/>
      <c r="K63" s="17"/>
      <c r="L63" s="17"/>
      <c r="M63" s="17"/>
    </row>
    <row r="64" spans="1:13" ht="15" customHeight="1">
      <c r="H64" s="92"/>
      <c r="I64" s="16"/>
      <c r="J64" s="16"/>
      <c r="K64" s="16"/>
      <c r="L64" s="16"/>
      <c r="M64" s="16"/>
    </row>
    <row r="65" spans="8:13" ht="15" customHeight="1">
      <c r="H65" s="92"/>
      <c r="I65" s="17"/>
      <c r="J65" s="17"/>
      <c r="K65" s="17"/>
      <c r="L65" s="17"/>
      <c r="M65" s="17"/>
    </row>
    <row r="66" spans="8:13" ht="15" customHeight="1">
      <c r="H66" s="92"/>
      <c r="I66" s="16"/>
      <c r="J66" s="16"/>
      <c r="K66" s="16"/>
      <c r="L66" s="16"/>
      <c r="M66" s="16"/>
    </row>
    <row r="67" spans="8:13" ht="15" customHeight="1">
      <c r="H67" s="92"/>
      <c r="I67" s="17"/>
      <c r="J67" s="17"/>
      <c r="K67" s="17"/>
      <c r="L67" s="17"/>
      <c r="M67" s="17"/>
    </row>
    <row r="68" spans="8:13" ht="15" customHeight="1">
      <c r="H68" s="92"/>
      <c r="I68" s="16"/>
      <c r="J68" s="16"/>
      <c r="K68" s="16"/>
      <c r="L68" s="16"/>
      <c r="M68" s="16"/>
    </row>
    <row r="69" spans="8:13" ht="15" customHeight="1">
      <c r="H69" s="92"/>
      <c r="I69" s="17"/>
      <c r="J69" s="17"/>
      <c r="K69" s="17"/>
      <c r="L69" s="17"/>
      <c r="M69" s="17"/>
    </row>
    <row r="70" spans="8:13" ht="15" customHeight="1">
      <c r="H70" s="92"/>
      <c r="I70" s="16"/>
      <c r="J70" s="16"/>
      <c r="K70" s="16"/>
      <c r="L70" s="16"/>
      <c r="M70" s="16"/>
    </row>
    <row r="71" spans="8:13" ht="15" customHeight="1">
      <c r="H71" s="92"/>
      <c r="I71" s="17"/>
      <c r="J71" s="17"/>
      <c r="K71" s="17"/>
      <c r="L71" s="17"/>
      <c r="M71" s="17"/>
    </row>
    <row r="72" spans="8:13" ht="15" customHeight="1">
      <c r="H72" s="92"/>
      <c r="I72" s="16"/>
      <c r="J72" s="16"/>
      <c r="K72" s="16"/>
      <c r="L72" s="16"/>
      <c r="M72" s="16"/>
    </row>
    <row r="73" spans="8:13" ht="15" customHeight="1">
      <c r="H73" s="92"/>
      <c r="I73" s="17"/>
      <c r="J73" s="17"/>
      <c r="K73" s="17"/>
      <c r="L73" s="17"/>
      <c r="M73" s="17"/>
    </row>
    <row r="74" spans="8:13" ht="15" customHeight="1">
      <c r="H74" s="92"/>
      <c r="I74" s="16"/>
      <c r="J74" s="16"/>
      <c r="K74" s="16"/>
      <c r="L74" s="16"/>
      <c r="M74" s="16"/>
    </row>
    <row r="75" spans="8:13" ht="15" customHeight="1">
      <c r="H75" s="9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49" activePane="bottomLeft" state="frozen"/>
      <selection pane="bottomLeft" activeCell="F72" sqref="F72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181</v>
      </c>
      <c r="C1" s="23" t="s">
        <v>12</v>
      </c>
      <c r="D1" s="22" t="s">
        <v>13</v>
      </c>
      <c r="E1" s="22" t="s">
        <v>182</v>
      </c>
      <c r="F1" s="23" t="s">
        <v>183</v>
      </c>
      <c r="G1" s="23" t="s">
        <v>184</v>
      </c>
      <c r="H1" s="23" t="s">
        <v>14</v>
      </c>
      <c r="I1" s="23" t="s">
        <v>15</v>
      </c>
      <c r="J1" s="23" t="s">
        <v>185</v>
      </c>
      <c r="K1" s="23" t="s">
        <v>186</v>
      </c>
      <c r="L1" s="23" t="s">
        <v>187</v>
      </c>
      <c r="M1" s="24" t="s">
        <v>188</v>
      </c>
      <c r="N1" s="23" t="s">
        <v>189</v>
      </c>
      <c r="O1" s="23" t="s">
        <v>190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191</v>
      </c>
      <c r="E2" s="59" t="s">
        <v>192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193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2" t="s">
        <v>194</v>
      </c>
      <c r="B14" s="83"/>
      <c r="C14" s="83"/>
      <c r="D14" s="83"/>
      <c r="E14" s="8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195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2" t="s">
        <v>196</v>
      </c>
      <c r="B27" s="83"/>
      <c r="C27" s="83"/>
      <c r="D27" s="83"/>
      <c r="E27" s="8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195</v>
      </c>
      <c r="O27" s="39">
        <v>1183060</v>
      </c>
    </row>
    <row r="28" spans="1:15" ht="18" customHeight="1">
      <c r="A28" s="85" t="s">
        <v>197</v>
      </c>
      <c r="B28" s="86"/>
      <c r="C28" s="86"/>
      <c r="D28" s="86"/>
      <c r="E28" s="87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198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199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2" t="s">
        <v>194</v>
      </c>
      <c r="B41" s="83"/>
      <c r="C41" s="83"/>
      <c r="D41" s="83"/>
      <c r="E41" s="8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195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2" t="s">
        <v>196</v>
      </c>
      <c r="B54" s="83"/>
      <c r="C54" s="83"/>
      <c r="D54" s="83"/>
      <c r="E54" s="8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195</v>
      </c>
      <c r="O54" s="39">
        <v>959290</v>
      </c>
    </row>
    <row r="55" spans="1:15" ht="18" customHeight="1">
      <c r="A55" s="85" t="s">
        <v>197</v>
      </c>
      <c r="B55" s="86"/>
      <c r="C55" s="86"/>
      <c r="D55" s="86"/>
      <c r="E55" s="87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198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2" t="s">
        <v>194</v>
      </c>
      <c r="B68" s="83"/>
      <c r="C68" s="83"/>
      <c r="D68" s="83"/>
      <c r="E68" s="8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195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192</v>
      </c>
      <c r="F69" s="27">
        <v>30</v>
      </c>
      <c r="G69" s="34">
        <f t="shared" ref="G69:G80" si="15">IF(F69="","",IF(E69="PC 17",F69*4.2,IF(E69="PC 19",F69*5,"")))</f>
        <v>150</v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192</v>
      </c>
      <c r="F70" s="27">
        <v>12</v>
      </c>
      <c r="G70" s="28">
        <f t="shared" si="15"/>
        <v>60</v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192</v>
      </c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2" t="s">
        <v>196</v>
      </c>
      <c r="B81" s="83"/>
      <c r="C81" s="83"/>
      <c r="D81" s="83"/>
      <c r="E81" s="84">
        <f>SUM(E69:E80)</f>
        <v>0</v>
      </c>
      <c r="F81" s="36">
        <f>SUM(F69:F80)</f>
        <v>55</v>
      </c>
      <c r="G81" s="36">
        <f>SUM(G69:G80)</f>
        <v>275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195</v>
      </c>
      <c r="O81" s="39"/>
    </row>
    <row r="82" spans="1:15" ht="18" customHeight="1">
      <c r="A82" s="85" t="s">
        <v>197</v>
      </c>
      <c r="B82" s="86"/>
      <c r="C82" s="86"/>
      <c r="D82" s="86"/>
      <c r="E82" s="87">
        <f>E68+E81</f>
        <v>0</v>
      </c>
      <c r="F82" s="40">
        <f>F68+F81</f>
        <v>424</v>
      </c>
      <c r="G82" s="40">
        <f>G68+G81</f>
        <v>2120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198</v>
      </c>
      <c r="O82" s="43">
        <f>IFERROR(O68+O81,"")</f>
        <v>1953130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2" t="s">
        <v>194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195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2" t="s">
        <v>196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195</v>
      </c>
      <c r="O108" s="39"/>
    </row>
    <row r="109" spans="1:15" ht="18" customHeight="1">
      <c r="A109" s="85" t="s">
        <v>197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198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2" t="s">
        <v>194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195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2" t="s">
        <v>196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195</v>
      </c>
      <c r="O135" s="39"/>
    </row>
    <row r="136" spans="1:15" ht="18" customHeight="1">
      <c r="A136" s="85" t="s">
        <v>197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198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2" t="s">
        <v>194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195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2" t="s">
        <v>196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195</v>
      </c>
      <c r="O162" s="44"/>
    </row>
    <row r="163" spans="1:15" ht="18" customHeight="1">
      <c r="A163" s="85" t="s">
        <v>197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198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2" t="s">
        <v>194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195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2" t="s">
        <v>196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195</v>
      </c>
      <c r="O189" s="39"/>
    </row>
    <row r="190" spans="1:15" ht="18" customHeight="1">
      <c r="A190" s="85" t="s">
        <v>197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198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2" t="s">
        <v>194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195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2" t="s">
        <v>196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195</v>
      </c>
      <c r="O216" s="45"/>
    </row>
    <row r="217" spans="1:15" ht="18" customHeight="1">
      <c r="A217" s="85" t="s">
        <v>197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198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2" t="s">
        <v>194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195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2" t="s">
        <v>196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195</v>
      </c>
      <c r="O243" s="39"/>
    </row>
    <row r="244" spans="1:15" ht="18" customHeight="1">
      <c r="A244" s="85" t="s">
        <v>197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198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2" t="s">
        <v>194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2" t="s">
        <v>196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195</v>
      </c>
      <c r="O270" s="39"/>
    </row>
    <row r="271" spans="1:15" ht="18" customHeight="1">
      <c r="A271" s="85" t="s">
        <v>197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2" t="s">
        <v>194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2" t="s">
        <v>196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195</v>
      </c>
      <c r="O297" s="39"/>
    </row>
    <row r="298" spans="1:15" ht="18" customHeight="1">
      <c r="A298" s="85" t="s">
        <v>197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2" t="s">
        <v>194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2" t="s">
        <v>196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195</v>
      </c>
      <c r="O324" s="39"/>
    </row>
    <row r="325" spans="1:15" ht="18" customHeight="1">
      <c r="A325" s="85" t="s">
        <v>197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2" t="s">
        <v>194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2" t="s">
        <v>196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195</v>
      </c>
      <c r="O351" s="39"/>
    </row>
    <row r="352" spans="1:15" ht="18" customHeight="1">
      <c r="A352" s="85" t="s">
        <v>197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2" t="s">
        <v>194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2" t="s">
        <v>196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195</v>
      </c>
      <c r="O378" s="39"/>
    </row>
    <row r="379" spans="1:15" ht="18" customHeight="1">
      <c r="A379" s="85" t="s">
        <v>197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2" t="s">
        <v>194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2" t="s">
        <v>196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195</v>
      </c>
      <c r="O405" s="39"/>
    </row>
    <row r="406" spans="1:15" ht="18" customHeight="1">
      <c r="A406" s="85" t="s">
        <v>197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2" t="s">
        <v>194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2" t="s">
        <v>196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195</v>
      </c>
      <c r="O432" s="39"/>
    </row>
    <row r="433" spans="1:15" ht="18" customHeight="1">
      <c r="A433" s="85" t="s">
        <v>197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198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2" t="s">
        <v>194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2" t="s">
        <v>196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195</v>
      </c>
      <c r="O459" s="39"/>
    </row>
    <row r="460" spans="1:15" ht="18" customHeight="1">
      <c r="A460" s="85" t="s">
        <v>197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2" t="s">
        <v>194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2" t="s">
        <v>196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195</v>
      </c>
      <c r="O486" s="39"/>
    </row>
    <row r="487" spans="1:15" ht="18" customHeight="1">
      <c r="A487" s="85" t="s">
        <v>197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2" t="s">
        <v>194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2" t="s">
        <v>196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195</v>
      </c>
      <c r="O513" s="39"/>
    </row>
    <row r="514" spans="1:15" ht="18" customHeight="1">
      <c r="A514" s="85" t="s">
        <v>197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2" t="s">
        <v>194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2" t="s">
        <v>196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195</v>
      </c>
      <c r="O540" s="39"/>
    </row>
    <row r="541" spans="1:15" ht="18" customHeight="1">
      <c r="A541" s="85" t="s">
        <v>197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2" t="s">
        <v>194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2" t="s">
        <v>196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195</v>
      </c>
      <c r="O567" s="39"/>
    </row>
    <row r="568" spans="1:15" ht="18" customHeight="1">
      <c r="A568" s="85" t="s">
        <v>197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2" t="s">
        <v>194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2" t="s">
        <v>196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195</v>
      </c>
      <c r="O594" s="39"/>
    </row>
    <row r="595" spans="1:15" ht="18" customHeight="1">
      <c r="A595" s="85" t="s">
        <v>197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2" t="s">
        <v>194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2" t="s">
        <v>196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195</v>
      </c>
      <c r="O621" s="39"/>
    </row>
    <row r="622" spans="1:15" ht="18" customHeight="1">
      <c r="A622" s="85" t="s">
        <v>197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2" t="s">
        <v>194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2" t="s">
        <v>196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195</v>
      </c>
      <c r="O648" s="39"/>
    </row>
    <row r="649" spans="1:15" ht="18" customHeight="1">
      <c r="A649" s="85" t="s">
        <v>197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2" t="s">
        <v>194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2" t="s">
        <v>196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195</v>
      </c>
      <c r="O675" s="39"/>
    </row>
    <row r="676" spans="1:15" ht="18" customHeight="1">
      <c r="A676" s="85" t="s">
        <v>197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2" t="s">
        <v>194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2" t="s">
        <v>196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195</v>
      </c>
      <c r="O702" s="39"/>
    </row>
    <row r="703" spans="1:15" ht="18" customHeight="1">
      <c r="A703" s="85" t="s">
        <v>197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2" t="s">
        <v>194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2" t="s">
        <v>196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195</v>
      </c>
      <c r="O729" s="39"/>
    </row>
    <row r="730" spans="1:15" ht="18" customHeight="1">
      <c r="A730" s="85" t="s">
        <v>197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2" t="s">
        <v>194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2" t="s">
        <v>196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195</v>
      </c>
      <c r="O756" s="39"/>
    </row>
    <row r="757" spans="1:15" ht="18" customHeight="1">
      <c r="A757" s="85" t="s">
        <v>197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2" t="s">
        <v>194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2" t="s">
        <v>196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195</v>
      </c>
      <c r="O783" s="39"/>
    </row>
    <row r="784" spans="1:15" ht="18" customHeight="1">
      <c r="A784" s="85" t="s">
        <v>197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2" t="s">
        <v>194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2" t="s">
        <v>196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195</v>
      </c>
      <c r="O810" s="39"/>
    </row>
    <row r="811" spans="1:15" ht="18" customHeight="1">
      <c r="A811" s="85" t="s">
        <v>197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2" activePane="bottomLeft" state="frozen"/>
      <selection pane="bottomLeft" activeCell="F72" sqref="F7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181</v>
      </c>
      <c r="C1" s="23" t="s">
        <v>12</v>
      </c>
      <c r="D1" s="22" t="s">
        <v>13</v>
      </c>
      <c r="E1" s="22" t="s">
        <v>182</v>
      </c>
      <c r="F1" s="23" t="s">
        <v>183</v>
      </c>
      <c r="G1" s="23" t="s">
        <v>184</v>
      </c>
      <c r="H1" s="23" t="s">
        <v>14</v>
      </c>
      <c r="I1" s="23" t="s">
        <v>15</v>
      </c>
      <c r="J1" s="23" t="s">
        <v>185</v>
      </c>
      <c r="K1" s="23" t="s">
        <v>186</v>
      </c>
      <c r="L1" s="23" t="s">
        <v>187</v>
      </c>
      <c r="M1" s="24" t="s">
        <v>188</v>
      </c>
      <c r="N1" s="23" t="s">
        <v>189</v>
      </c>
      <c r="O1" s="23" t="s">
        <v>190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200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200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2" t="s">
        <v>194</v>
      </c>
      <c r="B14" s="83"/>
      <c r="C14" s="83"/>
      <c r="D14" s="83"/>
      <c r="E14" s="8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195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200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2" t="s">
        <v>196</v>
      </c>
      <c r="B27" s="83"/>
      <c r="C27" s="83"/>
      <c r="D27" s="83"/>
      <c r="E27" s="8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195</v>
      </c>
      <c r="O27" s="78">
        <v>393200</v>
      </c>
    </row>
    <row r="28" spans="1:15" ht="18" customHeight="1">
      <c r="A28" s="85" t="s">
        <v>197</v>
      </c>
      <c r="B28" s="86"/>
      <c r="C28" s="86"/>
      <c r="D28" s="86"/>
      <c r="E28" s="87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198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1">
        <f t="shared" ref="M29:M40" ca="1" si="7">IFERROR(IF(K29="","",IF(L29="",MOD(NOW()-K29,1),IF(L29&gt;=K29,L29-K29,L29+1-K29))),"")</f>
        <v>7.1527777777777746E-2</v>
      </c>
      <c r="N29" s="46" t="s">
        <v>201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178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2" t="s">
        <v>194</v>
      </c>
      <c r="B41" s="83"/>
      <c r="C41" s="83"/>
      <c r="D41" s="83"/>
      <c r="E41" s="8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195</v>
      </c>
      <c r="O41" s="80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202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200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2" t="s">
        <v>196</v>
      </c>
      <c r="B54" s="83"/>
      <c r="C54" s="83"/>
      <c r="D54" s="83"/>
      <c r="E54" s="8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195</v>
      </c>
      <c r="O54" s="80">
        <v>276360</v>
      </c>
    </row>
    <row r="55" spans="1:15" ht="18" customHeight="1">
      <c r="A55" s="85" t="s">
        <v>197</v>
      </c>
      <c r="B55" s="86"/>
      <c r="C55" s="86"/>
      <c r="D55" s="86"/>
      <c r="E55" s="87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198</v>
      </c>
      <c r="O55" s="4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/>
      <c r="J56" s="26" t="s">
        <v>96</v>
      </c>
      <c r="K56" s="29">
        <v>0.29166666666666669</v>
      </c>
      <c r="L56" s="29">
        <v>0.41111111111111109</v>
      </c>
      <c r="M56" s="35">
        <f t="shared" ref="M56:M67" ca="1" si="13">IFERROR(IF(K56="","",IF(L56="",MOD(NOW()-K56,1),IF(L56&gt;=K56,L56-K56,L56+1-K56))),"")</f>
        <v>0.11944444444444441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 t="s">
        <v>17</v>
      </c>
      <c r="I57" s="33" t="s">
        <v>110</v>
      </c>
      <c r="J57" s="33"/>
      <c r="K57" s="29">
        <v>0.43194444444444446</v>
      </c>
      <c r="L57" s="29">
        <v>0.44097222222222221</v>
      </c>
      <c r="M57" s="30">
        <f t="shared" ca="1" si="13"/>
        <v>9.0277777777777457E-3</v>
      </c>
      <c r="N57" s="46" t="s">
        <v>203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 t="s">
        <v>18</v>
      </c>
      <c r="I58" s="26"/>
      <c r="J58" s="26"/>
      <c r="K58" s="29">
        <v>0.44722222222222224</v>
      </c>
      <c r="L58" s="29">
        <v>0.75624999999999998</v>
      </c>
      <c r="M58" s="35">
        <f t="shared" ca="1" si="13"/>
        <v>0.30902777777777773</v>
      </c>
      <c r="N58" s="46" t="s">
        <v>204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2" t="s">
        <v>194</v>
      </c>
      <c r="B68" s="83"/>
      <c r="C68" s="83"/>
      <c r="D68" s="83"/>
      <c r="E68" s="8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0.43749999999999989</v>
      </c>
      <c r="N68" s="36" t="s">
        <v>195</v>
      </c>
      <c r="O68" s="54"/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200</v>
      </c>
      <c r="F70" s="27">
        <v>18</v>
      </c>
      <c r="G70" s="28">
        <f t="shared" si="15"/>
        <v>75.600000000000009</v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200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200</v>
      </c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200</v>
      </c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200</v>
      </c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200</v>
      </c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200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200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200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200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200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2" t="s">
        <v>196</v>
      </c>
      <c r="B81" s="83"/>
      <c r="C81" s="83"/>
      <c r="D81" s="83"/>
      <c r="E81" s="84">
        <f>SUM(E69:E80)</f>
        <v>0</v>
      </c>
      <c r="F81" s="36">
        <f>SUM(F69:F80)</f>
        <v>41</v>
      </c>
      <c r="G81" s="36">
        <f>SUM(G69:G80)</f>
        <v>172.2</v>
      </c>
      <c r="H81" s="37"/>
      <c r="I81" s="37"/>
      <c r="J81" s="37"/>
      <c r="K81" s="37"/>
      <c r="L81" s="37"/>
      <c r="M81" s="38">
        <f ca="1">IFERROR(SUM(M69:M80),"")</f>
        <v>9.0277777777777457E-3</v>
      </c>
      <c r="N81" s="36" t="s">
        <v>195</v>
      </c>
      <c r="O81" s="54"/>
    </row>
    <row r="82" spans="1:15" ht="18" customHeight="1">
      <c r="A82" s="85" t="s">
        <v>197</v>
      </c>
      <c r="B82" s="86"/>
      <c r="C82" s="86"/>
      <c r="D82" s="86"/>
      <c r="E82" s="87">
        <f>E68+E81</f>
        <v>0</v>
      </c>
      <c r="F82" s="40">
        <f>F68+F81</f>
        <v>41</v>
      </c>
      <c r="G82" s="40">
        <f>G68+G81</f>
        <v>172.2</v>
      </c>
      <c r="H82" s="41"/>
      <c r="I82" s="41"/>
      <c r="J82" s="41"/>
      <c r="K82" s="41"/>
      <c r="L82" s="41"/>
      <c r="M82" s="42">
        <f ca="1">IFERROR(M68+M81,"")</f>
        <v>0.44652777777777763</v>
      </c>
      <c r="N82" s="40" t="s">
        <v>198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2" t="s">
        <v>194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195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2" t="s">
        <v>196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195</v>
      </c>
      <c r="O108" s="54"/>
    </row>
    <row r="109" spans="1:15" ht="18" customHeight="1">
      <c r="A109" s="85" t="s">
        <v>197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198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2" t="s">
        <v>194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195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2" t="s">
        <v>196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195</v>
      </c>
      <c r="O135" s="54"/>
    </row>
    <row r="136" spans="1:15" ht="18" customHeight="1">
      <c r="A136" s="85" t="s">
        <v>197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198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2" t="s">
        <v>194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195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2" t="s">
        <v>196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195</v>
      </c>
      <c r="O162" s="54"/>
    </row>
    <row r="163" spans="1:15" ht="18" customHeight="1">
      <c r="A163" s="85" t="s">
        <v>197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198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2" t="s">
        <v>194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195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2" t="s">
        <v>196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195</v>
      </c>
      <c r="O189" s="39"/>
    </row>
    <row r="190" spans="1:15" ht="18" customHeight="1">
      <c r="A190" s="85" t="s">
        <v>197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198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2" t="s">
        <v>194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195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2" t="s">
        <v>196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195</v>
      </c>
      <c r="O216" s="45"/>
    </row>
    <row r="217" spans="1:15" ht="18" customHeight="1">
      <c r="A217" s="85" t="s">
        <v>197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198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2" t="s">
        <v>194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195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2" t="s">
        <v>196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195</v>
      </c>
      <c r="O243" s="39"/>
    </row>
    <row r="244" spans="1:15" ht="18" customHeight="1">
      <c r="A244" s="85" t="s">
        <v>197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198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2" t="s">
        <v>194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2" t="s">
        <v>196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195</v>
      </c>
      <c r="O270" s="39"/>
    </row>
    <row r="271" spans="1:15" ht="18" customHeight="1">
      <c r="A271" s="85" t="s">
        <v>197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2" t="s">
        <v>194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2" t="s">
        <v>196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195</v>
      </c>
      <c r="O297" s="39"/>
    </row>
    <row r="298" spans="1:15" ht="18" customHeight="1">
      <c r="A298" s="85" t="s">
        <v>197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2" t="s">
        <v>194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2" t="s">
        <v>196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195</v>
      </c>
      <c r="O324" s="39"/>
    </row>
    <row r="325" spans="1:15" ht="18" customHeight="1">
      <c r="A325" s="85" t="s">
        <v>197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2" t="s">
        <v>194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2" t="s">
        <v>196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195</v>
      </c>
      <c r="O351" s="39"/>
    </row>
    <row r="352" spans="1:15" ht="18" customHeight="1">
      <c r="A352" s="85" t="s">
        <v>197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2" t="s">
        <v>194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2" t="s">
        <v>196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195</v>
      </c>
      <c r="O378" s="39"/>
    </row>
    <row r="379" spans="1:15" ht="18" customHeight="1">
      <c r="A379" s="85" t="s">
        <v>197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2" t="s">
        <v>194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2" t="s">
        <v>196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195</v>
      </c>
      <c r="O405" s="39"/>
    </row>
    <row r="406" spans="1:15" ht="18" customHeight="1">
      <c r="A406" s="85" t="s">
        <v>197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2" t="s">
        <v>194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2" t="s">
        <v>196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195</v>
      </c>
      <c r="O432" s="39"/>
    </row>
    <row r="433" spans="1:15" ht="18" customHeight="1">
      <c r="A433" s="85" t="s">
        <v>197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198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2" t="s">
        <v>194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2" t="s">
        <v>196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195</v>
      </c>
      <c r="O459" s="39"/>
    </row>
    <row r="460" spans="1:15" ht="18" customHeight="1">
      <c r="A460" s="85" t="s">
        <v>197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2" t="s">
        <v>194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2" t="s">
        <v>196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195</v>
      </c>
      <c r="O486" s="39"/>
    </row>
    <row r="487" spans="1:15" ht="18" customHeight="1">
      <c r="A487" s="85" t="s">
        <v>197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2" t="s">
        <v>194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2" t="s">
        <v>196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195</v>
      </c>
      <c r="O513" s="39"/>
    </row>
    <row r="514" spans="1:15" ht="18" customHeight="1">
      <c r="A514" s="85" t="s">
        <v>197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2" t="s">
        <v>194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2" t="s">
        <v>196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195</v>
      </c>
      <c r="O540" s="39"/>
    </row>
    <row r="541" spans="1:15" ht="18" customHeight="1">
      <c r="A541" s="85" t="s">
        <v>197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2" t="s">
        <v>194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2" t="s">
        <v>196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195</v>
      </c>
      <c r="O567" s="39"/>
    </row>
    <row r="568" spans="1:15" ht="18" customHeight="1">
      <c r="A568" s="85" t="s">
        <v>197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2" t="s">
        <v>194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2" t="s">
        <v>196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195</v>
      </c>
      <c r="O594" s="39"/>
    </row>
    <row r="595" spans="1:15" ht="18" customHeight="1">
      <c r="A595" s="85" t="s">
        <v>197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2" t="s">
        <v>194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2" t="s">
        <v>196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195</v>
      </c>
      <c r="O621" s="39"/>
    </row>
    <row r="622" spans="1:15" ht="18" customHeight="1">
      <c r="A622" s="85" t="s">
        <v>197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198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2" t="s">
        <v>194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195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2" t="s">
        <v>196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195</v>
      </c>
      <c r="O648" s="39"/>
    </row>
    <row r="649" spans="1:15" ht="18" customHeight="1">
      <c r="A649" s="85" t="s">
        <v>197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198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2" t="s">
        <v>194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2" t="s">
        <v>196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195</v>
      </c>
      <c r="O675" s="39"/>
    </row>
    <row r="676" spans="1:15" ht="18" customHeight="1">
      <c r="A676" s="85" t="s">
        <v>197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2" t="s">
        <v>194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2" t="s">
        <v>196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195</v>
      </c>
      <c r="O702" s="39"/>
    </row>
    <row r="703" spans="1:15" ht="18" customHeight="1">
      <c r="A703" s="85" t="s">
        <v>197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2" t="s">
        <v>194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2" t="s">
        <v>196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195</v>
      </c>
      <c r="O729" s="39"/>
    </row>
    <row r="730" spans="1:15" ht="18" customHeight="1">
      <c r="A730" s="85" t="s">
        <v>197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2" t="s">
        <v>194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2" t="s">
        <v>196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195</v>
      </c>
      <c r="O756" s="39"/>
    </row>
    <row r="757" spans="1:15" ht="18" customHeight="1">
      <c r="A757" s="85" t="s">
        <v>197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2" t="s">
        <v>194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2" t="s">
        <v>196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195</v>
      </c>
      <c r="O783" s="39"/>
    </row>
    <row r="784" spans="1:15" ht="18" customHeight="1">
      <c r="A784" s="85" t="s">
        <v>197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2" t="s">
        <v>194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2" t="s">
        <v>196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195</v>
      </c>
      <c r="O810" s="39"/>
    </row>
    <row r="811" spans="1:15" ht="18" customHeight="1">
      <c r="A811" s="85" t="s">
        <v>197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198</v>
      </c>
      <c r="O811" s="4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58" activePane="bottomLeft" state="frozen"/>
      <selection pane="bottomLeft" activeCell="F72" sqref="F7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181</v>
      </c>
      <c r="C1" s="23" t="s">
        <v>12</v>
      </c>
      <c r="D1" s="22" t="s">
        <v>13</v>
      </c>
      <c r="E1" s="22" t="s">
        <v>182</v>
      </c>
      <c r="F1" s="23" t="s">
        <v>183</v>
      </c>
      <c r="G1" s="23" t="s">
        <v>184</v>
      </c>
      <c r="H1" s="23" t="s">
        <v>14</v>
      </c>
      <c r="I1" s="23" t="s">
        <v>15</v>
      </c>
      <c r="J1" s="23" t="s">
        <v>185</v>
      </c>
      <c r="K1" s="23" t="s">
        <v>186</v>
      </c>
      <c r="L1" s="23" t="s">
        <v>187</v>
      </c>
      <c r="M1" s="24" t="s">
        <v>188</v>
      </c>
      <c r="N1" s="23" t="s">
        <v>189</v>
      </c>
      <c r="O1" s="23" t="s">
        <v>190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205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206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2" t="s">
        <v>194</v>
      </c>
      <c r="B14" s="83"/>
      <c r="C14" s="83"/>
      <c r="D14" s="83"/>
      <c r="E14" s="8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195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2" t="s">
        <v>196</v>
      </c>
      <c r="B27" s="83"/>
      <c r="C27" s="83"/>
      <c r="D27" s="83"/>
      <c r="E27" s="8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195</v>
      </c>
      <c r="O27" s="39">
        <v>308500</v>
      </c>
    </row>
    <row r="28" spans="1:15" ht="18" customHeight="1">
      <c r="A28" s="85" t="s">
        <v>197</v>
      </c>
      <c r="B28" s="86"/>
      <c r="C28" s="86"/>
      <c r="D28" s="86"/>
      <c r="E28" s="87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198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207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2" t="s">
        <v>194</v>
      </c>
      <c r="B41" s="83"/>
      <c r="C41" s="83"/>
      <c r="D41" s="83"/>
      <c r="E41" s="8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195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2" t="s">
        <v>196</v>
      </c>
      <c r="B54" s="83"/>
      <c r="C54" s="83"/>
      <c r="D54" s="83"/>
      <c r="E54" s="8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195</v>
      </c>
      <c r="O54" s="39">
        <v>124290</v>
      </c>
    </row>
    <row r="55" spans="1:15" ht="18" customHeight="1">
      <c r="A55" s="85" t="s">
        <v>197</v>
      </c>
      <c r="B55" s="86"/>
      <c r="C55" s="86"/>
      <c r="D55" s="86"/>
      <c r="E55" s="87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198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208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2" t="s">
        <v>194</v>
      </c>
      <c r="B68" s="83"/>
      <c r="C68" s="83"/>
      <c r="D68" s="83"/>
      <c r="E68" s="8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195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200</v>
      </c>
      <c r="F69" s="27">
        <v>14</v>
      </c>
      <c r="G69" s="34">
        <f t="shared" ref="G69:G80" si="15">IF(F69="","",IF(E69="PC 17",F69*4.2,IF(E69="PC 19",F69*5,"")))</f>
        <v>58.800000000000004</v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200</v>
      </c>
      <c r="F70" s="27">
        <v>11</v>
      </c>
      <c r="G70" s="28">
        <f t="shared" si="15"/>
        <v>46.2</v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200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200</v>
      </c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200</v>
      </c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200</v>
      </c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200</v>
      </c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200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200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200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200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200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2" t="s">
        <v>196</v>
      </c>
      <c r="B81" s="83"/>
      <c r="C81" s="83"/>
      <c r="D81" s="83"/>
      <c r="E81" s="84">
        <f>SUM(E69:E80)</f>
        <v>0</v>
      </c>
      <c r="F81" s="36">
        <f>SUM(F69:F80)</f>
        <v>34</v>
      </c>
      <c r="G81" s="36">
        <f>SUM(G69:G80)</f>
        <v>142.80000000000001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195</v>
      </c>
      <c r="O81" s="39"/>
    </row>
    <row r="82" spans="1:15" ht="18" customHeight="1">
      <c r="A82" s="85" t="s">
        <v>197</v>
      </c>
      <c r="B82" s="86"/>
      <c r="C82" s="86"/>
      <c r="D82" s="86"/>
      <c r="E82" s="87">
        <f>E68+E81</f>
        <v>0</v>
      </c>
      <c r="F82" s="40">
        <f>F68+F81</f>
        <v>138</v>
      </c>
      <c r="G82" s="40">
        <f>G68+G81</f>
        <v>579.6</v>
      </c>
      <c r="H82" s="41"/>
      <c r="I82" s="41"/>
      <c r="J82" s="41"/>
      <c r="K82" s="41"/>
      <c r="L82" s="41"/>
      <c r="M82" s="42">
        <f ca="1">IFERROR(M68+M81,"")</f>
        <v>7.2222222222222132E-2</v>
      </c>
      <c r="N82" s="40" t="s">
        <v>198</v>
      </c>
      <c r="O82" s="43">
        <f>IFERROR(O68+O81,"")</f>
        <v>441440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2" t="s">
        <v>194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195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2" t="s">
        <v>196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195</v>
      </c>
      <c r="O108" s="39"/>
    </row>
    <row r="109" spans="1:15" ht="18" customHeight="1">
      <c r="A109" s="85" t="s">
        <v>197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198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2" t="s">
        <v>194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195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2" t="s">
        <v>196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195</v>
      </c>
      <c r="O135" s="39"/>
    </row>
    <row r="136" spans="1:15" ht="18" customHeight="1">
      <c r="A136" s="85" t="s">
        <v>197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198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2" t="s">
        <v>194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195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2" t="s">
        <v>196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195</v>
      </c>
      <c r="O162" s="39"/>
    </row>
    <row r="163" spans="1:15" ht="18" customHeight="1">
      <c r="A163" s="85" t="s">
        <v>197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198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2" t="s">
        <v>194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195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2" t="s">
        <v>196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195</v>
      </c>
      <c r="O189" s="39"/>
    </row>
    <row r="190" spans="1:15" ht="18" customHeight="1">
      <c r="A190" s="85" t="s">
        <v>197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198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2" t="s">
        <v>194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195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2" t="s">
        <v>196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195</v>
      </c>
      <c r="O216" s="39"/>
    </row>
    <row r="217" spans="1:15" ht="18" customHeight="1">
      <c r="A217" s="85" t="s">
        <v>197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198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2" t="s">
        <v>194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195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2" t="s">
        <v>196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195</v>
      </c>
      <c r="O243" s="39"/>
    </row>
    <row r="244" spans="1:15" ht="18" customHeight="1">
      <c r="A244" s="85" t="s">
        <v>197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198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2" t="s">
        <v>194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2" t="s">
        <v>196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195</v>
      </c>
      <c r="O270" s="39"/>
    </row>
    <row r="271" spans="1:15" ht="18" customHeight="1">
      <c r="A271" s="85" t="s">
        <v>197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2" t="s">
        <v>194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2" t="s">
        <v>196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195</v>
      </c>
      <c r="O297" s="39"/>
    </row>
    <row r="298" spans="1:15" ht="18" customHeight="1">
      <c r="A298" s="85" t="s">
        <v>197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2" t="s">
        <v>194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2" t="s">
        <v>196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195</v>
      </c>
      <c r="O324" s="39"/>
    </row>
    <row r="325" spans="1:15" ht="18" customHeight="1">
      <c r="A325" s="85" t="s">
        <v>197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2" t="s">
        <v>194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2" t="s">
        <v>196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195</v>
      </c>
      <c r="O351" s="39"/>
    </row>
    <row r="352" spans="1:15" ht="18" customHeight="1">
      <c r="A352" s="85" t="s">
        <v>197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2" t="s">
        <v>194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2" t="s">
        <v>196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195</v>
      </c>
      <c r="O378" s="39"/>
    </row>
    <row r="379" spans="1:15" ht="18" customHeight="1">
      <c r="A379" s="85" t="s">
        <v>197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2" t="s">
        <v>194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2" t="s">
        <v>196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195</v>
      </c>
      <c r="O405" s="39"/>
    </row>
    <row r="406" spans="1:15" ht="18" customHeight="1">
      <c r="A406" s="85" t="s">
        <v>197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2" t="s">
        <v>194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2" t="s">
        <v>196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195</v>
      </c>
      <c r="O432" s="39"/>
    </row>
    <row r="433" spans="1:15" ht="18" customHeight="1">
      <c r="A433" s="85" t="s">
        <v>197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198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2" t="s">
        <v>194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2" t="s">
        <v>196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195</v>
      </c>
      <c r="O459" s="39"/>
    </row>
    <row r="460" spans="1:15" ht="18" customHeight="1">
      <c r="A460" s="85" t="s">
        <v>197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2" t="s">
        <v>194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2" t="s">
        <v>196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195</v>
      </c>
      <c r="O486" s="39"/>
    </row>
    <row r="487" spans="1:15" ht="18" customHeight="1">
      <c r="A487" s="85" t="s">
        <v>197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2" t="s">
        <v>194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2" t="s">
        <v>196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195</v>
      </c>
      <c r="O513" s="39"/>
    </row>
    <row r="514" spans="1:15" ht="18" customHeight="1">
      <c r="A514" s="85" t="s">
        <v>197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2" t="s">
        <v>194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2" t="s">
        <v>196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195</v>
      </c>
      <c r="O540" s="39"/>
    </row>
    <row r="541" spans="1:15" ht="18" customHeight="1">
      <c r="A541" s="85" t="s">
        <v>197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2" t="s">
        <v>194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2" t="s">
        <v>196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195</v>
      </c>
      <c r="O567" s="39"/>
    </row>
    <row r="568" spans="1:15" ht="18" customHeight="1">
      <c r="A568" s="85" t="s">
        <v>197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2" t="s">
        <v>194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2" t="s">
        <v>196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195</v>
      </c>
      <c r="O594" s="39"/>
    </row>
    <row r="595" spans="1:15" ht="18" customHeight="1">
      <c r="A595" s="85" t="s">
        <v>197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2" t="s">
        <v>194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2" t="s">
        <v>196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195</v>
      </c>
      <c r="O621" s="39"/>
    </row>
    <row r="622" spans="1:15" ht="18" customHeight="1">
      <c r="A622" s="85" t="s">
        <v>197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2" t="s">
        <v>194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2" t="s">
        <v>196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195</v>
      </c>
      <c r="O648" s="39"/>
    </row>
    <row r="649" spans="1:15" ht="18" customHeight="1">
      <c r="A649" s="85" t="s">
        <v>197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2" t="s">
        <v>194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2" t="s">
        <v>196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195</v>
      </c>
      <c r="O675" s="39"/>
    </row>
    <row r="676" spans="1:15" ht="18" customHeight="1">
      <c r="A676" s="85" t="s">
        <v>197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2" t="s">
        <v>194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2" t="s">
        <v>196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195</v>
      </c>
      <c r="O702" s="39"/>
    </row>
    <row r="703" spans="1:15" ht="18" customHeight="1">
      <c r="A703" s="85" t="s">
        <v>197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2" t="s">
        <v>194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2" t="s">
        <v>196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195</v>
      </c>
      <c r="O729" s="39"/>
    </row>
    <row r="730" spans="1:15" ht="18" customHeight="1">
      <c r="A730" s="85" t="s">
        <v>197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2" t="s">
        <v>194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2" t="s">
        <v>196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195</v>
      </c>
      <c r="O756" s="39"/>
    </row>
    <row r="757" spans="1:15" ht="18" customHeight="1">
      <c r="A757" s="85" t="s">
        <v>197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2" t="s">
        <v>194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2" t="s">
        <v>196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195</v>
      </c>
      <c r="O783" s="39"/>
    </row>
    <row r="784" spans="1:15" ht="18" customHeight="1">
      <c r="A784" s="85" t="s">
        <v>197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2" t="s">
        <v>194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2" t="s">
        <v>196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195</v>
      </c>
      <c r="O810" s="39"/>
    </row>
    <row r="811" spans="1:15" ht="18" customHeight="1">
      <c r="A811" s="85" t="s">
        <v>197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tabSelected="1" zoomScale="50" zoomScaleNormal="50" workbookViewId="0">
      <pane ySplit="1" topLeftCell="D55" activePane="bottomLeft" state="frozen"/>
      <selection pane="bottomLeft" activeCell="N73" sqref="N73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181</v>
      </c>
      <c r="C1" s="23" t="s">
        <v>12</v>
      </c>
      <c r="D1" s="22" t="s">
        <v>13</v>
      </c>
      <c r="E1" s="22" t="s">
        <v>182</v>
      </c>
      <c r="F1" s="23" t="s">
        <v>183</v>
      </c>
      <c r="G1" s="23" t="s">
        <v>184</v>
      </c>
      <c r="H1" s="23" t="s">
        <v>14</v>
      </c>
      <c r="I1" s="23" t="s">
        <v>15</v>
      </c>
      <c r="J1" s="23" t="s">
        <v>185</v>
      </c>
      <c r="K1" s="23" t="s">
        <v>186</v>
      </c>
      <c r="L1" s="23" t="s">
        <v>187</v>
      </c>
      <c r="M1" s="24" t="s">
        <v>188</v>
      </c>
      <c r="N1" s="23" t="s">
        <v>189</v>
      </c>
      <c r="O1" s="23" t="s">
        <v>190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209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200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210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2" t="s">
        <v>194</v>
      </c>
      <c r="B14" s="83"/>
      <c r="C14" s="83"/>
      <c r="D14" s="83"/>
      <c r="E14" s="8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195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211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2" t="s">
        <v>196</v>
      </c>
      <c r="B27" s="83"/>
      <c r="C27" s="83"/>
      <c r="D27" s="83"/>
      <c r="E27" s="8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195</v>
      </c>
      <c r="O27" s="39">
        <v>202230</v>
      </c>
    </row>
    <row r="28" spans="1:15" ht="18" customHeight="1">
      <c r="A28" s="85" t="s">
        <v>197</v>
      </c>
      <c r="B28" s="86"/>
      <c r="C28" s="86"/>
      <c r="D28" s="86"/>
      <c r="E28" s="87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198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179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212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213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200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200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2" t="s">
        <v>194</v>
      </c>
      <c r="B41" s="83"/>
      <c r="C41" s="83"/>
      <c r="D41" s="83"/>
      <c r="E41" s="8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195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2" t="s">
        <v>196</v>
      </c>
      <c r="B54" s="83"/>
      <c r="C54" s="83"/>
      <c r="D54" s="83"/>
      <c r="E54" s="8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195</v>
      </c>
      <c r="O54" s="39">
        <v>473910</v>
      </c>
    </row>
    <row r="55" spans="1:15" ht="18" customHeight="1">
      <c r="A55" s="85" t="s">
        <v>197</v>
      </c>
      <c r="B55" s="86"/>
      <c r="C55" s="86"/>
      <c r="D55" s="86"/>
      <c r="E55" s="87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198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214</v>
      </c>
      <c r="L58" s="29">
        <v>0.54097222222222219</v>
      </c>
      <c r="M58" s="30" t="str">
        <f t="shared" ca="1" si="13"/>
        <v/>
      </c>
      <c r="N58" s="27" t="s">
        <v>215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2" t="s">
        <v>194</v>
      </c>
      <c r="B68" s="83"/>
      <c r="C68" s="83"/>
      <c r="D68" s="83"/>
      <c r="E68" s="8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195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205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200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180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200</v>
      </c>
      <c r="F72" s="27"/>
      <c r="G72" s="28" t="str">
        <f t="shared" si="15"/>
        <v/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/>
      <c r="M72" s="30">
        <f t="shared" ca="1" si="16"/>
        <v>1.4637847227277234E-2</v>
      </c>
      <c r="N72" s="27" t="s">
        <v>216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200</v>
      </c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200</v>
      </c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200</v>
      </c>
      <c r="F75" s="27"/>
      <c r="G75" s="34" t="str">
        <f>IF(F75="","",IF(E75="PC 17",F75*4.2,IF(E75="PC 19",F75*5,"")))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200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200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200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200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200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2" t="s">
        <v>196</v>
      </c>
      <c r="B81" s="83"/>
      <c r="C81" s="83"/>
      <c r="D81" s="83"/>
      <c r="E81" s="84">
        <f>SUM(E69:E80)</f>
        <v>0</v>
      </c>
      <c r="F81" s="36">
        <f>SUM(F69:F80)</f>
        <v>58</v>
      </c>
      <c r="G81" s="36">
        <f>SUM(G69:G80)</f>
        <v>243.6</v>
      </c>
      <c r="H81" s="37"/>
      <c r="I81" s="37"/>
      <c r="J81" s="37"/>
      <c r="K81" s="61"/>
      <c r="L81" s="61"/>
      <c r="M81" s="38">
        <f ca="1">IFERROR(SUM(M69:M80),"")</f>
        <v>5.2832291671721543E-2</v>
      </c>
      <c r="N81" s="36" t="s">
        <v>195</v>
      </c>
      <c r="O81" s="39"/>
    </row>
    <row r="82" spans="1:15" ht="18" customHeight="1">
      <c r="A82" s="85" t="s">
        <v>197</v>
      </c>
      <c r="B82" s="86"/>
      <c r="C82" s="86"/>
      <c r="D82" s="86"/>
      <c r="E82" s="87">
        <f>E68+E81</f>
        <v>0</v>
      </c>
      <c r="F82" s="40">
        <f>F68+F81</f>
        <v>253</v>
      </c>
      <c r="G82" s="40">
        <f>G68+G81</f>
        <v>1062.6000000000001</v>
      </c>
      <c r="H82" s="41"/>
      <c r="I82" s="41"/>
      <c r="J82" s="41"/>
      <c r="K82" s="63"/>
      <c r="L82" s="63"/>
      <c r="M82" s="42">
        <f ca="1">IFERROR(M68+M81,"")</f>
        <v>0.11255451389394378</v>
      </c>
      <c r="N82" s="40" t="s">
        <v>198</v>
      </c>
      <c r="O82" s="48">
        <f>IFERROR(O68+O81,"")</f>
        <v>763370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2" t="s">
        <v>194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195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2" t="s">
        <v>196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195</v>
      </c>
      <c r="O108" s="39"/>
    </row>
    <row r="109" spans="1:15" ht="18" customHeight="1">
      <c r="A109" s="85" t="s">
        <v>197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198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2" t="s">
        <v>194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195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2" t="s">
        <v>196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195</v>
      </c>
      <c r="O135" s="39"/>
    </row>
    <row r="136" spans="1:15" ht="18" customHeight="1">
      <c r="A136" s="85" t="s">
        <v>197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198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2" t="s">
        <v>194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195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2" t="s">
        <v>196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195</v>
      </c>
      <c r="O162" s="39"/>
    </row>
    <row r="163" spans="1:15" ht="18" customHeight="1">
      <c r="A163" s="85" t="s">
        <v>197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198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2" t="s">
        <v>194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195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2" t="s">
        <v>196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195</v>
      </c>
      <c r="O189" s="39"/>
    </row>
    <row r="190" spans="1:15" ht="18" customHeight="1">
      <c r="A190" s="85" t="s">
        <v>197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198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2" t="s">
        <v>194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195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2" t="s">
        <v>196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195</v>
      </c>
      <c r="O216" s="45"/>
    </row>
    <row r="217" spans="1:15" ht="18" customHeight="1">
      <c r="A217" s="85" t="s">
        <v>197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198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2" t="s">
        <v>194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195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2" t="s">
        <v>196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195</v>
      </c>
      <c r="O243" s="39"/>
    </row>
    <row r="244" spans="1:15" ht="18" customHeight="1">
      <c r="A244" s="85" t="s">
        <v>197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198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2" t="s">
        <v>194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2" t="s">
        <v>196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195</v>
      </c>
      <c r="O270" s="39"/>
    </row>
    <row r="271" spans="1:15" ht="18" customHeight="1">
      <c r="A271" s="85" t="s">
        <v>197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2" t="s">
        <v>194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2" t="s">
        <v>196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195</v>
      </c>
      <c r="O297" s="39"/>
    </row>
    <row r="298" spans="1:15" ht="18" customHeight="1">
      <c r="A298" s="85" t="s">
        <v>197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2" t="s">
        <v>194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2" t="s">
        <v>196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195</v>
      </c>
      <c r="O324" s="39"/>
    </row>
    <row r="325" spans="1:15" ht="18" customHeight="1">
      <c r="A325" s="85" t="s">
        <v>197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2" t="s">
        <v>194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2" t="s">
        <v>196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195</v>
      </c>
      <c r="O351" s="39"/>
    </row>
    <row r="352" spans="1:15" ht="18" customHeight="1">
      <c r="A352" s="85" t="s">
        <v>197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2" t="s">
        <v>194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2" t="s">
        <v>196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195</v>
      </c>
      <c r="O378" s="39"/>
    </row>
    <row r="379" spans="1:15" ht="18" customHeight="1">
      <c r="A379" s="85" t="s">
        <v>197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2" t="s">
        <v>194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2" t="s">
        <v>196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195</v>
      </c>
      <c r="O405" s="39"/>
    </row>
    <row r="406" spans="1:15" ht="18" customHeight="1">
      <c r="A406" s="85" t="s">
        <v>197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2" t="s">
        <v>194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2" t="s">
        <v>196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195</v>
      </c>
      <c r="O432" s="39"/>
    </row>
    <row r="433" spans="1:17" ht="18" customHeight="1">
      <c r="A433" s="85" t="s">
        <v>197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198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2" t="s">
        <v>194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195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2" t="s">
        <v>196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195</v>
      </c>
      <c r="O459" s="39"/>
    </row>
    <row r="460" spans="1:15" ht="18" customHeight="1">
      <c r="A460" s="85" t="s">
        <v>197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2" t="s">
        <v>194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2" t="s">
        <v>196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195</v>
      </c>
      <c r="O486" s="39"/>
    </row>
    <row r="487" spans="1:15" ht="18" customHeight="1">
      <c r="A487" s="85" t="s">
        <v>197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2" t="s">
        <v>194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2" t="s">
        <v>196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195</v>
      </c>
      <c r="O513" s="39"/>
    </row>
    <row r="514" spans="1:15" ht="18" customHeight="1">
      <c r="A514" s="85" t="s">
        <v>197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2" t="s">
        <v>194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2" t="s">
        <v>196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195</v>
      </c>
      <c r="O540" s="39"/>
    </row>
    <row r="541" spans="1:15" ht="18" customHeight="1">
      <c r="A541" s="85" t="s">
        <v>197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2" t="s">
        <v>194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2" t="s">
        <v>196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195</v>
      </c>
      <c r="O567" s="39"/>
    </row>
    <row r="568" spans="1:15" ht="18" customHeight="1">
      <c r="A568" s="85" t="s">
        <v>197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2" t="s">
        <v>194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2" t="s">
        <v>196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195</v>
      </c>
      <c r="O594" s="39"/>
    </row>
    <row r="595" spans="1:15" ht="18" customHeight="1">
      <c r="A595" s="85" t="s">
        <v>197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2" t="s">
        <v>194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2" t="s">
        <v>196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195</v>
      </c>
      <c r="O621" s="39"/>
    </row>
    <row r="622" spans="1:15" ht="18" customHeight="1">
      <c r="A622" s="85" t="s">
        <v>197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2" t="s">
        <v>194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2" t="s">
        <v>196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195</v>
      </c>
      <c r="O648" s="39"/>
    </row>
    <row r="649" spans="1:15" ht="18" customHeight="1">
      <c r="A649" s="85" t="s">
        <v>197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2" t="s">
        <v>194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2" t="s">
        <v>196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195</v>
      </c>
      <c r="O675" s="39"/>
    </row>
    <row r="676" spans="1:15" ht="18" customHeight="1">
      <c r="A676" s="85" t="s">
        <v>197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2" t="s">
        <v>194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2" t="s">
        <v>196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195</v>
      </c>
      <c r="O702" s="39"/>
    </row>
    <row r="703" spans="1:15" ht="18" customHeight="1">
      <c r="A703" s="85" t="s">
        <v>197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2" t="s">
        <v>194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2" t="s">
        <v>196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195</v>
      </c>
      <c r="O729" s="39"/>
    </row>
    <row r="730" spans="1:15" ht="18" customHeight="1">
      <c r="A730" s="85" t="s">
        <v>197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2" t="s">
        <v>194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2" t="s">
        <v>196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195</v>
      </c>
      <c r="O756" s="39"/>
    </row>
    <row r="757" spans="1:15" ht="18" customHeight="1">
      <c r="A757" s="85" t="s">
        <v>197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2" t="s">
        <v>194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2" t="s">
        <v>196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195</v>
      </c>
      <c r="O783" s="39"/>
    </row>
    <row r="784" spans="1:15" ht="18" customHeight="1">
      <c r="A784" s="85" t="s">
        <v>197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2" t="s">
        <v>194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2" t="s">
        <v>196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195</v>
      </c>
      <c r="O810" s="39"/>
    </row>
    <row r="811" spans="1:15" ht="18" customHeight="1">
      <c r="A811" s="85" t="s">
        <v>197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198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2026-07-04T02:11:25Z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