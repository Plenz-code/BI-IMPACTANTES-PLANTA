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47" documentId="8_{AF585B22-221D-4780-BB9C-493D365A6A02}" xr6:coauthVersionLast="47" xr6:coauthVersionMax="47" xr10:uidLastSave="{13903EDE-A5BC-4833-AE8D-B6373AF61D0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<sst xmlns="http://schemas.openxmlformats.org/spreadsheetml/2006/main" count="4167" uniqueCount="280">
  <si>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</si>
  <si>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</si>
  <si>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</si>
  <si>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</si>
  <si>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</si>
  <si>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</si>
  <si>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</si>
  <si>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</si>
  <si>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</si>
  <si>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</si>
  <si>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</si>
  <si>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</si>
  <si>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</si>
  <si>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</si>
  <si>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</si>
  <si>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</si>
  <si>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</si>
  <si>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</si>
  <si>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</si>
  <si>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</si>
  <si>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</si>
  <si>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</si>
  <si>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</si>
  <si>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</si>
  <si>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</si>
  <si>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</si>
  <si>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</si>
  <si>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</si>
  <si>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</si>
  <si>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</si>
  <si>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</si>
  <si>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</si>
  <si>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</si>
  <si>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</si>
  <si>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</si>
  <si>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</si>
  <si>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</si>
  <si>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</si>
  <si>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</si>
  <si>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</si>
  <si>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</si>
  <si>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</si>
  <si>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</si>
  <si>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</si>
  <si>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</si>
  <si>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</si>
  <si>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</si>
  <si>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</si>
  <si>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</si>
  <si>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</si>
  <si>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</si>
  <si>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</si>
  <si>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</si>
  <si>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</si>
  <si>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</si>
  <si>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</si>
  <si>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</si>
  <si>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</si>
  <si>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</si>
  <si>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</si>
  <si>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</si>
  <si>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</si>
  <si>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</si>
  <si>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</si>
  <si>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</si>
  <si>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</si>
  <si>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</si>
  <si>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</si>
  <si>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</si>
  <si>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</si>
  <si>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</si>
  <si>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</si>
  <si>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</si>
  <si>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</si>
  <si>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</si>
  <si>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</si>
  <si>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</si>
  <si>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</si>
  <si>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</si>
  <si>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</si>
  <si>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</si>
  <si>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</si>
  <si>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</si>
  <si>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</si>
  <si>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</si>
  <si>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</si>
  <si>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</si>
  <si>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</si>
  <si>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</si>
  <si>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</si>
  <si>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</si>
  <si>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</si>
  <si>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</si>
  <si>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</si>
  <si>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</si>
  <si>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</si>
  <si>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</si>
  <si>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</si>
  <si>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</si>
  <si>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</si>
  <si>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</si>
  <si>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</si>
  <si>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</si>
  <si>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</si>
  <si>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</si>
  <si>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</si>
  <si>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</si>
  <si>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</si>
  <si>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</si>
  <si>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</si>
  <si>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</si>
  <si>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</si>
  <si>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</si>
  <si>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</si>
  <si>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</si>
  <si>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</si>
  <si>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</si>
  <si>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</si>
  <si>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</si>
  <si>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</si>
  <si>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</si>
  <si>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</si>
  <si>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</si>
  <si>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</si>
  <si>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</si>
  <si>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</si>
  <si>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</si>
  <si>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</si>
  <si>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</si>
  <si>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</si>
  <si>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</si>
  <si>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</si>
  <si>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</si>
  <si>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</si>
  <si>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</si>
  <si>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</si>
  <si>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</si>
  <si>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</si>
  <si>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</si>
  <si>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</si>
  <si>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</si>
  <si>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</si>
  <si>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</si>
  <si>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</si>
  <si>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</si>
  <si>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</si>
  <si>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</si>
  <si>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</si>
  <si>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</si>
  <si>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</si>
  <si>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</si>
  <si>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</si>
  <si>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</si>
  <si>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</si>
  <si>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</si>
  <si>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</si>
  <si>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</si>
  <si>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</si>
  <si>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</si>
  <si>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</si>
  <si>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</si>
  <si>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</si>
  <si>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</si>
  <si>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</si>
  <si>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</si>
  <si>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</si>
  <si>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</si>
  <si>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</si>
  <si>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</si>
  <si>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</si>
  <si>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</si>
  <si>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</si>
  <si>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</si>
  <si>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</si>
  <si>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</si>
  <si>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</si>
  <si>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</si>
  <si>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</si>
  <si>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</si>
  <si>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</si>
  <si>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</si>
  <si>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</si>
  <si>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</si>
  <si>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</si>
  <si>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</si>
  <si>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</si>
  <si>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</si>
  <si>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</si>
  <si>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</si>
  <si>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</si>
  <si>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</si>
  <si>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</si>
  <si>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</si>
  <si>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</si>
  <si>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</si>
  <si>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</si>
  <si>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</si>
  <si>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</si>
  <si>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</si>
  <si>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</si>
  <si>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</si>
  <si>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</si>
  <si>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</si>
  <si>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</si>
  <si>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</si>
  <si>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</si>
  <si>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</si>
  <si>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</si>
  <si>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</si>
  <si>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</si>
  <si>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</si>
  <si>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</si>
  <si>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</si>
  <si>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</si>
  <si>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</si>
  <si>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</si>
  <si>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</si>
  <si>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</si>
  <si>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</si>
  <si>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</si>
  <si>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</si>
  <si>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</si>
  <si>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</si>
  <si>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</si>
  <si>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</si>
  <si>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</si>
  <si>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</si>
  <si>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</si>
  <si>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</si>
  <si>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</si>
  <si>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</si>
  <si>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</si>
  <si>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</si>
  <si>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</si>
  <si>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</si>
  <si>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</si>
  <si>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</si>
  <si>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</si>
  <si>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</si>
  <si>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</si>
  <si>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</si>
  <si>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</si>
  <si>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</si>
  <si>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</si>
  <si>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</si>
  <si>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</si>
  <si>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</si>
  <si>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</si>
  <si>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</si>
  <si>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</si>
  <si>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</si>
  <si>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</si>
  <si>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</si>
  <si>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</si>
  <si>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</si>
  <si>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</si>
  <si>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</si>
  <si>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</si>
  <si>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</si>
  <si>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</si>
  <si>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</si>
  <si>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</si>
  <si>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</si>
  <si>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</si>
  <si>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</si>
  <si>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</si>
  <si>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</si>
  <si>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</si>
  <si>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</si>
  <si>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</si>
  <si>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</si>
  <si>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</si>
  <si>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</si>
  <si>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</si>
  <si>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</si>
  <si>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</si>
  <si>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</si>
  <si>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</si>
  <si>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</si>
  <si>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moinho falhou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</si>
</sst>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03" activePane="bottomLeft" state="frozen"/>
      <selection pane="bottomLeft" activeCell="F237" sqref="F23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144</v>
      </c>
      <c r="G243" s="36">
        <f>SUM(G231:G242)</f>
        <v>720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382</v>
      </c>
      <c r="G244" s="40">
        <f>G230+G243</f>
        <v>1910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7" sqref="F2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273.00000000000006</v>
      </c>
      <c r="H243" s="37"/>
      <c r="I243" s="37"/>
      <c r="J243" s="37"/>
      <c r="K243" s="37"/>
      <c r="L243" s="37"/>
      <c r="M243" s="38">
        <f ca="1">IFERROR(SUM(M231:M242),"")</f>
        <v>0.1319444444444445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180</v>
      </c>
      <c r="G244" s="40">
        <f>G230+G243</f>
        <v>756</v>
      </c>
      <c r="H244" s="41"/>
      <c r="I244" s="41"/>
      <c r="J244" s="41"/>
      <c r="K244" s="41"/>
      <c r="L244" s="41"/>
      <c r="M244" s="42">
        <f ca="1">IFERROR(M230+M243,"")</f>
        <v>0.46250000000000002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7" sqref="F2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69</v>
      </c>
      <c r="G243" s="36">
        <f>SUM(G231:G242)</f>
        <v>289.8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171</v>
      </c>
      <c r="G244" s="40">
        <f>G230+G243</f>
        <v>718.2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N236" sqref="N2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0.81633668981521623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1.0156422453707719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1.3830033564818829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/>
      <c r="I235" s="33" t="s">
        <v>52</v>
      </c>
      <c r="J235" s="33"/>
      <c r="K235" s="29">
        <v>5.2083333333333336E-2</v>
      </c>
      <c r="L235" s="29"/>
      <c r="M235" s="35">
        <f t="shared" ca="1" si="52"/>
        <v>1.3558912032749504E-2</v>
      </c>
      <c r="N235" s="27" t="s">
        <v>279</v>
      </c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92</v>
      </c>
      <c r="G243" s="36">
        <f>SUM(G231:G242)</f>
        <v>386.4</v>
      </c>
      <c r="H243" s="37"/>
      <c r="I243" s="37"/>
      <c r="J243" s="37"/>
      <c r="K243" s="61"/>
      <c r="L243" s="61"/>
      <c r="M243" s="38">
        <f ca="1">IFERROR(SUM(M231:M242),"")</f>
        <v>0.13508668981052718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210</v>
      </c>
      <c r="G244" s="40">
        <f>G230+G243</f>
        <v>882</v>
      </c>
      <c r="H244" s="41"/>
      <c r="I244" s="41"/>
      <c r="J244" s="41"/>
      <c r="K244" s="63"/>
      <c r="L244" s="63"/>
      <c r="M244" s="42">
        <f ca="1">IFERROR(M230+M243,"")</f>
        <v>0.33161446758830515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2026-07-10T05:34:46Z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