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13" documentId="8_{C51EB6CB-002B-4D6B-B68F-DDEBDB4460C0}" xr6:coauthVersionLast="47" xr6:coauthVersionMax="47" xr10:uidLastSave="{F76738EC-5D64-4578-93DA-BC7704A6200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<sst xmlns="http://schemas.openxmlformats.org/spreadsheetml/2006/main" count="4309" uniqueCount="305">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</sst>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58</v>
      </c>
      <c r="G216" s="36">
        <f>SUM(G204:G215)</f>
        <v>290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309</v>
      </c>
      <c r="G217" s="40">
        <f>G203+G216</f>
        <v>1545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0.77321145832684124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0.91210034721573008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0.99682256943795244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/>
      <c r="M204" s="30">
        <f t="shared" ref="M204:M215" ca="1" si="46">IFERROR(IF(K204="","",IF(L204="",MOD(NOW()-K204,1),IF(L204&gt;=K204,L204-K204,L204+1-K204))),"")</f>
        <v>7.9336805501952767E-3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27</v>
      </c>
      <c r="G216" s="36">
        <f>SUM(G204:G215)</f>
        <v>113.4</v>
      </c>
      <c r="H216" s="37"/>
      <c r="I216" s="37"/>
      <c r="J216" s="37"/>
      <c r="K216" s="37"/>
      <c r="L216" s="37"/>
      <c r="M216" s="38">
        <f ca="1">IFERROR(SUM(M204:M215),"")</f>
        <v>7.9336805501952767E-3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160</v>
      </c>
      <c r="G217" s="40">
        <f>G203+G216</f>
        <v>672</v>
      </c>
      <c r="H217" s="41"/>
      <c r="I217" s="41"/>
      <c r="J217" s="41"/>
      <c r="K217" s="41"/>
      <c r="L217" s="41"/>
      <c r="M217" s="42">
        <f ca="1">IFERROR(M203+M216,"")</f>
        <v>0.14821145832797294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/>
      <c r="J206" s="26" t="s">
        <v>74</v>
      </c>
      <c r="K206" s="29">
        <v>0.88680555555555551</v>
      </c>
      <c r="L206" s="29"/>
      <c r="M206" s="30">
        <f t="shared" ca="1" si="46"/>
        <v>7.9336805501952767E-3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8</v>
      </c>
      <c r="G216" s="36">
        <f>SUM(G204:G215)</f>
        <v>33.6</v>
      </c>
      <c r="H216" s="37"/>
      <c r="I216" s="37"/>
      <c r="J216" s="37"/>
      <c r="K216" s="37"/>
      <c r="L216" s="37"/>
      <c r="M216" s="38">
        <f ca="1">IFERROR(SUM(M204:M215),"")</f>
        <v>6.3489236105750857E-2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</v>
      </c>
      <c r="G217" s="40">
        <f>G203+G216</f>
        <v>96.600000000000009</v>
      </c>
      <c r="H217" s="41"/>
      <c r="I217" s="41"/>
      <c r="J217" s="41"/>
      <c r="K217" s="41"/>
      <c r="L217" s="41"/>
      <c r="M217" s="42">
        <f ca="1">IFERROR(M203+M216,"")</f>
        <v>0.22529479166130634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N207" sqref="N2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8.2239236107852776E-2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1.7655902775004506E-2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0.10614513888285737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0.17420069443841307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2026-08-09T01:28:56Z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