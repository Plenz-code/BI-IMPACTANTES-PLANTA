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09" documentId="8_{AF585B22-221D-4780-BB9C-493D365A6A02}" xr6:coauthVersionLast="47" xr6:coauthVersionMax="47" xr10:uidLastSave="{CF6EC4BD-A139-456E-BE3D-CA490759103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<sst xmlns="http://schemas.openxmlformats.org/spreadsheetml/2006/main" count="11583" uniqueCount="425">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</sst>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46" activePane="bottomLeft" state="frozen"/>
      <selection pane="bottomLeft" activeCell="I759" sqref="I7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19</v>
      </c>
      <c r="I759" s="33" t="s">
        <v>23</v>
      </c>
      <c r="J759" s="33"/>
      <c r="K759" s="29">
        <v>0.75138888888888888</v>
      </c>
      <c r="L759" s="29"/>
      <c r="M759" s="35">
        <f t="shared" ca="1" si="169"/>
        <v>7.0706018595956266E-4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305</v>
      </c>
      <c r="G770" s="36">
        <f>SUM(G758:G769)</f>
        <v>1525</v>
      </c>
      <c r="H770" s="37"/>
      <c r="I770" s="37"/>
      <c r="J770" s="37"/>
      <c r="K770" s="37"/>
      <c r="L770" s="37"/>
      <c r="M770" s="38">
        <f ca="1">IFERROR(SUM(M758:M769),"")</f>
        <v>3.1957060185959563E-2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305</v>
      </c>
      <c r="G784" s="40">
        <f>G770+G783</f>
        <v>1525</v>
      </c>
      <c r="H784" s="41"/>
      <c r="I784" s="41"/>
      <c r="J784" s="41"/>
      <c r="K784" s="41"/>
      <c r="L784" s="41"/>
      <c r="M784" s="42">
        <f ca="1">IFERROR(M770+M783,"")</f>
        <v>3.1957060185959563E-2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F769" sqref="F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0.5125126157363411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0.67015150462522999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0.77987372684745215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0.49098483796115033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0.66181817129448373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0.80695706018337265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/>
      <c r="M763" s="35">
        <f t="shared" ca="1" si="169"/>
        <v>1.6679282402037643E-2</v>
      </c>
      <c r="N763" s="46" t="s">
        <v>338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133</v>
      </c>
      <c r="G770" s="36">
        <f>SUM(G758:G769)</f>
        <v>566.6</v>
      </c>
      <c r="H770" s="37"/>
      <c r="I770" s="37"/>
      <c r="J770" s="37"/>
      <c r="K770" s="37"/>
      <c r="L770" s="37"/>
      <c r="M770" s="38">
        <f ca="1">IFERROR(SUM(M758:M769),"")</f>
        <v>8.4734837957593123E-2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133</v>
      </c>
      <c r="G784" s="40">
        <f>G770+G783</f>
        <v>566.6</v>
      </c>
      <c r="H784" s="41"/>
      <c r="I784" s="41"/>
      <c r="J784" s="41"/>
      <c r="K784" s="41"/>
      <c r="L784" s="41"/>
      <c r="M784" s="42">
        <f ca="1">IFERROR(M770+M783,"")</f>
        <v>8.4734837957593123E-2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N768" sqref="N7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346</v>
      </c>
      <c r="N166" s="27" t="s">
        <v>347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/>
      <c r="M767" s="35">
        <f t="shared" ca="1" si="169"/>
        <v>1.6679282402037643E-2</v>
      </c>
      <c r="N767" s="27" t="s">
        <v>371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0.10417928240203767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0.10417928240203767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H760" sqref="H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376</v>
      </c>
      <c r="L58" s="29">
        <v>0.54097222222222219</v>
      </c>
      <c r="M58" s="30" t="str">
        <f t="shared" ca="1" si="13"/>
        <v/>
      </c>
      <c r="N58" s="27" t="s">
        <v>377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0.50279039351880783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0.70209594907436346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1.0694570601854745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/>
      <c r="M759" s="35">
        <f t="shared" ca="1" si="169"/>
        <v>1.6679282402037643E-2</v>
      </c>
      <c r="N759" s="27" t="s">
        <v>338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>
        <v>0</v>
      </c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5</v>
      </c>
      <c r="G770" s="36">
        <f>SUM(G758:G769)</f>
        <v>21</v>
      </c>
      <c r="H770" s="37"/>
      <c r="I770" s="37"/>
      <c r="J770" s="37"/>
      <c r="K770" s="61"/>
      <c r="L770" s="61"/>
      <c r="M770" s="38">
        <f ca="1">IFERROR(SUM(M758:M769),"")</f>
        <v>0.45417928240203759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</v>
      </c>
      <c r="G784" s="40">
        <f>G770+G783</f>
        <v>21</v>
      </c>
      <c r="H784" s="41"/>
      <c r="I784" s="41"/>
      <c r="J784" s="41"/>
      <c r="K784" s="63"/>
      <c r="L784" s="63"/>
      <c r="M784" s="42">
        <f ca="1">IFERROR(M770+M783,"")</f>
        <v>0.45417928240203759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2026-07-29T22:03:26Z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