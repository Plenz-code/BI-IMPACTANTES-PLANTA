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697" documentId="8_{AF585B22-221D-4780-BB9C-493D365A6A02}" xr6:coauthVersionLast="47" xr6:coauthVersionMax="47" xr10:uidLastSave="{E547DDFB-306B-4E73-B05E-A9B3DA9F32E2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<sst xmlns="http://schemas.openxmlformats.org/spreadsheetml/2006/main" count="9299" uniqueCount="378">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</sst>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9" sqref="N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1" activePane="bottomLeft" state="frozen"/>
      <selection pane="bottomLeft" activeCell="F600" sqref="F60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/>
      <c r="I596" s="26"/>
      <c r="J596" s="33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87</v>
      </c>
      <c r="G608" s="36">
        <f>SUM(G596:G607)</f>
        <v>435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87</v>
      </c>
      <c r="G622" s="40">
        <f>G608+G621</f>
        <v>435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F599" sqref="F5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0.20015983795747161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0.35779872684636049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0.46752094906858266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0.17863206018228084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0.34946539351561423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0.4946042824045031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27</v>
      </c>
      <c r="G608" s="36">
        <f>SUM(G596:G607)</f>
        <v>113.4</v>
      </c>
      <c r="H608" s="37"/>
      <c r="I608" s="37"/>
      <c r="J608" s="37"/>
      <c r="K608" s="37"/>
      <c r="L608" s="37"/>
      <c r="M608" s="38">
        <f ca="1">IFERROR(SUM(M596:M607),"")</f>
        <v>3.0555555555555558E-2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27</v>
      </c>
      <c r="G622" s="40">
        <f>G608+G621</f>
        <v>113.4</v>
      </c>
      <c r="H622" s="41"/>
      <c r="I622" s="41"/>
      <c r="J622" s="41"/>
      <c r="K622" s="41"/>
      <c r="L622" s="41"/>
      <c r="M622" s="42">
        <f ca="1">IFERROR(M608+M621,"")</f>
        <v>3.0555555555555558E-2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74" zoomScale="50" zoomScaleNormal="50" workbookViewId="0">
      <selection activeCell="J598" sqref="J59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315</v>
      </c>
      <c r="N166" s="27" t="s">
        <v>316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/>
      <c r="G598" s="28" t="str">
        <f t="shared" si="132"/>
        <v/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/>
      <c r="M598" s="30">
        <f t="shared" ca="1" si="133"/>
        <v>8.5428240709006786E-4</v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32</v>
      </c>
      <c r="G608" s="36">
        <f>SUM(G596:G607)</f>
        <v>134.4</v>
      </c>
      <c r="H608" s="37"/>
      <c r="I608" s="37"/>
      <c r="J608" s="37"/>
      <c r="K608" s="37"/>
      <c r="L608" s="37"/>
      <c r="M608" s="38">
        <f ca="1">IFERROR(SUM(M596:M607),"")</f>
        <v>5.7153935182011617E-3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32</v>
      </c>
      <c r="G622" s="40">
        <f>G608+G621</f>
        <v>134.4</v>
      </c>
      <c r="H622" s="41"/>
      <c r="I622" s="41"/>
      <c r="J622" s="41"/>
      <c r="K622" s="41"/>
      <c r="L622" s="41"/>
      <c r="M622" s="42">
        <f ca="1">IFERROR(M608+M621,"")</f>
        <v>5.7153935182011617E-3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599" sqref="F59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338</v>
      </c>
      <c r="L58" s="29">
        <v>0.54097222222222219</v>
      </c>
      <c r="M58" s="30" t="str">
        <f t="shared" ca="1" si="13"/>
        <v/>
      </c>
      <c r="N58" s="27" t="s">
        <v>339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0.19043761573993834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0.38974317129549396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0.75710428240660499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56</v>
      </c>
      <c r="G608" s="36">
        <f>SUM(G596:G607)</f>
        <v>235.2</v>
      </c>
      <c r="H608" s="37"/>
      <c r="I608" s="37"/>
      <c r="J608" s="37"/>
      <c r="K608" s="61"/>
      <c r="L608" s="61"/>
      <c r="M608" s="38">
        <f ca="1">IFERROR(SUM(M596:M607),"")</f>
        <v>2.2916666666666696E-2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56</v>
      </c>
      <c r="G622" s="40">
        <f>G608+G621</f>
        <v>235.2</v>
      </c>
      <c r="H622" s="41"/>
      <c r="I622" s="41"/>
      <c r="J622" s="41"/>
      <c r="K622" s="63"/>
      <c r="L622" s="63"/>
      <c r="M622" s="42">
        <f ca="1">IFERROR(M608+M621,"")</f>
        <v>2.2916666666666696E-2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2026-07-23T14:33:15Z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