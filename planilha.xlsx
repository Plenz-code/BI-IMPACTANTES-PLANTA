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58" documentId="8_{AF585B22-221D-4780-BB9C-493D365A6A02}" xr6:coauthVersionLast="47" xr6:coauthVersionMax="47" xr10:uidLastSave="{B6765217-BC98-4783-A5CB-2F8FE84C43A6}"/>
  <bookViews>
    <workbookView xWindow="-110" yWindow="-110" windowWidth="25820" windowHeight="15500" tabRatio="500" firstSheet="2" activeTab="1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<sst xmlns="http://schemas.openxmlformats.org/spreadsheetml/2006/main" count="6893" uniqueCount="333">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</sst>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abSelected="1" topLeftCell="E42" zoomScale="85" zoomScaleNormal="85" workbookViewId="0">
      <selection activeCell="K67" sqref="K6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6" sqref="F4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210</v>
      </c>
      <c r="C1" s="23" t="s">
        <v>12</v>
      </c>
      <c r="D1" s="22" t="s">
        <v>13</v>
      </c>
      <c r="E1" s="22" t="s">
        <v>211</v>
      </c>
      <c r="F1" s="23" t="s">
        <v>212</v>
      </c>
      <c r="G1" s="23" t="s">
        <v>213</v>
      </c>
      <c r="H1" s="23" t="s">
        <v>14</v>
      </c>
      <c r="I1" s="23" t="s">
        <v>15</v>
      </c>
      <c r="J1" s="23" t="s">
        <v>214</v>
      </c>
      <c r="K1" s="23" t="s">
        <v>215</v>
      </c>
      <c r="L1" s="23" t="s">
        <v>216</v>
      </c>
      <c r="M1" s="24" t="s">
        <v>217</v>
      </c>
      <c r="N1" s="23" t="s">
        <v>218</v>
      </c>
      <c r="O1" s="23" t="s">
        <v>219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223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225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224</v>
      </c>
      <c r="O27" s="39">
        <v>1183060</v>
      </c>
    </row>
    <row r="28" spans="1:15" ht="18" customHeight="1">
      <c r="A28" s="97" t="s">
        <v>226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223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225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224</v>
      </c>
      <c r="O54" s="39">
        <v>959290</v>
      </c>
    </row>
    <row r="55" spans="1:15" ht="18" customHeight="1">
      <c r="A55" s="97" t="s">
        <v>226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223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225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224</v>
      </c>
      <c r="O81" s="39">
        <v>878050</v>
      </c>
    </row>
    <row r="82" spans="1:15" ht="18" customHeight="1">
      <c r="A82" s="97" t="s">
        <v>226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223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225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224</v>
      </c>
      <c r="O108" s="39">
        <v>1700000</v>
      </c>
    </row>
    <row r="109" spans="1:15" ht="18" customHeight="1">
      <c r="A109" s="97" t="s">
        <v>226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223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225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224</v>
      </c>
      <c r="O135" s="39">
        <v>862330</v>
      </c>
    </row>
    <row r="136" spans="1:15" ht="18" customHeight="1">
      <c r="A136" s="97" t="s">
        <v>226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223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224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225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224</v>
      </c>
      <c r="O162" s="44">
        <v>1546080</v>
      </c>
    </row>
    <row r="163" spans="1:15" ht="18" customHeight="1">
      <c r="A163" s="97" t="s">
        <v>226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227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223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224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225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224</v>
      </c>
      <c r="O189" s="39">
        <v>2355810</v>
      </c>
    </row>
    <row r="190" spans="1:15" ht="18" customHeight="1">
      <c r="A190" s="97" t="s">
        <v>226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227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223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224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225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224</v>
      </c>
      <c r="O216" s="45">
        <v>2013260</v>
      </c>
    </row>
    <row r="217" spans="1:15" ht="18" customHeight="1">
      <c r="A217" s="97" t="s">
        <v>226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227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223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224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225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224</v>
      </c>
      <c r="O243" s="39">
        <v>1545480</v>
      </c>
    </row>
    <row r="244" spans="1:15" ht="18" customHeight="1">
      <c r="A244" s="97" t="s">
        <v>226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227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223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224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225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224</v>
      </c>
      <c r="O270" s="39">
        <v>1182690</v>
      </c>
    </row>
    <row r="271" spans="1:15" ht="18" customHeight="1">
      <c r="A271" s="97" t="s">
        <v>226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227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223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224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234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235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235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235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235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235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235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235</v>
      </c>
      <c r="O296" s="47"/>
    </row>
    <row r="297" spans="1:15" ht="15.75" customHeight="1">
      <c r="A297" s="94" t="s">
        <v>225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224</v>
      </c>
      <c r="O297" s="39">
        <v>1843460</v>
      </c>
    </row>
    <row r="298" spans="1:15" ht="18" customHeight="1">
      <c r="A298" s="97" t="s">
        <v>226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227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236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237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223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224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238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238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238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238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225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224</v>
      </c>
      <c r="O324" s="39">
        <v>1940000</v>
      </c>
    </row>
    <row r="325" spans="1:15" ht="18" customHeight="1">
      <c r="A325" s="97" t="s">
        <v>226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227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223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224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225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224</v>
      </c>
      <c r="O351" s="39">
        <v>701874</v>
      </c>
    </row>
    <row r="352" spans="1:15" ht="18" customHeight="1">
      <c r="A352" s="97" t="s">
        <v>226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227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240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223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224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225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224</v>
      </c>
      <c r="O378" s="39">
        <v>1088710</v>
      </c>
    </row>
    <row r="379" spans="1:15" ht="18" customHeight="1">
      <c r="A379" s="97" t="s">
        <v>226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227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241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242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223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224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243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225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224</v>
      </c>
      <c r="O405" s="39">
        <v>1202270</v>
      </c>
    </row>
    <row r="406" spans="1:15" ht="18" customHeight="1">
      <c r="A406" s="97" t="s">
        <v>226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227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244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245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246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246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223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224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221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221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221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221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221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225</v>
      </c>
      <c r="B432" s="95"/>
      <c r="C432" s="95"/>
      <c r="D432" s="95"/>
      <c r="E432" s="96">
        <f>SUM(E420:E431)</f>
        <v>0</v>
      </c>
      <c r="F432" s="36">
        <f>SUM(F420:F431)</f>
        <v>176</v>
      </c>
      <c r="G432" s="36">
        <f>SUM(G420:G431)</f>
        <v>880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224</v>
      </c>
      <c r="O432" s="39"/>
    </row>
    <row r="433" spans="1:15" ht="18" customHeight="1">
      <c r="A433" s="97" t="s">
        <v>226</v>
      </c>
      <c r="B433" s="98"/>
      <c r="C433" s="98"/>
      <c r="D433" s="98"/>
      <c r="E433" s="99">
        <f>E419+E432</f>
        <v>0</v>
      </c>
      <c r="F433" s="40">
        <f>F419+F432</f>
        <v>397</v>
      </c>
      <c r="G433" s="40">
        <f>G419+G432</f>
        <v>1985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227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223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225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224</v>
      </c>
      <c r="O459" s="39"/>
    </row>
    <row r="460" spans="1:15" ht="18" customHeight="1">
      <c r="A460" s="97" t="s">
        <v>226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223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225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224</v>
      </c>
      <c r="O486" s="39"/>
    </row>
    <row r="487" spans="1:15" ht="18" customHeight="1">
      <c r="A487" s="97" t="s">
        <v>226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223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225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224</v>
      </c>
      <c r="O513" s="39"/>
    </row>
    <row r="514" spans="1:15" ht="18" customHeight="1">
      <c r="A514" s="97" t="s">
        <v>226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223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225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224</v>
      </c>
      <c r="O540" s="39"/>
    </row>
    <row r="541" spans="1:15" ht="18" customHeight="1">
      <c r="A541" s="97" t="s">
        <v>226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223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225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224</v>
      </c>
      <c r="O567" s="39"/>
    </row>
    <row r="568" spans="1:15" ht="18" customHeight="1">
      <c r="A568" s="97" t="s">
        <v>226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223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225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224</v>
      </c>
      <c r="O594" s="39"/>
    </row>
    <row r="595" spans="1:15" ht="18" customHeight="1">
      <c r="A595" s="97" t="s">
        <v>226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223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225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224</v>
      </c>
      <c r="O621" s="39"/>
    </row>
    <row r="622" spans="1:15" ht="18" customHeight="1">
      <c r="A622" s="97" t="s">
        <v>226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223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225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224</v>
      </c>
      <c r="O648" s="39"/>
    </row>
    <row r="649" spans="1:15" ht="18" customHeight="1">
      <c r="A649" s="97" t="s">
        <v>226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223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225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224</v>
      </c>
      <c r="O675" s="39"/>
    </row>
    <row r="676" spans="1:15" ht="18" customHeight="1">
      <c r="A676" s="97" t="s">
        <v>226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223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225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224</v>
      </c>
      <c r="O702" s="39"/>
    </row>
    <row r="703" spans="1:15" ht="18" customHeight="1">
      <c r="A703" s="97" t="s">
        <v>226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223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225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224</v>
      </c>
      <c r="O729" s="39"/>
    </row>
    <row r="730" spans="1:15" ht="18" customHeight="1">
      <c r="A730" s="97" t="s">
        <v>226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223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225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224</v>
      </c>
      <c r="O756" s="39"/>
    </row>
    <row r="757" spans="1:15" ht="18" customHeight="1">
      <c r="A757" s="97" t="s">
        <v>226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223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225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224</v>
      </c>
      <c r="O783" s="39"/>
    </row>
    <row r="784" spans="1:15" ht="18" customHeight="1">
      <c r="A784" s="97" t="s">
        <v>226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223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225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224</v>
      </c>
      <c r="O810" s="39"/>
    </row>
    <row r="811" spans="1:15" ht="18" customHeight="1">
      <c r="A811" s="59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L420" sqref="L4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210</v>
      </c>
      <c r="C1" s="23" t="s">
        <v>12</v>
      </c>
      <c r="D1" s="22" t="s">
        <v>13</v>
      </c>
      <c r="E1" s="22" t="s">
        <v>211</v>
      </c>
      <c r="F1" s="23" t="s">
        <v>212</v>
      </c>
      <c r="G1" s="23" t="s">
        <v>213</v>
      </c>
      <c r="H1" s="23" t="s">
        <v>14</v>
      </c>
      <c r="I1" s="23" t="s">
        <v>15</v>
      </c>
      <c r="J1" s="23" t="s">
        <v>214</v>
      </c>
      <c r="K1" s="23" t="s">
        <v>215</v>
      </c>
      <c r="L1" s="23" t="s">
        <v>216</v>
      </c>
      <c r="M1" s="24" t="s">
        <v>217</v>
      </c>
      <c r="N1" s="23" t="s">
        <v>218</v>
      </c>
      <c r="O1" s="23" t="s">
        <v>219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223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225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224</v>
      </c>
      <c r="O27" s="78">
        <v>393200</v>
      </c>
    </row>
    <row r="28" spans="1:15" ht="18" customHeight="1">
      <c r="A28" s="97" t="s">
        <v>226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223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225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224</v>
      </c>
      <c r="O54" s="85">
        <v>276360</v>
      </c>
    </row>
    <row r="55" spans="1:15" ht="18" customHeight="1">
      <c r="A55" s="97" t="s">
        <v>226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223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225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224</v>
      </c>
      <c r="O81" s="54">
        <v>787860</v>
      </c>
    </row>
    <row r="82" spans="1:15" ht="18" customHeight="1">
      <c r="A82" s="97" t="s">
        <v>226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223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225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224</v>
      </c>
      <c r="O108" s="54">
        <v>1087080</v>
      </c>
    </row>
    <row r="109" spans="1:15" ht="18" customHeight="1">
      <c r="A109" s="97" t="s">
        <v>226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223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221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225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224</v>
      </c>
      <c r="O135" s="54">
        <v>794480</v>
      </c>
    </row>
    <row r="136" spans="1:15" ht="18" customHeight="1">
      <c r="A136" s="97" t="s">
        <v>226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223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224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225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224</v>
      </c>
      <c r="O162" s="54">
        <v>882280</v>
      </c>
    </row>
    <row r="163" spans="1:15" ht="18" customHeight="1">
      <c r="A163" s="97" t="s">
        <v>226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227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223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224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225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224</v>
      </c>
      <c r="O189" s="78"/>
    </row>
    <row r="190" spans="1:15" ht="18" customHeight="1">
      <c r="A190" s="97" t="s">
        <v>226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223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224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225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224</v>
      </c>
      <c r="O216" s="78">
        <v>648410</v>
      </c>
    </row>
    <row r="217" spans="1:15" ht="18" customHeight="1">
      <c r="A217" s="97" t="s">
        <v>226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227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223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224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225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224</v>
      </c>
      <c r="O243" s="78">
        <v>849060</v>
      </c>
    </row>
    <row r="244" spans="1:15" ht="18" customHeight="1">
      <c r="A244" s="97" t="s">
        <v>226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227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223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224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225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224</v>
      </c>
      <c r="O270" s="78">
        <v>625070</v>
      </c>
    </row>
    <row r="271" spans="1:15" ht="18" customHeight="1">
      <c r="A271" s="97" t="s">
        <v>226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227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223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224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225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224</v>
      </c>
      <c r="O297" s="78">
        <v>761660</v>
      </c>
    </row>
    <row r="298" spans="1:15" ht="18" customHeight="1">
      <c r="A298" s="97" t="s">
        <v>226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227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273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223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224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225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224</v>
      </c>
      <c r="O324" s="78">
        <v>524410</v>
      </c>
    </row>
    <row r="325" spans="1:15" ht="18" customHeight="1">
      <c r="A325" s="97" t="s">
        <v>226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227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223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224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277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278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225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224</v>
      </c>
      <c r="O351" s="78">
        <v>598420</v>
      </c>
    </row>
    <row r="352" spans="1:15" ht="18" customHeight="1">
      <c r="A352" s="97" t="s">
        <v>226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227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223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224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0.8202618055511266</v>
      </c>
      <c r="N377" s="46"/>
      <c r="O377" s="47"/>
    </row>
    <row r="378" spans="1:15" ht="15.75" customHeight="1">
      <c r="A378" s="94" t="s">
        <v>225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0.97790069444001548</v>
      </c>
      <c r="N378" s="36" t="s">
        <v>224</v>
      </c>
      <c r="O378" s="78">
        <v>511980</v>
      </c>
    </row>
    <row r="379" spans="1:15" ht="18" customHeight="1">
      <c r="A379" s="97" t="s">
        <v>226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1.0876229166622378</v>
      </c>
      <c r="N379" s="40" t="s">
        <v>227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262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279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223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224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280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239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225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224</v>
      </c>
      <c r="O405" s="78">
        <v>552440</v>
      </c>
    </row>
    <row r="406" spans="1:15" ht="18" customHeight="1">
      <c r="A406" s="97" t="s">
        <v>226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227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223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224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247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247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247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247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247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247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247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247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225</v>
      </c>
      <c r="B432" s="95"/>
      <c r="C432" s="95"/>
      <c r="D432" s="95"/>
      <c r="E432" s="96">
        <f>SUM(E420:E431)</f>
        <v>0</v>
      </c>
      <c r="F432" s="36">
        <f>SUM(F420:F431)</f>
        <v>40</v>
      </c>
      <c r="G432" s="36">
        <f>SUM(G420:G431)</f>
        <v>168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224</v>
      </c>
      <c r="O432" s="78"/>
    </row>
    <row r="433" spans="1:15" ht="18" customHeight="1">
      <c r="A433" s="97" t="s">
        <v>226</v>
      </c>
      <c r="B433" s="98"/>
      <c r="C433" s="98"/>
      <c r="D433" s="98"/>
      <c r="E433" s="99">
        <f>E419+E432</f>
        <v>0</v>
      </c>
      <c r="F433" s="40">
        <f>F419+F432</f>
        <v>179</v>
      </c>
      <c r="G433" s="40">
        <f>G419+G432</f>
        <v>764.60000000000014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227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223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225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224</v>
      </c>
      <c r="O459" s="78"/>
    </row>
    <row r="460" spans="1:15" ht="18" customHeight="1">
      <c r="A460" s="97" t="s">
        <v>226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223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225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224</v>
      </c>
      <c r="O486" s="78"/>
    </row>
    <row r="487" spans="1:15" ht="18" customHeight="1">
      <c r="A487" s="97" t="s">
        <v>226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223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225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224</v>
      </c>
      <c r="O513" s="78"/>
    </row>
    <row r="514" spans="1:15" ht="18" customHeight="1">
      <c r="A514" s="97" t="s">
        <v>226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223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225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224</v>
      </c>
      <c r="O540" s="78"/>
    </row>
    <row r="541" spans="1:15" ht="18" customHeight="1">
      <c r="A541" s="97" t="s">
        <v>226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223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225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224</v>
      </c>
      <c r="O567" s="78"/>
    </row>
    <row r="568" spans="1:15" ht="18" customHeight="1">
      <c r="A568" s="97" t="s">
        <v>226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223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225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224</v>
      </c>
      <c r="O594" s="78"/>
    </row>
    <row r="595" spans="1:15" ht="18" customHeight="1">
      <c r="A595" s="97" t="s">
        <v>226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223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225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224</v>
      </c>
      <c r="O621" s="78"/>
    </row>
    <row r="622" spans="1:15" ht="18" customHeight="1">
      <c r="A622" s="97" t="s">
        <v>226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223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225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224</v>
      </c>
      <c r="O648" s="78"/>
    </row>
    <row r="649" spans="1:15" ht="18" customHeight="1">
      <c r="A649" s="97" t="s">
        <v>226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223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225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224</v>
      </c>
      <c r="O675" s="78"/>
    </row>
    <row r="676" spans="1:15" ht="18" customHeight="1">
      <c r="A676" s="97" t="s">
        <v>226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223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225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224</v>
      </c>
      <c r="O702" s="78"/>
    </row>
    <row r="703" spans="1:15" ht="18" customHeight="1">
      <c r="A703" s="97" t="s">
        <v>226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223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225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224</v>
      </c>
      <c r="O729" s="78"/>
    </row>
    <row r="730" spans="1:15" ht="18" customHeight="1">
      <c r="A730" s="97" t="s">
        <v>226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223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225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224</v>
      </c>
      <c r="O756" s="39"/>
    </row>
    <row r="757" spans="1:15" ht="18" customHeight="1">
      <c r="A757" s="97" t="s">
        <v>226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223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225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224</v>
      </c>
      <c r="O783" s="39"/>
    </row>
    <row r="784" spans="1:15" ht="18" customHeight="1">
      <c r="A784" s="97" t="s">
        <v>226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223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225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224</v>
      </c>
      <c r="O810" s="39"/>
    </row>
    <row r="811" spans="1:15" ht="18" customHeight="1">
      <c r="A811" s="97" t="s">
        <v>226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227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25" sqref="F4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210</v>
      </c>
      <c r="C1" s="23" t="s">
        <v>12</v>
      </c>
      <c r="D1" s="22" t="s">
        <v>13</v>
      </c>
      <c r="E1" s="22" t="s">
        <v>211</v>
      </c>
      <c r="F1" s="23" t="s">
        <v>212</v>
      </c>
      <c r="G1" s="23" t="s">
        <v>213</v>
      </c>
      <c r="H1" s="23" t="s">
        <v>14</v>
      </c>
      <c r="I1" s="23" t="s">
        <v>15</v>
      </c>
      <c r="J1" s="23" t="s">
        <v>214</v>
      </c>
      <c r="K1" s="23" t="s">
        <v>215</v>
      </c>
      <c r="L1" s="23" t="s">
        <v>216</v>
      </c>
      <c r="M1" s="24" t="s">
        <v>217</v>
      </c>
      <c r="N1" s="23" t="s">
        <v>218</v>
      </c>
      <c r="O1" s="23" t="s">
        <v>219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223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225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224</v>
      </c>
      <c r="O27" s="39">
        <v>308500</v>
      </c>
    </row>
    <row r="28" spans="1:15" ht="18" customHeight="1">
      <c r="A28" s="97" t="s">
        <v>226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223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225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224</v>
      </c>
      <c r="O54" s="39">
        <v>124290</v>
      </c>
    </row>
    <row r="55" spans="1:15" ht="18" customHeight="1">
      <c r="A55" s="97" t="s">
        <v>226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223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225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224</v>
      </c>
      <c r="O81" s="39">
        <v>396340</v>
      </c>
    </row>
    <row r="82" spans="1:15" ht="18" customHeight="1">
      <c r="A82" s="97" t="s">
        <v>226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223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225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224</v>
      </c>
      <c r="O108" s="39">
        <v>41230</v>
      </c>
    </row>
    <row r="109" spans="1:15" ht="18" customHeight="1">
      <c r="A109" s="97" t="s">
        <v>226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223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225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224</v>
      </c>
      <c r="O135" s="39">
        <v>381250</v>
      </c>
    </row>
    <row r="136" spans="1:15" ht="18" customHeight="1">
      <c r="A136" s="97" t="s">
        <v>226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261</v>
      </c>
      <c r="K141" s="29">
        <v>0.71597222222222223</v>
      </c>
      <c r="L141" s="29" t="s">
        <v>288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223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224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225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224</v>
      </c>
      <c r="O162" s="39">
        <v>337120</v>
      </c>
    </row>
    <row r="163" spans="1:15" ht="18" customHeight="1">
      <c r="A163" s="97" t="s">
        <v>226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227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290</v>
      </c>
      <c r="N166" s="27" t="s">
        <v>291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223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224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225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224</v>
      </c>
      <c r="O189" s="39">
        <v>747210</v>
      </c>
    </row>
    <row r="190" spans="1:15" ht="18" customHeight="1">
      <c r="A190" s="97" t="s">
        <v>226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227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223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224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225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224</v>
      </c>
      <c r="O216" s="39">
        <v>468430</v>
      </c>
    </row>
    <row r="217" spans="1:15" ht="18" customHeight="1">
      <c r="A217" s="97" t="s">
        <v>226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227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223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224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221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225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224</v>
      </c>
      <c r="O243" s="39">
        <v>575930</v>
      </c>
    </row>
    <row r="244" spans="1:15" ht="18" customHeight="1">
      <c r="A244" s="97" t="s">
        <v>226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227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223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224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225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224</v>
      </c>
      <c r="O270" s="39">
        <v>483510</v>
      </c>
    </row>
    <row r="271" spans="1:15" ht="18" customHeight="1">
      <c r="A271" s="97" t="s">
        <v>226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227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223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224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225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224</v>
      </c>
      <c r="O297" s="39">
        <v>487980</v>
      </c>
    </row>
    <row r="298" spans="1:15" ht="18" customHeight="1">
      <c r="A298" s="97" t="s">
        <v>226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227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223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224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225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224</v>
      </c>
      <c r="O324" s="39">
        <v>609460</v>
      </c>
    </row>
    <row r="325" spans="1:15" ht="18" customHeight="1">
      <c r="A325" s="97" t="s">
        <v>226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227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223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224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225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224</v>
      </c>
      <c r="O351" s="39">
        <v>437940</v>
      </c>
    </row>
    <row r="352" spans="1:15" ht="18" customHeight="1">
      <c r="A352" s="97" t="s">
        <v>226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227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223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224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225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224</v>
      </c>
      <c r="O378" s="39">
        <v>473310</v>
      </c>
    </row>
    <row r="379" spans="1:15" ht="18" customHeight="1">
      <c r="A379" s="97" t="s">
        <v>226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227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223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224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225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224</v>
      </c>
      <c r="O405" s="39">
        <v>507450</v>
      </c>
    </row>
    <row r="406" spans="1:15" ht="18" customHeight="1">
      <c r="A406" s="97" t="s">
        <v>226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227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223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224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221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247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247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247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247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247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247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247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225</v>
      </c>
      <c r="B432" s="95"/>
      <c r="C432" s="95"/>
      <c r="D432" s="95"/>
      <c r="E432" s="96">
        <f>SUM(E420:E431)</f>
        <v>0</v>
      </c>
      <c r="F432" s="36">
        <f>SUM(F420:F431)</f>
        <v>20</v>
      </c>
      <c r="G432" s="36">
        <f>SUM(G420:G431)</f>
        <v>86.4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224</v>
      </c>
      <c r="O432" s="39"/>
    </row>
    <row r="433" spans="1:15" ht="18" customHeight="1">
      <c r="A433" s="97" t="s">
        <v>226</v>
      </c>
      <c r="B433" s="98"/>
      <c r="C433" s="98"/>
      <c r="D433" s="98"/>
      <c r="E433" s="99">
        <f>E419+E432</f>
        <v>0</v>
      </c>
      <c r="F433" s="40">
        <f>F419+F432</f>
        <v>81</v>
      </c>
      <c r="G433" s="40">
        <f>G419+G432</f>
        <v>346.6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227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223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225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224</v>
      </c>
      <c r="O459" s="39"/>
    </row>
    <row r="460" spans="1:15" ht="18" customHeight="1">
      <c r="A460" s="97" t="s">
        <v>226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223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225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224</v>
      </c>
      <c r="O486" s="39"/>
    </row>
    <row r="487" spans="1:15" ht="18" customHeight="1">
      <c r="A487" s="97" t="s">
        <v>226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223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225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224</v>
      </c>
      <c r="O513" s="39"/>
    </row>
    <row r="514" spans="1:15" ht="18" customHeight="1">
      <c r="A514" s="97" t="s">
        <v>226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223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225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224</v>
      </c>
      <c r="O540" s="39"/>
    </row>
    <row r="541" spans="1:15" ht="18" customHeight="1">
      <c r="A541" s="97" t="s">
        <v>226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223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225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224</v>
      </c>
      <c r="O567" s="39"/>
    </row>
    <row r="568" spans="1:15" ht="18" customHeight="1">
      <c r="A568" s="97" t="s">
        <v>226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223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225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224</v>
      </c>
      <c r="O594" s="39"/>
    </row>
    <row r="595" spans="1:15" ht="18" customHeight="1">
      <c r="A595" s="97" t="s">
        <v>226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223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225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224</v>
      </c>
      <c r="O621" s="39"/>
    </row>
    <row r="622" spans="1:15" ht="18" customHeight="1">
      <c r="A622" s="97" t="s">
        <v>226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223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225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224</v>
      </c>
      <c r="O648" s="39"/>
    </row>
    <row r="649" spans="1:15" ht="18" customHeight="1">
      <c r="A649" s="97" t="s">
        <v>226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223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225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224</v>
      </c>
      <c r="O675" s="39"/>
    </row>
    <row r="676" spans="1:15" ht="18" customHeight="1">
      <c r="A676" s="97" t="s">
        <v>226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223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225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224</v>
      </c>
      <c r="O702" s="39"/>
    </row>
    <row r="703" spans="1:15" ht="18" customHeight="1">
      <c r="A703" s="97" t="s">
        <v>226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223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225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224</v>
      </c>
      <c r="O729" s="39"/>
    </row>
    <row r="730" spans="1:15" ht="18" customHeight="1">
      <c r="A730" s="97" t="s">
        <v>226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223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225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224</v>
      </c>
      <c r="O756" s="39"/>
    </row>
    <row r="757" spans="1:15" ht="18" customHeight="1">
      <c r="A757" s="97" t="s">
        <v>226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223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225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224</v>
      </c>
      <c r="O783" s="39"/>
    </row>
    <row r="784" spans="1:15" ht="18" customHeight="1">
      <c r="A784" s="97" t="s">
        <v>226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223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225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224</v>
      </c>
      <c r="O810" s="39"/>
    </row>
    <row r="811" spans="1:15" ht="18" customHeight="1">
      <c r="A811" s="97" t="s">
        <v>226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06" activePane="bottomLeft" state="frozen"/>
      <selection pane="bottomLeft" activeCell="I420" sqref="I4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210</v>
      </c>
      <c r="C1" s="23" t="s">
        <v>12</v>
      </c>
      <c r="D1" s="22" t="s">
        <v>13</v>
      </c>
      <c r="E1" s="22" t="s">
        <v>211</v>
      </c>
      <c r="F1" s="23" t="s">
        <v>212</v>
      </c>
      <c r="G1" s="23" t="s">
        <v>213</v>
      </c>
      <c r="H1" s="23" t="s">
        <v>14</v>
      </c>
      <c r="I1" s="23" t="s">
        <v>15</v>
      </c>
      <c r="J1" s="23" t="s">
        <v>214</v>
      </c>
      <c r="K1" s="23" t="s">
        <v>215</v>
      </c>
      <c r="L1" s="23" t="s">
        <v>216</v>
      </c>
      <c r="M1" s="24" t="s">
        <v>217</v>
      </c>
      <c r="N1" s="23" t="s">
        <v>218</v>
      </c>
      <c r="O1" s="23" t="s">
        <v>219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223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225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224</v>
      </c>
      <c r="O27" s="39">
        <v>202230</v>
      </c>
    </row>
    <row r="28" spans="1:15" ht="18" customHeight="1">
      <c r="A28" s="97" t="s">
        <v>226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223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225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224</v>
      </c>
      <c r="O54" s="39">
        <v>473910</v>
      </c>
    </row>
    <row r="55" spans="1:15" ht="18" customHeight="1">
      <c r="A55" s="97" t="s">
        <v>226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305</v>
      </c>
      <c r="L58" s="29">
        <v>0.54097222222222219</v>
      </c>
      <c r="M58" s="30" t="str">
        <f t="shared" ca="1" si="13"/>
        <v/>
      </c>
      <c r="N58" s="27" t="s">
        <v>306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223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225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224</v>
      </c>
      <c r="O81" s="39">
        <v>565120</v>
      </c>
    </row>
    <row r="82" spans="1:15" ht="18" customHeight="1">
      <c r="A82" s="97" t="s">
        <v>226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223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225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224</v>
      </c>
      <c r="O108" s="39">
        <v>558590</v>
      </c>
    </row>
    <row r="109" spans="1:15" ht="18" customHeight="1">
      <c r="A109" s="97" t="s">
        <v>226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223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221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221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0.81053958333359333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225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1.009845138889149</v>
      </c>
      <c r="N135" s="36" t="s">
        <v>224</v>
      </c>
      <c r="O135" s="39">
        <v>729290</v>
      </c>
    </row>
    <row r="136" spans="1:18" ht="18" customHeight="1">
      <c r="A136" s="97" t="s">
        <v>226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1.37720625000026</v>
      </c>
      <c r="N136" s="40" t="s">
        <v>227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221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223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224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225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224</v>
      </c>
      <c r="O162" s="39">
        <v>697320</v>
      </c>
    </row>
    <row r="163" spans="1:15" ht="18" customHeight="1">
      <c r="A163" s="97" t="s">
        <v>226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227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223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224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225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224</v>
      </c>
      <c r="O189" s="39">
        <v>973580</v>
      </c>
    </row>
    <row r="190" spans="1:15" ht="18" customHeight="1">
      <c r="A190" s="97" t="s">
        <v>226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227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223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224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225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224</v>
      </c>
      <c r="O216" s="45">
        <v>1060630</v>
      </c>
    </row>
    <row r="217" spans="1:15" ht="18" customHeight="1">
      <c r="A217" s="97" t="s">
        <v>226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227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223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224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225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224</v>
      </c>
      <c r="O243" s="39">
        <v>982340</v>
      </c>
    </row>
    <row r="244" spans="1:15" ht="18" customHeight="1">
      <c r="A244" s="97" t="s">
        <v>226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227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223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224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225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224</v>
      </c>
      <c r="O270" s="39">
        <v>1208450</v>
      </c>
    </row>
    <row r="271" spans="1:15" ht="18" customHeight="1">
      <c r="A271" s="97" t="s">
        <v>226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227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223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224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225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224</v>
      </c>
      <c r="O297" s="39">
        <v>1049090</v>
      </c>
    </row>
    <row r="298" spans="1:15" ht="18" customHeight="1">
      <c r="A298" s="97" t="s">
        <v>226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227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223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224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225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224</v>
      </c>
      <c r="O324" s="39">
        <v>1063720</v>
      </c>
    </row>
    <row r="325" spans="1:15" ht="18" customHeight="1">
      <c r="A325" s="97" t="s">
        <v>226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227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285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223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224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225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224</v>
      </c>
      <c r="O351" s="39">
        <v>696140</v>
      </c>
    </row>
    <row r="352" spans="1:15" ht="18" customHeight="1">
      <c r="A352" s="97" t="s">
        <v>226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227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223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224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225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224</v>
      </c>
      <c r="O378" s="39">
        <v>704750</v>
      </c>
    </row>
    <row r="379" spans="1:15" ht="18" customHeight="1">
      <c r="A379" s="97" t="s">
        <v>226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227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223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224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225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224</v>
      </c>
      <c r="O405" s="39">
        <v>958130</v>
      </c>
    </row>
    <row r="406" spans="1:15" ht="18" customHeight="1">
      <c r="A406" s="97" t="s">
        <v>226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227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223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224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/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182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>
        <v>21</v>
      </c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225</v>
      </c>
      <c r="B432" s="95"/>
      <c r="C432" s="95"/>
      <c r="D432" s="95"/>
      <c r="E432" s="96">
        <f>SUM(E420:E431)</f>
        <v>0</v>
      </c>
      <c r="F432" s="36">
        <f>SUM(F420:F431)</f>
        <v>35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0.16736111111111115</v>
      </c>
      <c r="N432" s="36" t="s">
        <v>224</v>
      </c>
      <c r="O432" s="39"/>
    </row>
    <row r="433" spans="1:17" ht="18" customHeight="1">
      <c r="A433" s="97" t="s">
        <v>226</v>
      </c>
      <c r="B433" s="98"/>
      <c r="C433" s="98"/>
      <c r="D433" s="98"/>
      <c r="E433" s="99">
        <f>E419+E432</f>
        <v>0</v>
      </c>
      <c r="F433" s="40">
        <f>F419+F432</f>
        <v>149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0.40138888888888891</v>
      </c>
      <c r="N433" s="40" t="s">
        <v>227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223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225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224</v>
      </c>
      <c r="O459" s="39"/>
    </row>
    <row r="460" spans="1:15" ht="18" customHeight="1">
      <c r="A460" s="97" t="s">
        <v>226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223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225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224</v>
      </c>
      <c r="O486" s="39"/>
    </row>
    <row r="487" spans="1:15" ht="18" customHeight="1">
      <c r="A487" s="97" t="s">
        <v>226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223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225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224</v>
      </c>
      <c r="O513" s="39"/>
    </row>
    <row r="514" spans="1:15" ht="18" customHeight="1">
      <c r="A514" s="97" t="s">
        <v>226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223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225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224</v>
      </c>
      <c r="O540" s="39"/>
    </row>
    <row r="541" spans="1:15" ht="18" customHeight="1">
      <c r="A541" s="97" t="s">
        <v>226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223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225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224</v>
      </c>
      <c r="O567" s="39"/>
    </row>
    <row r="568" spans="1:15" ht="18" customHeight="1">
      <c r="A568" s="97" t="s">
        <v>226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223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225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224</v>
      </c>
      <c r="O594" s="39"/>
    </row>
    <row r="595" spans="1:15" ht="18" customHeight="1">
      <c r="A595" s="97" t="s">
        <v>226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223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225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224</v>
      </c>
      <c r="O621" s="39"/>
    </row>
    <row r="622" spans="1:15" ht="18" customHeight="1">
      <c r="A622" s="97" t="s">
        <v>226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223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225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224</v>
      </c>
      <c r="O648" s="39"/>
    </row>
    <row r="649" spans="1:15" ht="18" customHeight="1">
      <c r="A649" s="97" t="s">
        <v>226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223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225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224</v>
      </c>
      <c r="O675" s="39"/>
    </row>
    <row r="676" spans="1:15" ht="18" customHeight="1">
      <c r="A676" s="97" t="s">
        <v>226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223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225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224</v>
      </c>
      <c r="O702" s="39"/>
    </row>
    <row r="703" spans="1:15" ht="18" customHeight="1">
      <c r="A703" s="97" t="s">
        <v>226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223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225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224</v>
      </c>
      <c r="O729" s="39"/>
    </row>
    <row r="730" spans="1:15" ht="18" customHeight="1">
      <c r="A730" s="97" t="s">
        <v>226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223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225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224</v>
      </c>
      <c r="O756" s="39"/>
    </row>
    <row r="757" spans="1:15" ht="18" customHeight="1">
      <c r="A757" s="97" t="s">
        <v>226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223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225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224</v>
      </c>
      <c r="O783" s="39"/>
    </row>
    <row r="784" spans="1:15" ht="18" customHeight="1">
      <c r="A784" s="97" t="s">
        <v>226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223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225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224</v>
      </c>
      <c r="O810" s="39"/>
    </row>
    <row r="811" spans="1:15" ht="18" customHeight="1">
      <c r="A811" s="97" t="s">
        <v>226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2026-07-17T05:26:44Z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