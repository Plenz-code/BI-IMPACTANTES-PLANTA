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2" documentId="13_ncr:1_{0A10D8D4-8450-4366-8075-B53B08E6B7EA}" xr6:coauthVersionLast="47" xr6:coauthVersionMax="47" xr10:uidLastSave="{2638A8C3-086B-4402-9B7D-CE668B2D3E3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1" i="6"/>
  <c r="J421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1" i="5"/>
  <c r="J421" i="5" s="1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1" i="4"/>
  <c r="J421" i="4" s="1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20" i="6" l="1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<sst xmlns="http://schemas.openxmlformats.org/spreadsheetml/2006/main" count="7292" uniqueCount="356">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</sst>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21" sqref="F42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15</v>
      </c>
      <c r="G432" s="36">
        <f>SUM(G420:G431)</f>
        <v>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225</v>
      </c>
      <c r="G433" s="40">
        <f>G419+G432</f>
        <v>1125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1" sqref="G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0.71271759259252576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0.8516064814814146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0.93632870370363697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24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100.80000000000001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171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718.2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1" sqref="G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25.200000000000003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533.40000000000009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1" sqref="G42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/>
      <c r="Q420" s="30">
        <f t="shared" ref="Q420:Q431" ca="1" si="104">IFERROR(IF(O420="","",IF(P420="",MOD(NOW()-O420,1),IF(P420&gt;=O420,P420-O420,P420+1-O420))),"")</f>
        <v>6.4675925968913361E-3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61"/>
      <c r="P432" s="61"/>
      <c r="Q432" s="38">
        <f ca="1">IFERROR(SUM(Q420:Q431),"")</f>
        <v>6.4675925968913361E-3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684.60000000000014</v>
      </c>
      <c r="L433" s="41"/>
      <c r="M433" s="41"/>
      <c r="N433" s="41"/>
      <c r="O433" s="63"/>
      <c r="P433" s="63"/>
      <c r="Q433" s="42">
        <f ca="1">IFERROR(Q419+Q432,"")</f>
        <v>0.12174537037466915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2026-08-17T00:01:53Z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