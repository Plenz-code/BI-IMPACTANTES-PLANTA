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59" documentId="8_{AF585B22-221D-4780-BB9C-493D365A6A02}" xr6:coauthVersionLast="47" xr6:coauthVersionMax="47" xr10:uidLastSave="{C3BCA97B-2DC9-4318-BEEF-84B8FC5AECFC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<sst xmlns="http://schemas.openxmlformats.org/spreadsheetml/2006/main" count="5321" uniqueCount="303">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</sst>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N315" sqref="N3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23.6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66.8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284.3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J313" sqref="J3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/>
      <c r="M314" s="30">
        <f t="shared" ca="1" si="70"/>
        <v>3.3806712963269092E-2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7.0612268518824739E-2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0.22130671296326915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06" zoomScale="50" zoomScaleNormal="50" workbookViewId="0">
      <selection activeCell="J312" sqref="J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/>
      <c r="M312" s="30">
        <f t="shared" ref="M312:M323" ca="1" si="70">IFERROR(IF(K312="","",IF(L312="",MOD(NOW()-K312,1),IF(L312&gt;=K312,L312-K312,L312+1-K312))),"")</f>
        <v>4.7337963042082265E-4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28</v>
      </c>
      <c r="G324" s="36">
        <f>SUM(G312:G323)</f>
        <v>117.60000000000002</v>
      </c>
      <c r="H324" s="37"/>
      <c r="I324" s="37"/>
      <c r="J324" s="37"/>
      <c r="K324" s="37"/>
      <c r="L324" s="37"/>
      <c r="M324" s="38">
        <f ca="1">IFERROR(SUM(M312:M323),"")</f>
        <v>4.7337963042082265E-4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97</v>
      </c>
      <c r="G325" s="40">
        <f>G311+G324</f>
        <v>412.20000000000005</v>
      </c>
      <c r="H325" s="41"/>
      <c r="I325" s="41"/>
      <c r="J325" s="41"/>
      <c r="K325" s="41"/>
      <c r="L325" s="41"/>
      <c r="M325" s="42">
        <f ca="1">IFERROR(M311+M324,"")</f>
        <v>9.9778935185976261E-2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H320" sqref="H32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281</v>
      </c>
      <c r="L58" s="29">
        <v>0.54097222222222219</v>
      </c>
      <c r="M58" s="30" t="str">
        <f t="shared" ca="1" si="13"/>
        <v/>
      </c>
      <c r="N58" s="27" t="s">
        <v>282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0.69700115740852198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0.8963067129640776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1.2636678240751886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/>
      <c r="M317" s="35">
        <f t="shared" ca="1" si="70"/>
        <v>5.0473379626055248E-2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48</v>
      </c>
      <c r="G324" s="36">
        <f>SUM(G312:G323)</f>
        <v>217.6</v>
      </c>
      <c r="H324" s="37"/>
      <c r="I324" s="37"/>
      <c r="J324" s="37"/>
      <c r="K324" s="61"/>
      <c r="L324" s="61"/>
      <c r="M324" s="38">
        <f ca="1">IFERROR(SUM(M312:M323),"")</f>
        <v>9.0751157403832994E-2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78</v>
      </c>
      <c r="G325" s="40">
        <f>G311+G324</f>
        <v>343.6</v>
      </c>
      <c r="H325" s="41"/>
      <c r="I325" s="41"/>
      <c r="J325" s="41"/>
      <c r="K325" s="63"/>
      <c r="L325" s="63"/>
      <c r="M325" s="42">
        <f ca="1">IFERROR(M311+M324,"")</f>
        <v>0.50394560184827752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2026-07-13T02:42:47Z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