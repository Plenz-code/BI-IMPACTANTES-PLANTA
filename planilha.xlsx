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813" documentId="8_{AF585B22-221D-4780-BB9C-493D365A6A02}" xr6:coauthVersionLast="47" xr6:coauthVersionMax="47" xr10:uidLastSave="{7DE9A9D3-B835-47C6-8A19-71D19DADD1EE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<sst xmlns="http://schemas.openxmlformats.org/spreadsheetml/2006/main" count="8597" uniqueCount="368">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</sst>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62385151</v>
      </c>
      <c r="D35" s="13">
        <f>IFERROR(SUM(D4:D34),"")</f>
        <v>23768360</v>
      </c>
      <c r="E35" s="13">
        <f>IFERROR(SUM(E4:E34),"")</f>
        <v>13840110</v>
      </c>
      <c r="F35" s="13">
        <f>IFERROR(SUM(F4:F34),"")</f>
        <v>27641240</v>
      </c>
      <c r="G35" s="13">
        <f>IFERROR(SUM(G4:G34),"")</f>
        <v>65249710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24" activePane="bottomLeft" state="frozen"/>
      <selection pane="bottomLeft" activeCell="J542" sqref="J5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4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/>
      <c r="M542" s="30">
        <f t="shared" ref="M542:M553" ca="1" si="121">IFERROR(IF(K542="","",IF(L542="",MOD(NOW()-K542,1),IF(L542&gt;=K542,L542-K542,L542+1-K542))),"")</f>
        <v>0.19668090277264128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5</v>
      </c>
      <c r="G554" s="36">
        <f>SUM(G542:G553)</f>
        <v>25</v>
      </c>
      <c r="H554" s="37"/>
      <c r="I554" s="37"/>
      <c r="J554" s="37"/>
      <c r="K554" s="37"/>
      <c r="L554" s="37"/>
      <c r="M554" s="38">
        <f ca="1">IFERROR(SUM(M542:M553),"")</f>
        <v>0.19668090277264128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5</v>
      </c>
      <c r="G568" s="40">
        <f>G554+G567</f>
        <v>25</v>
      </c>
      <c r="H568" s="41"/>
      <c r="I568" s="41"/>
      <c r="J568" s="41"/>
      <c r="K568" s="41"/>
      <c r="L568" s="41"/>
      <c r="M568" s="42">
        <f ca="1">IFERROR(M554+M567,"")</f>
        <v>0.19668090277264128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6" activePane="bottomLeft" state="frozen"/>
      <selection pane="bottomLeft" activeCell="F547" sqref="F5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0.25918090277264128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0.41681979166153016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0.52654201388375232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0.2376531249974505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0.4084864583307839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0.55362534721967283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91</v>
      </c>
      <c r="G554" s="36">
        <f>SUM(G542:G553)</f>
        <v>382.20000000000005</v>
      </c>
      <c r="H554" s="37"/>
      <c r="I554" s="37"/>
      <c r="J554" s="37"/>
      <c r="K554" s="37"/>
      <c r="L554" s="37"/>
      <c r="M554" s="38">
        <f ca="1">IFERROR(SUM(M542:M553),"")</f>
        <v>3.819444444444442E-2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91</v>
      </c>
      <c r="G568" s="40">
        <f>G554+G567</f>
        <v>382.20000000000005</v>
      </c>
      <c r="H568" s="41"/>
      <c r="I568" s="41"/>
      <c r="J568" s="41"/>
      <c r="K568" s="41"/>
      <c r="L568" s="41"/>
      <c r="M568" s="42">
        <f ca="1">IFERROR(M554+M567,"")</f>
        <v>3.819444444444442E-2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17" zoomScale="50" zoomScaleNormal="50" workbookViewId="0">
      <selection activeCell="F547" sqref="F5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271</v>
      </c>
      <c r="K141" s="29">
        <v>0.71597222222222223</v>
      </c>
      <c r="L141" s="29" t="s">
        <v>308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310</v>
      </c>
      <c r="N166" s="27" t="s">
        <v>311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10</v>
      </c>
      <c r="G554" s="36">
        <f>SUM(G542:G553)</f>
        <v>42</v>
      </c>
      <c r="H554" s="37"/>
      <c r="I554" s="37"/>
      <c r="J554" s="37"/>
      <c r="K554" s="37"/>
      <c r="L554" s="37"/>
      <c r="M554" s="38">
        <f ca="1">IFERROR(SUM(M542:M553),"")</f>
        <v>3.472222222222221E-2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10</v>
      </c>
      <c r="G568" s="40">
        <f>G554+G567</f>
        <v>42</v>
      </c>
      <c r="H568" s="41"/>
      <c r="I568" s="41"/>
      <c r="J568" s="41"/>
      <c r="K568" s="41"/>
      <c r="L568" s="41"/>
      <c r="M568" s="42">
        <f ca="1">IFERROR(M554+M567,"")</f>
        <v>3.472222222222221E-2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24" activePane="bottomLeft" state="frozen"/>
      <selection pane="bottomLeft" activeCell="F547" sqref="F54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331</v>
      </c>
      <c r="L58" s="29">
        <v>0.54097222222222219</v>
      </c>
      <c r="M58" s="30" t="str">
        <f t="shared" ca="1" si="13"/>
        <v/>
      </c>
      <c r="N58" s="27" t="s">
        <v>332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0.249458680555108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0.44876423611066363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0.81612534722177466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100</v>
      </c>
      <c r="G554" s="36">
        <f>SUM(G542:G553)</f>
        <v>420</v>
      </c>
      <c r="H554" s="37"/>
      <c r="I554" s="37"/>
      <c r="J554" s="37"/>
      <c r="K554" s="61"/>
      <c r="L554" s="61"/>
      <c r="M554" s="38">
        <f ca="1">IFERROR(SUM(M542:M553),"")</f>
        <v>3.125E-2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100</v>
      </c>
      <c r="G568" s="40">
        <f>G554+G567</f>
        <v>420</v>
      </c>
      <c r="H568" s="41"/>
      <c r="I568" s="41"/>
      <c r="J568" s="41"/>
      <c r="K568" s="63"/>
      <c r="L568" s="63"/>
      <c r="M568" s="42">
        <f ca="1">IFERROR(M554+M567,"")</f>
        <v>3.125E-2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2026-07-21T15:59:41Z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