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8855" documentId="8_{AF585B22-221D-4780-BB9C-493D365A6A02}" xr6:coauthVersionLast="47" xr6:coauthVersionMax="47" xr10:uidLastSave="{885CCF34-F4F8-4062-B719-A22C52F254D9}"/>
  <bookViews>
    <workbookView xWindow="-110" yWindow="-110" windowWidth="25820" windowHeight="15500" tabRatio="500" firstSheet="2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<sst xmlns="http://schemas.openxmlformats.org/spreadsheetml/2006/main" count="7813" uniqueCount="352">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</sst>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4" sqref="G24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3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4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56585322</v>
      </c>
      <c r="D35" s="13">
        <f>IFERROR(SUM(D4:D34),"")</f>
        <v>21086190</v>
      </c>
      <c r="E35" s="13">
        <f>IFERROR(SUM(E4:E34),"")</f>
        <v>12817230</v>
      </c>
      <c r="F35" s="13">
        <f>IFERROR(SUM(F4:F34),"")</f>
        <v>25426490</v>
      </c>
      <c r="G35" s="13">
        <f>IFERROR(SUM(G4:G34),"")</f>
        <v>59329910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2" zoomScale="85" zoomScaleNormal="85" workbookViewId="0">
      <selection activeCell="M56" sqref="M56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203</v>
      </c>
      <c r="L58" s="16"/>
      <c r="M58" s="16"/>
    </row>
    <row r="59" spans="1:13" ht="15" customHeight="1">
      <c r="H59" s="109"/>
      <c r="I59" s="17"/>
      <c r="J59" s="17"/>
      <c r="K59" s="17" t="s">
        <v>204</v>
      </c>
      <c r="L59" s="17"/>
      <c r="M59" s="17"/>
    </row>
    <row r="60" spans="1:13" ht="15" customHeight="1">
      <c r="H60" s="109"/>
      <c r="I60" s="16"/>
      <c r="J60" s="16"/>
      <c r="K60" s="87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205</v>
      </c>
      <c r="L61" s="17"/>
      <c r="M61" s="17"/>
    </row>
    <row r="62" spans="1:13" ht="15" customHeight="1">
      <c r="H62" s="109"/>
      <c r="I62" s="16"/>
      <c r="J62" s="16"/>
      <c r="K62" s="16" t="s">
        <v>206</v>
      </c>
      <c r="L62" s="16"/>
      <c r="M62" s="16"/>
    </row>
    <row r="63" spans="1:13" ht="15" customHeight="1">
      <c r="H63" s="109"/>
      <c r="I63" s="17"/>
      <c r="J63" s="17"/>
      <c r="K63" s="17" t="s">
        <v>207</v>
      </c>
      <c r="L63" s="17"/>
      <c r="M63" s="17"/>
    </row>
    <row r="64" spans="1:13" ht="15" customHeight="1">
      <c r="H64" s="109"/>
      <c r="I64" s="16"/>
      <c r="J64" s="16"/>
      <c r="K64" s="16" t="s">
        <v>208</v>
      </c>
      <c r="L64" s="16"/>
      <c r="M64" s="16"/>
    </row>
    <row r="65" spans="8:13" ht="15" customHeight="1">
      <c r="H65" s="109"/>
      <c r="I65" s="17"/>
      <c r="J65" s="17"/>
      <c r="K65" s="17" t="s">
        <v>209</v>
      </c>
      <c r="L65" s="17"/>
      <c r="M65" s="17"/>
    </row>
    <row r="66" spans="8:13" ht="15" customHeight="1">
      <c r="H66" s="109"/>
      <c r="I66" s="16"/>
      <c r="J66" s="16"/>
      <c r="K66" s="16" t="s">
        <v>210</v>
      </c>
      <c r="L66" s="16"/>
      <c r="M66" s="16"/>
    </row>
    <row r="67" spans="8:13" ht="15" customHeight="1">
      <c r="H67" s="109"/>
      <c r="I67" s="17"/>
      <c r="J67" s="17"/>
      <c r="K67" s="17" t="s">
        <v>211</v>
      </c>
      <c r="L67" s="17"/>
      <c r="M67" s="17"/>
    </row>
    <row r="68" spans="8:13" ht="15" customHeight="1">
      <c r="H68" s="109"/>
      <c r="I68" s="16"/>
      <c r="J68" s="16"/>
      <c r="K68" s="16" t="s">
        <v>212</v>
      </c>
      <c r="L68" s="16"/>
      <c r="M68" s="16"/>
    </row>
    <row r="69" spans="8:13" ht="15" customHeight="1">
      <c r="H69" s="109"/>
      <c r="I69" s="17"/>
      <c r="J69" s="17"/>
      <c r="K69" s="17" t="s">
        <v>213</v>
      </c>
      <c r="L69" s="17"/>
      <c r="M69" s="17"/>
    </row>
    <row r="70" spans="8:13" ht="15" customHeight="1">
      <c r="H70" s="109"/>
      <c r="I70" s="16"/>
      <c r="J70" s="16"/>
      <c r="K70" s="16" t="s">
        <v>214</v>
      </c>
      <c r="L70" s="16"/>
      <c r="M70" s="16"/>
    </row>
    <row r="71" spans="8:13" ht="15" customHeight="1">
      <c r="H71" s="109"/>
      <c r="I71" s="17"/>
      <c r="J71" s="17"/>
      <c r="K71" s="17" t="s">
        <v>215</v>
      </c>
      <c r="L71" s="17"/>
      <c r="M71" s="17"/>
    </row>
    <row r="72" spans="8:13" ht="15" customHeight="1">
      <c r="H72" s="109"/>
      <c r="I72" s="16"/>
      <c r="J72" s="16"/>
      <c r="K72" s="16"/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478" activePane="bottomLeft" state="frozen"/>
      <selection pane="bottomLeft" activeCell="F492" sqref="F492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29.85546875" style="20" customWidth="1"/>
    <col min="15" max="15" width="14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226</v>
      </c>
      <c r="E2" s="59" t="s">
        <v>227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228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227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227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227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227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227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227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227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227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227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227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227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230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227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227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227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227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227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227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227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227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227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227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227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230</v>
      </c>
      <c r="O27" s="39">
        <v>1183060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233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227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227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234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227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227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227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227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227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227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227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230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227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227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227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227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227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227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227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227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227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227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227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230</v>
      </c>
      <c r="O54" s="39">
        <v>959290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233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227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227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227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227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227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227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227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227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227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227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227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227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230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227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227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235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227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227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227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227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227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227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227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227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230</v>
      </c>
      <c r="O81" s="39">
        <v>878050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233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227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236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227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227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230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237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>
        <v>1700000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233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227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227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227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227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227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227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227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227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227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227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227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227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230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230</v>
      </c>
      <c r="O135" s="39">
        <v>862330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233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230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227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227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227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227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227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227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227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227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227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227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230</v>
      </c>
      <c r="O162" s="44">
        <v>1546080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233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227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227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227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227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227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227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227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227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227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227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230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227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227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227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227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227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227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227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227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227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227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227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227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>
        <v>2355810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233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227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227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227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227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227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227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227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227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227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227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227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227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230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227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227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227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227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227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227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227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227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227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227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227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230</v>
      </c>
      <c r="O216" s="45">
        <v>2013260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233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227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238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227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227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227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227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227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227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227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227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227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227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230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227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227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227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227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227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227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227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227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227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230</v>
      </c>
      <c r="O243" s="39">
        <v>1545480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233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227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239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227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227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227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227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227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227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227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227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227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227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227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230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227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227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227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227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227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227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227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227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227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227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227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>
        <v>1182690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233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227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227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227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227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227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227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227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227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227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227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227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227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230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227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240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227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227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227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241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227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241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227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241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227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241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227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241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227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241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227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241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227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241</v>
      </c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230</v>
      </c>
      <c r="O297" s="39">
        <v>1843460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233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242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227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227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243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227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227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227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227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227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227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227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227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230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227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244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244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227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244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244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244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227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244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>
        <v>1940000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233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227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245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227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227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227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227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227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227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227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227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227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227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230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227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227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227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227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227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227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227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227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227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227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227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227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230</v>
      </c>
      <c r="O351" s="39">
        <v>701874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233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246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227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227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227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227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227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227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227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227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227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227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227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230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227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227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227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227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227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227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227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227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227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227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227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230</v>
      </c>
      <c r="O378" s="39">
        <v>1088710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233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227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227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247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227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248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227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227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227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227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227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227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227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227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230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227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227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249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227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227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227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227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227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227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227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227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227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230</v>
      </c>
      <c r="O405" s="39">
        <v>1202270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233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227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250</v>
      </c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227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227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251</v>
      </c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227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227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227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227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227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252</v>
      </c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252</v>
      </c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227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227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230</v>
      </c>
      <c r="O419" s="39">
        <v>1600690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227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227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227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227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227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227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227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227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227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227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227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227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>
        <v>1801910</v>
      </c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233</v>
      </c>
      <c r="O433" s="48">
        <f>IFERROR(O419+O432,"")</f>
        <v>3402600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227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253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227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227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227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227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227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227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227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227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230</v>
      </c>
      <c r="O446" s="39">
        <v>1241480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254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254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254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254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254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254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254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254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254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254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254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254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230</v>
      </c>
      <c r="O459" s="39">
        <v>2675000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233</v>
      </c>
      <c r="O460" s="48">
        <f>IFERROR(O446+O459,"")</f>
        <v>3916480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>
        <v>2034810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>
        <v>2310070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4344880</v>
      </c>
    </row>
    <row r="488" spans="1:15" ht="15" customHeight="1">
      <c r="A488" s="69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59" t="s">
        <v>227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469" activePane="bottomLeft" state="frozen"/>
      <selection pane="bottomLeft" activeCell="J489" sqref="J48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230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254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254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254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254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254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254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254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254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230</v>
      </c>
      <c r="O27" s="78">
        <v>393200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233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255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254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254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230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254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254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254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256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254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254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254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254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254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254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254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254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254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230</v>
      </c>
      <c r="O54" s="85">
        <v>276360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233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257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258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230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254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230</v>
      </c>
      <c r="O81" s="54">
        <v>787860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233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254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259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254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254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254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254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230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261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262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230</v>
      </c>
      <c r="O108" s="54">
        <v>1087080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233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263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230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264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245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265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230</v>
      </c>
      <c r="O135" s="54">
        <v>794480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233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267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268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230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269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230</v>
      </c>
      <c r="O162" s="54">
        <v>882280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233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254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254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254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254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254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254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254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254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254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254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254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254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230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230</v>
      </c>
      <c r="O189" s="78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233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230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271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272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230</v>
      </c>
      <c r="O216" s="78">
        <v>648410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233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273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274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254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254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254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254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254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229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230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275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269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254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254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230</v>
      </c>
      <c r="O243" s="78">
        <v>849060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233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276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254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254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254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254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254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254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230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230</v>
      </c>
      <c r="O270" s="78">
        <v>625070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233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277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278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230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279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254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230</v>
      </c>
      <c r="O297" s="78">
        <v>761660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233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280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280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254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230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254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281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282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230</v>
      </c>
      <c r="O324" s="78">
        <v>524410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233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254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254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254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254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283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227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254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254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254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254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254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254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254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230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284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285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230</v>
      </c>
      <c r="O351" s="78">
        <v>598420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233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254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254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230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254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254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254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0.15790150462999009</v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0.31554039351887897</v>
      </c>
      <c r="N378" s="36" t="s">
        <v>230</v>
      </c>
      <c r="O378" s="78">
        <v>511980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0.42526261574110114</v>
      </c>
      <c r="N379" s="40" t="s">
        <v>233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254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254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254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254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269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254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286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254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254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254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254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230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254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287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245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230</v>
      </c>
      <c r="O405" s="78">
        <v>552440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233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254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254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254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254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254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254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254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227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254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254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230</v>
      </c>
      <c r="O419" s="78">
        <v>700000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254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288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0.13637372685479932</v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8" t="s">
        <v>231</v>
      </c>
      <c r="B432" s="89"/>
      <c r="C432" s="89"/>
      <c r="D432" s="89"/>
      <c r="E432" s="89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0.30720706018813271</v>
      </c>
      <c r="N432" s="36" t="s">
        <v>230</v>
      </c>
      <c r="O432" s="78">
        <v>484540</v>
      </c>
    </row>
    <row r="433" spans="1:15" ht="18" customHeight="1">
      <c r="A433" s="94" t="s">
        <v>232</v>
      </c>
      <c r="B433" s="92"/>
      <c r="C433" s="92"/>
      <c r="D433" s="92"/>
      <c r="E433" s="92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0.45234594907702158</v>
      </c>
      <c r="N433" s="40" t="s">
        <v>233</v>
      </c>
      <c r="O433" s="84">
        <f>IFERROR(O419+O432,"")</f>
        <v>1184540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289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290</v>
      </c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230</v>
      </c>
      <c r="O446" s="78">
        <v>849430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291</v>
      </c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227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230</v>
      </c>
      <c r="O459" s="78">
        <v>631190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233</v>
      </c>
      <c r="O460" s="84">
        <f>IFERROR(O446+O459,"")</f>
        <v>1480620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292</v>
      </c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293</v>
      </c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294</v>
      </c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227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227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227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227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230</v>
      </c>
      <c r="O473" s="78">
        <v>870930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 t="s">
        <v>227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295</v>
      </c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227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227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227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227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227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227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227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227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227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227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230</v>
      </c>
      <c r="O486" s="78">
        <v>969510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233</v>
      </c>
      <c r="O487" s="84">
        <f>IFERROR(O473+O486,"")</f>
        <v>1840440</v>
      </c>
    </row>
    <row r="488" spans="1:15" ht="15" customHeight="1">
      <c r="A488" s="69">
        <v>46222</v>
      </c>
      <c r="B488" s="25">
        <v>0.33333333333333298</v>
      </c>
      <c r="C488" s="26" t="s">
        <v>21</v>
      </c>
      <c r="D488" s="59" t="s">
        <v>30</v>
      </c>
      <c r="E488" s="59" t="s">
        <v>227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227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/>
      <c r="M489" s="35">
        <f t="shared" ca="1" si="109"/>
        <v>1.651504629990086E-3</v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227</v>
      </c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227</v>
      </c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227</v>
      </c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227</v>
      </c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227</v>
      </c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227</v>
      </c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227</v>
      </c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227</v>
      </c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227</v>
      </c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227</v>
      </c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22</v>
      </c>
      <c r="G500" s="36">
        <f>SUM(G488:G499)</f>
        <v>110</v>
      </c>
      <c r="H500" s="37"/>
      <c r="I500" s="37"/>
      <c r="J500" s="37"/>
      <c r="K500" s="37"/>
      <c r="L500" s="37"/>
      <c r="M500" s="38">
        <f ca="1">IFERROR(SUM(M488:M499),"")</f>
        <v>3.1512615741101202E-2</v>
      </c>
      <c r="N500" s="36" t="s">
        <v>230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78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22</v>
      </c>
      <c r="G514" s="40">
        <f>G500+G513</f>
        <v>110</v>
      </c>
      <c r="H514" s="41"/>
      <c r="I514" s="41"/>
      <c r="J514" s="41"/>
      <c r="K514" s="41"/>
      <c r="L514" s="41"/>
      <c r="M514" s="42">
        <f ca="1">IFERROR(M500+M513,"")</f>
        <v>3.1512615741101202E-2</v>
      </c>
      <c r="N514" s="40" t="s">
        <v>233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78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78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78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78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78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78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78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78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83">
        <f>IFERROR(O797+O810,"")</f>
        <v>0</v>
      </c>
    </row>
  </sheetData>
  <mergeCells count="87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513:E513"/>
    <mergeCell ref="A514:E514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468" zoomScale="50" zoomScaleNormal="50" workbookViewId="0">
      <selection activeCell="F490" sqref="F49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27.85546875" style="20" customWidth="1"/>
    <col min="15" max="15" width="14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296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297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230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254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254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254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254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254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254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254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254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230</v>
      </c>
      <c r="O27" s="39">
        <v>308500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233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298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254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254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254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230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254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254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254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254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254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254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254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254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254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230</v>
      </c>
      <c r="O54" s="39">
        <v>124290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233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254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254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254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254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299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254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254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254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254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254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254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254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254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230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291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230</v>
      </c>
      <c r="O81" s="39">
        <v>396340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233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300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230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230</v>
      </c>
      <c r="O108" s="39">
        <v>41230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233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230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230</v>
      </c>
      <c r="O135" s="39">
        <v>381250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233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301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268</v>
      </c>
      <c r="K141" s="29">
        <v>0.71597222222222223</v>
      </c>
      <c r="L141" s="29" t="s">
        <v>302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227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227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227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230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303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230</v>
      </c>
      <c r="O162" s="39">
        <v>337120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233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227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254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254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304</v>
      </c>
      <c r="N166" s="27" t="s">
        <v>305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254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254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254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254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254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254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254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254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254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230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254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254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254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254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254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254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254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254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254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254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254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254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230</v>
      </c>
      <c r="O189" s="39">
        <v>747210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233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254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254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306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254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254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254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254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254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254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254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254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254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254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230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230</v>
      </c>
      <c r="O216" s="39">
        <v>468430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233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254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254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254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254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254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230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254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230</v>
      </c>
      <c r="O243" s="39">
        <v>575930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233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254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254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254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254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254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254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230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254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307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308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230</v>
      </c>
      <c r="O270" s="39">
        <v>483510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233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230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309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254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310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254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230</v>
      </c>
      <c r="O297" s="39">
        <v>487980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233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311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227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230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254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312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313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230</v>
      </c>
      <c r="O324" s="39">
        <v>609460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233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254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314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254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254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254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291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227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254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301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254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254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254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254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254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254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230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230</v>
      </c>
      <c r="O351" s="39">
        <v>437940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233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254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254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230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254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254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254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254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254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254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254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230</v>
      </c>
      <c r="O378" s="39">
        <v>473310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233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254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254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254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254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254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254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254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254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254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230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230</v>
      </c>
      <c r="O405" s="39">
        <v>507450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233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254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254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254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254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254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254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254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227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227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254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254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230</v>
      </c>
      <c r="O419" s="39">
        <v>209000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227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6">
        <f t="shared" ca="1" si="94"/>
        <v>1.5972222222222276E-2</v>
      </c>
      <c r="N421" s="98" t="s">
        <v>288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5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230</v>
      </c>
      <c r="O432" s="39">
        <v>229150</v>
      </c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233</v>
      </c>
      <c r="O433" s="48">
        <f>IFERROR(O419+O432,"")</f>
        <v>438150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315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230</v>
      </c>
      <c r="O446" s="39">
        <v>191330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227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230</v>
      </c>
      <c r="O459" s="39">
        <v>409980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233</v>
      </c>
      <c r="O460" s="48">
        <f>IFERROR(O446+O459,"")</f>
        <v>601310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227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227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227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227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230</v>
      </c>
      <c r="O473" s="39">
        <v>228940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 t="s">
        <v>227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227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227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227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227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227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227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227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227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227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227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230</v>
      </c>
      <c r="O486" s="39">
        <v>341550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233</v>
      </c>
      <c r="O487" s="48">
        <f>IFERROR(O473+O486,"")</f>
        <v>570490</v>
      </c>
    </row>
    <row r="488" spans="1:15" ht="15" customHeight="1">
      <c r="A488" s="69">
        <v>46222</v>
      </c>
      <c r="B488" s="25">
        <v>0.33333333333333298</v>
      </c>
      <c r="C488" s="26" t="s">
        <v>21</v>
      </c>
      <c r="D488" s="59" t="s">
        <v>30</v>
      </c>
      <c r="E488" s="59" t="s">
        <v>227</v>
      </c>
      <c r="F488" s="27">
        <v>8</v>
      </c>
      <c r="G488" s="28">
        <f t="shared" ref="G488:G499" si="108">IF(F488="","",IF(E488="PC 17",F488*4.2,IF(E488="PC 19",F488*5,"")))</f>
        <v>40</v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227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227</v>
      </c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227</v>
      </c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227</v>
      </c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227</v>
      </c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227</v>
      </c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227</v>
      </c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227</v>
      </c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227</v>
      </c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227</v>
      </c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227</v>
      </c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13</v>
      </c>
      <c r="G500" s="36">
        <f>SUM(G488:G499)</f>
        <v>65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13</v>
      </c>
      <c r="G514" s="40">
        <f>G500+G513</f>
        <v>65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469" activePane="bottomLeft" state="frozen"/>
      <selection pane="bottomLeft" activeCell="H481" sqref="H481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50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316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291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230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317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254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254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254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254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254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254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254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254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230</v>
      </c>
      <c r="O27" s="39">
        <v>202230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233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318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319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254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254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230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254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254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254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254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254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254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254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254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254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254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230</v>
      </c>
      <c r="O54" s="39">
        <v>473910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233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254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254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254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320</v>
      </c>
      <c r="L58" s="29">
        <v>0.54097222222222219</v>
      </c>
      <c r="M58" s="30" t="str">
        <f t="shared" ca="1" si="13"/>
        <v/>
      </c>
      <c r="N58" s="27" t="s">
        <v>321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254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254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254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254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254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254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254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254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254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230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296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322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323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324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325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254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230</v>
      </c>
      <c r="O81" s="39">
        <v>565120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233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254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326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254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254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227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230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230</v>
      </c>
      <c r="O108" s="39">
        <v>558590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233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327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230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328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329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0.14817928241245681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266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0.34748483796801244</v>
      </c>
      <c r="N135" s="36" t="s">
        <v>230</v>
      </c>
      <c r="O135" s="39">
        <v>729290</v>
      </c>
    </row>
    <row r="136" spans="1:18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0.71484594907912347</v>
      </c>
      <c r="N136" s="40" t="s">
        <v>233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330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268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230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301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331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254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230</v>
      </c>
      <c r="O162" s="39">
        <v>697320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233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227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254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254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254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254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332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254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254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254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254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254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254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254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230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254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254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254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254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254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254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254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254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254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254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254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254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230</v>
      </c>
      <c r="O189" s="39">
        <v>973580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233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254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254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254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333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254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334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254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254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254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254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254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254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254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230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335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230</v>
      </c>
      <c r="O216" s="45">
        <v>1060630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233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336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337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254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254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338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254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254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254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230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339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230</v>
      </c>
      <c r="O243" s="39">
        <v>982340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233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340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254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254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254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254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254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254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230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254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230</v>
      </c>
      <c r="O270" s="39">
        <v>1208450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233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230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254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230</v>
      </c>
      <c r="O297" s="39">
        <v>1049090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233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341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254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230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227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263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230</v>
      </c>
      <c r="O324" s="39">
        <v>1063720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233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254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254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291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254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254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227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254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254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254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254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254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254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254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229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230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342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343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230</v>
      </c>
      <c r="O351" s="39">
        <v>696140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233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301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254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254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229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230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254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254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254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344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254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254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254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254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230</v>
      </c>
      <c r="O378" s="39">
        <v>704750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233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254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345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254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254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332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254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254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254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254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254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254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230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346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347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230</v>
      </c>
      <c r="O405" s="39">
        <v>958130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233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254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254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254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254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254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254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254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254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254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227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230</v>
      </c>
      <c r="O419" s="39">
        <v>491520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254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348</v>
      </c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230</v>
      </c>
      <c r="O432" s="39">
        <v>605220</v>
      </c>
    </row>
    <row r="433" spans="1:17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233</v>
      </c>
      <c r="O433" s="48">
        <f>IFERROR(O419+O432,"")</f>
        <v>1096740</v>
      </c>
    </row>
    <row r="434" spans="1:17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230</v>
      </c>
      <c r="O446" s="39">
        <v>878370</v>
      </c>
    </row>
    <row r="447" spans="1:17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349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230</v>
      </c>
      <c r="O459" s="39">
        <v>615330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233</v>
      </c>
      <c r="O460" s="48">
        <f>IFERROR(O446+O459,"")</f>
        <v>1493700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350</v>
      </c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351</v>
      </c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325</v>
      </c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227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227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227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227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230</v>
      </c>
      <c r="O473" s="39">
        <v>774200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 t="s">
        <v>227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227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227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227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227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227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227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227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227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227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227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230</v>
      </c>
      <c r="O486" s="39">
        <v>1120830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233</v>
      </c>
      <c r="O487" s="48">
        <f>IFERROR(O473+O486,"")</f>
        <v>1895030</v>
      </c>
    </row>
    <row r="488" spans="1:15" ht="15" customHeight="1">
      <c r="A488" s="69">
        <v>46222</v>
      </c>
      <c r="B488" s="25">
        <v>0.33333333333333298</v>
      </c>
      <c r="C488" s="26" t="s">
        <v>21</v>
      </c>
      <c r="D488" s="59" t="s">
        <v>30</v>
      </c>
      <c r="E488" s="59" t="s">
        <v>227</v>
      </c>
      <c r="F488" s="27">
        <v>10</v>
      </c>
      <c r="G488" s="28">
        <f t="shared" ref="G488:G499" si="108">IF(F488="","",IF(E488="PC 17",F488*4.2,IF(E488="PC 19",F488*5,"")))</f>
        <v>50</v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227</v>
      </c>
      <c r="F489" s="27">
        <v>15</v>
      </c>
      <c r="G489" s="34">
        <f t="shared" si="108"/>
        <v>75</v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227</v>
      </c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227</v>
      </c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227</v>
      </c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227</v>
      </c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227</v>
      </c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227</v>
      </c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227</v>
      </c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227</v>
      </c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227</v>
      </c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227</v>
      </c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25</v>
      </c>
      <c r="G500" s="36">
        <f>SUM(G488:G499)</f>
        <v>125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25</v>
      </c>
      <c r="G514" s="40">
        <f>G500+G513</f>
        <v>125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233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2026-07-19T13:32:29Z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