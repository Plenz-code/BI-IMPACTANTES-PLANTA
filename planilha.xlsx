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56" documentId="8_{AF585B22-221D-4780-BB9C-493D365A6A02}" xr6:coauthVersionLast="47" xr6:coauthVersionMax="47" xr10:uidLastSave="{E22217C2-F263-459F-8B23-22BB3494C9D2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<sst xmlns="http://schemas.openxmlformats.org/spreadsheetml/2006/main" count="2319" uniqueCount="228">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</sst>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1704450</v>
      </c>
      <c r="D7" s="11">
        <f>IFERROR('Linha 1'!O109,"")</f>
        <v>577610</v>
      </c>
      <c r="E7" s="11">
        <f>IFERROR('Linha 2'!O109,"")</f>
        <v>536290</v>
      </c>
      <c r="F7" s="11">
        <f>IFERROR('Linha 3'!O109,"")</f>
        <v>776910</v>
      </c>
      <c r="G7" s="12">
        <f t="shared" si="0"/>
        <v>1890810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8276020</v>
      </c>
      <c r="D35" s="13">
        <f>IFERROR(SUM(D4:D34),"")</f>
        <v>3014030</v>
      </c>
      <c r="E35" s="13">
        <f>IFERROR(SUM(E4:E34),"")</f>
        <v>2304980</v>
      </c>
      <c r="F35" s="13">
        <f>IFERROR(SUM(F4:F34),"")</f>
        <v>3413600</v>
      </c>
      <c r="G35" s="13">
        <f>IFERROR(SUM(G4:G34),"")</f>
        <v>8732610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3" activePane="bottomLeft" state="frozen"/>
      <selection pane="bottomLeft" activeCell="E99" sqref="E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195</v>
      </c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195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195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195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1704450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" activePane="bottomLeft" state="frozen"/>
      <selection pane="bottomLeft" activeCell="E100" sqref="E10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8</v>
      </c>
      <c r="G96" s="34">
        <f t="shared" ref="G96:G107" si="21">IF(F96="","",IF(E96="PC 17",F96*4.2,IF(E96="PC 19",F96*5,"")))</f>
        <v>33.6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8</v>
      </c>
      <c r="G108" s="36">
        <f>SUM(G96:G107)</f>
        <v>33.6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120</v>
      </c>
      <c r="G109" s="40">
        <f>G95+G108</f>
        <v>552.80000000000007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6" activePane="bottomLeft" state="frozen"/>
      <selection pane="bottomLeft" activeCell="C96" sqref="C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29</v>
      </c>
      <c r="D96" s="62"/>
      <c r="E96" s="62"/>
      <c r="F96" s="27">
        <v>3</v>
      </c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3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92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536290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73" activePane="bottomLeft" state="frozen"/>
      <selection pane="bottomLeft" activeCell="K97" sqref="K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205</v>
      </c>
      <c r="F96" s="27">
        <v>21</v>
      </c>
      <c r="G96" s="34">
        <f t="shared" ref="G96:G107" si="21">IF(F96="","",IF(E96="PC 17",F96*4.2,IF(E96="PC 19",F96*5,"")))</f>
        <v>88.2</v>
      </c>
      <c r="H96" s="26"/>
      <c r="I96" s="26"/>
      <c r="J96" s="26"/>
      <c r="K96" s="29">
        <v>0.85069444444444442</v>
      </c>
      <c r="L96" s="29"/>
      <c r="M96" s="35">
        <f t="shared" ref="M96:M107" ca="1" si="22">IFERROR(IF(K96="","",IF(L96="",MOD(NOW()-K96,1),IF(L96&gt;=K96,L96-K96,L96+1-K96))),"")</f>
        <v>4.1273148162872531E-3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205</v>
      </c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205</v>
      </c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205</v>
      </c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205</v>
      </c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205</v>
      </c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205</v>
      </c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205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205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205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205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205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21</v>
      </c>
      <c r="G108" s="36">
        <f>SUM(G96:G107)</f>
        <v>88.2</v>
      </c>
      <c r="H108" s="37"/>
      <c r="I108" s="37"/>
      <c r="J108" s="37"/>
      <c r="K108" s="61"/>
      <c r="L108" s="61"/>
      <c r="M108" s="38">
        <f ca="1">IFERROR(SUM(M96:M107),"")</f>
        <v>4.1273148162872531E-3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164</v>
      </c>
      <c r="G109" s="40">
        <f>G95+G108</f>
        <v>791.2</v>
      </c>
      <c r="H109" s="41"/>
      <c r="I109" s="41"/>
      <c r="J109" s="41"/>
      <c r="K109" s="63"/>
      <c r="L109" s="63"/>
      <c r="M109" s="42">
        <f ca="1">IFERROR(M95+M108,"")</f>
        <v>0.19232175926073175</v>
      </c>
      <c r="N109" s="40" t="s">
        <v>201</v>
      </c>
      <c r="O109" s="48">
        <f>IFERROR(O95+O108,"")</f>
        <v>776910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2026-07-05T00:31:15Z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