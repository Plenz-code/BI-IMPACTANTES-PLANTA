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62" documentId="8_{AF585B22-221D-4780-BB9C-493D365A6A02}" xr6:coauthVersionLast="47" xr6:coauthVersionMax="47" xr10:uidLastSave="{AF56E6C2-D3EE-4E67-A5EE-7A59E45F2DA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<sst xmlns="http://schemas.openxmlformats.org/spreadsheetml/2006/main" count="2153" uniqueCount="226">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</sst>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65</v>
      </c>
      <c r="G95" s="36">
        <f>SUM(G83:G94)</f>
        <v>325</v>
      </c>
      <c r="H95" s="37"/>
      <c r="I95" s="37"/>
      <c r="J95" s="37"/>
      <c r="K95" s="37"/>
      <c r="L95" s="37"/>
      <c r="M95" s="38">
        <f ca="1">IFERROR(SUM(M83:M94),"")</f>
        <v>6.25E-2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65</v>
      </c>
      <c r="G109" s="40">
        <f>G95+G108</f>
        <v>325</v>
      </c>
      <c r="H109" s="41"/>
      <c r="I109" s="41"/>
      <c r="J109" s="41"/>
      <c r="K109" s="41"/>
      <c r="L109" s="41"/>
      <c r="M109" s="42">
        <f ca="1">IFERROR(M95+M108,"")</f>
        <v>6.25E-2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7" sqref="F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N84" sqref="N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0.18222175926348427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0.18222175926348427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0.18222175926348427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H83" sqref="H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>
        <v>0</v>
      </c>
      <c r="G83" s="28" t="str">
        <f t="shared" ref="G83:G94" si="18">IF(F83="","",IF(E83="PC 17",F83*4.2,IF(E83="PC 19",F83*5,"")))</f>
        <v/>
      </c>
      <c r="H83" s="33" t="s">
        <v>20</v>
      </c>
      <c r="I83" s="33" t="s">
        <v>52</v>
      </c>
      <c r="J83" s="33"/>
      <c r="K83" s="29">
        <v>0.29166666666666669</v>
      </c>
      <c r="L83" s="29">
        <v>0.50694444444444442</v>
      </c>
      <c r="M83" s="30">
        <f t="shared" ref="M83:M94" ca="1" si="19">IFERROR(IF(K83="","",IF(L83="",MOD(NOW()-K83,1),IF(L83&gt;=K83,L83-K83,L83+1-K83))),"")</f>
        <v>0.21527777777777773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>
        <v>3</v>
      </c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0.21527777777777773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0.21527777777777773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2026-07-04T15:22:56Z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