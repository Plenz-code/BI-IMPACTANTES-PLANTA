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95" documentId="8_{C51EB6CB-002B-4D6B-B68F-DDEBDB4460C0}" xr6:coauthVersionLast="47" xr6:coauthVersionMax="47" xr10:uidLastSave="{B077FBF2-EB30-4B24-A8CE-D38DD9C5A5E6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<sst xmlns="http://schemas.openxmlformats.org/spreadsheetml/2006/main" count="1425" uniqueCount="243">
  <si>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</si>
  <si>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</si>
  <si>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</si>
  <si>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</si>
  <si>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</si>
  <si>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</si>
  <si>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</si>
  <si>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</si>
  <si>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</si>
  <si>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</si>
  <si>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</si>
  <si>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</si>
  <si>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</si>
  <si>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</si>
  <si>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</si>
  <si>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</si>
  <si>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</si>
  <si>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</si>
  <si>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</si>
  <si>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</si>
  <si>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</si>
  <si>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</si>
  <si>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</si>
  <si>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</si>
  <si>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</si>
  <si>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</si>
  <si>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</si>
  <si>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</si>
  <si>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</si>
  <si>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</si>
  <si>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</si>
  <si>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</si>
  <si>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</si>
  <si>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</si>
  <si>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</si>
  <si>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</si>
  <si>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</si>
  <si>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</si>
  <si>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</si>
  <si>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</si>
  <si>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</si>
  <si>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</si>
  <si>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</si>
  <si>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</si>
  <si>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</si>
  <si>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</si>
  <si>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</si>
  <si>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</si>
  <si>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</si>
  <si>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</si>
  <si>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</si>
  <si>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</si>
  <si>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</si>
  <si>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</si>
  <si>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</si>
  <si>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</si>
  <si>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</si>
  <si>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</si>
  <si>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</si>
  <si>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</si>
  <si>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</si>
  <si>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</si>
  <si>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</si>
  <si>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</si>
  <si>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</si>
  <si>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</si>
  <si>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</si>
  <si>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</si>
  <si>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</si>
  <si>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</si>
  <si>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</si>
  <si>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</si>
  <si>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</si>
  <si>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</si>
  <si>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</si>
  <si>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</si>
  <si>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</si>
  <si>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</si>
  <si>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</si>
  <si>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</si>
  <si>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</si>
  <si>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</si>
  <si>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</si>
  <si>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</si>
  <si>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</si>
  <si>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</si>
  <si>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</si>
  <si>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</si>
  <si>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</si>
  <si>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</si>
  <si>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</si>
  <si>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</si>
  <si>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</si>
  <si>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</si>
  <si>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</si>
  <si>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</si>
  <si>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</si>
  <si>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</si>
  <si>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</si>
  <si>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</si>
  <si>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</si>
  <si>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</si>
  <si>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</si>
  <si>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</si>
  <si>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</si>
  <si>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</si>
  <si>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</si>
  <si>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</si>
  <si>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</si>
  <si>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</si>
  <si>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</si>
  <si>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</si>
  <si>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</si>
  <si>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</si>
  <si>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</si>
  <si>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</si>
  <si>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</si>
  <si>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</si>
  <si>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</si>
  <si>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</si>
  <si>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</si>
  <si>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</si>
  <si>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</si>
  <si>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</si>
  <si>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</si>
  <si>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</si>
  <si>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</si>
  <si>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</si>
  <si>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</si>
  <si>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</si>
  <si>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</si>
  <si>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</si>
  <si>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</si>
  <si>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</si>
  <si>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</si>
  <si>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</si>
  <si>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</si>
  <si>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</si>
  <si>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</si>
  <si>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</si>
  <si>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</si>
  <si>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</si>
  <si>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</si>
  <si>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</si>
  <si>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</si>
  <si>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</si>
  <si>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</si>
  <si>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</si>
  <si>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</si>
  <si>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</si>
  <si>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</si>
  <si>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</si>
  <si>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</si>
  <si>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</si>
  <si>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</si>
  <si>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</si>
  <si>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</si>
  <si>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</si>
  <si>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</si>
  <si>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</si>
  <si>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</si>
  <si>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</si>
  <si>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</si>
  <si>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</si>
  <si>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</si>
  <si>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</si>
  <si>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</si>
  <si>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</si>
  <si>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</si>
  <si>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</si>
  <si>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</si>
  <si>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</si>
  <si>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</si>
  <si>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</si>
  <si>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</si>
  <si>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</si>
  <si>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</si>
  <si>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</si>
  <si>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</si>
  <si>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</si>
  <si>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</si>
  <si>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</si>
  <si>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</si>
  <si>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</si>
  <si>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</si>
  <si>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</si>
  <si>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</si>
  <si>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</si>
  <si>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</si>
  <si>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</si>
  <si>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</si>
  <si>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</si>
  <si>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</si>
  <si>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</si>
  <si>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</si>
  <si>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</si>
  <si>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</si>
  <si>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</si>
  <si>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</si>
  <si>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</si>
  <si>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</si>
  <si>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</si>
  <si>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</si>
  <si>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</si>
  <si>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</si>
  <si>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</si>
  <si>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</si>
  <si>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</si>
  <si>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</si>
  <si>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</si>
  <si>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</si>
  <si>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</si>
  <si>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</si>
  <si>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</si>
  <si>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</si>
  <si>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</si>
  <si>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</si>
  <si>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</si>
  <si>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</si>
  <si>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</si>
  <si>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</si>
  <si>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</si>
  <si>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</si>
  <si>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</si>
  <si>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</si>
  <si>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</si>
  <si>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</si>
  <si>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</si>
  <si>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</si>
  <si>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</si>
  <si>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</si>
  <si>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</si>
  <si>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</si>
  <si>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</si>
  <si>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</si>
  <si>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</si>
  <si>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</si>
  <si>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</si>
  <si>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solda no queixo</t>
  </si>
  <si>
    <t>sem material no estoque</t>
  </si>
  <si>
    <t>colocar chapa na bica</t>
  </si>
  <si>
    <t>martelo soltou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</si>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</sst>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F23" sqref="F2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134</v>
      </c>
      <c r="G27" s="36">
        <f>SUM(G15:G26)</f>
        <v>670</v>
      </c>
      <c r="H27" s="37"/>
      <c r="I27" s="37"/>
      <c r="J27" s="37"/>
      <c r="K27" s="37"/>
      <c r="L27" s="37"/>
      <c r="M27" s="38">
        <f ca="1">IFERROR(SUM(M15:M26),"")</f>
        <v>7.5694444444444453E-2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330</v>
      </c>
      <c r="G28" s="40">
        <f>G14+G27</f>
        <v>1650</v>
      </c>
      <c r="H28" s="41"/>
      <c r="I28" s="41"/>
      <c r="J28" s="41"/>
      <c r="K28" s="41"/>
      <c r="L28" s="41"/>
      <c r="M28" s="42">
        <f ca="1">IFERROR(M14+M27,"")</f>
        <v>0.14166666666666666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8" activePane="bottomLeft" state="frozen"/>
      <selection pane="bottomLeft" activeCell="K21" sqref="K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14</v>
      </c>
      <c r="G20" s="34">
        <f t="shared" si="3"/>
        <v>58.800000000000004</v>
      </c>
      <c r="H20" s="26"/>
      <c r="I20" s="26"/>
      <c r="J20" s="26"/>
      <c r="K20" s="29">
        <v>0.16875000000000001</v>
      </c>
      <c r="L20" s="29"/>
      <c r="M20" s="35">
        <f t="shared" ca="1" si="4"/>
        <v>5.6250000488944352E-4</v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12</v>
      </c>
      <c r="G21" s="34">
        <f t="shared" si="3"/>
        <v>50.400000000000006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11</v>
      </c>
      <c r="G22" s="34">
        <f t="shared" si="3"/>
        <v>46.2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99</v>
      </c>
      <c r="G27" s="36">
        <f>SUM(G15:G26)</f>
        <v>415.8</v>
      </c>
      <c r="H27" s="37"/>
      <c r="I27" s="37"/>
      <c r="J27" s="37"/>
      <c r="K27" s="37"/>
      <c r="L27" s="37"/>
      <c r="M27" s="38">
        <f ca="1">IFERROR(SUM(M15:M26),"")</f>
        <v>2.2090277782667173E-2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211</v>
      </c>
      <c r="G28" s="40">
        <f>G14+G27</f>
        <v>886.2</v>
      </c>
      <c r="H28" s="41"/>
      <c r="I28" s="41"/>
      <c r="J28" s="41"/>
      <c r="K28" s="41"/>
      <c r="L28" s="41"/>
      <c r="M28" s="42">
        <f ca="1">IFERROR(M14+M27,"")</f>
        <v>0.22278472222711151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23" sqref="F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238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239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64</v>
      </c>
      <c r="G27" s="36">
        <f>SUM(G15:G26)</f>
        <v>268.79999999999995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145</v>
      </c>
      <c r="G28" s="40">
        <f>G14+G27</f>
        <v>609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L22" sqref="L2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242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>
        <v>15</v>
      </c>
      <c r="G22" s="28">
        <f t="shared" si="3"/>
        <v>63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118</v>
      </c>
      <c r="G27" s="36">
        <f>SUM(G15:G26)</f>
        <v>495.6</v>
      </c>
      <c r="H27" s="37"/>
      <c r="I27" s="37"/>
      <c r="J27" s="37"/>
      <c r="K27" s="61"/>
      <c r="L27" s="61"/>
      <c r="M27" s="38">
        <f ca="1">IFERROR(SUM(M15:M26),"")</f>
        <v>0.11250000000000009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248</v>
      </c>
      <c r="G28" s="40">
        <f>G14+G27</f>
        <v>1041.6000000000001</v>
      </c>
      <c r="H28" s="41"/>
      <c r="I28" s="41"/>
      <c r="J28" s="41"/>
      <c r="K28" s="63"/>
      <c r="L28" s="63"/>
      <c r="M28" s="42">
        <f ca="1">IFERROR(M14+M27,"")</f>
        <v>0.15138888888888902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2026-08-02T08:04:19Z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