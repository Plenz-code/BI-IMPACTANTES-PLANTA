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67" documentId="13_ncr:1_{0A10D8D4-8450-4366-8075-B53B08E6B7EA}" xr6:coauthVersionLast="47" xr6:coauthVersionMax="47" xr10:uidLastSave="{035E3659-C4A4-4531-B162-84F96C8E1DA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8" i="6" l="1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<sst xmlns="http://schemas.openxmlformats.org/spreadsheetml/2006/main" count="7354" uniqueCount="360">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</sst>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30" sqref="F430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260</v>
      </c>
      <c r="G432" s="36">
        <f>SUM(G420:G431)</f>
        <v>1300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470</v>
      </c>
      <c r="G433" s="40">
        <f>G419+G432</f>
        <v>2350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G430" sqref="G430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9.0816782401816454E-2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0.22970567129070535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0.31442789351292766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2"/>
        <v>0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143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600.6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290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1218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7" activePane="bottomLeft" state="frozen"/>
      <selection pane="bottomLeft" activeCell="G430" sqref="G430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0"/>
        <v>0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0"/>
        <v>0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35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147</v>
      </c>
      <c r="L432" s="37"/>
      <c r="M432" s="37"/>
      <c r="N432" s="37"/>
      <c r="O432" s="37"/>
      <c r="P432" s="37"/>
      <c r="Q432" s="38">
        <f ca="1">IFERROR(SUM(Q420:Q431),"")</f>
        <v>8.4722222222222282E-2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156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655.20000000000005</v>
      </c>
      <c r="L433" s="41"/>
      <c r="M433" s="41"/>
      <c r="N433" s="41"/>
      <c r="O433" s="41"/>
      <c r="P433" s="41"/>
      <c r="Q433" s="42">
        <f ca="1">IFERROR(Q419+Q432,"")</f>
        <v>0.15763888888888902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G430" sqref="G430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79.8</v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2"/>
        <v>0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168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705.6</v>
      </c>
      <c r="L432" s="37"/>
      <c r="M432" s="37"/>
      <c r="N432" s="37"/>
      <c r="O432" s="61"/>
      <c r="P432" s="61"/>
      <c r="Q432" s="38">
        <f ca="1">IFERROR(SUM(Q420:Q431),"")</f>
        <v>8.333333333333337E-2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310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1302</v>
      </c>
      <c r="L433" s="41"/>
      <c r="M433" s="41"/>
      <c r="N433" s="41"/>
      <c r="O433" s="63"/>
      <c r="P433" s="63"/>
      <c r="Q433" s="42">
        <f ca="1">IFERROR(Q419+Q432,"")</f>
        <v>0.19861111111111118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2026-08-17T09:06:07Z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