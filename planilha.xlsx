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954" documentId="8_{C51EB6CB-002B-4D6B-B68F-DDEBDB4460C0}" xr6:coauthVersionLast="47" xr6:coauthVersionMax="47" xr10:uidLastSave="{56CEF9AC-54CD-431E-9317-EDB67788C4EE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<sst xmlns="http://schemas.openxmlformats.org/spreadsheetml/2006/main" count="4127" uniqueCount="301">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</sst>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1" sqref="G11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5" activePane="bottomLeft" state="frozen"/>
      <selection pane="bottomLeft" activeCell="F199" sqref="F19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/>
      <c r="M193" s="35">
        <f t="shared" ca="1" si="43"/>
        <v>8.7273379635007586E-2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206</v>
      </c>
      <c r="G203" s="36">
        <f>SUM(G191:G202)</f>
        <v>1030</v>
      </c>
      <c r="H203" s="37"/>
      <c r="I203" s="37"/>
      <c r="J203" s="37"/>
      <c r="K203" s="37"/>
      <c r="L203" s="37"/>
      <c r="M203" s="38">
        <f ca="1">IFERROR(SUM(M191:M202),"")</f>
        <v>0.13866226852389646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206</v>
      </c>
      <c r="G217" s="40">
        <f>G203+G216</f>
        <v>1030</v>
      </c>
      <c r="H217" s="41"/>
      <c r="I217" s="41"/>
      <c r="J217" s="41"/>
      <c r="K217" s="41"/>
      <c r="L217" s="41"/>
      <c r="M217" s="42">
        <f ca="1">IFERROR(M203+M216,"")</f>
        <v>0.13866226852389646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59" activePane="bottomLeft" state="frozen"/>
      <selection pane="bottomLeft" activeCell="L196" sqref="L1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0.5699122685182374</v>
      </c>
      <c r="N53" s="46" t="s">
        <v>259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0.70880115740712624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0.7935233796293486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101</v>
      </c>
      <c r="G203" s="36">
        <f>SUM(G191:G202)</f>
        <v>424.20000000000005</v>
      </c>
      <c r="H203" s="37"/>
      <c r="I203" s="37"/>
      <c r="J203" s="37"/>
      <c r="K203" s="37"/>
      <c r="L203" s="37"/>
      <c r="M203" s="38">
        <f ca="1">IFERROR(SUM(M191:M202),"")</f>
        <v>0.1243055555555555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101</v>
      </c>
      <c r="G217" s="40">
        <f>G203+G216</f>
        <v>424.20000000000005</v>
      </c>
      <c r="H217" s="41"/>
      <c r="I217" s="41"/>
      <c r="J217" s="41"/>
      <c r="K217" s="41"/>
      <c r="L217" s="41"/>
      <c r="M217" s="42">
        <f ca="1">IFERROR(M203+M216,"")</f>
        <v>0.1243055555555555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70" zoomScale="50" zoomScaleNormal="50" workbookViewId="0">
      <selection activeCell="I199" sqref="I19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20</v>
      </c>
      <c r="I198" s="26" t="s">
        <v>47</v>
      </c>
      <c r="J198" s="26" t="s">
        <v>56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 t="s">
        <v>20</v>
      </c>
      <c r="I199" s="33" t="s">
        <v>47</v>
      </c>
      <c r="J199" s="33"/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9</v>
      </c>
      <c r="G203" s="36">
        <f>SUM(G191:G202)</f>
        <v>37.800000000000004</v>
      </c>
      <c r="H203" s="37"/>
      <c r="I203" s="37"/>
      <c r="J203" s="37"/>
      <c r="K203" s="37"/>
      <c r="L203" s="37"/>
      <c r="M203" s="38">
        <f ca="1">IFERROR(SUM(M191:M202),"")</f>
        <v>0.14583333333333331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9</v>
      </c>
      <c r="G217" s="40">
        <f>G203+G216</f>
        <v>37.800000000000004</v>
      </c>
      <c r="H217" s="41"/>
      <c r="I217" s="41"/>
      <c r="J217" s="41"/>
      <c r="K217" s="41"/>
      <c r="L217" s="41"/>
      <c r="M217" s="42">
        <f ca="1">IFERROR(M203+M216,"")</f>
        <v>0.14583333333333331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73" activePane="bottomLeft" state="frozen"/>
      <selection pane="bottomLeft" activeCell="L194" sqref="L19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122</v>
      </c>
      <c r="G203" s="36">
        <f>SUM(G191:G202)</f>
        <v>512.40000000000009</v>
      </c>
      <c r="H203" s="37"/>
      <c r="I203" s="37"/>
      <c r="J203" s="37"/>
      <c r="K203" s="61"/>
      <c r="L203" s="61"/>
      <c r="M203" s="38">
        <f ca="1">IFERROR(SUM(M191:M202),"")</f>
        <v>6.1805555555555614E-2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122</v>
      </c>
      <c r="G217" s="40">
        <f>G203+G216</f>
        <v>512.40000000000009</v>
      </c>
      <c r="H217" s="41"/>
      <c r="I217" s="41"/>
      <c r="J217" s="41"/>
      <c r="K217" s="63"/>
      <c r="L217" s="63"/>
      <c r="M217" s="42">
        <f ca="1">IFERROR(M203+M216,"")</f>
        <v>6.1805555555555614E-2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2026-08-08T20:35:44Z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