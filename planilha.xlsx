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149" documentId="8_{C51EB6CB-002B-4D6B-B68F-DDEBDB4460C0}" xr6:coauthVersionLast="47" xr6:coauthVersionMax="47" xr10:uidLastSave="{964BDE3F-84B9-4F51-B825-6EDD98D55A6D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<sst xmlns="http://schemas.openxmlformats.org/spreadsheetml/2006/main" count="3481" uniqueCount="287">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</sst>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1650350</v>
      </c>
      <c r="D9" s="11">
        <f>IFERROR('Linha 1'!O163,"")</f>
        <v>533860</v>
      </c>
      <c r="E9" s="11">
        <f>IFERROR('Linha 2'!O163,"")</f>
        <v>138890</v>
      </c>
      <c r="F9" s="11">
        <f>IFERROR('Linha 3'!O163,"")</f>
        <v>797860</v>
      </c>
      <c r="G9" s="12">
        <f t="shared" si="0"/>
        <v>1470610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18357835</v>
      </c>
      <c r="D35" s="13">
        <f>IFERROR(SUM(D4:D34),"")</f>
        <v>5882160</v>
      </c>
      <c r="E35" s="13">
        <f>IFERROR(SUM(E4:E34),"")</f>
        <v>3123020</v>
      </c>
      <c r="F35" s="13">
        <f>IFERROR(SUM(F4:F34),"")</f>
        <v>7526120</v>
      </c>
      <c r="G35" s="13">
        <f>IFERROR(SUM(G4:G34),"")</f>
        <v>16531300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I20" sqref="I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/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26" activePane="bottomLeft" state="frozen"/>
      <selection pane="bottomLeft" activeCell="J154" sqref="J15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231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231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231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231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231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231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231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231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231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231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231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231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233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231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231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231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234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231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231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231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231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231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231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231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233</v>
      </c>
      <c r="O27" s="39">
        <v>997910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237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231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231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238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231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234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231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231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231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231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231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231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233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231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231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231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231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231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231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231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233</v>
      </c>
      <c r="O54" s="39">
        <v>981310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237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231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231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231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231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231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231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231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231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231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231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231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231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233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231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231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240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231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231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231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231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231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231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231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233</v>
      </c>
      <c r="O81" s="39">
        <v>1547910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237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231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231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231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241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231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231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231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231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231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231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233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231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231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231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231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231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231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242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231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231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231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231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231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3156240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237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231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231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231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231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231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233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231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231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231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231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231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231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231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231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231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231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231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231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233</v>
      </c>
      <c r="O135" s="39">
        <v>2875180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237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231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243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231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231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231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231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231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231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231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231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231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233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231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231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231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231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231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/>
      <c r="M154" s="30">
        <f t="shared" ca="1" si="34"/>
        <v>3.9416666695615277E-3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231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231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231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231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231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231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231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0.14074722222511715</v>
      </c>
      <c r="N162" s="36" t="s">
        <v>233</v>
      </c>
      <c r="O162" s="44"/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0.2393583333362283</v>
      </c>
      <c r="N163" s="40" t="s">
        <v>237</v>
      </c>
      <c r="O163" s="43">
        <f>IFERROR(O149+O162,"")</f>
        <v>1650350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13" t="s">
        <v>236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20" activePane="bottomLeft" state="frozen"/>
      <selection pane="bottomLeft" activeCell="F160" sqref="F16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246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247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248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233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245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245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245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245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249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245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250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245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245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245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245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245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233</v>
      </c>
      <c r="O27" s="77">
        <v>549860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237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233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245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245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245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245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251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245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252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245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245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253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245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9.4219444443297107E-2</v>
      </c>
      <c r="N53" s="46" t="s">
        <v>254</v>
      </c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0.233108333332186</v>
      </c>
      <c r="N54" s="36" t="s">
        <v>233</v>
      </c>
      <c r="O54" s="84">
        <v>352430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0.31783055555440831</v>
      </c>
      <c r="N55" s="40" t="s">
        <v>237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246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233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245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245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245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245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245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255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245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245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245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233</v>
      </c>
      <c r="O81" s="54">
        <v>634210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237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256</v>
      </c>
      <c r="E83" s="59" t="s">
        <v>245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233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257</v>
      </c>
      <c r="M96" s="30" t="str">
        <f t="shared" ref="M96:M107" ca="1" si="22">IFERROR(IF(K96="","",IF(L96="",MOD(NOW()-K96,1),IF(L96&gt;=K96,L96-K96,L96+1-K96))),"")</f>
        <v/>
      </c>
      <c r="N96" s="46" t="s">
        <v>258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259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260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234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233</v>
      </c>
      <c r="O108" s="54">
        <v>456830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237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261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233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233</v>
      </c>
      <c r="O135" s="54">
        <v>756720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237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245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262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245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245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263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245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245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245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245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264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245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245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233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121</v>
      </c>
      <c r="G162" s="36">
        <f>SUM(G150:G161)</f>
        <v>508.20000000000005</v>
      </c>
      <c r="H162" s="37"/>
      <c r="I162" s="37"/>
      <c r="J162" s="37"/>
      <c r="K162" s="37"/>
      <c r="L162" s="37"/>
      <c r="M162" s="38">
        <f ca="1">IFERROR(SUM(M150:M161),"")</f>
        <v>4.5833333333333504E-2</v>
      </c>
      <c r="N162" s="36" t="s">
        <v>233</v>
      </c>
      <c r="O162" s="54"/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261</v>
      </c>
      <c r="G163" s="40">
        <f>G149+G162</f>
        <v>1096.2</v>
      </c>
      <c r="H163" s="41"/>
      <c r="I163" s="41"/>
      <c r="J163" s="41"/>
      <c r="K163" s="41"/>
      <c r="L163" s="41"/>
      <c r="M163" s="42">
        <f ca="1">IFERROR(M149+M162,"")</f>
        <v>0.22152777777777793</v>
      </c>
      <c r="N163" s="40" t="s">
        <v>237</v>
      </c>
      <c r="O163" s="82">
        <f>IFERROR(O149+O162,"")</f>
        <v>533860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77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77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232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77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77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77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77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77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77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77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77"/>
    </row>
    <row r="433" spans="1:15" ht="18" customHeight="1">
      <c r="A433" s="92" t="s">
        <v>236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77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77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77"/>
    </row>
    <row r="514" spans="1:15" ht="18" customHeight="1">
      <c r="A514" s="92" t="s">
        <v>236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77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77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77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84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23" zoomScale="50" zoomScaleNormal="50" workbookViewId="0">
      <selection activeCell="F160" sqref="F16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233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245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245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245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249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245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245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245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245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245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245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245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235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233</v>
      </c>
      <c r="O27" s="39">
        <v>358000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237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245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245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245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245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245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245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245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245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245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245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245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232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233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233</v>
      </c>
      <c r="O54" s="39">
        <v>279980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237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245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245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245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245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245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245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245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245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245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245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233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233</v>
      </c>
      <c r="O81" s="39">
        <v>185920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237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233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233</v>
      </c>
      <c r="O108" s="39">
        <v>434370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237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233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233</v>
      </c>
      <c r="O135" s="39">
        <v>416350</v>
      </c>
    </row>
    <row r="136" spans="1:15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237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264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232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233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255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37</v>
      </c>
      <c r="G162" s="36">
        <f>SUM(G150:G161)</f>
        <v>155.40000000000003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233</v>
      </c>
      <c r="O162" s="39"/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70</v>
      </c>
      <c r="G163" s="40">
        <f>G149+G162</f>
        <v>294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237</v>
      </c>
      <c r="O163" s="43">
        <f>IFERROR(O149+O162,"")</f>
        <v>138890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233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233</v>
      </c>
      <c r="O216" s="39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232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232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/>
    </row>
    <row r="433" spans="1:15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233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237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28" activePane="bottomLeft" state="frozen"/>
      <selection pane="bottomLeft" activeCell="H151" sqref="H15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245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245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245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245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245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245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245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245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245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245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245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232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233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245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245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245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245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245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245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245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245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277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245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245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245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235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233</v>
      </c>
      <c r="O27" s="39">
        <v>491520</v>
      </c>
    </row>
    <row r="28" spans="1:15" ht="18" customHeight="1">
      <c r="A28" s="104" t="s">
        <v>236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237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245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245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245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245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245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245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245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245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245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245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232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233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245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245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245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245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278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245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245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245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245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245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245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245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235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233</v>
      </c>
      <c r="O54" s="39">
        <v>352430</v>
      </c>
    </row>
    <row r="55" spans="1:15" ht="18" customHeight="1">
      <c r="A55" s="104" t="s">
        <v>236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237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245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245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245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245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279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245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245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245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245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245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245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245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232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233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245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245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245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245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245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245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245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245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245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245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245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235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233</v>
      </c>
      <c r="O81" s="39">
        <v>612410</v>
      </c>
    </row>
    <row r="82" spans="1:15" ht="18" customHeight="1">
      <c r="A82" s="104" t="s">
        <v>236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237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245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245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245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245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245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245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245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245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245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245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245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245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232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233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245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245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245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245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245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245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245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245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245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245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245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235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233</v>
      </c>
      <c r="O108" s="39">
        <v>956070</v>
      </c>
    </row>
    <row r="109" spans="1:15" ht="18" customHeight="1">
      <c r="A109" s="104" t="s">
        <v>236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237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245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245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245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245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282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245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245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245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245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245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232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233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245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245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283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245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245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245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255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245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245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245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245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245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245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245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235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233</v>
      </c>
      <c r="O135" s="39">
        <v>912240</v>
      </c>
    </row>
    <row r="136" spans="1:18" ht="18" customHeight="1">
      <c r="A136" s="104" t="s">
        <v>236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237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245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245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284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245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285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245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245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245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245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245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245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245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264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245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245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232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233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245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286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245</v>
      </c>
      <c r="F151" s="27">
        <v>11</v>
      </c>
      <c r="G151" s="34">
        <f t="shared" si="33"/>
        <v>46.2</v>
      </c>
      <c r="H151" s="33" t="s">
        <v>16</v>
      </c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245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245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245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245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245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245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245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245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245</v>
      </c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245</v>
      </c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235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6.8055555555555647E-2</v>
      </c>
      <c r="N162" s="36" t="s">
        <v>233</v>
      </c>
      <c r="O162" s="39"/>
    </row>
    <row r="163" spans="1:15" ht="18" customHeight="1">
      <c r="A163" s="104" t="s">
        <v>236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0.16250000000000003</v>
      </c>
      <c r="N163" s="40" t="s">
        <v>237</v>
      </c>
      <c r="O163" s="43">
        <f>IFERROR(O149+O162,"")</f>
        <v>797860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232</v>
      </c>
      <c r="B176" s="102"/>
      <c r="C176" s="102"/>
      <c r="D176" s="102"/>
      <c r="E176" s="10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233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235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233</v>
      </c>
      <c r="O189" s="39"/>
    </row>
    <row r="190" spans="1:15" ht="18" customHeight="1">
      <c r="A190" s="104" t="s">
        <v>236</v>
      </c>
      <c r="B190" s="105"/>
      <c r="C190" s="105"/>
      <c r="D190" s="105"/>
      <c r="E190" s="10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237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232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233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235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233</v>
      </c>
      <c r="O216" s="45"/>
    </row>
    <row r="217" spans="1:15" ht="18" customHeight="1">
      <c r="A217" s="104" t="s">
        <v>236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237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232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233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235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233</v>
      </c>
      <c r="O243" s="39"/>
    </row>
    <row r="244" spans="1:15" ht="18" customHeight="1">
      <c r="A244" s="104" t="s">
        <v>236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237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232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233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235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233</v>
      </c>
      <c r="O270" s="39"/>
    </row>
    <row r="271" spans="1:15" ht="18" customHeight="1">
      <c r="A271" s="104" t="s">
        <v>236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237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232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233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235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233</v>
      </c>
      <c r="O297" s="39"/>
    </row>
    <row r="298" spans="1:15" ht="18" customHeight="1">
      <c r="A298" s="104" t="s">
        <v>236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237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232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233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235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233</v>
      </c>
      <c r="O324" s="39"/>
    </row>
    <row r="325" spans="1:15" ht="18" customHeight="1">
      <c r="A325" s="104" t="s">
        <v>236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237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232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233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235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233</v>
      </c>
      <c r="O351" s="39"/>
    </row>
    <row r="352" spans="1:15" ht="18" customHeight="1">
      <c r="A352" s="104" t="s">
        <v>236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237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233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235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233</v>
      </c>
      <c r="O378" s="39"/>
    </row>
    <row r="379" spans="1:15" ht="18" customHeight="1">
      <c r="A379" s="104" t="s">
        <v>236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237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232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233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235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233</v>
      </c>
      <c r="O405" s="39"/>
    </row>
    <row r="406" spans="1:15" ht="18" customHeight="1">
      <c r="A406" s="104" t="s">
        <v>236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237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232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233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235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233</v>
      </c>
      <c r="O432" s="39"/>
    </row>
    <row r="433" spans="1:17" ht="18" customHeight="1">
      <c r="A433" s="104" t="s">
        <v>236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237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232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233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235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233</v>
      </c>
      <c r="O459" s="39"/>
    </row>
    <row r="460" spans="1:15" ht="18" customHeight="1">
      <c r="A460" s="104" t="s">
        <v>236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237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232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233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235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233</v>
      </c>
      <c r="O486" s="39"/>
    </row>
    <row r="487" spans="1:15" ht="18" customHeight="1">
      <c r="A487" s="104" t="s">
        <v>236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237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232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233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235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233</v>
      </c>
      <c r="O513" s="39"/>
    </row>
    <row r="514" spans="1:15" ht="18" customHeight="1">
      <c r="A514" s="104" t="s">
        <v>236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237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232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233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235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233</v>
      </c>
      <c r="O540" s="39"/>
    </row>
    <row r="541" spans="1:15" ht="18" customHeight="1">
      <c r="A541" s="104" t="s">
        <v>236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237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232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233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235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233</v>
      </c>
      <c r="O567" s="39"/>
    </row>
    <row r="568" spans="1:15" ht="18" customHeight="1">
      <c r="A568" s="104" t="s">
        <v>236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237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232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233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235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233</v>
      </c>
      <c r="O594" s="39"/>
    </row>
    <row r="595" spans="1:15" ht="18" customHeight="1">
      <c r="A595" s="104" t="s">
        <v>236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237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232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235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104" t="s">
        <v>236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237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232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235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4" t="s">
        <v>236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237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232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235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4" t="s">
        <v>236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237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232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235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4" t="s">
        <v>236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237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232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235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4" t="s">
        <v>236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237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232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235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4" t="s">
        <v>236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232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235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4" t="s">
        <v>236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232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235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4" t="s">
        <v>236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232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233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235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233</v>
      </c>
      <c r="O837" s="39"/>
    </row>
    <row r="838" spans="1:15" ht="18" customHeight="1">
      <c r="A838" s="104" t="s">
        <v>236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237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2026-08-07T09:10:56Z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