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463" documentId="8_{AF585B22-221D-4780-BB9C-493D365A6A02}" xr6:coauthVersionLast="47" xr6:coauthVersionMax="47" xr10:uidLastSave="{D439BAEC-FF76-4CEB-8A7A-5AA31BE84ED1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<sst xmlns="http://schemas.openxmlformats.org/spreadsheetml/2006/main" count="6549" uniqueCount="328">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</sst>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1576070</v>
      </c>
      <c r="D18" s="8">
        <f>IFERROR('Linha 1'!O406,"")</f>
        <v>281950</v>
      </c>
      <c r="E18" s="8">
        <f>IFERROR('Linha 2'!O406,"")</f>
        <v>399940</v>
      </c>
      <c r="F18" s="8">
        <f>IFERROR('Linha 3'!O406,"")</f>
        <v>565570</v>
      </c>
      <c r="G18" s="9">
        <f t="shared" si="0"/>
        <v>1247460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43719092</v>
      </c>
      <c r="D35" s="13">
        <f>IFERROR(SUM(D4:D34),"")</f>
        <v>16028150</v>
      </c>
      <c r="E35" s="13">
        <f>IFERROR(SUM(E4:E34),"")</f>
        <v>10699830</v>
      </c>
      <c r="F35" s="13">
        <f>IFERROR(SUM(F4:F34),"")</f>
        <v>19982890</v>
      </c>
      <c r="G35" s="13">
        <f>IFERROR(SUM(G4:G34),"")</f>
        <v>46710870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72" activePane="bottomLeft" state="frozen"/>
      <selection pane="bottomLeft" activeCell="L396" sqref="L39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7" t="s">
        <v>222</v>
      </c>
      <c r="B14" s="98"/>
      <c r="C14" s="98"/>
      <c r="D14" s="98"/>
      <c r="E14" s="9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7" t="s">
        <v>224</v>
      </c>
      <c r="B27" s="98"/>
      <c r="C27" s="98"/>
      <c r="D27" s="98"/>
      <c r="E27" s="9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4" t="s">
        <v>225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7" t="s">
        <v>222</v>
      </c>
      <c r="B41" s="98"/>
      <c r="C41" s="98"/>
      <c r="D41" s="98"/>
      <c r="E41" s="9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7" t="s">
        <v>224</v>
      </c>
      <c r="B54" s="98"/>
      <c r="C54" s="98"/>
      <c r="D54" s="98"/>
      <c r="E54" s="9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4" t="s">
        <v>225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7" t="s">
        <v>222</v>
      </c>
      <c r="B68" s="98"/>
      <c r="C68" s="98"/>
      <c r="D68" s="98"/>
      <c r="E68" s="9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7" t="s">
        <v>224</v>
      </c>
      <c r="B81" s="98"/>
      <c r="C81" s="98"/>
      <c r="D81" s="98"/>
      <c r="E81" s="9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4" t="s">
        <v>225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7" t="s">
        <v>222</v>
      </c>
      <c r="B95" s="98"/>
      <c r="C95" s="98"/>
      <c r="D95" s="98"/>
      <c r="E95" s="9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7" t="s">
        <v>224</v>
      </c>
      <c r="B108" s="98"/>
      <c r="C108" s="98"/>
      <c r="D108" s="98"/>
      <c r="E108" s="9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4" t="s">
        <v>225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7" t="s">
        <v>222</v>
      </c>
      <c r="B122" s="98"/>
      <c r="C122" s="98"/>
      <c r="D122" s="98"/>
      <c r="E122" s="9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7" t="s">
        <v>224</v>
      </c>
      <c r="B135" s="98"/>
      <c r="C135" s="98"/>
      <c r="D135" s="98"/>
      <c r="E135" s="9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4" t="s">
        <v>225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222</v>
      </c>
      <c r="B149" s="98"/>
      <c r="C149" s="98"/>
      <c r="D149" s="98"/>
      <c r="E149" s="9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224</v>
      </c>
      <c r="B162" s="98"/>
      <c r="C162" s="98"/>
      <c r="D162" s="98"/>
      <c r="E162" s="9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4" t="s">
        <v>225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222</v>
      </c>
      <c r="B176" s="98"/>
      <c r="C176" s="98"/>
      <c r="D176" s="98"/>
      <c r="E176" s="9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224</v>
      </c>
      <c r="B189" s="98"/>
      <c r="C189" s="98"/>
      <c r="D189" s="98"/>
      <c r="E189" s="9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4" t="s">
        <v>225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222</v>
      </c>
      <c r="B203" s="98"/>
      <c r="C203" s="98"/>
      <c r="D203" s="98"/>
      <c r="E203" s="99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7" t="s">
        <v>224</v>
      </c>
      <c r="B216" s="98"/>
      <c r="C216" s="98"/>
      <c r="D216" s="98"/>
      <c r="E216" s="99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4" t="s">
        <v>225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7" t="s">
        <v>222</v>
      </c>
      <c r="B230" s="98"/>
      <c r="C230" s="98"/>
      <c r="D230" s="98"/>
      <c r="E230" s="99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7" t="s">
        <v>224</v>
      </c>
      <c r="B243" s="98"/>
      <c r="C243" s="98"/>
      <c r="D243" s="98"/>
      <c r="E243" s="99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4" t="s">
        <v>225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7" t="s">
        <v>222</v>
      </c>
      <c r="B257" s="98"/>
      <c r="C257" s="98"/>
      <c r="D257" s="98"/>
      <c r="E257" s="99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7" t="s">
        <v>224</v>
      </c>
      <c r="B270" s="98"/>
      <c r="C270" s="98"/>
      <c r="D270" s="98"/>
      <c r="E270" s="99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4" t="s">
        <v>225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7" t="s">
        <v>222</v>
      </c>
      <c r="B284" s="98"/>
      <c r="C284" s="98"/>
      <c r="D284" s="98"/>
      <c r="E284" s="99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7" t="s">
        <v>224</v>
      </c>
      <c r="B297" s="98"/>
      <c r="C297" s="98"/>
      <c r="D297" s="98"/>
      <c r="E297" s="99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4" t="s">
        <v>225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7" t="s">
        <v>222</v>
      </c>
      <c r="B311" s="98"/>
      <c r="C311" s="98"/>
      <c r="D311" s="98"/>
      <c r="E311" s="99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7" t="s">
        <v>224</v>
      </c>
      <c r="B324" s="98"/>
      <c r="C324" s="98"/>
      <c r="D324" s="98"/>
      <c r="E324" s="99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4" t="s">
        <v>225</v>
      </c>
      <c r="B325" s="95"/>
      <c r="C325" s="95"/>
      <c r="D325" s="95"/>
      <c r="E325" s="96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7" t="s">
        <v>222</v>
      </c>
      <c r="B338" s="98"/>
      <c r="C338" s="98"/>
      <c r="D338" s="98"/>
      <c r="E338" s="99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7" t="s">
        <v>224</v>
      </c>
      <c r="B351" s="98"/>
      <c r="C351" s="98"/>
      <c r="D351" s="98"/>
      <c r="E351" s="99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4" t="s">
        <v>225</v>
      </c>
      <c r="B352" s="95"/>
      <c r="C352" s="95"/>
      <c r="D352" s="95"/>
      <c r="E352" s="96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7" t="s">
        <v>222</v>
      </c>
      <c r="B365" s="98"/>
      <c r="C365" s="98"/>
      <c r="D365" s="98"/>
      <c r="E365" s="99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7" t="s">
        <v>224</v>
      </c>
      <c r="B378" s="98"/>
      <c r="C378" s="98"/>
      <c r="D378" s="98"/>
      <c r="E378" s="99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4" t="s">
        <v>225</v>
      </c>
      <c r="B379" s="95"/>
      <c r="C379" s="95"/>
      <c r="D379" s="95"/>
      <c r="E379" s="96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7" t="s">
        <v>222</v>
      </c>
      <c r="B392" s="98"/>
      <c r="C392" s="98"/>
      <c r="D392" s="98"/>
      <c r="E392" s="99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>
        <v>25</v>
      </c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>
        <v>35</v>
      </c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7" t="s">
        <v>224</v>
      </c>
      <c r="B405" s="98"/>
      <c r="C405" s="98"/>
      <c r="D405" s="98"/>
      <c r="E405" s="99">
        <f>SUM(E393:E404)</f>
        <v>0</v>
      </c>
      <c r="F405" s="36">
        <f>SUM(F393:F404)</f>
        <v>308</v>
      </c>
      <c r="G405" s="36">
        <f>SUM(G393:G404)</f>
        <v>1240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/>
    </row>
    <row r="406" spans="1:15" ht="18" customHeight="1">
      <c r="A406" s="94" t="s">
        <v>225</v>
      </c>
      <c r="B406" s="95"/>
      <c r="C406" s="95"/>
      <c r="D406" s="95"/>
      <c r="E406" s="96">
        <f>E392+E405</f>
        <v>0</v>
      </c>
      <c r="F406" s="40">
        <f>F392+F405</f>
        <v>568</v>
      </c>
      <c r="G406" s="40">
        <f>G392+G405</f>
        <v>2540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1576070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7" t="s">
        <v>222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7" t="s">
        <v>224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4" t="s">
        <v>225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7" t="s">
        <v>222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7" t="s">
        <v>224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4" t="s">
        <v>225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7" t="s">
        <v>222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7" t="s">
        <v>224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4" t="s">
        <v>225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7" t="s">
        <v>222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7" t="s">
        <v>224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4" t="s">
        <v>225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7" t="s">
        <v>222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7" t="s">
        <v>224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4" t="s">
        <v>225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7" t="s">
        <v>222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7" t="s">
        <v>224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4" t="s">
        <v>225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7" t="s">
        <v>222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7" t="s">
        <v>224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4" t="s">
        <v>225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7" t="s">
        <v>222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7" t="s">
        <v>224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4" t="s">
        <v>225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7" t="s">
        <v>222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7" t="s">
        <v>224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4" t="s">
        <v>225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7" t="s">
        <v>222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7" t="s">
        <v>224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4" t="s">
        <v>225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7" t="s">
        <v>222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7" t="s">
        <v>224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4" t="s">
        <v>225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7" t="s">
        <v>222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7" t="s">
        <v>224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4" t="s">
        <v>225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7" t="s">
        <v>222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7" t="s">
        <v>224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4" t="s">
        <v>225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7" t="s">
        <v>222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7" t="s">
        <v>224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4" t="s">
        <v>225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7" t="s">
        <v>222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7" t="s">
        <v>224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87" activePane="bottomLeft" state="frozen"/>
      <selection pane="bottomLeft" activeCell="F403" sqref="F40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7" t="s">
        <v>222</v>
      </c>
      <c r="B14" s="98"/>
      <c r="C14" s="98"/>
      <c r="D14" s="98"/>
      <c r="E14" s="9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7" t="s">
        <v>224</v>
      </c>
      <c r="B27" s="98"/>
      <c r="C27" s="98"/>
      <c r="D27" s="98"/>
      <c r="E27" s="9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4" t="s">
        <v>225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7" t="s">
        <v>222</v>
      </c>
      <c r="B41" s="98"/>
      <c r="C41" s="98"/>
      <c r="D41" s="98"/>
      <c r="E41" s="9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243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7" t="s">
        <v>224</v>
      </c>
      <c r="B54" s="98"/>
      <c r="C54" s="98"/>
      <c r="D54" s="98"/>
      <c r="E54" s="9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4" t="s">
        <v>225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7" t="s">
        <v>222</v>
      </c>
      <c r="B68" s="98"/>
      <c r="C68" s="98"/>
      <c r="D68" s="98"/>
      <c r="E68" s="9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7" t="s">
        <v>224</v>
      </c>
      <c r="B81" s="98"/>
      <c r="C81" s="98"/>
      <c r="D81" s="98"/>
      <c r="E81" s="9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4" t="s">
        <v>225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7" t="s">
        <v>222</v>
      </c>
      <c r="B95" s="98"/>
      <c r="C95" s="98"/>
      <c r="D95" s="98"/>
      <c r="E95" s="9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7" t="s">
        <v>224</v>
      </c>
      <c r="B108" s="98"/>
      <c r="C108" s="98"/>
      <c r="D108" s="98"/>
      <c r="E108" s="9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4" t="s">
        <v>225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7" t="s">
        <v>222</v>
      </c>
      <c r="B122" s="98"/>
      <c r="C122" s="98"/>
      <c r="D122" s="98"/>
      <c r="E122" s="9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7" t="s">
        <v>224</v>
      </c>
      <c r="B135" s="98"/>
      <c r="C135" s="98"/>
      <c r="D135" s="98"/>
      <c r="E135" s="9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4" t="s">
        <v>225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7" t="s">
        <v>222</v>
      </c>
      <c r="B149" s="98"/>
      <c r="C149" s="98"/>
      <c r="D149" s="98"/>
      <c r="E149" s="9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7" t="s">
        <v>224</v>
      </c>
      <c r="B162" s="98"/>
      <c r="C162" s="98"/>
      <c r="D162" s="98"/>
      <c r="E162" s="9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4" t="s">
        <v>225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7" t="s">
        <v>222</v>
      </c>
      <c r="B176" s="98"/>
      <c r="C176" s="98"/>
      <c r="D176" s="98"/>
      <c r="E176" s="9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7" t="s">
        <v>224</v>
      </c>
      <c r="B189" s="98"/>
      <c r="C189" s="98"/>
      <c r="D189" s="98"/>
      <c r="E189" s="9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4" t="s">
        <v>225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7" t="s">
        <v>222</v>
      </c>
      <c r="B203" s="98"/>
      <c r="C203" s="98"/>
      <c r="D203" s="98"/>
      <c r="E203" s="9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7" t="s">
        <v>224</v>
      </c>
      <c r="B216" s="98"/>
      <c r="C216" s="98"/>
      <c r="D216" s="98"/>
      <c r="E216" s="99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4" t="s">
        <v>225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7" t="s">
        <v>224</v>
      </c>
      <c r="B243" s="98"/>
      <c r="C243" s="98"/>
      <c r="D243" s="98"/>
      <c r="E243" s="99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4" t="s">
        <v>225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7" t="s">
        <v>222</v>
      </c>
      <c r="B257" s="98"/>
      <c r="C257" s="98"/>
      <c r="D257" s="98"/>
      <c r="E257" s="99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7" t="s">
        <v>224</v>
      </c>
      <c r="B270" s="98"/>
      <c r="C270" s="98"/>
      <c r="D270" s="98"/>
      <c r="E270" s="99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4" t="s">
        <v>225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7" t="s">
        <v>222</v>
      </c>
      <c r="B284" s="98"/>
      <c r="C284" s="98"/>
      <c r="D284" s="98"/>
      <c r="E284" s="99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7" t="s">
        <v>224</v>
      </c>
      <c r="B297" s="98"/>
      <c r="C297" s="98"/>
      <c r="D297" s="98"/>
      <c r="E297" s="99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4" t="s">
        <v>225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7" t="s">
        <v>222</v>
      </c>
      <c r="B311" s="98"/>
      <c r="C311" s="98"/>
      <c r="D311" s="98"/>
      <c r="E311" s="99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7" t="s">
        <v>224</v>
      </c>
      <c r="B324" s="98"/>
      <c r="C324" s="98"/>
      <c r="D324" s="98"/>
      <c r="E324" s="99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4" t="s">
        <v>225</v>
      </c>
      <c r="B325" s="95"/>
      <c r="C325" s="95"/>
      <c r="D325" s="95"/>
      <c r="E325" s="96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243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243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243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243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243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243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243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243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243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243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7" t="s">
        <v>222</v>
      </c>
      <c r="B338" s="98"/>
      <c r="C338" s="98"/>
      <c r="D338" s="98"/>
      <c r="E338" s="99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273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274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7" t="s">
        <v>224</v>
      </c>
      <c r="B351" s="98"/>
      <c r="C351" s="98"/>
      <c r="D351" s="98"/>
      <c r="E351" s="99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4" t="s">
        <v>225</v>
      </c>
      <c r="B352" s="95"/>
      <c r="C352" s="95"/>
      <c r="D352" s="95"/>
      <c r="E352" s="96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243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7" t="s">
        <v>222</v>
      </c>
      <c r="B365" s="98"/>
      <c r="C365" s="98"/>
      <c r="D365" s="98"/>
      <c r="E365" s="99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243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243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243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0.99247974537138361</v>
      </c>
      <c r="N377" s="46"/>
      <c r="O377" s="47"/>
    </row>
    <row r="378" spans="1:15" ht="15.75" customHeight="1">
      <c r="A378" s="97" t="s">
        <v>224</v>
      </c>
      <c r="B378" s="98"/>
      <c r="C378" s="98"/>
      <c r="D378" s="98"/>
      <c r="E378" s="99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1.1501186342602725</v>
      </c>
      <c r="N378" s="36" t="s">
        <v>223</v>
      </c>
      <c r="O378" s="78">
        <v>511980</v>
      </c>
    </row>
    <row r="379" spans="1:15" ht="18" customHeight="1">
      <c r="A379" s="94" t="s">
        <v>225</v>
      </c>
      <c r="B379" s="95"/>
      <c r="C379" s="95"/>
      <c r="D379" s="95"/>
      <c r="E379" s="96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1.2598408564824948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243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243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243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243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258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243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275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243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243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243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243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7" t="s">
        <v>222</v>
      </c>
      <c r="B392" s="98"/>
      <c r="C392" s="98"/>
      <c r="D392" s="98"/>
      <c r="E392" s="99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243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276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243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243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243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243</v>
      </c>
      <c r="F397" s="27">
        <v>10</v>
      </c>
      <c r="G397" s="34">
        <f t="shared" si="87"/>
        <v>42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243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243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243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243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243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7" t="s">
        <v>224</v>
      </c>
      <c r="B405" s="98"/>
      <c r="C405" s="98"/>
      <c r="D405" s="98"/>
      <c r="E405" s="99">
        <f>SUM(E393:E404)</f>
        <v>0</v>
      </c>
      <c r="F405" s="36">
        <f>SUM(F393:F404)</f>
        <v>107</v>
      </c>
      <c r="G405" s="36">
        <f>SUM(G393:G404)</f>
        <v>449.4</v>
      </c>
      <c r="H405" s="37"/>
      <c r="I405" s="37"/>
      <c r="J405" s="37"/>
      <c r="K405" s="37"/>
      <c r="L405" s="37"/>
      <c r="M405" s="38">
        <f ca="1">IFERROR(SUM(M393:M404),"")</f>
        <v>0.14722222222222225</v>
      </c>
      <c r="N405" s="36" t="s">
        <v>223</v>
      </c>
      <c r="O405" s="78"/>
    </row>
    <row r="406" spans="1:15" ht="18" customHeight="1">
      <c r="A406" s="94" t="s">
        <v>225</v>
      </c>
      <c r="B406" s="95"/>
      <c r="C406" s="95"/>
      <c r="D406" s="95"/>
      <c r="E406" s="96">
        <f>E392+E405</f>
        <v>0</v>
      </c>
      <c r="F406" s="40">
        <f>F392+F405</f>
        <v>181</v>
      </c>
      <c r="G406" s="40">
        <f>G392+G405</f>
        <v>760.2</v>
      </c>
      <c r="H406" s="41"/>
      <c r="I406" s="41"/>
      <c r="J406" s="41"/>
      <c r="K406" s="41"/>
      <c r="L406" s="41"/>
      <c r="M406" s="42">
        <f ca="1">IFERROR(M392+M405,"")</f>
        <v>0.48749999999999999</v>
      </c>
      <c r="N406" s="40" t="s">
        <v>226</v>
      </c>
      <c r="O406" s="84">
        <f>IFERROR(O392+O405,"")</f>
        <v>281950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7" t="s">
        <v>222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7" t="s">
        <v>224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4" t="s">
        <v>225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7" t="s">
        <v>222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7" t="s">
        <v>224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4" t="s">
        <v>225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7" t="s">
        <v>222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7" t="s">
        <v>224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4" t="s">
        <v>225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7" t="s">
        <v>222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7" t="s">
        <v>224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4" t="s">
        <v>225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7" t="s">
        <v>222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7" t="s">
        <v>224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4" t="s">
        <v>225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7" t="s">
        <v>222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7" t="s">
        <v>224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4" t="s">
        <v>225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7" t="s">
        <v>222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7" t="s">
        <v>224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4" t="s">
        <v>225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7" t="s">
        <v>222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7" t="s">
        <v>224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4" t="s">
        <v>225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7" t="s">
        <v>222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7" t="s">
        <v>224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4" t="s">
        <v>225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7" t="s">
        <v>222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7" t="s">
        <v>224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4" t="s">
        <v>225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7" t="s">
        <v>222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7" t="s">
        <v>224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4" t="s">
        <v>225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7" t="s">
        <v>222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7" t="s">
        <v>224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4" t="s">
        <v>225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7" t="s">
        <v>222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7" t="s">
        <v>224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4" t="s">
        <v>225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7" t="s">
        <v>222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7" t="s">
        <v>224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4" t="s">
        <v>225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7" t="s">
        <v>222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7" t="s">
        <v>224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4" t="s">
        <v>225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8" zoomScale="50" zoomScaleNormal="50" workbookViewId="0">
      <selection activeCell="F403" sqref="F40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7" t="s">
        <v>222</v>
      </c>
      <c r="B14" s="98"/>
      <c r="C14" s="98"/>
      <c r="D14" s="98"/>
      <c r="E14" s="9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7" t="s">
        <v>224</v>
      </c>
      <c r="B27" s="98"/>
      <c r="C27" s="98"/>
      <c r="D27" s="98"/>
      <c r="E27" s="9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4" t="s">
        <v>225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7" t="s">
        <v>222</v>
      </c>
      <c r="B41" s="98"/>
      <c r="C41" s="98"/>
      <c r="D41" s="98"/>
      <c r="E41" s="9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7" t="s">
        <v>224</v>
      </c>
      <c r="B54" s="98"/>
      <c r="C54" s="98"/>
      <c r="D54" s="98"/>
      <c r="E54" s="9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4" t="s">
        <v>225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7" t="s">
        <v>222</v>
      </c>
      <c r="B68" s="98"/>
      <c r="C68" s="98"/>
      <c r="D68" s="98"/>
      <c r="E68" s="9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7" t="s">
        <v>224</v>
      </c>
      <c r="B81" s="98"/>
      <c r="C81" s="98"/>
      <c r="D81" s="98"/>
      <c r="E81" s="9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4" t="s">
        <v>225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7" t="s">
        <v>222</v>
      </c>
      <c r="B95" s="98"/>
      <c r="C95" s="98"/>
      <c r="D95" s="98"/>
      <c r="E95" s="9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7" t="s">
        <v>224</v>
      </c>
      <c r="B108" s="98"/>
      <c r="C108" s="98"/>
      <c r="D108" s="98"/>
      <c r="E108" s="9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4" t="s">
        <v>225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7" t="s">
        <v>222</v>
      </c>
      <c r="B122" s="98"/>
      <c r="C122" s="98"/>
      <c r="D122" s="98"/>
      <c r="E122" s="9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7" t="s">
        <v>224</v>
      </c>
      <c r="B135" s="98"/>
      <c r="C135" s="98"/>
      <c r="D135" s="98"/>
      <c r="E135" s="9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4" t="s">
        <v>225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257</v>
      </c>
      <c r="K141" s="29">
        <v>0.71597222222222223</v>
      </c>
      <c r="L141" s="29" t="s">
        <v>284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222</v>
      </c>
      <c r="B149" s="98"/>
      <c r="C149" s="98"/>
      <c r="D149" s="98"/>
      <c r="E149" s="9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224</v>
      </c>
      <c r="B162" s="98"/>
      <c r="C162" s="98"/>
      <c r="D162" s="98"/>
      <c r="E162" s="9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4" t="s">
        <v>225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286</v>
      </c>
      <c r="N166" s="27" t="s">
        <v>287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222</v>
      </c>
      <c r="B176" s="98"/>
      <c r="C176" s="98"/>
      <c r="D176" s="98"/>
      <c r="E176" s="9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224</v>
      </c>
      <c r="B189" s="98"/>
      <c r="C189" s="98"/>
      <c r="D189" s="98"/>
      <c r="E189" s="9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4" t="s">
        <v>225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222</v>
      </c>
      <c r="B203" s="98"/>
      <c r="C203" s="98"/>
      <c r="D203" s="98"/>
      <c r="E203" s="9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7" t="s">
        <v>224</v>
      </c>
      <c r="B216" s="98"/>
      <c r="C216" s="98"/>
      <c r="D216" s="98"/>
      <c r="E216" s="99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4" t="s">
        <v>225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7" t="s">
        <v>222</v>
      </c>
      <c r="B230" s="98"/>
      <c r="C230" s="98"/>
      <c r="D230" s="98"/>
      <c r="E230" s="99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7" t="s">
        <v>224</v>
      </c>
      <c r="B243" s="98"/>
      <c r="C243" s="98"/>
      <c r="D243" s="98"/>
      <c r="E243" s="99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4" t="s">
        <v>225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7" t="s">
        <v>222</v>
      </c>
      <c r="B257" s="98"/>
      <c r="C257" s="98"/>
      <c r="D257" s="98"/>
      <c r="E257" s="99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7" t="s">
        <v>224</v>
      </c>
      <c r="B270" s="98"/>
      <c r="C270" s="98"/>
      <c r="D270" s="98"/>
      <c r="E270" s="99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4" t="s">
        <v>225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7" t="s">
        <v>222</v>
      </c>
      <c r="B284" s="98"/>
      <c r="C284" s="98"/>
      <c r="D284" s="98"/>
      <c r="E284" s="99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7" t="s">
        <v>224</v>
      </c>
      <c r="B297" s="98"/>
      <c r="C297" s="98"/>
      <c r="D297" s="98"/>
      <c r="E297" s="99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4" t="s">
        <v>225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7" t="s">
        <v>222</v>
      </c>
      <c r="B311" s="98"/>
      <c r="C311" s="98"/>
      <c r="D311" s="98"/>
      <c r="E311" s="99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294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7" t="s">
        <v>224</v>
      </c>
      <c r="B324" s="98"/>
      <c r="C324" s="98"/>
      <c r="D324" s="98"/>
      <c r="E324" s="99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4" t="s">
        <v>225</v>
      </c>
      <c r="B325" s="95"/>
      <c r="C325" s="95"/>
      <c r="D325" s="95"/>
      <c r="E325" s="96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243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243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243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243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243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243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243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7" t="s">
        <v>222</v>
      </c>
      <c r="B338" s="98"/>
      <c r="C338" s="98"/>
      <c r="D338" s="98"/>
      <c r="E338" s="99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7" t="s">
        <v>224</v>
      </c>
      <c r="B351" s="98"/>
      <c r="C351" s="98"/>
      <c r="D351" s="98"/>
      <c r="E351" s="99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4" t="s">
        <v>225</v>
      </c>
      <c r="B352" s="95"/>
      <c r="C352" s="95"/>
      <c r="D352" s="95"/>
      <c r="E352" s="96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243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243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7" t="s">
        <v>222</v>
      </c>
      <c r="B365" s="98"/>
      <c r="C365" s="98"/>
      <c r="D365" s="98"/>
      <c r="E365" s="99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243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243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243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243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243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243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7" t="s">
        <v>224</v>
      </c>
      <c r="B378" s="98"/>
      <c r="C378" s="98"/>
      <c r="D378" s="98"/>
      <c r="E378" s="99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4" t="s">
        <v>225</v>
      </c>
      <c r="B379" s="95"/>
      <c r="C379" s="95"/>
      <c r="D379" s="95"/>
      <c r="E379" s="96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243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243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243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243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243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243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243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243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243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7" t="s">
        <v>222</v>
      </c>
      <c r="B392" s="98"/>
      <c r="C392" s="98"/>
      <c r="D392" s="98"/>
      <c r="E392" s="99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243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243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243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243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243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243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243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243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243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7" t="s">
        <v>224</v>
      </c>
      <c r="B405" s="98"/>
      <c r="C405" s="98"/>
      <c r="D405" s="98"/>
      <c r="E405" s="99">
        <f>SUM(E393:E404)</f>
        <v>0</v>
      </c>
      <c r="F405" s="36">
        <f>SUM(F393:F404)</f>
        <v>69</v>
      </c>
      <c r="G405" s="36">
        <f>SUM(G393:G404)</f>
        <v>299.40000000000003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/>
    </row>
    <row r="406" spans="1:15" ht="18" customHeight="1">
      <c r="A406" s="94" t="s">
        <v>225</v>
      </c>
      <c r="B406" s="95"/>
      <c r="C406" s="95"/>
      <c r="D406" s="95"/>
      <c r="E406" s="96">
        <f>E392+E405</f>
        <v>0</v>
      </c>
      <c r="F406" s="40">
        <f>F392+F405</f>
        <v>164</v>
      </c>
      <c r="G406" s="40">
        <f>G392+G405</f>
        <v>698.40000000000009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399940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7" t="s">
        <v>222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7" t="s">
        <v>224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4" t="s">
        <v>225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7" t="s">
        <v>222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7" t="s">
        <v>224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4" t="s">
        <v>225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7" t="s">
        <v>222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7" t="s">
        <v>224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4" t="s">
        <v>225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7" t="s">
        <v>222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7" t="s">
        <v>224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4" t="s">
        <v>225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7" t="s">
        <v>222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7" t="s">
        <v>224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4" t="s">
        <v>225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7" t="s">
        <v>222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7" t="s">
        <v>224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4" t="s">
        <v>225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7" t="s">
        <v>222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7" t="s">
        <v>224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4" t="s">
        <v>225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7" t="s">
        <v>222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7" t="s">
        <v>224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4" t="s">
        <v>225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7" t="s">
        <v>222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7" t="s">
        <v>224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4" t="s">
        <v>225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7" t="s">
        <v>222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7" t="s">
        <v>224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4" t="s">
        <v>225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7" t="s">
        <v>222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7" t="s">
        <v>224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4" t="s">
        <v>225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7" t="s">
        <v>222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7" t="s">
        <v>224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4" t="s">
        <v>225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7" t="s">
        <v>222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7" t="s">
        <v>224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4" t="s">
        <v>225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7" t="s">
        <v>222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7" t="s">
        <v>224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4" t="s">
        <v>225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7" t="s">
        <v>222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7" t="s">
        <v>224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4" t="s">
        <v>225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88" activePane="bottomLeft" state="frozen"/>
      <selection pane="bottomLeft" activeCell="K399" sqref="K39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7" t="s">
        <v>222</v>
      </c>
      <c r="B14" s="98"/>
      <c r="C14" s="98"/>
      <c r="D14" s="98"/>
      <c r="E14" s="9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7" t="s">
        <v>224</v>
      </c>
      <c r="B27" s="98"/>
      <c r="C27" s="98"/>
      <c r="D27" s="98"/>
      <c r="E27" s="9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4" t="s">
        <v>225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7" t="s">
        <v>222</v>
      </c>
      <c r="B41" s="98"/>
      <c r="C41" s="98"/>
      <c r="D41" s="98"/>
      <c r="E41" s="9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7" t="s">
        <v>224</v>
      </c>
      <c r="B54" s="98"/>
      <c r="C54" s="98"/>
      <c r="D54" s="98"/>
      <c r="E54" s="9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4" t="s">
        <v>225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301</v>
      </c>
      <c r="L58" s="29">
        <v>0.54097222222222219</v>
      </c>
      <c r="M58" s="30" t="str">
        <f t="shared" ca="1" si="13"/>
        <v/>
      </c>
      <c r="N58" s="27" t="s">
        <v>302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7" t="s">
        <v>222</v>
      </c>
      <c r="B68" s="98"/>
      <c r="C68" s="98"/>
      <c r="D68" s="98"/>
      <c r="E68" s="9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7" t="s">
        <v>224</v>
      </c>
      <c r="B81" s="98"/>
      <c r="C81" s="98"/>
      <c r="D81" s="98"/>
      <c r="E81" s="9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4" t="s">
        <v>225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7" t="s">
        <v>222</v>
      </c>
      <c r="B95" s="98"/>
      <c r="C95" s="98"/>
      <c r="D95" s="98"/>
      <c r="E95" s="9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7" t="s">
        <v>224</v>
      </c>
      <c r="B108" s="98"/>
      <c r="C108" s="98"/>
      <c r="D108" s="98"/>
      <c r="E108" s="9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4" t="s">
        <v>225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7" t="s">
        <v>222</v>
      </c>
      <c r="B122" s="98"/>
      <c r="C122" s="98"/>
      <c r="D122" s="98"/>
      <c r="E122" s="9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0.98275752315385034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7" t="s">
        <v>224</v>
      </c>
      <c r="B135" s="98"/>
      <c r="C135" s="98"/>
      <c r="D135" s="98"/>
      <c r="E135" s="9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1.182063078709406</v>
      </c>
      <c r="N135" s="36" t="s">
        <v>223</v>
      </c>
      <c r="O135" s="39">
        <v>729290</v>
      </c>
    </row>
    <row r="136" spans="1:18" ht="18" customHeight="1">
      <c r="A136" s="94" t="s">
        <v>225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1.549424189820517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222</v>
      </c>
      <c r="B149" s="98"/>
      <c r="C149" s="98"/>
      <c r="D149" s="98"/>
      <c r="E149" s="9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224</v>
      </c>
      <c r="B162" s="98"/>
      <c r="C162" s="98"/>
      <c r="D162" s="98"/>
      <c r="E162" s="9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4" t="s">
        <v>225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243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243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222</v>
      </c>
      <c r="B176" s="98"/>
      <c r="C176" s="98"/>
      <c r="D176" s="98"/>
      <c r="E176" s="9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243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243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224</v>
      </c>
      <c r="B189" s="98"/>
      <c r="C189" s="98"/>
      <c r="D189" s="98"/>
      <c r="E189" s="9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4" t="s">
        <v>225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243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243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243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222</v>
      </c>
      <c r="B203" s="98"/>
      <c r="C203" s="98"/>
      <c r="D203" s="98"/>
      <c r="E203" s="9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7" t="s">
        <v>224</v>
      </c>
      <c r="B216" s="98"/>
      <c r="C216" s="98"/>
      <c r="D216" s="98"/>
      <c r="E216" s="99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4" t="s">
        <v>225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243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7" t="s">
        <v>222</v>
      </c>
      <c r="B230" s="98"/>
      <c r="C230" s="98"/>
      <c r="D230" s="98"/>
      <c r="E230" s="99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7" t="s">
        <v>224</v>
      </c>
      <c r="B243" s="98"/>
      <c r="C243" s="98"/>
      <c r="D243" s="98"/>
      <c r="E243" s="99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4" t="s">
        <v>225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7" t="s">
        <v>222</v>
      </c>
      <c r="B257" s="98"/>
      <c r="C257" s="98"/>
      <c r="D257" s="98"/>
      <c r="E257" s="99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7" t="s">
        <v>224</v>
      </c>
      <c r="B270" s="98"/>
      <c r="C270" s="98"/>
      <c r="D270" s="98"/>
      <c r="E270" s="99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4" t="s">
        <v>225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7" t="s">
        <v>222</v>
      </c>
      <c r="B284" s="98"/>
      <c r="C284" s="98"/>
      <c r="D284" s="98"/>
      <c r="E284" s="99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7" t="s">
        <v>224</v>
      </c>
      <c r="B297" s="98"/>
      <c r="C297" s="98"/>
      <c r="D297" s="98"/>
      <c r="E297" s="99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4" t="s">
        <v>225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7" t="s">
        <v>222</v>
      </c>
      <c r="B311" s="98"/>
      <c r="C311" s="98"/>
      <c r="D311" s="98"/>
      <c r="E311" s="99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7" t="s">
        <v>224</v>
      </c>
      <c r="B324" s="98"/>
      <c r="C324" s="98"/>
      <c r="D324" s="98"/>
      <c r="E324" s="99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4" t="s">
        <v>225</v>
      </c>
      <c r="B325" s="95"/>
      <c r="C325" s="95"/>
      <c r="D325" s="95"/>
      <c r="E325" s="96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243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243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243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243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243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243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243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243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243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243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7" t="s">
        <v>222</v>
      </c>
      <c r="B338" s="98"/>
      <c r="C338" s="98"/>
      <c r="D338" s="98"/>
      <c r="E338" s="99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324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7" t="s">
        <v>224</v>
      </c>
      <c r="B351" s="98"/>
      <c r="C351" s="98"/>
      <c r="D351" s="98"/>
      <c r="E351" s="99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4" t="s">
        <v>225</v>
      </c>
      <c r="B352" s="95"/>
      <c r="C352" s="95"/>
      <c r="D352" s="95"/>
      <c r="E352" s="96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243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243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243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243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243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243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243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243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7" t="s">
        <v>224</v>
      </c>
      <c r="B378" s="98"/>
      <c r="C378" s="98"/>
      <c r="D378" s="98"/>
      <c r="E378" s="99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4" t="s">
        <v>225</v>
      </c>
      <c r="B379" s="95"/>
      <c r="C379" s="95"/>
      <c r="D379" s="95"/>
      <c r="E379" s="96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243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326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243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243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313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243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243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243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243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243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243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7" t="s">
        <v>222</v>
      </c>
      <c r="B392" s="98"/>
      <c r="C392" s="98"/>
      <c r="D392" s="98"/>
      <c r="E392" s="99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243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327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243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243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243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243</v>
      </c>
      <c r="F398" s="27">
        <v>15</v>
      </c>
      <c r="G398" s="28">
        <f t="shared" si="87"/>
        <v>63</v>
      </c>
      <c r="H398" s="26"/>
      <c r="I398" s="26"/>
      <c r="J398" s="26"/>
      <c r="K398" s="29">
        <v>0.23125000000000001</v>
      </c>
      <c r="L398" s="29"/>
      <c r="M398" s="30">
        <f t="shared" ca="1" si="88"/>
        <v>8.1307871005265042E-4</v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243</v>
      </c>
      <c r="F399" s="27">
        <v>10</v>
      </c>
      <c r="G399" s="34">
        <f t="shared" si="87"/>
        <v>42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243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243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243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243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7" t="s">
        <v>224</v>
      </c>
      <c r="B405" s="98"/>
      <c r="C405" s="98"/>
      <c r="D405" s="98"/>
      <c r="E405" s="99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9.2479745376719477E-2</v>
      </c>
      <c r="N405" s="36" t="s">
        <v>223</v>
      </c>
      <c r="O405" s="39"/>
    </row>
    <row r="406" spans="1:15" ht="18" customHeight="1">
      <c r="A406" s="94" t="s">
        <v>225</v>
      </c>
      <c r="B406" s="95"/>
      <c r="C406" s="95"/>
      <c r="D406" s="95"/>
      <c r="E406" s="96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0.27511863426560845</v>
      </c>
      <c r="N406" s="40" t="s">
        <v>226</v>
      </c>
      <c r="O406" s="48">
        <f>IFERROR(O392+O405,"")</f>
        <v>565570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7" t="s">
        <v>222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7" t="s">
        <v>224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4" t="s">
        <v>225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7" t="s">
        <v>222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7" t="s">
        <v>224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4" t="s">
        <v>225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7" t="s">
        <v>222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7" t="s">
        <v>224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4" t="s">
        <v>225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7" t="s">
        <v>222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7" t="s">
        <v>224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4" t="s">
        <v>225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7" t="s">
        <v>222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7" t="s">
        <v>224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4" t="s">
        <v>225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7" t="s">
        <v>222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7" t="s">
        <v>224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4" t="s">
        <v>225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7" t="s">
        <v>222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7" t="s">
        <v>224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4" t="s">
        <v>225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7" t="s">
        <v>222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7" t="s">
        <v>224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4" t="s">
        <v>225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7" t="s">
        <v>222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7" t="s">
        <v>224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4" t="s">
        <v>225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7" t="s">
        <v>222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7" t="s">
        <v>224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4" t="s">
        <v>225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7" t="s">
        <v>222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7" t="s">
        <v>224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4" t="s">
        <v>225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7" t="s">
        <v>222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7" t="s">
        <v>224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4" t="s">
        <v>225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7" t="s">
        <v>222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7" t="s">
        <v>224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4" t="s">
        <v>225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7" t="s">
        <v>222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7" t="s">
        <v>224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4" t="s">
        <v>225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7" t="s">
        <v>222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7" t="s">
        <v>224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4" t="s">
        <v>225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2026-07-16T09:34:28Z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