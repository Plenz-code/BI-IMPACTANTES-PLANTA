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97" documentId="8_{AF585B22-221D-4780-BB9C-493D365A6A02}" xr6:coauthVersionLast="47" xr6:coauthVersionMax="47" xr10:uidLastSave="{90C51A2E-8083-4D5F-9A28-1FB52EE2BC0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<sst xmlns="http://schemas.openxmlformats.org/spreadsheetml/2006/main" count="4077" uniqueCount="276">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</sst>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E239" sqref="E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0.14227465278236195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0.34783020833791745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0.34783020833791745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J231" sqref="J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0.55963576389331138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0.758941319448867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1.126302430559978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221</v>
      </c>
      <c r="F231" s="27">
        <v>12</v>
      </c>
      <c r="G231" s="34">
        <f t="shared" ref="G231:G242" si="51">IF(F231="","",IF(E231="PC 17",F231*4.2,IF(E231="PC 19",F231*5,"")))</f>
        <v>50.400000000000006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/>
      <c r="M231" s="35">
        <f t="shared" ref="M231:M242" ca="1" si="52">IFERROR(IF(K231="","",IF(L231="",MOD(NOW()-K231,1),IF(L231&gt;=K231,L231-K231,L231+1-K231))),"")</f>
        <v>6.079861122998409E-4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12</v>
      </c>
      <c r="G243" s="36">
        <f>SUM(G231:G242)</f>
        <v>50.400000000000006</v>
      </c>
      <c r="H243" s="37"/>
      <c r="I243" s="37"/>
      <c r="J243" s="37"/>
      <c r="K243" s="61"/>
      <c r="L243" s="61"/>
      <c r="M243" s="38">
        <f ca="1">IFERROR(SUM(M231:M242),"")</f>
        <v>6.079861122998409E-4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130</v>
      </c>
      <c r="G244" s="40">
        <f>G230+G243</f>
        <v>546</v>
      </c>
      <c r="H244" s="41"/>
      <c r="I244" s="41"/>
      <c r="J244" s="41"/>
      <c r="K244" s="63"/>
      <c r="L244" s="63"/>
      <c r="M244" s="42">
        <f ca="1">IFERROR(M230+M243,"")</f>
        <v>0.19713576389007778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2026-07-09T23:26:32Z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