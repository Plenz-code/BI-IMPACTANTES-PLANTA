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50" documentId="13_ncr:1_{A6DBCFB4-28D9-4249-9038-216934055CA6}" xr6:coauthVersionLast="47" xr6:coauthVersionMax="47" xr10:uidLastSave="{A0196535-38D3-410C-86DF-D562D5F6B70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<sst xmlns="http://schemas.openxmlformats.org/spreadsheetml/2006/main" count="8842" uniqueCount="400">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</sst>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0</v>
      </c>
      <c r="G23" s="27">
        <f t="shared" si="0"/>
        <v>1135520</v>
      </c>
      <c r="H23" s="21">
        <f>IFERROR('Linha 1'!T541+'Linha 2'!T541+'Linha 3'!T541,0)</f>
        <v>238.45919999999995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29707410</v>
      </c>
      <c r="G35" s="30">
        <f t="shared" si="2"/>
        <v>66411520</v>
      </c>
      <c r="H35" s="31">
        <f t="shared" si="2"/>
        <v>5725.4499825806806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O528" sqref="O52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188</v>
      </c>
      <c r="G541" s="1">
        <f>G527+G540</f>
        <v>881.6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S528" sqref="S52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0.66686990740709007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0.8057587962959778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0.89048101851820061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179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825.40000000000009</v>
      </c>
      <c r="L541" s="76"/>
      <c r="M541" s="76"/>
      <c r="N541" s="76"/>
      <c r="O541" s="76"/>
      <c r="P541" s="76"/>
      <c r="Q541" s="77">
        <f ca="1">IFERROR(Q527+Q540,"")</f>
        <v>6.458333333333327E-2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96" activePane="bottomLeft" state="frozen"/>
      <selection pane="bottomLeft" activeCell="S528" sqref="S52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77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349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1" activePane="bottomLeft" state="frozen"/>
      <selection pane="bottomLeft" activeCell="G527" sqref="G52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30"/>
        <v>0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0</v>
      </c>
      <c r="I524" s="90">
        <f>IFERROR(IF($D524="","",VLOOKUP($D524,Cadastro!$C$4:$G$7,5,FALSE())),"")</f>
        <v>0.6</v>
      </c>
      <c r="J524" s="91">
        <f t="shared" si="130"/>
        <v>0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0</v>
      </c>
      <c r="I525" s="90">
        <f>IFERROR(IF($D525="","",VLOOKUP($D525,Cadastro!$C$4:$G$7,5,FALSE())),"")</f>
        <v>0.6</v>
      </c>
      <c r="J525" s="91">
        <f t="shared" si="130"/>
        <v>0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0</v>
      </c>
      <c r="I526" s="93">
        <f>IFERROR(IF($D526="","",VLOOKUP($D526,Cadastro!$C$4:$G$7,5,FALSE())),"")</f>
        <v>0.6</v>
      </c>
      <c r="J526" s="94">
        <f t="shared" si="130"/>
        <v>0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197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901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2026-08-20T22:55:18Z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