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543" documentId="8_{AF585B22-221D-4780-BB9C-493D365A6A02}" xr6:coauthVersionLast="47" xr6:coauthVersionMax="47" xr10:uidLastSave="{A745DC21-96B7-4F51-A876-9438AA422513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<sst xmlns="http://schemas.openxmlformats.org/spreadsheetml/2006/main" count="5899" uniqueCount="313">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</sst>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38990102</v>
      </c>
      <c r="D35" s="13">
        <f>IFERROR(SUM(D4:D34),"")</f>
        <v>14425670</v>
      </c>
      <c r="E35" s="13">
        <f>IFERROR(SUM(E4:E34),"")</f>
        <v>9797450</v>
      </c>
      <c r="F35" s="13">
        <f>IFERROR(SUM(F4:F34),"")</f>
        <v>18114640</v>
      </c>
      <c r="G35" s="13">
        <f>IFERROR(SUM(G4:G34),"")</f>
        <v>42337760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30" activePane="bottomLeft" state="frozen"/>
      <selection pane="bottomLeft" activeCell="F354" sqref="F35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21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21</v>
      </c>
      <c r="D354" s="62" t="s">
        <v>30</v>
      </c>
      <c r="E354" s="62" t="s">
        <v>216</v>
      </c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21</v>
      </c>
      <c r="D355" s="62" t="s">
        <v>30</v>
      </c>
      <c r="E355" s="62" t="s">
        <v>216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21</v>
      </c>
      <c r="D356" s="62" t="s">
        <v>30</v>
      </c>
      <c r="E356" s="62" t="s">
        <v>216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21</v>
      </c>
      <c r="D357" s="62" t="s">
        <v>30</v>
      </c>
      <c r="E357" s="62" t="s">
        <v>216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21</v>
      </c>
      <c r="D358" s="62" t="s">
        <v>30</v>
      </c>
      <c r="E358" s="62" t="s">
        <v>216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21</v>
      </c>
      <c r="D359" s="62" t="s">
        <v>30</v>
      </c>
      <c r="E359" s="62" t="s">
        <v>216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21</v>
      </c>
      <c r="D360" s="62" t="s">
        <v>30</v>
      </c>
      <c r="E360" s="62" t="s">
        <v>216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21</v>
      </c>
      <c r="D361" s="62" t="s">
        <v>30</v>
      </c>
      <c r="E361" s="62" t="s">
        <v>216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21</v>
      </c>
      <c r="D362" s="62" t="s">
        <v>30</v>
      </c>
      <c r="E362" s="62" t="s">
        <v>216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21</v>
      </c>
      <c r="D363" s="62" t="s">
        <v>30</v>
      </c>
      <c r="E363" s="62" t="s">
        <v>216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21</v>
      </c>
      <c r="D364" s="62" t="s">
        <v>30</v>
      </c>
      <c r="E364" s="62" t="s">
        <v>216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36" activePane="bottomLeft" state="frozen"/>
      <selection pane="bottomLeft" activeCell="F354" sqref="F35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21</v>
      </c>
      <c r="D353" s="62" t="s">
        <v>30</v>
      </c>
      <c r="E353" s="62" t="s">
        <v>235</v>
      </c>
      <c r="F353" s="27">
        <v>16</v>
      </c>
      <c r="G353" s="34">
        <f t="shared" ref="G353:G364" si="78">IF(F353="","",IF(E353="PC 17",F353*4.2,IF(E353="PC 19",F353*5,"")))</f>
        <v>67.2</v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21</v>
      </c>
      <c r="D354" s="62" t="s">
        <v>30</v>
      </c>
      <c r="E354" s="62" t="s">
        <v>235</v>
      </c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21</v>
      </c>
      <c r="D355" s="62" t="s">
        <v>30</v>
      </c>
      <c r="E355" s="62" t="s">
        <v>235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21</v>
      </c>
      <c r="D356" s="62" t="s">
        <v>30</v>
      </c>
      <c r="E356" s="62" t="s">
        <v>235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21</v>
      </c>
      <c r="D357" s="62" t="s">
        <v>30</v>
      </c>
      <c r="E357" s="62" t="s">
        <v>235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21</v>
      </c>
      <c r="D358" s="62" t="s">
        <v>30</v>
      </c>
      <c r="E358" s="62" t="s">
        <v>235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21</v>
      </c>
      <c r="D359" s="62" t="s">
        <v>30</v>
      </c>
      <c r="E359" s="62" t="s">
        <v>235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21</v>
      </c>
      <c r="D360" s="62" t="s">
        <v>30</v>
      </c>
      <c r="E360" s="62" t="s">
        <v>235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21</v>
      </c>
      <c r="D361" s="62" t="s">
        <v>30</v>
      </c>
      <c r="E361" s="62" t="s">
        <v>235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21</v>
      </c>
      <c r="D362" s="62" t="s">
        <v>30</v>
      </c>
      <c r="E362" s="62" t="s">
        <v>235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21</v>
      </c>
      <c r="D363" s="62" t="s">
        <v>30</v>
      </c>
      <c r="E363" s="62" t="s">
        <v>235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21</v>
      </c>
      <c r="D364" s="62" t="s">
        <v>30</v>
      </c>
      <c r="E364" s="62" t="s">
        <v>235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16</v>
      </c>
      <c r="G365" s="36">
        <f>SUM(G353:G364)</f>
        <v>67.2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16</v>
      </c>
      <c r="G379" s="40">
        <f>G365+G378</f>
        <v>67.2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37" zoomScale="50" zoomScaleNormal="50" workbookViewId="0">
      <selection activeCell="F354" sqref="F35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274</v>
      </c>
      <c r="N166" s="27" t="s">
        <v>275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21</v>
      </c>
      <c r="D353" s="62" t="s">
        <v>30</v>
      </c>
      <c r="E353" s="62" t="s">
        <v>235</v>
      </c>
      <c r="F353" s="27">
        <v>0</v>
      </c>
      <c r="G353" s="34">
        <f t="shared" ref="G353:G364" si="78">IF(F353="","",IF(E353="PC 17",F353*4.2,IF(E353="PC 19",F353*5,"")))</f>
        <v>0</v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21</v>
      </c>
      <c r="D354" s="62" t="s">
        <v>30</v>
      </c>
      <c r="E354" s="62" t="s">
        <v>235</v>
      </c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21</v>
      </c>
      <c r="D355" s="62" t="s">
        <v>30</v>
      </c>
      <c r="E355" s="62" t="s">
        <v>235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21</v>
      </c>
      <c r="D356" s="62" t="s">
        <v>30</v>
      </c>
      <c r="E356" s="62" t="s">
        <v>235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21</v>
      </c>
      <c r="D357" s="62" t="s">
        <v>30</v>
      </c>
      <c r="E357" s="62" t="s">
        <v>235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21</v>
      </c>
      <c r="D358" s="62" t="s">
        <v>30</v>
      </c>
      <c r="E358" s="62" t="s">
        <v>235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21</v>
      </c>
      <c r="D359" s="62" t="s">
        <v>30</v>
      </c>
      <c r="E359" s="62" t="s">
        <v>235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21</v>
      </c>
      <c r="D360" s="62" t="s">
        <v>30</v>
      </c>
      <c r="E360" s="62" t="s">
        <v>235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21</v>
      </c>
      <c r="D361" s="62" t="s">
        <v>30</v>
      </c>
      <c r="E361" s="62" t="s">
        <v>235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21</v>
      </c>
      <c r="D362" s="62" t="s">
        <v>30</v>
      </c>
      <c r="E362" s="62" t="s">
        <v>235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21</v>
      </c>
      <c r="D363" s="62" t="s">
        <v>30</v>
      </c>
      <c r="E363" s="62" t="s">
        <v>235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21</v>
      </c>
      <c r="D364" s="62" t="s">
        <v>30</v>
      </c>
      <c r="E364" s="62" t="s">
        <v>235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37" activePane="bottomLeft" state="frozen"/>
      <selection pane="bottomLeft" activeCell="F354" sqref="F35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289</v>
      </c>
      <c r="L58" s="29">
        <v>0.54097222222222219</v>
      </c>
      <c r="M58" s="30" t="str">
        <f t="shared" ca="1" si="13"/>
        <v/>
      </c>
      <c r="N58" s="27" t="s">
        <v>290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8.7748032412491739E-2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0.28705358796804736</v>
      </c>
      <c r="N135" s="36" t="s">
        <v>219</v>
      </c>
      <c r="O135" s="39">
        <v>729290</v>
      </c>
    </row>
    <row r="136" spans="1:18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0.65441469907915839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218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312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21</v>
      </c>
      <c r="D353" s="62" t="s">
        <v>30</v>
      </c>
      <c r="E353" s="62" t="s">
        <v>235</v>
      </c>
      <c r="F353" s="27">
        <v>0</v>
      </c>
      <c r="G353" s="34">
        <f t="shared" ref="G353:G364" si="78">IF(F353="","",IF(E353="PC 17",F353*4.2,IF(E353="PC 19",F353*5,"")))</f>
        <v>0</v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21</v>
      </c>
      <c r="D354" s="62" t="s">
        <v>30</v>
      </c>
      <c r="E354" s="62" t="s">
        <v>235</v>
      </c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21</v>
      </c>
      <c r="D355" s="62" t="s">
        <v>30</v>
      </c>
      <c r="E355" s="62" t="s">
        <v>235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21</v>
      </c>
      <c r="D356" s="62" t="s">
        <v>30</v>
      </c>
      <c r="E356" s="62" t="s">
        <v>235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21</v>
      </c>
      <c r="D357" s="62" t="s">
        <v>30</v>
      </c>
      <c r="E357" s="62" t="s">
        <v>235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21</v>
      </c>
      <c r="D358" s="62" t="s">
        <v>30</v>
      </c>
      <c r="E358" s="62" t="s">
        <v>235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21</v>
      </c>
      <c r="D359" s="62" t="s">
        <v>30</v>
      </c>
      <c r="E359" s="62" t="s">
        <v>235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21</v>
      </c>
      <c r="D360" s="62" t="s">
        <v>30</v>
      </c>
      <c r="E360" s="62" t="s">
        <v>235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21</v>
      </c>
      <c r="D361" s="62" t="s">
        <v>30</v>
      </c>
      <c r="E361" s="62" t="s">
        <v>235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21</v>
      </c>
      <c r="D362" s="62" t="s">
        <v>30</v>
      </c>
      <c r="E362" s="62" t="s">
        <v>235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21</v>
      </c>
      <c r="D363" s="62" t="s">
        <v>30</v>
      </c>
      <c r="E363" s="62" t="s">
        <v>235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21</v>
      </c>
      <c r="D364" s="62" t="s">
        <v>30</v>
      </c>
      <c r="E364" s="62" t="s">
        <v>235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2026-07-14T12:06:45Z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