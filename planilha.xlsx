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08" documentId="8_{C51EB6CB-002B-4D6B-B68F-DDEBDB4460C0}" xr6:coauthVersionLast="47" xr6:coauthVersionMax="47" xr10:uidLastSave="{F2FFD806-745A-475A-B974-FC6A0ADB2C7D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<sst xmlns="http://schemas.openxmlformats.org/spreadsheetml/2006/main" count="5079" uniqueCount="324">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</sst>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1" activePane="bottomLeft" state="frozen"/>
      <selection pane="bottomLeft" activeCell="F258" sqref="F25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/>
      <c r="G258" s="34" t="str">
        <f t="shared" ref="G258:G269" si="57">IF(F258="","",IF(E258="PC 17",F258*4.2,IF(E258="PC 19",F258*5,IF(E258="CB",F258*35,""))))</f>
        <v/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/>
      <c r="M258" s="30">
        <f t="shared" ref="M258:M269" ca="1" si="58">IFERROR(IF(K258="","",IF(L258="",MOD(NOW()-K258,1),IF(L258&gt;=K258,L258-K258,L258+1-K258))),"")</f>
        <v>2.7537962967471685E-2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2.7537962967471685E-2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284</v>
      </c>
      <c r="G271" s="40">
        <f>G257+G270</f>
        <v>1420</v>
      </c>
      <c r="H271" s="41"/>
      <c r="I271" s="41"/>
      <c r="J271" s="41"/>
      <c r="K271" s="41"/>
      <c r="L271" s="41"/>
      <c r="M271" s="42">
        <f ca="1">IFERROR(M257+M270,"")</f>
        <v>8.3093518523027265E-2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35" activePane="bottomLeft" state="frozen"/>
      <selection pane="bottomLeft" activeCell="J258" sqref="J2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0.70253796296310611</v>
      </c>
      <c r="N53" s="46" t="s">
        <v>265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0.84142685185199495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0.92614907407421732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/>
      <c r="G258" s="34" t="str">
        <f t="shared" ref="G258:G269" si="57">IF(F258="","",IF(E258="PC 17",F258*4.2,IF(E258="PC 19",F258*5,IF(E258="CB",F258*24,""))))</f>
        <v/>
      </c>
      <c r="H258" s="26" t="s">
        <v>20</v>
      </c>
      <c r="I258" s="26"/>
      <c r="J258" s="26" t="s">
        <v>131</v>
      </c>
      <c r="K258" s="29">
        <v>0.82291666666666663</v>
      </c>
      <c r="L258" s="29"/>
      <c r="M258" s="30">
        <f t="shared" ref="M258:M269" ca="1" si="58">IFERROR(IF(K258="","",IF(L258="",MOD(NOW()-K258,1),IF(L258&gt;=K258,L258-K258,L258+1-K258))),"")</f>
        <v>1.1490740798762999E-3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1.1490740798762999E-3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183</v>
      </c>
      <c r="G271" s="40">
        <f>G257+G270</f>
        <v>825.4</v>
      </c>
      <c r="H271" s="41"/>
      <c r="I271" s="41"/>
      <c r="J271" s="41"/>
      <c r="K271" s="41"/>
      <c r="L271" s="41"/>
      <c r="M271" s="42">
        <f ca="1">IFERROR(M257+M270,"")</f>
        <v>2.8232407413209704E-2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35" zoomScale="50" zoomScaleNormal="50" workbookViewId="0">
      <selection activeCell="F258" sqref="F2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/>
      <c r="G259" s="28" t="str">
        <f>IF(F259="","",IF(E260="PC 17",F259*4.2,IF(E260="PC 19",F259*5,IF(E260="CB",F259*24,""))))</f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/>
      <c r="G260" s="34" t="str">
        <f>IF(F260="","",IF(#REF!="PC 17",F260*4.2,IF(#REF!="PC 19",F260*5,IF(#REF!="CB",F260*24,""))))</f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113</v>
      </c>
      <c r="G271" s="40">
        <f>G257+G270</f>
        <v>512.20000000000005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J258" sqref="J2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/>
      <c r="G258" s="34" t="str">
        <f t="shared" ref="G258:G269" si="57">IF(F258="","",IF(E258="PC 17",F258*4.2,IF(E258="PC 19",F258*5,IF(E258="CB",F258*24,""))))</f>
        <v/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/>
      <c r="M258" s="35">
        <f t="shared" ref="M258:M269" ca="1" si="58">IFERROR(IF(K258="","",IF(L258="",MOD(NOW()-K258,1),IF(L258&gt;=K258,L258-K258,L258+1-K258))),"")</f>
        <v>2.684351852076361E-2</v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2.684351852076361E-2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182</v>
      </c>
      <c r="G271" s="40">
        <f>G257+G270</f>
        <v>822.80000000000007</v>
      </c>
      <c r="H271" s="41"/>
      <c r="I271" s="41"/>
      <c r="J271" s="41"/>
      <c r="K271" s="63"/>
      <c r="L271" s="63"/>
      <c r="M271" s="42">
        <f ca="1">IFERROR(M257+M270,"")</f>
        <v>0.11851018518743034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2026-08-10T23:46:45Z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