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705" documentId="13_ncr:1_{0A10D8D4-8450-4366-8075-B53B08E6B7EA}" xr6:coauthVersionLast="47" xr6:coauthVersionMax="47" xr10:uidLastSave="{296EBB0A-574D-4A42-A410-AE3BF56643D8}"/>
  <bookViews>
    <workbookView xWindow="-28920" yWindow="-6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0" i="5" l="1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<sst xmlns="http://schemas.openxmlformats.org/spreadsheetml/2006/main" count="6753" uniqueCount="351">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</sst>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0</v>
      </c>
      <c r="F18" s="8">
        <f>IFERROR('Linha 3'!S406,"")</f>
        <v>0</v>
      </c>
      <c r="G18" s="9">
        <f>IFERROR(D18+E18+F18,"")</f>
        <v>820320</v>
      </c>
      <c r="H18" s="96">
        <f>IFERROR('Linha 1'!T406+'Linha 2'!T406+'Linha 3'!T406,0)</f>
        <v>162.80881156626504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8465690</v>
      </c>
      <c r="F35" s="13">
        <f t="shared" si="2"/>
        <v>21843810</v>
      </c>
      <c r="G35" s="13">
        <f t="shared" si="2"/>
        <v>47782980</v>
      </c>
      <c r="H35" s="97">
        <f t="shared" si="2"/>
        <v>2516.426833106575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56" activePane="bottomLeft" state="frozen"/>
      <selection pane="bottomLeft" activeCell="O393" sqref="O393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280</v>
      </c>
      <c r="G406" s="40">
        <f>G392+G405</f>
        <v>1415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55" activePane="bottomLeft" state="frozen"/>
      <selection pane="bottomLeft" activeCell="S393" sqref="S39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0.66331689814251149</v>
      </c>
      <c r="R53" s="46" t="s">
        <v>278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0.80220578703140033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0.8869280092536227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166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697.20000000000016</v>
      </c>
      <c r="L406" s="41"/>
      <c r="M406" s="41"/>
      <c r="N406" s="41"/>
      <c r="O406" s="41"/>
      <c r="P406" s="41"/>
      <c r="Q406" s="42">
        <f ca="1">IFERROR(Q392+Q405,"")</f>
        <v>7.2222222222222188E-2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92" sqref="G39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88"/>
        <v>0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88"/>
        <v>0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319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88"/>
        <v>0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88"/>
        <v>0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0</v>
      </c>
      <c r="I387" s="135">
        <f>IFERROR(IF($D387="","",VLOOKUP($D387,Cadastro!$C$4:$G$7,5,FALSE)),"")</f>
        <v>0.6</v>
      </c>
      <c r="J387" s="136">
        <f t="shared" si="88"/>
        <v>0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0</v>
      </c>
      <c r="I388" s="135">
        <f>IFERROR(IF($D388="","",VLOOKUP($D388,Cadastro!$C$4:$G$7,5,FALSE)),"")</f>
        <v>0.6</v>
      </c>
      <c r="J388" s="136">
        <f t="shared" si="88"/>
        <v>0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0</v>
      </c>
      <c r="I389" s="135">
        <f>IFERROR(IF($D389="","",VLOOKUP($D389,Cadastro!$C$4:$G$7,5,FALSE)),"")</f>
        <v>0.6</v>
      </c>
      <c r="J389" s="136">
        <f t="shared" si="88"/>
        <v>0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0</v>
      </c>
      <c r="I390" s="135">
        <f>IFERROR(IF($D390="","",VLOOKUP($D390,Cadastro!$C$4:$G$7,5,FALSE)),"")</f>
        <v>0.6</v>
      </c>
      <c r="J390" s="136">
        <f t="shared" si="88"/>
        <v>0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0</v>
      </c>
      <c r="I391" s="138">
        <f>IFERROR(IF($D391="","",VLOOKUP($D391,Cadastro!$C$4:$G$7,5,FALSE)),"")</f>
        <v>0.6</v>
      </c>
      <c r="J391" s="139">
        <f t="shared" si="88"/>
        <v>0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92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357</v>
      </c>
      <c r="L406" s="41"/>
      <c r="M406" s="41"/>
      <c r="N406" s="41"/>
      <c r="O406" s="41"/>
      <c r="P406" s="41"/>
      <c r="Q406" s="42">
        <f ca="1">IFERROR(Q392+Q405,"")</f>
        <v>7.3611111111111183E-2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53" activePane="bottomLeft" state="frozen"/>
      <selection pane="bottomLeft" activeCell="G392" sqref="G39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343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0.15706689814396668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0</v>
      </c>
      <c r="I387" s="135">
        <f>IFERROR(IF($D387="","",VLOOKUP($D387,Cadastro!$C$4:$G$7,5,FALSE)),"")</f>
        <v>0.6</v>
      </c>
      <c r="J387" s="136">
        <f t="shared" si="90"/>
        <v>0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0</v>
      </c>
      <c r="I388" s="135">
        <f>IFERROR(IF($D388="","",VLOOKUP($D388,Cadastro!$C$4:$G$7,5,FALSE)),"")</f>
        <v>0.6</v>
      </c>
      <c r="J388" s="136">
        <f t="shared" si="90"/>
        <v>0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0</v>
      </c>
      <c r="I389" s="135">
        <f>IFERROR(IF($D389="","",VLOOKUP($D389,Cadastro!$C$4:$G$7,5,FALSE)),"")</f>
        <v>0.6</v>
      </c>
      <c r="J389" s="136">
        <f t="shared" si="90"/>
        <v>0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0</v>
      </c>
      <c r="I390" s="135">
        <f>IFERROR(IF($D390="","",VLOOKUP($D390,Cadastro!$C$4:$G$7,5,FALSE)),"")</f>
        <v>0.6</v>
      </c>
      <c r="J390" s="136">
        <f t="shared" si="90"/>
        <v>0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0</v>
      </c>
      <c r="I391" s="138">
        <f>IFERROR(IF($D391="","",VLOOKUP($D391,Cadastro!$C$4:$G$7,5,FALSE)),"")</f>
        <v>0.6</v>
      </c>
      <c r="J391" s="139">
        <f t="shared" si="90"/>
        <v>0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0.22165023147729995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140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588</v>
      </c>
      <c r="L406" s="41"/>
      <c r="M406" s="41"/>
      <c r="N406" s="41"/>
      <c r="O406" s="63"/>
      <c r="P406" s="63"/>
      <c r="Q406" s="42">
        <f ca="1">IFERROR(Q392+Q405,"")</f>
        <v>0.22165023147729995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2026-08-15T22:50:41Z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