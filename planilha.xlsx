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" documentId="13_ncr:1_{0A10D8D4-8450-4366-8075-B53B08E6B7EA}" xr6:coauthVersionLast="47" xr6:coauthVersionMax="47" xr10:uidLastSave="{B37BB844-65EA-45A4-8640-499B3DFEFCE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2" i="6" l="1"/>
  <c r="H313" i="6"/>
  <c r="H314" i="6"/>
  <c r="H315" i="6"/>
  <c r="H316" i="6"/>
  <c r="H317" i="6"/>
  <c r="H318" i="6"/>
  <c r="H319" i="6"/>
  <c r="H320" i="6"/>
  <c r="H321" i="6"/>
  <c r="H322" i="6"/>
  <c r="H323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2" i="5"/>
  <c r="H313" i="5"/>
  <c r="H314" i="5"/>
  <c r="H315" i="5"/>
  <c r="H316" i="5"/>
  <c r="H317" i="5"/>
  <c r="H318" i="5"/>
  <c r="H319" i="5"/>
  <c r="H320" i="5"/>
  <c r="H321" i="5"/>
  <c r="H322" i="5"/>
  <c r="H323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J316" i="6"/>
  <c r="J317" i="6"/>
  <c r="J318" i="6"/>
  <c r="J319" i="6"/>
  <c r="J320" i="6"/>
  <c r="J321" i="6"/>
  <c r="J322" i="6"/>
  <c r="J323" i="6"/>
  <c r="J307" i="6"/>
  <c r="J308" i="6"/>
  <c r="J309" i="6"/>
  <c r="J310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J327" i="4" s="1"/>
  <c r="H328" i="4"/>
  <c r="J328" i="4" s="1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J326" i="5"/>
  <c r="J338" i="5" s="1"/>
  <c r="H338" i="5"/>
  <c r="H352" i="5" s="1"/>
  <c r="J326" i="4"/>
  <c r="J338" i="4" s="1"/>
  <c r="H338" i="4"/>
  <c r="H352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26" i="6" l="1"/>
  <c r="J338" i="6" s="1"/>
  <c r="H338" i="6"/>
  <c r="H352" i="6" s="1"/>
  <c r="T338" i="5"/>
  <c r="J352" i="5"/>
  <c r="T352" i="5" s="1"/>
  <c r="J352" i="4"/>
  <c r="T352" i="4" s="1"/>
  <c r="T338" i="4"/>
  <c r="H311" i="6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38" i="6" l="1"/>
  <c r="J352" i="6"/>
  <c r="T352" i="6" s="1"/>
  <c r="H16" i="1" s="1"/>
  <c r="J16" i="1" s="1"/>
  <c r="J325" i="6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<sst xmlns="http://schemas.openxmlformats.org/spreadsheetml/2006/main" count="5860" uniqueCount="333">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</sst>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sz val="9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64" fontId="27" fillId="8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" xfId="0" applyFont="1" applyFill="1" applyBorder="1" applyAlignment="1">
      <alignment horizontal="center" vertical="center"/>
    </xf>
    <xf numFmtId="0" fontId="28" fillId="3" borderId="8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3" fontId="29" fillId="13" borderId="5" xfId="0" applyNumberFormat="1" applyFont="1" applyFill="1" applyBorder="1" applyAlignment="1" applyProtection="1">
      <alignment horizontal="center" vertical="center"/>
      <protection locked="0"/>
    </xf>
    <xf numFmtId="0" fontId="27" fillId="11" borderId="2" xfId="0" applyFont="1" applyFill="1" applyBorder="1" applyAlignment="1" applyProtection="1">
      <alignment horizontal="center" vertical="center"/>
      <protection locked="0"/>
    </xf>
    <xf numFmtId="3" fontId="27" fillId="11" borderId="2" xfId="0" applyNumberFormat="1" applyFont="1" applyFill="1" applyBorder="1" applyAlignment="1">
      <alignment horizontal="center" vertical="center"/>
    </xf>
    <xf numFmtId="3" fontId="27" fillId="8" borderId="2" xfId="0" applyNumberFormat="1" applyFont="1" applyFill="1" applyBorder="1" applyAlignment="1">
      <alignment horizontal="center" vertical="center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0" ht="24.75" customHeight="1">
      <c r="A2" s="153"/>
      <c r="B2" s="15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97.952399999999997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4" t="s">
        <v>12</v>
      </c>
      <c r="B35" s="154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97.952399999999997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7" t="s">
        <v>13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N1" s="159" t="s">
        <v>14</v>
      </c>
      <c r="O1" s="159"/>
      <c r="P1" s="159"/>
      <c r="Q1" s="159"/>
      <c r="R1" s="159"/>
    </row>
    <row r="2" spans="1:18" ht="4.5" customHeight="1">
      <c r="M2" s="158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8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58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58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58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58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58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58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58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58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8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8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8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8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8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8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8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8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8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8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8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8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8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8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8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8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8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8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8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8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8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58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8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8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8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8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8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8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8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8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8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8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8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8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8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8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8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8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8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8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8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8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8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8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8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8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8"/>
      <c r="N58" s="16"/>
      <c r="O58" s="16"/>
      <c r="P58" s="16" t="s">
        <v>214</v>
      </c>
      <c r="Q58" s="16"/>
      <c r="R58" s="16"/>
    </row>
    <row r="59" spans="1:18" ht="15" customHeight="1">
      <c r="M59" s="158"/>
      <c r="N59" s="17"/>
      <c r="O59" s="17"/>
      <c r="P59" s="17" t="s">
        <v>215</v>
      </c>
      <c r="Q59" s="17"/>
      <c r="R59" s="17"/>
    </row>
    <row r="60" spans="1:18" ht="15" customHeight="1">
      <c r="M60" s="158"/>
      <c r="N60" s="16"/>
      <c r="O60" s="16"/>
      <c r="P60" s="77" t="s">
        <v>110</v>
      </c>
      <c r="Q60" s="16"/>
      <c r="R60" s="16"/>
    </row>
    <row r="61" spans="1:18" ht="15" customHeight="1">
      <c r="M61" s="158"/>
      <c r="N61" s="17"/>
      <c r="O61" s="17"/>
      <c r="P61" s="17" t="s">
        <v>216</v>
      </c>
      <c r="Q61" s="17"/>
      <c r="R61" s="17"/>
    </row>
    <row r="62" spans="1:18" ht="15" customHeight="1">
      <c r="M62" s="158"/>
      <c r="N62" s="16"/>
      <c r="O62" s="16"/>
      <c r="P62" s="16" t="s">
        <v>217</v>
      </c>
      <c r="Q62" s="16"/>
      <c r="R62" s="16"/>
    </row>
    <row r="63" spans="1:18" ht="15" customHeight="1">
      <c r="M63" s="158"/>
      <c r="N63" s="17"/>
      <c r="O63" s="17"/>
      <c r="P63" s="17" t="s">
        <v>218</v>
      </c>
      <c r="Q63" s="17"/>
      <c r="R63" s="17"/>
    </row>
    <row r="64" spans="1:18" ht="15" customHeight="1">
      <c r="M64" s="158"/>
      <c r="N64" s="16"/>
      <c r="O64" s="16"/>
      <c r="P64" s="16" t="s">
        <v>219</v>
      </c>
      <c r="Q64" s="16"/>
      <c r="R64" s="16"/>
    </row>
    <row r="65" spans="13:18" ht="15" customHeight="1">
      <c r="M65" s="158"/>
      <c r="N65" s="17"/>
      <c r="O65" s="17"/>
      <c r="P65" s="17" t="s">
        <v>220</v>
      </c>
      <c r="Q65" s="17"/>
      <c r="R65" s="17"/>
    </row>
    <row r="66" spans="13:18" ht="15" customHeight="1">
      <c r="M66" s="158"/>
      <c r="N66" s="16"/>
      <c r="O66" s="16"/>
      <c r="P66" s="16" t="s">
        <v>221</v>
      </c>
      <c r="Q66" s="16"/>
      <c r="R66" s="16"/>
    </row>
    <row r="67" spans="13:18" ht="15" customHeight="1">
      <c r="M67" s="158"/>
      <c r="N67" s="17"/>
      <c r="O67" s="17"/>
      <c r="P67" s="17" t="s">
        <v>222</v>
      </c>
      <c r="Q67" s="17"/>
      <c r="R67" s="17"/>
    </row>
    <row r="68" spans="13:18" ht="15" customHeight="1">
      <c r="M68" s="158"/>
      <c r="N68" s="16"/>
      <c r="O68" s="16"/>
      <c r="P68" s="16" t="s">
        <v>223</v>
      </c>
      <c r="Q68" s="16"/>
      <c r="R68" s="16"/>
    </row>
    <row r="69" spans="13:18" ht="15" customHeight="1">
      <c r="M69" s="158"/>
      <c r="N69" s="17"/>
      <c r="O69" s="17"/>
      <c r="P69" s="17" t="s">
        <v>224</v>
      </c>
      <c r="Q69" s="17"/>
      <c r="R69" s="17"/>
    </row>
    <row r="70" spans="13:18" ht="15" customHeight="1">
      <c r="M70" s="158"/>
      <c r="N70" s="16"/>
      <c r="O70" s="16"/>
      <c r="P70" s="16" t="s">
        <v>225</v>
      </c>
      <c r="Q70" s="16"/>
      <c r="R70" s="16"/>
    </row>
    <row r="71" spans="13:18" ht="15" customHeight="1">
      <c r="M71" s="158"/>
      <c r="N71" s="17"/>
      <c r="O71" s="17"/>
      <c r="P71" s="17" t="s">
        <v>226</v>
      </c>
      <c r="Q71" s="17"/>
      <c r="R71" s="17"/>
    </row>
    <row r="72" spans="13:18" ht="15" customHeight="1">
      <c r="M72" s="158"/>
      <c r="N72" s="16"/>
      <c r="O72" s="16"/>
      <c r="P72" s="16" t="s">
        <v>227</v>
      </c>
      <c r="Q72" s="16"/>
      <c r="R72" s="16"/>
    </row>
    <row r="73" spans="13:18" ht="15" customHeight="1">
      <c r="M73" s="158"/>
      <c r="N73" s="17"/>
      <c r="O73" s="17"/>
      <c r="P73" s="17" t="s">
        <v>228</v>
      </c>
      <c r="Q73" s="17"/>
      <c r="R73" s="17"/>
    </row>
    <row r="74" spans="13:18" ht="15" customHeight="1">
      <c r="M74" s="158"/>
      <c r="N74" s="16"/>
      <c r="O74" s="16"/>
      <c r="P74" s="16" t="s">
        <v>229</v>
      </c>
      <c r="Q74" s="16"/>
      <c r="R74" s="16"/>
    </row>
    <row r="75" spans="13:18" ht="15" customHeight="1">
      <c r="M75" s="158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49" t="s">
        <v>245</v>
      </c>
      <c r="B28" s="150"/>
      <c r="C28" s="150"/>
      <c r="D28" s="150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49" t="s">
        <v>245</v>
      </c>
      <c r="B55" s="150"/>
      <c r="C55" s="150"/>
      <c r="D55" s="150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49" t="s">
        <v>245</v>
      </c>
      <c r="B82" s="150"/>
      <c r="C82" s="150"/>
      <c r="D82" s="150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49" t="s">
        <v>245</v>
      </c>
      <c r="B109" s="150"/>
      <c r="C109" s="150"/>
      <c r="D109" s="150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49" t="s">
        <v>245</v>
      </c>
      <c r="B136" s="150"/>
      <c r="C136" s="150"/>
      <c r="D136" s="150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49" t="s">
        <v>245</v>
      </c>
      <c r="B163" s="150"/>
      <c r="C163" s="150"/>
      <c r="D163" s="150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49" t="s">
        <v>245</v>
      </c>
      <c r="B190" s="150"/>
      <c r="C190" s="150"/>
      <c r="D190" s="150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49" t="s">
        <v>245</v>
      </c>
      <c r="B217" s="150"/>
      <c r="C217" s="150"/>
      <c r="D217" s="150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0" t="s">
        <v>241</v>
      </c>
      <c r="B230" s="161"/>
      <c r="C230" s="161"/>
      <c r="D230" s="161"/>
      <c r="E230" s="16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49" t="s">
        <v>245</v>
      </c>
      <c r="B244" s="150"/>
      <c r="C244" s="150"/>
      <c r="D244" s="150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49" t="s">
        <v>245</v>
      </c>
      <c r="B271" s="150"/>
      <c r="C271" s="150"/>
      <c r="D271" s="150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49" t="s">
        <v>245</v>
      </c>
      <c r="B298" s="150"/>
      <c r="C298" s="150"/>
      <c r="D298" s="150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9" t="s">
        <v>241</v>
      </c>
      <c r="B311" s="170"/>
      <c r="C311" s="170"/>
      <c r="D311" s="170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68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168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168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168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168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168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168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168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168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168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168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168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49" t="s">
        <v>245</v>
      </c>
      <c r="B325" s="150"/>
      <c r="C325" s="150"/>
      <c r="D325" s="150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49" t="s">
        <v>245</v>
      </c>
      <c r="B352" s="150"/>
      <c r="C352" s="150"/>
      <c r="D352" s="150"/>
      <c r="E352" s="16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49" t="s">
        <v>245</v>
      </c>
      <c r="B379" s="150"/>
      <c r="C379" s="150"/>
      <c r="D379" s="150"/>
      <c r="E379" s="16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49" t="s">
        <v>245</v>
      </c>
      <c r="B406" s="150"/>
      <c r="C406" s="150"/>
      <c r="D406" s="150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49" t="s">
        <v>245</v>
      </c>
      <c r="B433" s="150"/>
      <c r="C433" s="150"/>
      <c r="D433" s="150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49" t="s">
        <v>245</v>
      </c>
      <c r="B460" s="150"/>
      <c r="C460" s="150"/>
      <c r="D460" s="150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49" t="s">
        <v>245</v>
      </c>
      <c r="B487" s="150"/>
      <c r="C487" s="150"/>
      <c r="D487" s="150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49" t="s">
        <v>245</v>
      </c>
      <c r="B514" s="150"/>
      <c r="C514" s="150"/>
      <c r="D514" s="150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49" t="s">
        <v>245</v>
      </c>
      <c r="B541" s="150"/>
      <c r="C541" s="150"/>
      <c r="D541" s="150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49" t="s">
        <v>245</v>
      </c>
      <c r="B568" s="150"/>
      <c r="C568" s="150"/>
      <c r="D568" s="150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49" t="s">
        <v>245</v>
      </c>
      <c r="B595" s="150"/>
      <c r="C595" s="150"/>
      <c r="D595" s="150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49" t="s">
        <v>245</v>
      </c>
      <c r="B622" s="150"/>
      <c r="C622" s="150"/>
      <c r="D622" s="150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49" t="s">
        <v>245</v>
      </c>
      <c r="B649" s="150"/>
      <c r="C649" s="150"/>
      <c r="D649" s="150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49" t="s">
        <v>245</v>
      </c>
      <c r="B676" s="150"/>
      <c r="C676" s="150"/>
      <c r="D676" s="150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49" t="s">
        <v>245</v>
      </c>
      <c r="B703" s="150"/>
      <c r="C703" s="150"/>
      <c r="D703" s="150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49" t="s">
        <v>245</v>
      </c>
      <c r="B730" s="150"/>
      <c r="C730" s="150"/>
      <c r="D730" s="150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49" t="s">
        <v>245</v>
      </c>
      <c r="B757" s="150"/>
      <c r="C757" s="150"/>
      <c r="D757" s="150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49" t="s">
        <v>245</v>
      </c>
      <c r="B784" s="150"/>
      <c r="C784" s="150"/>
      <c r="D784" s="150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3" t="s">
        <v>245</v>
      </c>
      <c r="B811" s="164"/>
      <c r="C811" s="164"/>
      <c r="D811" s="164"/>
      <c r="E811" s="16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49" t="s">
        <v>245</v>
      </c>
      <c r="B838" s="150"/>
      <c r="C838" s="150"/>
      <c r="D838" s="150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18" activePane="bottomLeft" state="frozen"/>
      <selection pane="bottomLeft" activeCell="E332" sqref="E33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0.21831840277445735</v>
      </c>
      <c r="R53" s="46" t="s">
        <v>274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0.35720729166334625</v>
      </c>
      <c r="R54" s="36" t="s">
        <v>242</v>
      </c>
      <c r="S54" s="75">
        <v>352430</v>
      </c>
      <c r="T54" s="117"/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0.44192951388556856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v>37.800000000000004</v>
      </c>
      <c r="I299" s="141">
        <f>IFERROR(IF($D299="","",VLOOKUP($D299,Cadastro!$C$4:$G$7,5,FALSE)),"")</f>
        <v>0.6</v>
      </c>
      <c r="J299" s="142">
        <f>IFERROR(IF($H299="","",$H299*$F299*$I299),"")</f>
        <v>5.2164000000000001</v>
      </c>
      <c r="K299" s="34">
        <f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6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7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34">
        <v>84</v>
      </c>
      <c r="I300" s="135">
        <f>IFERROR(IF($D300="","",VLOOKUP($D300,Cadastro!$C$4:$G$7,5,FALSE)),"")</f>
        <v>0.6</v>
      </c>
      <c r="J300" s="136">
        <f>IFERROR(IF($H300="","",$H300*$F300*$I300),"")</f>
        <v>11.592000000000001</v>
      </c>
      <c r="K300" s="28">
        <f>IF(G300="","",IF(E300="PC 17",G300*4.2,IF(E300="PC 19",G300*5,IF(E300="CB",G300*24,""))))</f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6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7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34">
        <v>84</v>
      </c>
      <c r="I301" s="135">
        <f>IFERROR(IF($D301="","",VLOOKUP($D301,Cadastro!$C$4:$G$7,5,FALSE)),"")</f>
        <v>0.6</v>
      </c>
      <c r="J301" s="136">
        <f>IFERROR(IF($H301="","",$H301*$F301*$I301),"")</f>
        <v>11.592000000000001</v>
      </c>
      <c r="K301" s="34">
        <f>IF(G301="","",IF(E301="PC 17",G301*4.2,IF(E301="PC 19",G301*5,IF(E301="CB",G301*24,""))))</f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6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7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34">
        <v>71.400000000000006</v>
      </c>
      <c r="I302" s="135">
        <f>IFERROR(IF($D302="","",VLOOKUP($D302,Cadastro!$C$4:$G$7,5,FALSE)),"")</f>
        <v>0.6</v>
      </c>
      <c r="J302" s="136">
        <f>IFERROR(IF($H302="","",$H302*$F302*$I302),"")</f>
        <v>9.8531999999999993</v>
      </c>
      <c r="K302" s="28">
        <f>IF(G302="","",IF(E302="PC 17",G302*4.2,IF(E302="PC 19",G302*5,IF(E302="CB",G302*24,""))))</f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6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7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34">
        <v>63</v>
      </c>
      <c r="I303" s="135">
        <f>IFERROR(IF($D303="","",VLOOKUP($D303,Cadastro!$C$4:$G$7,5,FALSE)),"")</f>
        <v>0.6</v>
      </c>
      <c r="J303" s="136">
        <f>IFERROR(IF($H303="","",$H303*$F303*$I303),"")</f>
        <v>8.6939999999999991</v>
      </c>
      <c r="K303" s="34">
        <f>IF(G303="","",IF(E303="PC 17",G303*4.2,IF(E303="PC 19",G303*5,IF(E303="CB",G303*24,""))))</f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6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7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34">
        <v>67.2</v>
      </c>
      <c r="I304" s="135">
        <f>IFERROR(IF($D304="","",VLOOKUP($D304,Cadastro!$C$4:$G$7,5,FALSE)),"")</f>
        <v>0.6</v>
      </c>
      <c r="J304" s="136">
        <f>IFERROR(IF($H304="","",$H304*$F304*$I304),"")</f>
        <v>9.2736000000000001</v>
      </c>
      <c r="K304" s="28">
        <f>IF(G304="","",IF(E304="PC 17",G304*4.2,IF(E304="PC 19",G304*5,IF(E304="CB",G304*24,""))))</f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6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7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34">
        <v>54.6</v>
      </c>
      <c r="I305" s="135">
        <f>IFERROR(IF($D305="","",VLOOKUP($D305,Cadastro!$C$4:$G$7,5,FALSE)),"")</f>
        <v>0.6</v>
      </c>
      <c r="J305" s="136">
        <f>IFERROR(IF($H305="","",$H305*$F305*$I305),"")</f>
        <v>7.5348000000000006</v>
      </c>
      <c r="K305" s="34">
        <f>IF(G305="","",IF(E305="PC 17",G305*4.2,IF(E305="PC 19",G305*5,IF(E305="CB",G305*24,""))))</f>
        <v>54.6</v>
      </c>
      <c r="L305" s="33"/>
      <c r="M305" s="33"/>
      <c r="N305" s="33"/>
      <c r="O305" s="29"/>
      <c r="P305" s="29"/>
      <c r="Q305" s="35" t="str">
        <f t="shared" ca="1" si="66"/>
        <v/>
      </c>
      <c r="R305" s="46"/>
      <c r="S305" s="47"/>
    </row>
    <row r="306" spans="1:20" ht="15" customHeight="1">
      <c r="A306" s="67">
        <v>46246</v>
      </c>
      <c r="B306" s="25">
        <f t="shared" si="67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34">
        <v>84</v>
      </c>
      <c r="I306" s="135">
        <f>IFERROR(IF($D306="","",VLOOKUP($D306,Cadastro!$C$4:$G$7,5,FALSE)),"")</f>
        <v>0.6</v>
      </c>
      <c r="J306" s="136">
        <f>IFERROR(IF($H306="","",$H306*$F306*$I306),"")</f>
        <v>11.592000000000001</v>
      </c>
      <c r="K306" s="28">
        <f>IF(G306="","",IF(E306="PC 17",G306*4.2,IF(E306="PC 19",G306*5,IF(E306="CB",G306*24,""))))</f>
        <v>84</v>
      </c>
      <c r="L306" s="26"/>
      <c r="M306" s="26"/>
      <c r="N306" s="26"/>
      <c r="O306" s="29"/>
      <c r="P306" s="29"/>
      <c r="Q306" s="30" t="str">
        <f t="shared" ca="1" si="66"/>
        <v/>
      </c>
      <c r="R306" s="46"/>
      <c r="S306" s="47"/>
    </row>
    <row r="307" spans="1:20" ht="15" customHeight="1">
      <c r="A307" s="68">
        <v>46246</v>
      </c>
      <c r="B307" s="32">
        <f t="shared" si="67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34">
        <v>67.2</v>
      </c>
      <c r="I307" s="135">
        <f>IFERROR(IF($D307="","",VLOOKUP($D307,Cadastro!$C$4:$G$7,5,FALSE)),"")</f>
        <v>0.6</v>
      </c>
      <c r="J307" s="136">
        <f>IFERROR(IF($H307="","",$H307*$F307*$I307),"")</f>
        <v>9.2736000000000001</v>
      </c>
      <c r="K307" s="34">
        <f>IF(G307="","",IF(E307="PC 17",G307*4.2,IF(E307="PC 19",G307*5,IF(E307="CB",G307*24,""))))</f>
        <v>67.2</v>
      </c>
      <c r="L307" s="33"/>
      <c r="M307" s="33"/>
      <c r="N307" s="33"/>
      <c r="O307" s="29"/>
      <c r="P307" s="29"/>
      <c r="Q307" s="35" t="str">
        <f t="shared" ca="1" si="66"/>
        <v/>
      </c>
      <c r="R307" s="46"/>
      <c r="S307" s="47"/>
    </row>
    <row r="308" spans="1:20" ht="15" customHeight="1">
      <c r="A308" s="67">
        <v>46246</v>
      </c>
      <c r="B308" s="25">
        <f t="shared" si="67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34">
        <v>58.800000000000004</v>
      </c>
      <c r="I308" s="135">
        <f>IFERROR(IF($D308="","",VLOOKUP($D308,Cadastro!$C$4:$G$7,5,FALSE)),"")</f>
        <v>0.6</v>
      </c>
      <c r="J308" s="136">
        <f>IFERROR(IF($H308="","",$H308*$F308*$I308),"")</f>
        <v>8.1143999999999998</v>
      </c>
      <c r="K308" s="28">
        <f>IF(G308="","",IF(E308="PC 17",G308*4.2,IF(E308="PC 19",G308*5,IF(E308="CB",G308*24,""))))</f>
        <v>58.800000000000004</v>
      </c>
      <c r="L308" s="26"/>
      <c r="M308" s="26"/>
      <c r="N308" s="26"/>
      <c r="O308" s="29"/>
      <c r="P308" s="29"/>
      <c r="Q308" s="30" t="str">
        <f t="shared" ca="1" si="66"/>
        <v/>
      </c>
      <c r="R308" s="46"/>
      <c r="S308" s="47"/>
    </row>
    <row r="309" spans="1:20" ht="15" customHeight="1">
      <c r="A309" s="68">
        <v>46246</v>
      </c>
      <c r="B309" s="32">
        <f t="shared" si="67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34">
        <v>16.8</v>
      </c>
      <c r="I309" s="135">
        <f>IFERROR(IF($D309="","",VLOOKUP($D309,Cadastro!$C$4:$G$7,5,FALSE)),"")</f>
        <v>0.6</v>
      </c>
      <c r="J309" s="136">
        <f>IFERROR(IF($H309="","",$H309*$F309*$I309),"")</f>
        <v>2.3184</v>
      </c>
      <c r="K309" s="34">
        <f>IF(G309="","",IF(E309="PC 17",G309*4.2,IF(E309="PC 19",G309*5,IF(E309="CB",G309*24,""))))</f>
        <v>16.8</v>
      </c>
      <c r="L309" s="33"/>
      <c r="M309" s="33"/>
      <c r="N309" s="33"/>
      <c r="O309" s="29"/>
      <c r="P309" s="29"/>
      <c r="Q309" s="35" t="str">
        <f t="shared" ca="1" si="66"/>
        <v/>
      </c>
      <c r="R309" s="46"/>
      <c r="S309" s="47"/>
    </row>
    <row r="310" spans="1:20" ht="15" customHeight="1" thickBot="1">
      <c r="A310" s="67">
        <v>46246</v>
      </c>
      <c r="B310" s="25">
        <f t="shared" si="67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37">
        <v>21</v>
      </c>
      <c r="I310" s="138">
        <f>IFERROR(IF($D310="","",VLOOKUP($D310,Cadastro!$C$4:$G$7,5,FALSE)),"")</f>
        <v>0.6</v>
      </c>
      <c r="J310" s="139">
        <f>IFERROR(IF($H310="","",$H310*$F310*$I310),"")</f>
        <v>2.8980000000000001</v>
      </c>
      <c r="K310" s="28">
        <f>IF(G310="","",IF(E310="PC 17",G310*4.2,IF(E310="PC 19",G310*5,IF(E310="CB",G310*24,""))))</f>
        <v>21</v>
      </c>
      <c r="L310" s="26"/>
      <c r="M310" s="26"/>
      <c r="N310" s="26"/>
      <c r="O310" s="29"/>
      <c r="P310" s="29"/>
      <c r="Q310" s="30" t="str">
        <f t="shared" ca="1" si="66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709.8</v>
      </c>
      <c r="I311" s="114"/>
      <c r="J311" s="123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72">
        <v>754870</v>
      </c>
      <c r="T311" s="122">
        <f>IFERROR(J311,"")</f>
        <v>97.952399999999997</v>
      </c>
    </row>
    <row r="312" spans="1:20" ht="15" customHeight="1">
      <c r="A312" s="67">
        <v>46246</v>
      </c>
      <c r="B312" s="25">
        <v>0.83333333333333304</v>
      </c>
      <c r="C312" s="173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8">IFERROR(IF($H312="","",$H312*$F312*$I312),"")</f>
        <v/>
      </c>
      <c r="K312" s="28">
        <f t="shared" ref="K312:K323" si="69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0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173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8"/>
        <v/>
      </c>
      <c r="K313" s="34">
        <f t="shared" si="69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0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173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8"/>
        <v/>
      </c>
      <c r="K314" s="28">
        <f t="shared" si="69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0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173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8"/>
        <v/>
      </c>
      <c r="K315" s="34">
        <f t="shared" si="69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0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173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175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8"/>
        <v/>
      </c>
      <c r="K316" s="28">
        <f t="shared" si="69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0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173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176">
        <v>18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8"/>
        <v/>
      </c>
      <c r="K317" s="34">
        <f t="shared" si="69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0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1"/>
        <v>1.083333333333333</v>
      </c>
      <c r="C318" s="173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175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8"/>
        <v/>
      </c>
      <c r="K318" s="28">
        <f t="shared" si="69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0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173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8"/>
        <v/>
      </c>
      <c r="K319" s="34">
        <f t="shared" si="69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0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173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175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8"/>
        <v/>
      </c>
      <c r="K320" s="28">
        <f t="shared" si="69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0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173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8"/>
        <v/>
      </c>
      <c r="K321" s="34">
        <f t="shared" si="69"/>
        <v>50.400000000000006</v>
      </c>
      <c r="L321" s="33"/>
      <c r="M321" s="33"/>
      <c r="N321" s="33"/>
      <c r="O321" s="29"/>
      <c r="P321" s="29"/>
      <c r="Q321" s="35" t="str">
        <f t="shared" ca="1" si="70"/>
        <v/>
      </c>
      <c r="R321" s="46"/>
      <c r="S321" s="47"/>
    </row>
    <row r="322" spans="1:20" ht="15" customHeight="1">
      <c r="A322" s="67">
        <v>46246</v>
      </c>
      <c r="B322" s="25">
        <f t="shared" si="71"/>
        <v>1.25</v>
      </c>
      <c r="C322" s="173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175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8"/>
        <v/>
      </c>
      <c r="K322" s="28">
        <f t="shared" si="69"/>
        <v>42</v>
      </c>
      <c r="L322" s="26"/>
      <c r="M322" s="26"/>
      <c r="N322" s="26"/>
      <c r="O322" s="29"/>
      <c r="P322" s="29"/>
      <c r="Q322" s="30" t="str">
        <f t="shared" ca="1" si="70"/>
        <v/>
      </c>
      <c r="R322" s="46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173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8"/>
        <v/>
      </c>
      <c r="K323" s="34">
        <f t="shared" si="69"/>
        <v>16.8</v>
      </c>
      <c r="L323" s="33"/>
      <c r="M323" s="33"/>
      <c r="N323" s="33"/>
      <c r="O323" s="29"/>
      <c r="P323" s="29"/>
      <c r="Q323" s="35" t="str">
        <f t="shared" ca="1" si="70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72">
        <v>725030</v>
      </c>
      <c r="T324" s="122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337</v>
      </c>
      <c r="H325" s="112">
        <f>IFERROR(H311+H324,"")</f>
        <v>709.8</v>
      </c>
      <c r="I325" s="116"/>
      <c r="J325" s="125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97.952399999999997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4">IFERROR(IF(O326="","",IF(P326="",MOD(NOW()-O326,1),IF(P326&gt;=O326,P326-O326,P326+1-O326))),"")</f>
        <v>3.4290625000721775E-2</v>
      </c>
      <c r="R326" s="46" t="s">
        <v>291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33"/>
      <c r="M327" s="33"/>
      <c r="N327" s="33"/>
      <c r="O327" s="29"/>
      <c r="P327" s="29"/>
      <c r="Q327" s="35" t="str">
        <f t="shared" ca="1" si="74"/>
        <v/>
      </c>
      <c r="R327" s="46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46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46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46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46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46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46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46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46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46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3.4290625000721775E-2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46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46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46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46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46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46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46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46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46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46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3.4290625000721775E-2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46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46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46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46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46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46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46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46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46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46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46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46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46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46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46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46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46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 t="shared" si="89"/>
        <v/>
      </c>
      <c r="L381" s="33"/>
      <c r="M381" s="33"/>
      <c r="N381" s="33"/>
      <c r="O381" s="29"/>
      <c r="P381" s="29"/>
      <c r="Q381" s="35" t="str">
        <f t="shared" ca="1" si="90"/>
        <v/>
      </c>
      <c r="R381" s="46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 t="str">
        <f t="shared" si="89"/>
        <v/>
      </c>
      <c r="L382" s="26"/>
      <c r="M382" s="26"/>
      <c r="N382" s="33"/>
      <c r="O382" s="29"/>
      <c r="P382" s="29"/>
      <c r="Q382" s="30" t="str">
        <f t="shared" ca="1" si="90"/>
        <v/>
      </c>
      <c r="R382" s="46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46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46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46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46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46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46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46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46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46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46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46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46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46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46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46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46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46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46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46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46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46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46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34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46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46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34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46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46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46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46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35" t="str">
        <f t="shared" ca="1" si="102"/>
        <v/>
      </c>
      <c r="R421" s="46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46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46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46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46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46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46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46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46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46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46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46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46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46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46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46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46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46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46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46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46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46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46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46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46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46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46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46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46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46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46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46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46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46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46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46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46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46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46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46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46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46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46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46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46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46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46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46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46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46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46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46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46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46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46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46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46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46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46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46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46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46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46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46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46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46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46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46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46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46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46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46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46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46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46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46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46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46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46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46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46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46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46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46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46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46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46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46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46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46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46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46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46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46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46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46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46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46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46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46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46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46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46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46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46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46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46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46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46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46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46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46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46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46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46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46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46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46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46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46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46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46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46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46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46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46"/>
      <c r="S589" s="47"/>
    </row>
    <row r="590" spans="1:20" ht="15" customHeight="1">
      <c r="A590" s="67">
        <v>46256</v>
      </c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46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46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46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46"/>
      <c r="S597" s="47"/>
    </row>
    <row r="598" spans="1:20" ht="15" customHeight="1">
      <c r="A598" s="67">
        <v>46257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46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46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46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46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46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46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46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46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46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46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46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46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46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46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46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46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46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46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46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46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46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46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46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46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46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46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46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46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46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46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46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46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46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46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46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46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46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46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46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46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46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46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46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46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46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46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46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46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46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46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46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46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46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46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46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46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46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46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46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5" t="str">
        <f t="shared" ca="1" si="178"/>
        <v/>
      </c>
      <c r="R678" s="46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46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5" t="str">
        <f t="shared" ca="1" si="178"/>
        <v/>
      </c>
      <c r="R680" s="46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46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5" t="str">
        <f t="shared" ca="1" si="178"/>
        <v/>
      </c>
      <c r="R682" s="46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46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46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46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46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46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46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46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46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46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46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46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46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46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46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46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46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46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46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46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46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46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46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46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46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46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46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46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46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46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46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46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46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46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46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46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46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46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46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46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46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46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46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46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46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46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46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46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46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46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46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46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46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46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46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46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46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46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46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46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46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46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46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46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46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46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46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46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46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46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46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46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46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46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46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46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46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46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46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46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46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46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46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46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46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46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46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46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46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46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46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46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46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46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46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46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7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26"/>
      <c r="M813" s="26"/>
      <c r="N813" s="26"/>
      <c r="O813" s="29"/>
      <c r="P813" s="29"/>
      <c r="Q813" s="30" t="str">
        <f t="shared" ca="1" si="217"/>
        <v/>
      </c>
      <c r="R813" s="46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L814" s="33"/>
      <c r="M814" s="33"/>
      <c r="N814" s="33"/>
      <c r="O814" s="29"/>
      <c r="P814" s="29"/>
      <c r="Q814" s="35" t="str">
        <f t="shared" ca="1" si="217"/>
        <v/>
      </c>
      <c r="R814" s="46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46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46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46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46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46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46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46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46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0" t="str">
        <f t="shared" ca="1" si="221"/>
        <v/>
      </c>
      <c r="R826" s="46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46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0" t="str">
        <f t="shared" ca="1" si="221"/>
        <v/>
      </c>
      <c r="R828" s="46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46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0" t="str">
        <f t="shared" ca="1" si="221"/>
        <v/>
      </c>
      <c r="R830" s="46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46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0" t="str">
        <f t="shared" ca="1" si="221"/>
        <v/>
      </c>
      <c r="R832" s="46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46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0" t="str">
        <f t="shared" ca="1" si="221"/>
        <v/>
      </c>
      <c r="R834" s="46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46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0" t="str">
        <f t="shared" ca="1" si="221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1" activePane="bottomLeft" state="frozen"/>
      <selection pane="bottomLeft" activeCell="E329" sqref="E3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305</v>
      </c>
      <c r="Q222" s="30" t="str">
        <f t="shared" ca="1" si="49"/>
        <v/>
      </c>
      <c r="R222" s="27" t="s">
        <v>306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5"/>
        <v/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6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5"/>
        <v/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10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5"/>
        <v/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16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5"/>
        <v/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7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5"/>
        <v/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5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5"/>
        <v/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8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4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10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6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3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6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4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5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0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185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E327" sqref="E3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325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331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21</v>
      </c>
      <c r="M301" s="33"/>
      <c r="N301" s="33" t="s">
        <v>91</v>
      </c>
      <c r="O301" s="177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6"/>
        <v/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10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6"/>
        <v/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15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6"/>
        <v/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0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6"/>
        <v/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14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6"/>
        <v/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10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6"/>
        <v/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23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17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35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3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20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24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14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24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17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16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20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18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423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Bob9hmERZRHa10qzfz4SiLLXsnHHeH1BEUD9raHYFXEmb6u/hs4f0FE4wq29MoGtrN4nRezQn5OrVoBHsBe/jg==" saltValue="sFamDCMnW64w0YZdv/uJi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2026-08-13T12:19:26Z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