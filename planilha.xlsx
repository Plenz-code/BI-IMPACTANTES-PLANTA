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62" documentId="8_{C51EB6CB-002B-4D6B-B68F-DDEBDB4460C0}" xr6:coauthVersionLast="47" xr6:coauthVersionMax="47" xr10:uidLastSave="{A5B6E97C-CD8C-414C-BDA8-D5F8B5972D48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<sst xmlns="http://schemas.openxmlformats.org/spreadsheetml/2006/main" count="2827" uniqueCount="270">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</sst>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P12" sqref="P12:P1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5" activePane="bottomLeft" state="frozen"/>
      <selection pane="bottomLeft" activeCell="F115" sqref="F1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228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228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228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228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15" sqref="F1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0.38338854166067904</v>
      </c>
      <c r="N53" s="46" t="s">
        <v>249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0.52227743054956788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0.60699965277179024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/>
      <c r="M110" s="35">
        <f t="shared" ref="M110:M121" ca="1" si="25">IFERROR(IF(K110="","",IF(L110="",MOD(NOW()-K110,1),IF(L110&gt;=K110,L110-K110,L110+1-K110))),"")</f>
        <v>4.5194097219791729E-2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17</v>
      </c>
      <c r="G111" s="34">
        <f t="shared" si="24"/>
        <v>71.400000000000006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23</v>
      </c>
      <c r="G112" s="28">
        <f t="shared" si="24"/>
        <v>96.600000000000009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79</v>
      </c>
      <c r="G122" s="36">
        <f>SUM(G110:G121)</f>
        <v>331.8</v>
      </c>
      <c r="H122" s="37"/>
      <c r="I122" s="37"/>
      <c r="J122" s="37"/>
      <c r="K122" s="37"/>
      <c r="L122" s="37"/>
      <c r="M122" s="38">
        <f ca="1">IFERROR(SUM(M110:M121),"")</f>
        <v>4.5194097219791729E-2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79</v>
      </c>
      <c r="G136" s="40">
        <f>G122+G135</f>
        <v>331.8</v>
      </c>
      <c r="H136" s="41"/>
      <c r="I136" s="41"/>
      <c r="J136" s="41"/>
      <c r="K136" s="41"/>
      <c r="L136" s="41"/>
      <c r="M136" s="42">
        <f ca="1">IFERROR(M122+M135,"")</f>
        <v>4.5194097219791729E-2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F115" sqref="F1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0.22644409722124692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0.27366631944346909</v>
      </c>
      <c r="N108" s="36" t="s">
        <v>230</v>
      </c>
      <c r="O108" s="39">
        <v>434370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0.42991631944346909</v>
      </c>
      <c r="N109" s="40" t="s">
        <v>234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32</v>
      </c>
      <c r="G122" s="36">
        <f>SUM(G110:G121)</f>
        <v>134.4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32</v>
      </c>
      <c r="G136" s="40">
        <f>G122+G135</f>
        <v>134.4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F115" sqref="F1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16</v>
      </c>
      <c r="G112" s="28">
        <f t="shared" si="24"/>
        <v>67.2</v>
      </c>
      <c r="H112" s="26"/>
      <c r="I112" s="26"/>
      <c r="J112" s="33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18</v>
      </c>
      <c r="G113" s="34">
        <f t="shared" si="24"/>
        <v>75.600000000000009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>
        <v>14</v>
      </c>
      <c r="G114" s="28">
        <f t="shared" si="24"/>
        <v>58.800000000000004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83</v>
      </c>
      <c r="G122" s="36">
        <f>SUM(G110:G121)</f>
        <v>348.6</v>
      </c>
      <c r="H122" s="37"/>
      <c r="I122" s="37"/>
      <c r="J122" s="37"/>
      <c r="K122" s="61"/>
      <c r="L122" s="61"/>
      <c r="M122" s="38">
        <f ca="1">IFERROR(SUM(M110:M121),"")</f>
        <v>3.4722222222222265E-2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83</v>
      </c>
      <c r="G136" s="40">
        <f>G122+G135</f>
        <v>348.6</v>
      </c>
      <c r="H136" s="41"/>
      <c r="I136" s="41"/>
      <c r="J136" s="41"/>
      <c r="K136" s="63"/>
      <c r="L136" s="63"/>
      <c r="M136" s="42">
        <f ca="1">IFERROR(M122+M135,"")</f>
        <v>3.4722222222222265E-2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2026-08-05T16:09:04Z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