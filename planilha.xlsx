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9" documentId="13_ncr:1_{A6DBCFB4-28D9-4249-9038-216934055CA6}" xr6:coauthVersionLast="47" xr6:coauthVersionMax="47" xr10:uidLastSave="{4FF8E3C4-CD8E-453A-A184-208971E84C5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<sst xmlns="http://schemas.openxmlformats.org/spreadsheetml/2006/main" count="10847" uniqueCount="442">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</sst>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J650" sqref="J65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 t="s">
        <v>29</v>
      </c>
      <c r="I650" s="61" t="s">
        <v>32</v>
      </c>
      <c r="J650" s="61" t="s">
        <v>145</v>
      </c>
      <c r="K650" s="65">
        <v>0.51736111111111116</v>
      </c>
      <c r="L650" s="65"/>
      <c r="M650" s="66">
        <f t="shared" ref="M650:M661" ca="1" si="141">IFERROR(IF(K650="","",IF(L650="",MOD(NOW()-K650,1),IF(L650&gt;=K650,L650-K650,L650+1-K650))),"")</f>
        <v>2.8371064814564306E-2</v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>
        <v>40</v>
      </c>
      <c r="G654" s="64">
        <f t="shared" si="140"/>
        <v>200</v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198</v>
      </c>
      <c r="G662" s="2">
        <f>SUM(G650:G661)</f>
        <v>990</v>
      </c>
      <c r="H662" s="72"/>
      <c r="I662" s="72"/>
      <c r="J662" s="72"/>
      <c r="K662" s="72"/>
      <c r="L662" s="72"/>
      <c r="M662" s="73">
        <f ca="1">IFERROR(SUM(M650:M661),"")</f>
        <v>2.8371064814564306E-2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198</v>
      </c>
      <c r="G676" s="1">
        <f>G662+G675</f>
        <v>990</v>
      </c>
      <c r="H676" s="76"/>
      <c r="I676" s="76"/>
      <c r="J676" s="76"/>
      <c r="K676" s="76"/>
      <c r="L676" s="76"/>
      <c r="M676" s="77">
        <f ca="1">IFERROR(M662+M675,"")</f>
        <v>2.8371064814564306E-2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0.424204398143047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0.56309328703193473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0.64781550925415754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0.25406550925981719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0.25406550925981719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0.25406550925981719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0.25406550925981719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0.25406550925981719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0.25406550925981719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45" activePane="bottomLeft" state="frozen"/>
      <selection pane="bottomLeft" activeCell="G656" sqref="G656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24</v>
      </c>
      <c r="H655" s="88">
        <f>IFERROR(IF($G655="","",$G655*$S$662/$G$662/Cadastro!$E$33),"")</f>
        <v>0</v>
      </c>
      <c r="I655" s="90">
        <f>IFERROR(IF($D655="","",VLOOKUP($D655,Cadastro!$C$4:$G$7,5,FALSE())),"")</f>
        <v>0.6</v>
      </c>
      <c r="J655" s="91">
        <f t="shared" si="170"/>
        <v>0</v>
      </c>
      <c r="K655" s="69">
        <f t="shared" si="171"/>
        <v>100.80000000000001</v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24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100.80000000000001</v>
      </c>
      <c r="L662" s="72"/>
      <c r="M662" s="72"/>
      <c r="N662" s="72"/>
      <c r="O662" s="134"/>
      <c r="P662" s="134"/>
      <c r="Q662" s="73">
        <f ca="1">IFERROR(SUM(Q650:Q661),"")</f>
        <v>0.20833333333333331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24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100.80000000000001</v>
      </c>
      <c r="L676" s="76"/>
      <c r="M676" s="76"/>
      <c r="N676" s="76"/>
      <c r="O676" s="135"/>
      <c r="P676" s="135"/>
      <c r="Q676" s="77">
        <f ca="1">IFERROR(Q662+Q675,"")</f>
        <v>0.20833333333333331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2026-08-25T17:07:55Z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