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54" documentId="8_{AF585B22-221D-4780-BB9C-493D365A6A02}" xr6:coauthVersionLast="47" xr6:coauthVersionMax="47" xr10:uidLastSave="{9060FAF4-A5AA-4EFD-A377-20C0C8D1802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<sst xmlns="http://schemas.openxmlformats.org/spreadsheetml/2006/main" count="2919" uniqueCount="250">
  <si>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</si>
  <si>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</si>
  <si>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</si>
  <si>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</si>
  <si>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</si>
  <si>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</si>
  <si>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</si>
  <si>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</si>
  <si>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</si>
  <si>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</si>
  <si>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</si>
  <si>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</si>
  <si>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</si>
  <si>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</si>
  <si>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</si>
  <si>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</si>
  <si>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</si>
  <si>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</si>
  <si>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</si>
  <si>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</si>
  <si>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</si>
  <si>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</si>
  <si>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</si>
  <si>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</si>
  <si>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</si>
  <si>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</si>
  <si>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</si>
  <si>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</si>
  <si>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</si>
  <si>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</si>
  <si>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</si>
  <si>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</si>
  <si>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</si>
  <si>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</si>
  <si>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</si>
  <si>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</si>
  <si>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</si>
  <si>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</si>
  <si>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</si>
  <si>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</si>
  <si>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</si>
  <si>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</si>
  <si>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</si>
  <si>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</si>
  <si>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</si>
  <si>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</si>
  <si>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</si>
  <si>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</si>
  <si>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</si>
  <si>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</si>
  <si>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</si>
  <si>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</si>
  <si>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</si>
  <si>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</si>
  <si>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</si>
  <si>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</si>
  <si>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</si>
  <si>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</si>
  <si>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</si>
  <si>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</si>
  <si>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</si>
  <si>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</si>
  <si>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</si>
  <si>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</si>
  <si>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</si>
  <si>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</si>
  <si>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</si>
  <si>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</si>
  <si>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</si>
  <si>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</si>
  <si>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</si>
  <si>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</si>
  <si>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</si>
  <si>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</si>
  <si>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</si>
  <si>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</si>
  <si>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</si>
  <si>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</si>
  <si>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</si>
  <si>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</si>
  <si>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</si>
  <si>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</si>
  <si>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</si>
  <si>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</si>
  <si>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</si>
  <si>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</si>
  <si>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</si>
  <si>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</si>
  <si>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</si>
  <si>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</si>
  <si>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</si>
  <si>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</si>
  <si>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</si>
  <si>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</si>
  <si>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</si>
  <si>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</si>
  <si>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</si>
  <si>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</si>
  <si>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</si>
  <si>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</si>
  <si>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</si>
  <si>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</si>
  <si>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</si>
  <si>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</si>
  <si>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</si>
  <si>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</si>
  <si>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</si>
  <si>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</si>
  <si>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</si>
  <si>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</si>
  <si>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</si>
  <si>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</si>
  <si>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</si>
  <si>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</si>
  <si>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</si>
  <si>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</si>
  <si>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</si>
  <si>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</si>
  <si>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</si>
  <si>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</si>
  <si>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</si>
  <si>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</si>
  <si>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</si>
  <si>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</si>
  <si>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</si>
  <si>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</si>
  <si>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</si>
  <si>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</si>
  <si>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</si>
  <si>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</si>
  <si>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</si>
  <si>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</si>
  <si>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</si>
  <si>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</si>
  <si>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</si>
  <si>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</si>
  <si>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</si>
  <si>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</si>
  <si>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</si>
  <si>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</si>
  <si>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</si>
  <si>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</si>
  <si>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</si>
  <si>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</si>
  <si>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</si>
  <si>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</si>
  <si>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</si>
  <si>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</si>
  <si>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</si>
  <si>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</si>
  <si>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</si>
  <si>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</si>
  <si>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</si>
  <si>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</si>
  <si>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</si>
  <si>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</si>
  <si>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</si>
  <si>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</si>
  <si>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</si>
  <si>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</si>
  <si>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</si>
  <si>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</si>
  <si>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</si>
  <si>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</si>
  <si>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</si>
  <si>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</si>
  <si>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</si>
  <si>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</si>
  <si>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</si>
  <si>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</si>
  <si>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</si>
  <si>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</si>
  <si>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</si>
  <si>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</si>
  <si>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</si>
  <si>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</si>
  <si>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</si>
  <si>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</si>
  <si>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</si>
  <si>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</si>
  <si>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</si>
  <si>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</si>
  <si>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</si>
  <si>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</si>
  <si>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</si>
  <si>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</si>
  <si>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</si>
  <si>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</si>
  <si>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</si>
  <si>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</si>
  <si>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</si>
  <si>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</si>
  <si>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</si>
  <si>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</si>
  <si>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</si>
  <si>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</si>
  <si>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</si>
  <si>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</si>
  <si>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</si>
  <si>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</si>
  <si>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</si>
  <si>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</si>
  <si>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</si>
  <si>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</si>
  <si>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</si>
  <si>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</si>
  <si>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</si>
  <si>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</si>
  <si>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</si>
  <si>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</si>
  <si>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</si>
  <si>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</si>
  <si>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</si>
  <si>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obstruçao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</si>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</sst>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14" activePane="bottomLeft" state="frozen"/>
      <selection pane="bottomLeft" activeCell="L140" sqref="L1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 t="s">
        <v>213</v>
      </c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101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/>
      <c r="M140" s="30">
        <f t="shared" ca="1" si="31"/>
        <v>9.6020601849886589E-2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0.1786594907387753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0.1786594907387753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5" sqref="F1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63</v>
      </c>
      <c r="G149" s="36">
        <f>SUM(G137:G148)</f>
        <v>315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63</v>
      </c>
      <c r="G163" s="40">
        <f>G149+G162</f>
        <v>315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5" sqref="F1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>
        <v>6</v>
      </c>
      <c r="G144" s="28">
        <f t="shared" si="30"/>
        <v>30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41</v>
      </c>
      <c r="G149" s="36">
        <f>SUM(G137:G148)</f>
        <v>205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41</v>
      </c>
      <c r="G163" s="40">
        <f>G149+G162</f>
        <v>205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F145" sqref="F1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239</v>
      </c>
      <c r="L58" s="29">
        <v>0.54097222222222219</v>
      </c>
      <c r="M58" s="30" t="str">
        <f t="shared" ca="1" si="13"/>
        <v/>
      </c>
      <c r="N58" s="27" t="s">
        <v>240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0.39602060185279697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0.5953261574083526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0.96268726851946362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85</v>
      </c>
      <c r="G149" s="36">
        <f>SUM(G137:G148)</f>
        <v>425</v>
      </c>
      <c r="H149" s="37"/>
      <c r="I149" s="37"/>
      <c r="J149" s="37"/>
      <c r="K149" s="61"/>
      <c r="L149" s="61"/>
      <c r="M149" s="38">
        <f ca="1">IFERROR(SUM(M137:M148),"")</f>
        <v>3.7500000000000033E-2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85</v>
      </c>
      <c r="G163" s="40">
        <f>G149+G162</f>
        <v>425</v>
      </c>
      <c r="H163" s="41"/>
      <c r="I163" s="41"/>
      <c r="J163" s="41"/>
      <c r="K163" s="63"/>
      <c r="L163" s="63"/>
      <c r="M163" s="42">
        <f ca="1">IFERROR(M149+M162,"")</f>
        <v>3.7500000000000033E-2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2026-07-06T19:31:16Z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