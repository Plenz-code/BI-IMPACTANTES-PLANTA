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220" documentId="8_{AF585B22-221D-4780-BB9C-493D365A6A02}" xr6:coauthVersionLast="47" xr6:coauthVersionMax="47" xr10:uidLastSave="{1C69B76B-18FB-4270-8427-E032C927E507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<sst xmlns="http://schemas.openxmlformats.org/spreadsheetml/2006/main" count="4842" uniqueCount="290">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</sst>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E296" sqref="E29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/>
      <c r="G285" s="34" t="str">
        <f t="shared" ref="G285:G296" si="63">IF(F285="","",IF(E285="PC 17",F285*4.2,IF(E285="PC 19",F285*5,"")))</f>
        <v/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316</v>
      </c>
      <c r="G298" s="40">
        <f>G284+G297</f>
        <v>1580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74" activePane="bottomLeft" state="frozen"/>
      <selection pane="bottomLeft" activeCell="E296" sqref="E29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183</v>
      </c>
      <c r="G298" s="40">
        <f>G284+G297</f>
        <v>768.59999999999991</v>
      </c>
      <c r="H298" s="41"/>
      <c r="I298" s="41"/>
      <c r="J298" s="41"/>
      <c r="K298" s="41"/>
      <c r="L298" s="41"/>
      <c r="M298" s="42">
        <f ca="1">IFERROR(M284+M297,"")</f>
        <v>0.15763888888888883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79" zoomScale="50" zoomScaleNormal="50" workbookViewId="0">
      <selection activeCell="D285" sqref="D28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260</v>
      </c>
      <c r="N166" s="27" t="s">
        <v>261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/>
      <c r="M285" s="35">
        <f t="shared" ref="M285:M296" ca="1" si="64">IFERROR(IF(K285="","",IF(L285="",MOD(NOW()-K285,1),IF(L285&gt;=K285,L285-K285,L285+1-K285))),"")</f>
        <v>2.9296064814843703E-2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2.9296064814843703E-2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306.59999999999997</v>
      </c>
      <c r="H298" s="41"/>
      <c r="I298" s="41"/>
      <c r="J298" s="41"/>
      <c r="K298" s="41"/>
      <c r="L298" s="41"/>
      <c r="M298" s="42">
        <f ca="1">IFERROR(M284+M297,"")</f>
        <v>8.4851620370399228E-2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74" activePane="bottomLeft" state="frozen"/>
      <selection pane="bottomLeft" activeCell="H285" sqref="H28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269</v>
      </c>
      <c r="L58" s="29">
        <v>0.54097222222222219</v>
      </c>
      <c r="M58" s="30" t="str">
        <f t="shared" ca="1" si="13"/>
        <v/>
      </c>
      <c r="N58" s="27" t="s">
        <v>270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0.57165717592579313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0.77096273148134875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1.1383238425924598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>
        <v>0.79166666666666663</v>
      </c>
      <c r="L285" s="29"/>
      <c r="M285" s="35">
        <f t="shared" ref="M285:M296" ca="1" si="64">IFERROR(IF(K285="","",IF(L285="",MOD(NOW()-K285,1),IF(L285&gt;=K285,L285-K285,L285+1-K285))),"")</f>
        <v>2.9296064814843703E-2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2.9296064814843703E-2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187</v>
      </c>
      <c r="G298" s="40">
        <f>G284+G297</f>
        <v>785.40000000000009</v>
      </c>
      <c r="H298" s="41"/>
      <c r="I298" s="41"/>
      <c r="J298" s="41"/>
      <c r="K298" s="63"/>
      <c r="L298" s="63"/>
      <c r="M298" s="42">
        <f ca="1">IFERROR(M284+M297,"")</f>
        <v>9.3184953703732532E-2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2026-07-11T23:42:12Z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