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26" documentId="8_{C51EB6CB-002B-4D6B-B68F-DDEBDB4460C0}" xr6:coauthVersionLast="47" xr6:coauthVersionMax="47" xr10:uidLastSave="{8874E992-4CB2-4B9B-A0A2-F545A35F958C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<sst xmlns="http://schemas.openxmlformats.org/spreadsheetml/2006/main" count="5840" uniqueCount="341">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</sst>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E323" sqref="E32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433</v>
      </c>
      <c r="G325" s="40">
        <f>G311+G324</f>
        <v>2165</v>
      </c>
      <c r="H325" s="41"/>
      <c r="I325" s="41"/>
      <c r="J325" s="41"/>
      <c r="K325" s="41"/>
      <c r="L325" s="41"/>
      <c r="M325" s="42">
        <f ca="1">IFERROR(M311+M324,"")</f>
        <v>8.9583333333333293E-2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3" sqref="F31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0.75243692129151896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0.8913258101804078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0.97604803240263016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>
        <v>13</v>
      </c>
      <c r="G313" s="34">
        <f t="shared" si="69"/>
        <v>54.6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35</v>
      </c>
      <c r="G324" s="36">
        <f>SUM(G312:G323)</f>
        <v>147</v>
      </c>
      <c r="H324" s="37"/>
      <c r="I324" s="37"/>
      <c r="J324" s="37"/>
      <c r="K324" s="37"/>
      <c r="L324" s="37"/>
      <c r="M324" s="38">
        <f ca="1">IFERROR(SUM(M312:M323),"")</f>
        <v>9.7222222222221877E-3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204</v>
      </c>
      <c r="G325" s="40">
        <f>G311+G324</f>
        <v>856.8</v>
      </c>
      <c r="H325" s="41"/>
      <c r="I325" s="41"/>
      <c r="J325" s="41"/>
      <c r="K325" s="41"/>
      <c r="L325" s="41"/>
      <c r="M325" s="42">
        <f ca="1">IFERROR(M311+M324,"")</f>
        <v>6.3194444444444331E-2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4" sqref="F31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0.67952025462727761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0.74132581018283317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0.80243692129394439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250</v>
      </c>
      <c r="F313" s="27">
        <v>4</v>
      </c>
      <c r="G313" s="34">
        <f t="shared" si="69"/>
        <v>16.8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</v>
      </c>
      <c r="G324" s="36">
        <f>SUM(G312:G323)</f>
        <v>50.400000000000006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135</v>
      </c>
      <c r="G325" s="40">
        <f>G311+G324</f>
        <v>566.99999999999989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E313" sqref="E31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40</v>
      </c>
      <c r="G324" s="36">
        <f>SUM(G312:G323)</f>
        <v>181.60000000000002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232</v>
      </c>
      <c r="G325" s="40">
        <f>G311+G324</f>
        <v>988</v>
      </c>
      <c r="H325" s="41"/>
      <c r="I325" s="41"/>
      <c r="J325" s="41"/>
      <c r="K325" s="63"/>
      <c r="L325" s="63"/>
      <c r="M325" s="42">
        <f ca="1">IFERROR(M311+M324,"")</f>
        <v>7.5694444444444453E-2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2026-08-13T00:58:33Z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