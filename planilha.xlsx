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49" documentId="8_{AF585B22-221D-4780-BB9C-493D365A6A02}" xr6:coauthVersionLast="47" xr6:coauthVersionMax="47" xr10:uidLastSave="{33578B78-A883-4A83-8C4E-5B7193DD8169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2" i="3" l="1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<sst xmlns="http://schemas.openxmlformats.org/spreadsheetml/2006/main" count="1663" uniqueCount="210">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</sst>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108620</v>
      </c>
      <c r="D5" s="11">
        <f>IFERROR('Linha 1'!O55,"")</f>
        <v>351740</v>
      </c>
      <c r="E5" s="11">
        <f>IFERROR('Linha 2'!O55,"")</f>
        <v>205590</v>
      </c>
      <c r="F5" s="11">
        <f>IFERROR('Linha 3'!O55,"")</f>
        <v>304990</v>
      </c>
      <c r="G5" s="12">
        <f t="shared" si="0"/>
        <v>862320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2781100</v>
      </c>
      <c r="D35" s="13">
        <f>IFERROR(SUM(D4:D34),"")</f>
        <v>1372200</v>
      </c>
      <c r="E35" s="13">
        <f>IFERROR(SUM(E4:E34),"")</f>
        <v>806620</v>
      </c>
      <c r="F35" s="13">
        <f>IFERROR(SUM(F4:F34),"")</f>
        <v>834290</v>
      </c>
      <c r="G35" s="13">
        <f>IFERROR(SUM(G4:G34),"")</f>
        <v>3013110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174</v>
      </c>
      <c r="L48" s="16"/>
      <c r="M48" s="16"/>
    </row>
    <row r="49" spans="1:13" ht="18" customHeight="1">
      <c r="H49" s="87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177</v>
      </c>
      <c r="L50" s="16"/>
      <c r="M50" s="16"/>
    </row>
    <row r="51" spans="1:13" ht="24" customHeight="1">
      <c r="H51" s="87"/>
      <c r="I51" s="17"/>
      <c r="J51" s="17"/>
      <c r="K51" s="17" t="s">
        <v>178</v>
      </c>
      <c r="L51" s="17"/>
      <c r="M51" s="17"/>
    </row>
    <row r="52" spans="1:13" ht="24" customHeight="1">
      <c r="H52" s="87"/>
      <c r="I52" s="16"/>
      <c r="J52" s="16"/>
      <c r="K52" s="16" t="s">
        <v>179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5" activePane="bottomLeft" state="frozen"/>
      <selection pane="bottomLeft" activeCell="L43" sqref="L4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0.4597222222222222</v>
      </c>
      <c r="N55" s="40" t="s">
        <v>197</v>
      </c>
      <c r="O55" s="43">
        <f>IFERROR(O41+O54,"")</f>
        <v>108620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" activePane="bottomLeft" state="frozen"/>
      <selection pane="bottomLeft" activeCell="F44" sqref="F4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90">
        <v>393200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15</v>
      </c>
      <c r="G54" s="36">
        <f>SUM(G42:G53)</f>
        <v>63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54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7.9861111111111105E-2</v>
      </c>
      <c r="N55" s="40" t="s">
        <v>197</v>
      </c>
      <c r="O55" s="43">
        <f>IFERROR(O41+O54,"")</f>
        <v>351740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6" activePane="bottomLeft" state="frozen"/>
      <selection pane="bottomLeft" activeCell="F44" sqref="F4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/>
      <c r="I42" s="26"/>
      <c r="J42" s="26"/>
      <c r="K42" s="29">
        <v>0.88194444444444442</v>
      </c>
      <c r="L42" s="29"/>
      <c r="M42" s="30">
        <f t="shared" ref="M42:M53" ca="1" si="10">IFERROR(IF(K42="","",IF(L42="",MOD(NOW()-K42,1),IF(L42&gt;=K42,L42-K42,L42+1-K42))),"")</f>
        <v>6.8223379639675841E-3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8</v>
      </c>
      <c r="G54" s="36">
        <f>SUM(G42:G53)</f>
        <v>33.6</v>
      </c>
      <c r="H54" s="37"/>
      <c r="I54" s="37"/>
      <c r="J54" s="37"/>
      <c r="K54" s="37"/>
      <c r="L54" s="37"/>
      <c r="M54" s="38">
        <f ca="1">IFERROR(SUM(M42:M53),"")</f>
        <v>6.8223379639675841E-3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79</v>
      </c>
      <c r="G55" s="40">
        <f>G41+G54</f>
        <v>331.80000000000007</v>
      </c>
      <c r="H55" s="41"/>
      <c r="I55" s="41"/>
      <c r="J55" s="41"/>
      <c r="K55" s="41"/>
      <c r="L55" s="41"/>
      <c r="M55" s="42">
        <f ca="1">IFERROR(M41+M54,"")</f>
        <v>0.16168344907507864</v>
      </c>
      <c r="N55" s="40" t="s">
        <v>197</v>
      </c>
      <c r="O55" s="43">
        <f>IFERROR(O41+O54,"")</f>
        <v>205590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4" activePane="bottomLeft" state="frozen"/>
      <selection pane="bottomLeft" activeCell="F44" sqref="F4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30</v>
      </c>
      <c r="G54" s="36">
        <f>SUM(G42:G53)</f>
        <v>126</v>
      </c>
      <c r="H54" s="37"/>
      <c r="I54" s="37"/>
      <c r="J54" s="37"/>
      <c r="K54" s="61"/>
      <c r="L54" s="61"/>
      <c r="M54" s="38">
        <f ca="1">IFERROR(SUM(M42:M53),"")</f>
        <v>5.208333333333337E-2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115</v>
      </c>
      <c r="G55" s="40">
        <f>G41+G54</f>
        <v>483</v>
      </c>
      <c r="H55" s="41"/>
      <c r="I55" s="41"/>
      <c r="J55" s="41"/>
      <c r="K55" s="63"/>
      <c r="L55" s="63"/>
      <c r="M55" s="42">
        <f ca="1">IFERROR(M41+M54,"")</f>
        <v>0.27638888888888902</v>
      </c>
      <c r="N55" s="40" t="s">
        <v>197</v>
      </c>
      <c r="O55" s="48">
        <f>IFERROR(O41+O54,"")</f>
        <v>304990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2026-07-03T01:19:57Z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