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74" documentId="13_ncr:1_{0A10D8D4-8450-4366-8075-B53B08E6B7EA}" xr6:coauthVersionLast="47" xr6:coauthVersionMax="47" xr10:uidLastSave="{F802487C-A426-4DFB-9C65-EC6F3AD5151C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2" i="6" l="1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<sst xmlns="http://schemas.openxmlformats.org/spreadsheetml/2006/main" count="7546" uniqueCount="363">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</sst>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1" activePane="bottomLeft" state="frozen"/>
      <selection pane="bottomLeft" activeCell="L439" sqref="L43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128</v>
      </c>
      <c r="G446" s="81">
        <f>SUM(G434:G445)</f>
        <v>640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128</v>
      </c>
      <c r="G460" s="40">
        <f>G446+G459</f>
        <v>640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11" activePane="bottomLeft" state="frozen"/>
      <selection pane="bottomLeft" activeCell="P438" sqref="P43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0.62459432869945886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0.7634832175883477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0.84820543981057006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95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399.00000000000006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95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399.00000000000006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P436" sqref="P4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/>
      <c r="Q436" s="30">
        <f t="shared" ca="1" si="106"/>
        <v>1.41776620366727E-2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4"/>
        <v>0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77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323.40000000000003</v>
      </c>
      <c r="L446" s="37"/>
      <c r="M446" s="37"/>
      <c r="N446" s="37"/>
      <c r="O446" s="37"/>
      <c r="P446" s="37"/>
      <c r="Q446" s="38">
        <f ca="1">IFERROR(SUM(Q434:Q445),"")</f>
        <v>4.1260995370005993E-2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77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323.40000000000003</v>
      </c>
      <c r="L460" s="41"/>
      <c r="M460" s="41"/>
      <c r="N460" s="41"/>
      <c r="O460" s="41"/>
      <c r="P460" s="41"/>
      <c r="Q460" s="42">
        <f ca="1">IFERROR(Q446+Q459,"")</f>
        <v>4.1260995370005993E-2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L436" sqref="L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/>
      <c r="Q435" s="35">
        <f t="shared" ca="1" si="108"/>
        <v>6.6260995372431353E-2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169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709.80000000000007</v>
      </c>
      <c r="L446" s="37"/>
      <c r="M446" s="37"/>
      <c r="N446" s="37"/>
      <c r="O446" s="61"/>
      <c r="P446" s="61"/>
      <c r="Q446" s="38">
        <f ca="1">IFERROR(SUM(Q434:Q445),"")</f>
        <v>7.9455439816875861E-2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169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709.80000000000007</v>
      </c>
      <c r="L460" s="41"/>
      <c r="M460" s="41"/>
      <c r="N460" s="41"/>
      <c r="O460" s="63"/>
      <c r="P460" s="63"/>
      <c r="Q460" s="42">
        <f ca="1">IFERROR(Q446+Q459,"")</f>
        <v>7.9455439816875861E-2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2026-08-17T21:55:08Z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