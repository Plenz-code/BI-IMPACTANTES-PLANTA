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03" documentId="8_{AF585B22-221D-4780-BB9C-493D365A6A02}" xr6:coauthVersionLast="47" xr6:coauthVersionMax="47" xr10:uidLastSave="{8AA3BD8B-018D-47AA-AD5F-706B795D341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<sst xmlns="http://schemas.openxmlformats.org/spreadsheetml/2006/main" count="5308" uniqueCount="301">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</sst>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4.0094791671435814E-2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4.0094791671435814E-2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0.19078923611588022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4.0094675925502088E-2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4.0094675925502088E-2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0.13940023148105751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L317" sqref="L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0.58731701389478985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0.78662256945034548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1.1539836805614565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8</v>
      </c>
      <c r="G312" s="28">
        <f t="shared" ref="G312:G323" si="69">IF(F312="","",IF(E312="PC 17",F312*4.2,IF(E312="PC 19",F312*5,"")))</f>
        <v>40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</v>
      </c>
      <c r="G324" s="36">
        <f>SUM(G312:G323)</f>
        <v>40</v>
      </c>
      <c r="H324" s="37"/>
      <c r="I324" s="37"/>
      <c r="J324" s="37"/>
      <c r="K324" s="61"/>
      <c r="L324" s="61"/>
      <c r="M324" s="38">
        <f ca="1">IFERROR(SUM(M312:M323),"")</f>
        <v>4.0277777777777746E-2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</v>
      </c>
      <c r="G325" s="40">
        <f>G311+G324</f>
        <v>166</v>
      </c>
      <c r="H325" s="41"/>
      <c r="I325" s="41"/>
      <c r="J325" s="41"/>
      <c r="K325" s="63"/>
      <c r="L325" s="63"/>
      <c r="M325" s="42">
        <f ca="1">IFERROR(M311+M324,"")</f>
        <v>0.45347222222222228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2026-07-13T00:05:17Z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