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342" documentId="8_{AF585B22-221D-4780-BB9C-493D365A6A02}" xr6:coauthVersionLast="47" xr6:coauthVersionMax="47" xr10:uidLastSave="{BD00DAEF-161C-4675-83B7-C780865A2B14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623" i="4" l="1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<sst xmlns="http://schemas.openxmlformats.org/spreadsheetml/2006/main" count="9830" uniqueCount="385">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</sst>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E27" sqref="E27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2213310</v>
      </c>
      <c r="D27" s="11">
        <f>IFERROR('Linha 1'!O649,"")</f>
        <v>508090</v>
      </c>
      <c r="E27" s="11">
        <f>IFERROR('Linha 2'!O649,"")</f>
        <v>659370</v>
      </c>
      <c r="F27" s="11">
        <f>IFERROR('Linha 3'!O649,"")</f>
        <v>360420</v>
      </c>
      <c r="G27" s="12">
        <f t="shared" si="0"/>
        <v>1527880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73202308</v>
      </c>
      <c r="D35" s="13">
        <f>IFERROR(SUM(D4:D34),"")</f>
        <v>28724530</v>
      </c>
      <c r="E35" s="13">
        <f>IFERROR(SUM(E4:E34),"")</f>
        <v>16744270</v>
      </c>
      <c r="F35" s="13">
        <f>IFERROR(SUM(F4:F34),"")</f>
        <v>30758160</v>
      </c>
      <c r="G35" s="13">
        <f>IFERROR(SUM(G4:G34),"")</f>
        <v>76226960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19" activePane="bottomLeft" state="frozen"/>
      <selection pane="bottomLeft" activeCell="F640" sqref="F64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102</v>
      </c>
      <c r="G648" s="36">
        <f>SUM(G636:G647)</f>
        <v>510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435</v>
      </c>
      <c r="G649" s="40">
        <f>G635+G648</f>
        <v>2175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2213310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20" activePane="bottomLeft" state="frozen"/>
      <selection pane="bottomLeft" activeCell="F640" sqref="F64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37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263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264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265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266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267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268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269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270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271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272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274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278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279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280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281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276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284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285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287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291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292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0.74391608795849606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0.90155497684738495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1.0112771990696072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276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293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294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0.72238831018330529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0.89322164351663869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1.0383605324055276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297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298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299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300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301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302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303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304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305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306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307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309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35" t="str">
        <f ca="1">IFERROR(IF(K623="","",IF(#REF!="",MOD(NOW()-K623,1),IF(#REF!&gt;=K623,#REF!-K623,#REF!+1-K623))),"")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21">
        <v>0.55138888888888893</v>
      </c>
      <c r="M624" s="30">
        <f ca="1">IFERROR(IF(K624="","",IF(L623="",MOD(NOW()-K624,1),IF(L623&gt;=K624,L623-K624,L623+1-K624))),"")</f>
        <v>0.95833333333333315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0.77013888888888893</v>
      </c>
      <c r="M625" s="35">
        <f t="shared" ref="M625:M634" ca="1" si="140">IFERROR(IF(K625="","",IF(L625="",MOD(NOW()-K625,1),IF(L625&gt;=K625,L625-K625,L625+1-K625))),"")</f>
        <v>1.736111111111116E-2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0.97569444444444431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77</v>
      </c>
      <c r="G648" s="36">
        <f>SUM(G636:G647)</f>
        <v>323.40000000000003</v>
      </c>
      <c r="H648" s="37"/>
      <c r="I648" s="37"/>
      <c r="J648" s="37"/>
      <c r="K648" s="37"/>
      <c r="L648" s="37"/>
      <c r="M648" s="38">
        <f ca="1">IFERROR(SUM(M636:M647),"")</f>
        <v>2.3611111111111138E-2</v>
      </c>
      <c r="N648" s="36" t="s">
        <v>233</v>
      </c>
      <c r="O648" s="77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170</v>
      </c>
      <c r="G649" s="40">
        <f>G635+G648</f>
        <v>714</v>
      </c>
      <c r="H649" s="41"/>
      <c r="I649" s="41"/>
      <c r="J649" s="41"/>
      <c r="K649" s="41"/>
      <c r="L649" s="41"/>
      <c r="M649" s="42">
        <f ca="1">IFERROR(M635+M648,"")</f>
        <v>0.99930555555555545</v>
      </c>
      <c r="N649" s="40" t="s">
        <v>236</v>
      </c>
      <c r="O649" s="83">
        <f>O635+O648</f>
        <v>508090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16" zoomScale="50" zoomScaleNormal="50" workbookViewId="0">
      <selection activeCell="F640" sqref="F64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298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275</v>
      </c>
      <c r="K141" s="29">
        <v>0.71597222222222223</v>
      </c>
      <c r="L141" s="29" t="s">
        <v>316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318</v>
      </c>
      <c r="N166" s="27" t="s">
        <v>319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338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42</v>
      </c>
      <c r="G648" s="36">
        <f>SUM(G636:G647)</f>
        <v>176.4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188</v>
      </c>
      <c r="G649" s="40">
        <f>G635+G648</f>
        <v>789.59999999999991</v>
      </c>
      <c r="H649" s="41"/>
      <c r="I649" s="41"/>
      <c r="J649" s="41"/>
      <c r="K649" s="41"/>
      <c r="L649" s="41"/>
      <c r="M649" s="42">
        <f ca="1">IFERROR(M635+M648,"")</f>
        <v>5.5555555555555358E-3</v>
      </c>
      <c r="N649" s="40" t="s">
        <v>236</v>
      </c>
      <c r="O649" s="48">
        <f>IFERROR(O635+O648,"")</f>
        <v>659370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620" activePane="bottomLeft" state="frozen"/>
      <selection pane="bottomLeft" activeCell="I637" sqref="I63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298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343</v>
      </c>
      <c r="L58" s="29">
        <v>0.54097222222222219</v>
      </c>
      <c r="M58" s="30" t="str">
        <f t="shared" ca="1" si="13"/>
        <v/>
      </c>
      <c r="N58" s="27" t="s">
        <v>344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0.73419386574096279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0.93349942129651842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1.3008605324076294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270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298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309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383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/>
      <c r="G636" s="28" t="str">
        <f t="shared" ref="G636:G647" si="141">IF(F636="","",IF(E636="PC 17",F636*4.2,IF(E636="PC 19",F636*5,"")))</f>
        <v/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384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/>
      <c r="G637" s="34" t="str">
        <f t="shared" si="141"/>
        <v/>
      </c>
      <c r="H637" s="33" t="s">
        <v>18</v>
      </c>
      <c r="I637" s="33" t="s">
        <v>75</v>
      </c>
      <c r="J637" s="33"/>
      <c r="K637" s="29">
        <v>0.98263888888888884</v>
      </c>
      <c r="L637" s="29"/>
      <c r="M637" s="35">
        <f t="shared" ca="1" si="142"/>
        <v>8.6053240374894813E-4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0.17586053240374899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86</v>
      </c>
      <c r="G649" s="40">
        <f>G635+G648</f>
        <v>361.20000000000005</v>
      </c>
      <c r="H649" s="41"/>
      <c r="I649" s="41"/>
      <c r="J649" s="41"/>
      <c r="K649" s="63"/>
      <c r="L649" s="63"/>
      <c r="M649" s="42">
        <f ca="1">IFERROR(M635+M648,"")</f>
        <v>0.35224942129263798</v>
      </c>
      <c r="N649" s="40" t="s">
        <v>236</v>
      </c>
      <c r="O649" s="48">
        <f>IFERROR(O635+O648,"")</f>
        <v>360420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2026-07-25T03:36:18Z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