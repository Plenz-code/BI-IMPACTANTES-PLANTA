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4" documentId="8_{AF585B22-221D-4780-BB9C-493D365A6A02}" xr6:coauthVersionLast="47" xr6:coauthVersionMax="47" xr10:uidLastSave="{941C4167-A6AC-4F2E-B379-E4336F0F026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<sst xmlns="http://schemas.openxmlformats.org/spreadsheetml/2006/main" count="1475" uniqueCount="203">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</sst>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40" sqref="E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4.3464699076139368E-2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4.3464699076139368E-2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4.3464699076139368E-2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H30" sqref="H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</v>
      </c>
      <c r="G29" s="28">
        <f t="shared" ref="G29:G40" si="6">IF(F29="","",IF(E29="PC 17",F29*4.2,IF(E29="PC 19",F29*5,"")))</f>
        <v>4.2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5.6659143519937061E-2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 t="s">
        <v>18</v>
      </c>
      <c r="I30" s="26" t="s">
        <v>133</v>
      </c>
      <c r="J30" s="26"/>
      <c r="K30" s="29">
        <v>0.34027777777777779</v>
      </c>
      <c r="L30" s="29"/>
      <c r="M30" s="30">
        <f t="shared" ca="1" si="7"/>
        <v>2.4020254626520909E-2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</v>
      </c>
      <c r="G41" s="36">
        <f>SUM(G29:G40)</f>
        <v>4.2</v>
      </c>
      <c r="H41" s="37"/>
      <c r="I41" s="37"/>
      <c r="J41" s="37"/>
      <c r="K41" s="37"/>
      <c r="L41" s="37"/>
      <c r="M41" s="38">
        <f ca="1">IFERROR(SUM(M29:M40),"")</f>
        <v>8.067939814645797E-2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</v>
      </c>
      <c r="G55" s="40">
        <f>G41+G54</f>
        <v>4.2</v>
      </c>
      <c r="H55" s="41"/>
      <c r="I55" s="41"/>
      <c r="J55" s="41"/>
      <c r="K55" s="41"/>
      <c r="L55" s="41"/>
      <c r="M55" s="42">
        <f ca="1">IFERROR(M41+M54,"")</f>
        <v>8.067939814645797E-2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40" sqref="E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7.2631365743291099E-2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2.4020254626520909E-2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9.6651620369812008E-2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9.6651620369812008E-2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7</v>
      </c>
      <c r="G29" s="28">
        <f t="shared" ref="G29:G40" si="6">IF(F29="","",IF(E29="PC 17",F29*4.2,IF(E29="PC 19",F29*5,"")))</f>
        <v>29.400000000000002</v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2.4020254626520909E-2</v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7</v>
      </c>
      <c r="G41" s="36">
        <f>SUM(G29:G40)</f>
        <v>29.400000000000002</v>
      </c>
      <c r="H41" s="37"/>
      <c r="I41" s="37"/>
      <c r="J41" s="37"/>
      <c r="K41" s="61"/>
      <c r="L41" s="61"/>
      <c r="M41" s="38">
        <f ca="1">IFERROR(SUM(M29:M40),"")</f>
        <v>2.4020254626520909E-2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7</v>
      </c>
      <c r="G55" s="40">
        <f>G41+G54</f>
        <v>29.400000000000002</v>
      </c>
      <c r="H55" s="41"/>
      <c r="I55" s="41"/>
      <c r="J55" s="41"/>
      <c r="K55" s="63"/>
      <c r="L55" s="63"/>
      <c r="M55" s="42">
        <f ca="1">IFERROR(M41+M54,"")</f>
        <v>2.4020254626520909E-2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2026-07-02T12:46:37Z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