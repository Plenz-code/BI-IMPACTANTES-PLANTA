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29" documentId="13_ncr:1_{0A10D8D4-8450-4366-8075-B53B08E6B7EA}" xr6:coauthVersionLast="47" xr6:coauthVersionMax="47" xr10:uidLastSave="{66417E24-7A99-49F7-84F5-B21C24F9DF72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H372" i="6" s="1"/>
  <c r="J372" i="6" s="1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H372" i="5" s="1"/>
  <c r="J372" i="5" s="1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H372" i="4" s="1"/>
  <c r="J372" i="4" s="1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0" i="6" l="1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<sst xmlns="http://schemas.openxmlformats.org/spreadsheetml/2006/main" count="6549" uniqueCount="348">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</sst>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sqref="A1:K1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73" sqref="F373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240</v>
      </c>
      <c r="G378" s="36">
        <f>SUM(G366:G377)</f>
        <v>1200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640</v>
      </c>
      <c r="G379" s="40">
        <f>G365+G378</f>
        <v>3166.4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49" activePane="bottomLeft" state="frozen"/>
      <selection pane="bottomLeft" activeCell="N369" sqref="N36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0.98720543981471565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1.1260943287036045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1.2108165509258269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88.2</v>
      </c>
      <c r="L369" s="33" t="s">
        <v>27</v>
      </c>
      <c r="M369" s="33"/>
      <c r="N369" s="33" t="s">
        <v>35</v>
      </c>
      <c r="O369" s="29">
        <v>0.1076388888888889</v>
      </c>
      <c r="P369" s="29"/>
      <c r="Q369" s="35">
        <f t="shared" ca="1" si="88"/>
        <v>1.0943287052214146E-3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71.400000000000006</v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97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407.40000000000003</v>
      </c>
      <c r="L378" s="37"/>
      <c r="M378" s="37"/>
      <c r="N378" s="37"/>
      <c r="O378" s="37"/>
      <c r="P378" s="37"/>
      <c r="Q378" s="38">
        <f ca="1">IFERROR(SUM(Q366:Q377),"")</f>
        <v>7.6788773149666006E-2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205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861</v>
      </c>
      <c r="L379" s="41"/>
      <c r="M379" s="41"/>
      <c r="N379" s="41"/>
      <c r="O379" s="41"/>
      <c r="P379" s="41"/>
      <c r="Q379" s="42">
        <f ca="1">IFERROR(Q365+Q378,"")</f>
        <v>0.16012210648299927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73" sqref="G37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4"/>
        <v>0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4"/>
        <v>0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4"/>
        <v>0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33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138.6</v>
      </c>
      <c r="L378" s="37"/>
      <c r="M378" s="37"/>
      <c r="N378" s="37"/>
      <c r="O378" s="37"/>
      <c r="P378" s="37"/>
      <c r="Q378" s="38">
        <f ca="1">IFERROR(SUM(Q366:Q377),"")</f>
        <v>0.10069444444444453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123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516.60000000000014</v>
      </c>
      <c r="L379" s="41"/>
      <c r="M379" s="41"/>
      <c r="N379" s="41"/>
      <c r="O379" s="41"/>
      <c r="P379" s="41"/>
      <c r="Q379" s="42">
        <f ca="1">IFERROR(Q365+Q378,"")</f>
        <v>0.29583333333333334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G372" sqref="G37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/>
      <c r="Q371" s="35">
        <f t="shared" ca="1" si="88"/>
        <v>3.2344212959287688E-2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142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596.39999999999986</v>
      </c>
      <c r="L378" s="37"/>
      <c r="M378" s="37"/>
      <c r="N378" s="37"/>
      <c r="O378" s="61"/>
      <c r="P378" s="61"/>
      <c r="Q378" s="38">
        <f ca="1">IFERROR(SUM(Q366:Q377),"")</f>
        <v>8.9983101848176608E-2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338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1419.6</v>
      </c>
      <c r="L379" s="41"/>
      <c r="M379" s="41"/>
      <c r="N379" s="41"/>
      <c r="O379" s="63"/>
      <c r="P379" s="63"/>
      <c r="Q379" s="42">
        <f ca="1">IFERROR(Q365+Q378,"")</f>
        <v>0.20803865740373229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2026-08-15T06:37:06Z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