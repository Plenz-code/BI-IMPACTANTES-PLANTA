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339" documentId="8_{AF585B22-221D-4780-BB9C-493D365A6A02}" xr6:coauthVersionLast="47" xr6:coauthVersionMax="47" xr10:uidLastSave="{91F1B3B3-E9F6-4DAC-9035-7A5A5A4DB8C7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<sst xmlns="http://schemas.openxmlformats.org/spreadsheetml/2006/main" count="2520" uniqueCount="235">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</sst>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9976020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3972190</v>
      </c>
      <c r="G35" s="13">
        <f>IFERROR(SUM(G4:G34),"")</f>
        <v>10419510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6" sqref="K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 t="s">
        <v>185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9" activePane="bottomLeft" state="frozen"/>
      <selection pane="bottomLeft" activeCell="F119" sqref="F11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196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200</v>
      </c>
      <c r="O27" s="39">
        <v>1183060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200</v>
      </c>
      <c r="O54" s="39">
        <v>959290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200</v>
      </c>
      <c r="O81" s="39">
        <v>878050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200</v>
      </c>
      <c r="O108" s="39">
        <v>1700000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20</v>
      </c>
      <c r="G110" s="28">
        <f t="shared" ref="G110:G121" si="24">IF(F110="","",IF(E110="PC 17",F110*4.2,IF(E110="PC 19",F110*5,"")))</f>
        <v>84</v>
      </c>
      <c r="H110" s="26" t="s">
        <v>18</v>
      </c>
      <c r="I110" s="26" t="s">
        <v>23</v>
      </c>
      <c r="J110" s="26" t="s">
        <v>185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30</v>
      </c>
      <c r="G111" s="34">
        <f t="shared" si="24"/>
        <v>126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40</v>
      </c>
      <c r="G112" s="28">
        <f t="shared" si="24"/>
        <v>168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40</v>
      </c>
      <c r="G113" s="34">
        <f t="shared" si="24"/>
        <v>168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20</v>
      </c>
      <c r="G114" s="28">
        <f t="shared" si="24"/>
        <v>84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30</v>
      </c>
      <c r="G115" s="34">
        <f t="shared" si="24"/>
        <v>126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15</v>
      </c>
      <c r="G116" s="28">
        <f t="shared" si="24"/>
        <v>63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6</v>
      </c>
      <c r="G117" s="34">
        <f t="shared" si="24"/>
        <v>25.200000000000003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32</v>
      </c>
      <c r="G118" s="28">
        <f t="shared" si="24"/>
        <v>134.4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233</v>
      </c>
      <c r="G122" s="36">
        <f>SUM(G110:G121)</f>
        <v>978.6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233</v>
      </c>
      <c r="G136" s="40">
        <f>G122+G135</f>
        <v>978.6</v>
      </c>
      <c r="H136" s="41"/>
      <c r="I136" s="41"/>
      <c r="J136" s="41"/>
      <c r="K136" s="41"/>
      <c r="L136" s="41"/>
      <c r="M136" s="42">
        <f ca="1">IFERROR(M122+M135,"")</f>
        <v>1.3888888888888895E-2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44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82" activePane="bottomLeft" state="frozen"/>
      <selection pane="bottomLeft" activeCell="N98" sqref="N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200</v>
      </c>
      <c r="O27" s="78">
        <v>393200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208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85">
        <v>276360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200</v>
      </c>
      <c r="O81" s="54">
        <v>787860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200</v>
      </c>
      <c r="O108" s="54">
        <v>1087080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/>
      <c r="M111" s="30">
        <f t="shared" ca="1" si="25"/>
        <v>2.9359143518377095E-2</v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110</v>
      </c>
      <c r="G122" s="36">
        <f>SUM(G110:G121)</f>
        <v>462</v>
      </c>
      <c r="H122" s="37"/>
      <c r="I122" s="37"/>
      <c r="J122" s="37"/>
      <c r="K122" s="37"/>
      <c r="L122" s="37"/>
      <c r="M122" s="38">
        <f ca="1">IFERROR(SUM(M110:M121),"")</f>
        <v>0.10713692129615487</v>
      </c>
      <c r="N122" s="36" t="s">
        <v>200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54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110</v>
      </c>
      <c r="G136" s="40">
        <f>G122+G135</f>
        <v>462</v>
      </c>
      <c r="H136" s="41"/>
      <c r="I136" s="41"/>
      <c r="J136" s="41"/>
      <c r="K136" s="41"/>
      <c r="L136" s="41"/>
      <c r="M136" s="42">
        <f ca="1">IFERROR(M122+M135,"")</f>
        <v>0.10713692129615487</v>
      </c>
      <c r="N136" s="40" t="s">
        <v>203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54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78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78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78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78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78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78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78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78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78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78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78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78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78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78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78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78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78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78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78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78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78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87" activePane="bottomLeft" state="frozen"/>
      <selection pane="bottomLeft" activeCell="F118" sqref="F11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200</v>
      </c>
      <c r="O27" s="39">
        <v>308500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39">
        <v>124290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200</v>
      </c>
      <c r="O81" s="39">
        <v>396340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200</v>
      </c>
      <c r="O108" s="39">
        <v>41230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>
        <v>0</v>
      </c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0.38908136574173113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>
        <v>0</v>
      </c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>
        <v>0</v>
      </c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>
        <v>0</v>
      </c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>
        <v>0</v>
      </c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>
        <v>0</v>
      </c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>
        <v>0</v>
      </c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>
        <v>0</v>
      </c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0.38908136574173113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0.38908136574173113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39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80" activePane="bottomLeft" state="frozen"/>
      <selection pane="bottomLeft" activeCell="E121" sqref="E12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200</v>
      </c>
      <c r="O27" s="39">
        <v>202230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200</v>
      </c>
      <c r="O54" s="39">
        <v>473910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227</v>
      </c>
      <c r="L58" s="29">
        <v>0.54097222222222219</v>
      </c>
      <c r="M58" s="30" t="str">
        <f t="shared" ca="1" si="13"/>
        <v/>
      </c>
      <c r="N58" s="27" t="s">
        <v>228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200</v>
      </c>
      <c r="O81" s="39">
        <v>565120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200</v>
      </c>
      <c r="O108" s="39">
        <v>558590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10</v>
      </c>
      <c r="G122" s="36">
        <f>SUM(G110:G121)</f>
        <v>42</v>
      </c>
      <c r="H122" s="37"/>
      <c r="I122" s="37"/>
      <c r="J122" s="37"/>
      <c r="K122" s="61"/>
      <c r="L122" s="61"/>
      <c r="M122" s="38">
        <f ca="1">IFERROR(SUM(M110:M121),"")</f>
        <v>0.36527777777777776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10</v>
      </c>
      <c r="G136" s="40">
        <f>G122+G135</f>
        <v>42</v>
      </c>
      <c r="H136" s="41"/>
      <c r="I136" s="41"/>
      <c r="J136" s="41"/>
      <c r="K136" s="63"/>
      <c r="L136" s="63"/>
      <c r="M136" s="42">
        <f ca="1">IFERROR(M122+M135,"")</f>
        <v>0.36527777777777776</v>
      </c>
      <c r="N136" s="40" t="s">
        <v>203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200</v>
      </c>
      <c r="O432" s="39"/>
    </row>
    <row r="433" spans="1:17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2026-07-05T20:20:26Z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