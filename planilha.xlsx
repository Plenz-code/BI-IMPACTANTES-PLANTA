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1" documentId="13_ncr:1_{A6DBCFB4-28D9-4249-9038-216934055CA6}" xr6:coauthVersionLast="47" xr6:coauthVersionMax="47" xr10:uidLastSave="{D5CB7F26-B88E-448F-8504-2601A00963ED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<sst xmlns="http://schemas.openxmlformats.org/spreadsheetml/2006/main" count="10645" uniqueCount="435">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</sst>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0" sqref="F64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/>
      <c r="G641" s="69" t="str">
        <f>IF(F641="","",IF(#REF!="PC 17",F641*4.2,IF(#REF!="PC 19",F641*5,IF(#REF!="CB",F641*35,""))))</f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161</v>
      </c>
      <c r="G648" s="2">
        <f>SUM(G636:G647)</f>
        <v>805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567</v>
      </c>
      <c r="G649" s="1">
        <f>G635+G648</f>
        <v>2835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0.86037210647918982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0.99926099536807755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1.0839832175903004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206.2</v>
      </c>
      <c r="L648" s="72"/>
      <c r="M648" s="72"/>
      <c r="N648" s="72"/>
      <c r="O648" s="72"/>
      <c r="P648" s="72"/>
      <c r="Q648" s="73">
        <f ca="1">IFERROR(SUM(Q636:Q647),"")</f>
        <v>3.819444444444442E-2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209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886.60000000000014</v>
      </c>
      <c r="L649" s="76"/>
      <c r="M649" s="76"/>
      <c r="N649" s="76"/>
      <c r="O649" s="76"/>
      <c r="P649" s="76"/>
      <c r="Q649" s="77">
        <f ca="1">IFERROR(Q635+Q648,"")</f>
        <v>0.10902777777777789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0" sqref="G64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40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177.60000000000002</v>
      </c>
      <c r="L648" s="72"/>
      <c r="M648" s="72"/>
      <c r="N648" s="72"/>
      <c r="O648" s="72"/>
      <c r="P648" s="72"/>
      <c r="Q648" s="73">
        <f ca="1">IFERROR(SUM(Q636:Q647),"")</f>
        <v>1.1111111111111072E-2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112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480.00000000000006</v>
      </c>
      <c r="L649" s="76"/>
      <c r="M649" s="76"/>
      <c r="N649" s="76"/>
      <c r="O649" s="76"/>
      <c r="P649" s="76"/>
      <c r="Q649" s="77">
        <f ca="1">IFERROR(Q635+Q648,"")</f>
        <v>6.458333333333327E-2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G640" sqref="G640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434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/>
      <c r="Q638" s="66">
        <f t="shared" ca="1" si="168"/>
        <v>6.4988426311174408E-4</v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/>
      <c r="H640" s="88" t="str">
        <f>IFERROR(IF($G640="","",$G640*$S$648/$G$648/Cadastro!$E$33),"")</f>
        <v/>
      </c>
      <c r="I640" s="90">
        <f>IFERROR(IF($D640="","",VLOOKUP($D640,Cadastro!$C$4:$G$7,5,FALSE())),"")</f>
        <v>0.6</v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/>
      <c r="H641" s="88" t="str">
        <f>IFERROR(IF($G641="","",$G641*$S$648/$G$648/Cadastro!$E$33),"")</f>
        <v/>
      </c>
      <c r="I641" s="90">
        <f>IFERROR(IF($D641="","",VLOOKUP($D641,Cadastro!$C$4:$G$7,5,FALSE())),"")</f>
        <v>0.6</v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/>
      <c r="H642" s="88" t="str">
        <f>IFERROR(IF($G642="","",$G642*$S$648/$G$648/Cadastro!$E$33),"")</f>
        <v/>
      </c>
      <c r="I642" s="90">
        <f>IFERROR(IF($D642="","",VLOOKUP($D642,Cadastro!$C$4:$G$7,5,FALSE())),"")</f>
        <v>0.6</v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/>
      <c r="H643" s="88" t="str">
        <f>IFERROR(IF($G643="","",$G643*$S$648/$G$648/Cadastro!$E$33),"")</f>
        <v/>
      </c>
      <c r="I643" s="90">
        <f>IFERROR(IF($D643="","",VLOOKUP($D643,Cadastro!$C$4:$G$7,5,FALSE())),"")</f>
        <v>0.6</v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74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322.8</v>
      </c>
      <c r="L648" s="72"/>
      <c r="M648" s="72"/>
      <c r="N648" s="72"/>
      <c r="O648" s="134"/>
      <c r="P648" s="134"/>
      <c r="Q648" s="73">
        <f ca="1">IFERROR(SUM(Q636:Q647),"")</f>
        <v>5.2733217596445114E-2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315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1335</v>
      </c>
      <c r="L649" s="76"/>
      <c r="M649" s="76"/>
      <c r="N649" s="76"/>
      <c r="O649" s="135"/>
      <c r="P649" s="135"/>
      <c r="Q649" s="77">
        <f ca="1">IFERROR(Q635+Q648,"")</f>
        <v>0.12217766204088953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2026-08-25T03:35:26Z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