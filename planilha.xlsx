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62" documentId="8_{AF585B22-221D-4780-BB9C-493D365A6A02}" xr6:coauthVersionLast="47" xr6:coauthVersionMax="47" xr10:uidLastSave="{A83DD013-7070-49EA-B6AD-C19DD74A405C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F68" i="3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F68" i="5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81" i="6" l="1"/>
  <c r="F82" i="3"/>
  <c r="G81" i="3"/>
  <c r="F82" i="5"/>
  <c r="G81" i="5"/>
  <c r="F82" i="4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<sst xmlns="http://schemas.openxmlformats.org/spreadsheetml/2006/main" count="2049" uniqueCount="223">
  <si>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</si>
  <si>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</si>
  <si>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</si>
  <si>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</si>
  <si>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</si>
  <si>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</si>
  <si>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</si>
  <si>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</si>
  <si>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</si>
  <si>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</si>
  <si>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</si>
  <si>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</si>
  <si>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</si>
  <si>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</si>
  <si>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</si>
  <si>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</si>
  <si>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</si>
  <si>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</si>
  <si>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</si>
  <si>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</si>
  <si>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</si>
  <si>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</si>
  <si>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</si>
  <si>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</si>
  <si>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</si>
  <si>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</si>
  <si>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</si>
  <si>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</si>
  <si>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</si>
  <si>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</si>
  <si>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</si>
  <si>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</si>
  <si>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</si>
  <si>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</si>
  <si>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</si>
  <si>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</si>
  <si>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</si>
  <si>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</si>
  <si>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</si>
  <si>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</si>
  <si>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</si>
  <si>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</si>
  <si>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</si>
  <si>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</si>
  <si>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</si>
  <si>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</si>
  <si>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</si>
  <si>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</si>
  <si>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</si>
  <si>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</si>
  <si>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</si>
  <si>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</si>
  <si>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</si>
  <si>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</si>
  <si>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</si>
  <si>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</si>
  <si>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</si>
  <si>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</si>
  <si>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</si>
  <si>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</si>
  <si>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</si>
  <si>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</si>
  <si>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</si>
  <si>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</si>
  <si>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</si>
  <si>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</si>
  <si>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</si>
  <si>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</si>
  <si>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</si>
  <si>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</si>
  <si>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</si>
  <si>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</si>
  <si>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</si>
  <si>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</si>
  <si>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</si>
  <si>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</si>
  <si>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</si>
  <si>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</si>
  <si>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</si>
  <si>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</si>
  <si>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</si>
  <si>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</si>
  <si>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</si>
  <si>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</si>
  <si>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</si>
  <si>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</si>
  <si>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</si>
  <si>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</si>
  <si>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</si>
  <si>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</si>
  <si>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</si>
  <si>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</si>
  <si>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</si>
  <si>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</si>
  <si>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</si>
  <si>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</si>
  <si>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</si>
  <si>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</si>
  <si>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</si>
  <si>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</si>
  <si>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</si>
  <si>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</si>
  <si>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</si>
  <si>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</si>
  <si>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</si>
  <si>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</si>
  <si>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</si>
  <si>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</si>
  <si>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</si>
  <si>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</si>
  <si>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</si>
  <si>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</si>
  <si>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</si>
  <si>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</si>
  <si>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</si>
  <si>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</si>
  <si>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</si>
  <si>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</si>
  <si>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</si>
  <si>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</si>
  <si>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</si>
  <si>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</si>
  <si>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</si>
  <si>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</si>
  <si>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</si>
  <si>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</si>
  <si>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</si>
  <si>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</si>
  <si>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</si>
  <si>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</si>
  <si>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</si>
  <si>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</si>
  <si>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</si>
  <si>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</si>
  <si>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</si>
  <si>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</si>
  <si>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</si>
  <si>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</si>
  <si>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</si>
  <si>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</si>
  <si>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</si>
  <si>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</si>
  <si>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</si>
  <si>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</si>
  <si>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</si>
  <si>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</si>
  <si>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</si>
  <si>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</si>
  <si>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</si>
  <si>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</si>
  <si>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</si>
  <si>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</si>
  <si>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</si>
  <si>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</si>
  <si>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</si>
  <si>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</si>
  <si>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</si>
  <si>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</si>
  <si>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</si>
  <si>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</si>
  <si>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</si>
  <si>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</si>
  <si>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</si>
  <si>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</si>
  <si>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</si>
  <si>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</si>
  <si>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</si>
  <si>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</si>
  <si>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</si>
  <si>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</si>
  <si>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</si>
  <si>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</si>
  <si>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</si>
  <si>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</si>
  <si>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</si>
  <si>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</si>
  <si>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</si>
  <si>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</si>
  <si>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</si>
  <si>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</si>
  <si>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</si>
  <si>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</si>
  <si>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</si>
  <si>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</si>
  <si>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</si>
  <si>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</si>
  <si>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</si>
  <si>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</si>
  <si>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</si>
  <si>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</si>
  <si>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</si>
  <si>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</si>
  <si>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</si>
  <si>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</si>
  <si>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</si>
  <si>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</si>
  <si>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</si>
  <si>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</si>
  <si>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</si>
  <si>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</si>
  <si>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</si>
  <si>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</si>
  <si>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</si>
  <si>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</si>
  <si>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</si>
  <si>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</si>
  <si>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</si>
  <si>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</si>
  <si>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</si>
  <si>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</si>
  <si>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</si>
  <si>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</si>
  <si>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</si>
  <si>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</si>
  <si>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</si>
  <si>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</si>
  <si>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</si>
  <si>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</si>
  <si>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</si>
  <si>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</si>
  <si>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pino, virada das facas</t>
  </si>
  <si>
    <t>Encanamento do hidrociclone obstruído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</si>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</sst>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546875" defaultRowHeight="14.4" x14ac:dyDescent="0.3"/>
  <cols>
    <col min="2" max="2" width="17.44140625" style="71" customWidth="1"/>
    <col min="3" max="3" width="21.44140625" customWidth="1"/>
    <col min="4" max="6" width="16" hidden="1" customWidth="1"/>
    <col min="7" max="7" width="34" customWidth="1"/>
  </cols>
  <sheetData>
    <row r="1" spans="1:7" ht="31.5" customHeight="1" x14ac:dyDescent="0.3">
      <c r="A1" s="88" t="s">
        <v>0</v>
      </c>
      <c r="B1" s="88"/>
      <c r="C1" s="88"/>
      <c r="D1" s="88"/>
      <c r="E1" s="88"/>
      <c r="F1" s="88"/>
      <c r="G1" s="88"/>
    </row>
    <row r="2" spans="1:7" ht="24.75" customHeight="1" x14ac:dyDescent="0.3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3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3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3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3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3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3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3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 x14ac:dyDescent="0.3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 x14ac:dyDescent="0.3">
      <c r="H2" s="92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 x14ac:dyDescent="0.3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 x14ac:dyDescent="0.3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 x14ac:dyDescent="0.3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 x14ac:dyDescent="0.3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 x14ac:dyDescent="0.3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 x14ac:dyDescent="0.3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 x14ac:dyDescent="0.3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 x14ac:dyDescent="0.3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 x14ac:dyDescent="0.3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 x14ac:dyDescent="0.3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 x14ac:dyDescent="0.3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 x14ac:dyDescent="0.3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 x14ac:dyDescent="0.3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 x14ac:dyDescent="0.3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 x14ac:dyDescent="0.3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 x14ac:dyDescent="0.3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 x14ac:dyDescent="0.3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 x14ac:dyDescent="0.3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 x14ac:dyDescent="0.3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 x14ac:dyDescent="0.3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 x14ac:dyDescent="0.3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 x14ac:dyDescent="0.3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 x14ac:dyDescent="0.3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 x14ac:dyDescent="0.3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 x14ac:dyDescent="0.3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 x14ac:dyDescent="0.3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 x14ac:dyDescent="0.3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 x14ac:dyDescent="0.3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 x14ac:dyDescent="0.3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221</v>
      </c>
    </row>
    <row r="47" spans="1:13" ht="15.75" customHeight="1" x14ac:dyDescent="0.3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 x14ac:dyDescent="0.3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 x14ac:dyDescent="0.3">
      <c r="H49" s="92"/>
      <c r="I49" s="17"/>
      <c r="J49" s="17"/>
      <c r="K49" s="17" t="s">
        <v>176</v>
      </c>
      <c r="L49" s="17"/>
      <c r="M49" s="17"/>
    </row>
    <row r="50" spans="1:13" ht="21" customHeight="1" x14ac:dyDescent="0.3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 x14ac:dyDescent="0.3">
      <c r="H51" s="92"/>
      <c r="I51" s="17"/>
      <c r="J51" s="17"/>
      <c r="K51" s="17" t="s">
        <v>179</v>
      </c>
      <c r="L51" s="17"/>
      <c r="M51" s="17"/>
    </row>
    <row r="52" spans="1:13" ht="24" customHeight="1" x14ac:dyDescent="0.3">
      <c r="H52" s="92"/>
      <c r="I52" s="16"/>
      <c r="J52" s="16"/>
      <c r="K52" s="16" t="s">
        <v>180</v>
      </c>
      <c r="L52" s="16"/>
      <c r="M52" s="16"/>
    </row>
    <row r="53" spans="1:13" ht="36" customHeight="1" x14ac:dyDescent="0.3">
      <c r="H53" s="92"/>
      <c r="I53" s="17"/>
      <c r="J53" s="17"/>
      <c r="K53" s="17" t="s">
        <v>181</v>
      </c>
      <c r="L53" s="17"/>
      <c r="M53" s="17"/>
    </row>
    <row r="54" spans="1:13" ht="15" customHeight="1" x14ac:dyDescent="0.3">
      <c r="H54" s="92"/>
      <c r="I54" s="16"/>
      <c r="J54" s="16"/>
      <c r="K54" s="16"/>
      <c r="L54" s="16"/>
      <c r="M54" s="16"/>
    </row>
    <row r="55" spans="1:13" ht="15" customHeight="1" x14ac:dyDescent="0.3">
      <c r="H55" s="92"/>
      <c r="I55" s="17"/>
      <c r="J55" s="17"/>
      <c r="K55" s="17"/>
      <c r="L55" s="17"/>
      <c r="M55" s="17"/>
    </row>
    <row r="56" spans="1:13" ht="15" customHeight="1" x14ac:dyDescent="0.3">
      <c r="H56" s="92"/>
      <c r="I56" s="16"/>
      <c r="J56" s="16"/>
      <c r="K56" s="16"/>
      <c r="L56" s="16"/>
      <c r="M56" s="16"/>
    </row>
    <row r="57" spans="1:13" ht="15" customHeight="1" x14ac:dyDescent="0.3">
      <c r="H57" s="92"/>
      <c r="I57" s="17"/>
      <c r="J57" s="17"/>
      <c r="K57" s="17"/>
      <c r="L57" s="17"/>
      <c r="M57" s="17"/>
    </row>
    <row r="58" spans="1:13" ht="15" customHeight="1" x14ac:dyDescent="0.3">
      <c r="H58" s="92"/>
      <c r="I58" s="16"/>
      <c r="J58" s="16"/>
      <c r="K58" s="16"/>
      <c r="L58" s="16"/>
      <c r="M58" s="16"/>
    </row>
    <row r="59" spans="1:13" ht="15" customHeight="1" x14ac:dyDescent="0.3">
      <c r="H59" s="92"/>
      <c r="I59" s="17"/>
      <c r="J59" s="17"/>
      <c r="K59" s="17"/>
      <c r="L59" s="17"/>
      <c r="M59" s="17"/>
    </row>
    <row r="60" spans="1:13" ht="15" customHeight="1" x14ac:dyDescent="0.3">
      <c r="H60" s="92"/>
      <c r="I60" s="16"/>
      <c r="J60" s="16"/>
      <c r="K60" s="16"/>
      <c r="L60" s="16"/>
      <c r="M60" s="16"/>
    </row>
    <row r="61" spans="1:13" ht="15" customHeight="1" x14ac:dyDescent="0.3">
      <c r="H61" s="92"/>
      <c r="I61" s="17"/>
      <c r="J61" s="17"/>
      <c r="K61" s="17"/>
      <c r="L61" s="17"/>
      <c r="M61" s="17"/>
    </row>
    <row r="62" spans="1:13" ht="15" customHeight="1" x14ac:dyDescent="0.3">
      <c r="H62" s="92"/>
      <c r="I62" s="16"/>
      <c r="J62" s="16"/>
      <c r="K62" s="16"/>
      <c r="L62" s="16"/>
      <c r="M62" s="16"/>
    </row>
    <row r="63" spans="1:13" ht="15" customHeight="1" x14ac:dyDescent="0.3">
      <c r="H63" s="92"/>
      <c r="I63" s="17"/>
      <c r="J63" s="17"/>
      <c r="K63" s="17"/>
      <c r="L63" s="17"/>
      <c r="M63" s="17"/>
    </row>
    <row r="64" spans="1:13" ht="15" customHeight="1" x14ac:dyDescent="0.3">
      <c r="H64" s="92"/>
      <c r="I64" s="16"/>
      <c r="J64" s="16"/>
      <c r="K64" s="16"/>
      <c r="L64" s="16"/>
      <c r="M64" s="16"/>
    </row>
    <row r="65" spans="8:13" ht="15" customHeight="1" x14ac:dyDescent="0.3">
      <c r="H65" s="92"/>
      <c r="I65" s="17"/>
      <c r="J65" s="17"/>
      <c r="K65" s="17"/>
      <c r="L65" s="17"/>
      <c r="M65" s="17"/>
    </row>
    <row r="66" spans="8:13" ht="15" customHeight="1" x14ac:dyDescent="0.3">
      <c r="H66" s="92"/>
      <c r="I66" s="16"/>
      <c r="J66" s="16"/>
      <c r="K66" s="16"/>
      <c r="L66" s="16"/>
      <c r="M66" s="16"/>
    </row>
    <row r="67" spans="8:13" ht="15" customHeight="1" x14ac:dyDescent="0.3">
      <c r="H67" s="92"/>
      <c r="I67" s="17"/>
      <c r="J67" s="17"/>
      <c r="K67" s="17"/>
      <c r="L67" s="17"/>
      <c r="M67" s="17"/>
    </row>
    <row r="68" spans="8:13" ht="15" customHeight="1" x14ac:dyDescent="0.3">
      <c r="H68" s="92"/>
      <c r="I68" s="16"/>
      <c r="J68" s="16"/>
      <c r="K68" s="16"/>
      <c r="L68" s="16"/>
      <c r="M68" s="16"/>
    </row>
    <row r="69" spans="8:13" ht="15" customHeight="1" x14ac:dyDescent="0.3">
      <c r="H69" s="92"/>
      <c r="I69" s="17"/>
      <c r="J69" s="17"/>
      <c r="K69" s="17"/>
      <c r="L69" s="17"/>
      <c r="M69" s="17"/>
    </row>
    <row r="70" spans="8:13" ht="15" customHeight="1" x14ac:dyDescent="0.3">
      <c r="H70" s="92"/>
      <c r="I70" s="16"/>
      <c r="J70" s="16"/>
      <c r="K70" s="16"/>
      <c r="L70" s="16"/>
      <c r="M70" s="16"/>
    </row>
    <row r="71" spans="8:13" ht="15" customHeight="1" x14ac:dyDescent="0.3">
      <c r="H71" s="92"/>
      <c r="I71" s="17"/>
      <c r="J71" s="17"/>
      <c r="K71" s="17"/>
      <c r="L71" s="17"/>
      <c r="M71" s="17"/>
    </row>
    <row r="72" spans="8:13" ht="15" customHeight="1" x14ac:dyDescent="0.3">
      <c r="H72" s="92"/>
      <c r="I72" s="16"/>
      <c r="J72" s="16"/>
      <c r="K72" s="16"/>
      <c r="L72" s="16"/>
      <c r="M72" s="16"/>
    </row>
    <row r="73" spans="8:13" ht="15" customHeight="1" x14ac:dyDescent="0.3">
      <c r="H73" s="92"/>
      <c r="I73" s="17"/>
      <c r="J73" s="17"/>
      <c r="K73" s="17"/>
      <c r="L73" s="17"/>
      <c r="M73" s="17"/>
    </row>
    <row r="74" spans="8:13" ht="15" customHeight="1" x14ac:dyDescent="0.3">
      <c r="H74" s="92"/>
      <c r="I74" s="16"/>
      <c r="J74" s="16"/>
      <c r="K74" s="16"/>
      <c r="L74" s="16"/>
      <c r="M74" s="16"/>
    </row>
    <row r="75" spans="8:13" ht="15" customHeight="1" x14ac:dyDescent="0.3">
      <c r="H75" s="92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O77" sqref="O77"/>
    </sheetView>
  </sheetViews>
  <sheetFormatPr defaultColWidth="8.5546875" defaultRowHeight="14.4" x14ac:dyDescent="0.3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50.44140625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 x14ac:dyDescent="0.3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85" t="s">
        <v>195</v>
      </c>
      <c r="B14" s="86"/>
      <c r="C14" s="86"/>
      <c r="D14" s="86"/>
      <c r="E14" s="8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85" t="s">
        <v>197</v>
      </c>
      <c r="B27" s="86"/>
      <c r="C27" s="86"/>
      <c r="D27" s="86"/>
      <c r="E27" s="8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 x14ac:dyDescent="0.3">
      <c r="A28" s="82" t="s">
        <v>198</v>
      </c>
      <c r="B28" s="83"/>
      <c r="C28" s="83"/>
      <c r="D28" s="83"/>
      <c r="E28" s="8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5" t="s">
        <v>195</v>
      </c>
      <c r="B41" s="86"/>
      <c r="C41" s="86"/>
      <c r="D41" s="86"/>
      <c r="E41" s="8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5" t="s">
        <v>197</v>
      </c>
      <c r="B54" s="86"/>
      <c r="C54" s="86"/>
      <c r="D54" s="86"/>
      <c r="E54" s="8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 x14ac:dyDescent="0.3">
      <c r="A55" s="82" t="s">
        <v>198</v>
      </c>
      <c r="B55" s="83"/>
      <c r="C55" s="83"/>
      <c r="D55" s="83"/>
      <c r="E55" s="8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5" t="s">
        <v>195</v>
      </c>
      <c r="B68" s="86"/>
      <c r="C68" s="86"/>
      <c r="D68" s="86"/>
      <c r="E68" s="8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5" t="s">
        <v>197</v>
      </c>
      <c r="B81" s="86"/>
      <c r="C81" s="86"/>
      <c r="D81" s="86"/>
      <c r="E81" s="8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196</v>
      </c>
      <c r="O81" s="39">
        <v>878050</v>
      </c>
    </row>
    <row r="82" spans="1:15" ht="18" customHeight="1" x14ac:dyDescent="0.3">
      <c r="A82" s="82" t="s">
        <v>198</v>
      </c>
      <c r="B82" s="83"/>
      <c r="C82" s="83"/>
      <c r="D82" s="83"/>
      <c r="E82" s="8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199</v>
      </c>
      <c r="O82" s="43">
        <f>IFERROR(O68+O81,"")</f>
        <v>2831180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5" t="s">
        <v>195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5" t="s">
        <v>197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 x14ac:dyDescent="0.3">
      <c r="A109" s="82" t="s">
        <v>198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5" t="s">
        <v>195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5" t="s">
        <v>197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 x14ac:dyDescent="0.3">
      <c r="A136" s="82" t="s">
        <v>198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85" t="s">
        <v>195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85" t="s">
        <v>197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 x14ac:dyDescent="0.3">
      <c r="A163" s="82" t="s">
        <v>198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5" t="s">
        <v>195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5" t="s">
        <v>197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 x14ac:dyDescent="0.3">
      <c r="A190" s="82" t="s">
        <v>198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5" t="s">
        <v>195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5" t="s">
        <v>197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 x14ac:dyDescent="0.3">
      <c r="A217" s="82" t="s">
        <v>198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5" t="s">
        <v>195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5" t="s">
        <v>197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 x14ac:dyDescent="0.3">
      <c r="A244" s="82" t="s">
        <v>198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5" t="s">
        <v>195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5" t="s">
        <v>197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 x14ac:dyDescent="0.3">
      <c r="A271" s="82" t="s">
        <v>198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5" t="s">
        <v>195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5" t="s">
        <v>197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 x14ac:dyDescent="0.3">
      <c r="A298" s="82" t="s">
        <v>198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5" t="s">
        <v>195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5" t="s">
        <v>197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 x14ac:dyDescent="0.3">
      <c r="A325" s="82" t="s">
        <v>198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5" t="s">
        <v>195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5" t="s">
        <v>197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 x14ac:dyDescent="0.3">
      <c r="A352" s="82" t="s">
        <v>198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5" t="s">
        <v>195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5" t="s">
        <v>197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 x14ac:dyDescent="0.3">
      <c r="A379" s="82" t="s">
        <v>198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5" t="s">
        <v>195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5" t="s">
        <v>197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 x14ac:dyDescent="0.3">
      <c r="A406" s="82" t="s">
        <v>198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5" t="s">
        <v>195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5" t="s">
        <v>197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 x14ac:dyDescent="0.3">
      <c r="A433" s="82" t="s">
        <v>198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5" t="s">
        <v>195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5" t="s">
        <v>197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 x14ac:dyDescent="0.3">
      <c r="A460" s="82" t="s">
        <v>198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5" t="s">
        <v>195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5" t="s">
        <v>197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 x14ac:dyDescent="0.3">
      <c r="A487" s="82" t="s">
        <v>198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5" t="s">
        <v>195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5" t="s">
        <v>197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 x14ac:dyDescent="0.3">
      <c r="A514" s="82" t="s">
        <v>198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5" t="s">
        <v>195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5" t="s">
        <v>197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 x14ac:dyDescent="0.3">
      <c r="A541" s="82" t="s">
        <v>198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5" t="s">
        <v>195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5" t="s">
        <v>197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 x14ac:dyDescent="0.3">
      <c r="A568" s="82" t="s">
        <v>198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5" t="s">
        <v>195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5" t="s">
        <v>197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 x14ac:dyDescent="0.3">
      <c r="A595" s="82" t="s">
        <v>198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5" t="s">
        <v>195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5" t="s">
        <v>197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 x14ac:dyDescent="0.3">
      <c r="A622" s="82" t="s">
        <v>198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5" t="s">
        <v>195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5" t="s">
        <v>197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 x14ac:dyDescent="0.3">
      <c r="A649" s="82" t="s">
        <v>198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5" t="s">
        <v>195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5" t="s">
        <v>197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 x14ac:dyDescent="0.3">
      <c r="A676" s="82" t="s">
        <v>198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5" t="s">
        <v>195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5" t="s">
        <v>197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 x14ac:dyDescent="0.3">
      <c r="A703" s="82" t="s">
        <v>198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5" t="s">
        <v>195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5" t="s">
        <v>197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 x14ac:dyDescent="0.3">
      <c r="A730" s="82" t="s">
        <v>198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5" t="s">
        <v>195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5" t="s">
        <v>197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 x14ac:dyDescent="0.3">
      <c r="A757" s="82" t="s">
        <v>198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5" t="s">
        <v>195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5" t="s">
        <v>197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 x14ac:dyDescent="0.3">
      <c r="A784" s="82" t="s">
        <v>198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5" t="s">
        <v>195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5" t="s">
        <v>197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 x14ac:dyDescent="0.3">
      <c r="A811" s="82" t="s">
        <v>198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O69" sqref="O69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75.109375" style="20" customWidth="1"/>
    <col min="15" max="15" width="20" customWidth="1"/>
  </cols>
  <sheetData>
    <row r="1" spans="1:15" ht="37.5" customHeight="1" x14ac:dyDescent="0.3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85" t="s">
        <v>195</v>
      </c>
      <c r="B14" s="86"/>
      <c r="C14" s="86"/>
      <c r="D14" s="86"/>
      <c r="E14" s="8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85" t="s">
        <v>197</v>
      </c>
      <c r="B27" s="86"/>
      <c r="C27" s="86"/>
      <c r="D27" s="86"/>
      <c r="E27" s="8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 x14ac:dyDescent="0.3">
      <c r="A28" s="82" t="s">
        <v>198</v>
      </c>
      <c r="B28" s="83"/>
      <c r="C28" s="83"/>
      <c r="D28" s="83"/>
      <c r="E28" s="8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85" t="s">
        <v>195</v>
      </c>
      <c r="B41" s="86"/>
      <c r="C41" s="86"/>
      <c r="D41" s="86"/>
      <c r="E41" s="8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 x14ac:dyDescent="0.3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85" t="s">
        <v>197</v>
      </c>
      <c r="B54" s="86"/>
      <c r="C54" s="86"/>
      <c r="D54" s="86"/>
      <c r="E54" s="8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 x14ac:dyDescent="0.3">
      <c r="A55" s="82" t="s">
        <v>198</v>
      </c>
      <c r="B55" s="83"/>
      <c r="C55" s="83"/>
      <c r="D55" s="83"/>
      <c r="E55" s="8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85" t="s">
        <v>195</v>
      </c>
      <c r="B68" s="86"/>
      <c r="C68" s="86"/>
      <c r="D68" s="86"/>
      <c r="E68" s="8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>
        <v>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85" t="s">
        <v>197</v>
      </c>
      <c r="B81" s="86"/>
      <c r="C81" s="86"/>
      <c r="D81" s="86"/>
      <c r="E81" s="8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196</v>
      </c>
      <c r="O81" s="54">
        <v>787860</v>
      </c>
    </row>
    <row r="82" spans="1:15" ht="18" customHeight="1" x14ac:dyDescent="0.3">
      <c r="A82" s="82" t="s">
        <v>198</v>
      </c>
      <c r="B82" s="83"/>
      <c r="C82" s="83"/>
      <c r="D82" s="83"/>
      <c r="E82" s="8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199</v>
      </c>
      <c r="O82" s="43">
        <f>IFERROR(O68+O81,"")</f>
        <v>787860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85" t="s">
        <v>195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85" t="s">
        <v>197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 x14ac:dyDescent="0.3">
      <c r="A109" s="82" t="s">
        <v>198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85" t="s">
        <v>195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85" t="s">
        <v>197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 x14ac:dyDescent="0.3">
      <c r="A136" s="82" t="s">
        <v>198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85" t="s">
        <v>195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85" t="s">
        <v>197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 x14ac:dyDescent="0.3">
      <c r="A163" s="82" t="s">
        <v>198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85" t="s">
        <v>195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85" t="s">
        <v>197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 x14ac:dyDescent="0.3">
      <c r="A190" s="82" t="s">
        <v>198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85" t="s">
        <v>195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85" t="s">
        <v>197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 x14ac:dyDescent="0.3">
      <c r="A217" s="82" t="s">
        <v>198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5" t="s">
        <v>195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85" t="s">
        <v>197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 x14ac:dyDescent="0.3">
      <c r="A244" s="82" t="s">
        <v>198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85" t="s">
        <v>195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85" t="s">
        <v>197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 x14ac:dyDescent="0.3">
      <c r="A271" s="82" t="s">
        <v>198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85" t="s">
        <v>195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85" t="s">
        <v>197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 x14ac:dyDescent="0.3">
      <c r="A298" s="82" t="s">
        <v>198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85" t="s">
        <v>195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85" t="s">
        <v>197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 x14ac:dyDescent="0.3">
      <c r="A325" s="82" t="s">
        <v>198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85" t="s">
        <v>195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85" t="s">
        <v>197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 x14ac:dyDescent="0.3">
      <c r="A352" s="82" t="s">
        <v>198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85" t="s">
        <v>195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85" t="s">
        <v>197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 x14ac:dyDescent="0.3">
      <c r="A379" s="82" t="s">
        <v>198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85" t="s">
        <v>195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85" t="s">
        <v>197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 x14ac:dyDescent="0.3">
      <c r="A406" s="82" t="s">
        <v>198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85" t="s">
        <v>195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5" t="s">
        <v>197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 x14ac:dyDescent="0.3">
      <c r="A433" s="82" t="s">
        <v>198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85" t="s">
        <v>195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85" t="s">
        <v>197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 x14ac:dyDescent="0.3">
      <c r="A460" s="82" t="s">
        <v>198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85" t="s">
        <v>195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85" t="s">
        <v>197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 x14ac:dyDescent="0.3">
      <c r="A487" s="82" t="s">
        <v>198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85" t="s">
        <v>195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5" t="s">
        <v>197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 x14ac:dyDescent="0.3">
      <c r="A514" s="82" t="s">
        <v>198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85" t="s">
        <v>195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85" t="s">
        <v>197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 x14ac:dyDescent="0.3">
      <c r="A541" s="82" t="s">
        <v>198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85" t="s">
        <v>195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85" t="s">
        <v>197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 x14ac:dyDescent="0.3">
      <c r="A568" s="82" t="s">
        <v>198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85" t="s">
        <v>195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85" t="s">
        <v>197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 x14ac:dyDescent="0.3">
      <c r="A595" s="82" t="s">
        <v>198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85" t="s">
        <v>195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85" t="s">
        <v>197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 x14ac:dyDescent="0.3">
      <c r="A622" s="82" t="s">
        <v>198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85" t="s">
        <v>195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85" t="s">
        <v>197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 x14ac:dyDescent="0.3">
      <c r="A649" s="82" t="s">
        <v>198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85" t="s">
        <v>195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85" t="s">
        <v>197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 x14ac:dyDescent="0.3">
      <c r="A676" s="82" t="s">
        <v>198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85" t="s">
        <v>195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85" t="s">
        <v>197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 x14ac:dyDescent="0.3">
      <c r="A703" s="82" t="s">
        <v>198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85" t="s">
        <v>195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85" t="s">
        <v>197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 x14ac:dyDescent="0.3">
      <c r="A730" s="82" t="s">
        <v>198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85" t="s">
        <v>195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85" t="s">
        <v>197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 x14ac:dyDescent="0.3">
      <c r="A757" s="82" t="s">
        <v>198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85" t="s">
        <v>195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85" t="s">
        <v>197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 x14ac:dyDescent="0.3">
      <c r="A784" s="82" t="s">
        <v>198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85" t="s">
        <v>195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85" t="s">
        <v>197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 x14ac:dyDescent="0.3">
      <c r="A811" s="82" t="s">
        <v>198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F74" sqref="F74"/>
    </sheetView>
  </sheetViews>
  <sheetFormatPr defaultColWidth="8.5546875" defaultRowHeight="14.4" x14ac:dyDescent="0.3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 x14ac:dyDescent="0.3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85" t="s">
        <v>195</v>
      </c>
      <c r="B14" s="86"/>
      <c r="C14" s="86"/>
      <c r="D14" s="86"/>
      <c r="E14" s="8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85" t="s">
        <v>197</v>
      </c>
      <c r="B27" s="86"/>
      <c r="C27" s="86"/>
      <c r="D27" s="86"/>
      <c r="E27" s="8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 x14ac:dyDescent="0.3">
      <c r="A28" s="82" t="s">
        <v>198</v>
      </c>
      <c r="B28" s="83"/>
      <c r="C28" s="83"/>
      <c r="D28" s="83"/>
      <c r="E28" s="8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85" t="s">
        <v>195</v>
      </c>
      <c r="B41" s="86"/>
      <c r="C41" s="86"/>
      <c r="D41" s="86"/>
      <c r="E41" s="8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85" t="s">
        <v>197</v>
      </c>
      <c r="B54" s="86"/>
      <c r="C54" s="86"/>
      <c r="D54" s="86"/>
      <c r="E54" s="8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 x14ac:dyDescent="0.3">
      <c r="A55" s="82" t="s">
        <v>198</v>
      </c>
      <c r="B55" s="83"/>
      <c r="C55" s="83"/>
      <c r="D55" s="83"/>
      <c r="E55" s="8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85" t="s">
        <v>195</v>
      </c>
      <c r="B68" s="86"/>
      <c r="C68" s="86"/>
      <c r="D68" s="86"/>
      <c r="E68" s="8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85" t="s">
        <v>197</v>
      </c>
      <c r="B81" s="86"/>
      <c r="C81" s="86"/>
      <c r="D81" s="86"/>
      <c r="E81" s="8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196</v>
      </c>
      <c r="O81" s="39">
        <v>396340</v>
      </c>
    </row>
    <row r="82" spans="1:15" ht="18" customHeight="1" x14ac:dyDescent="0.3">
      <c r="A82" s="82" t="s">
        <v>198</v>
      </c>
      <c r="B82" s="83"/>
      <c r="C82" s="83"/>
      <c r="D82" s="83"/>
      <c r="E82" s="8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199</v>
      </c>
      <c r="O82" s="43">
        <f>IFERROR(O68+O81,"")</f>
        <v>837780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85" t="s">
        <v>195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85" t="s">
        <v>197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 x14ac:dyDescent="0.3">
      <c r="A109" s="82" t="s">
        <v>198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85" t="s">
        <v>195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85" t="s">
        <v>197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 x14ac:dyDescent="0.3">
      <c r="A136" s="82" t="s">
        <v>198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5" t="s">
        <v>195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5" t="s">
        <v>197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 x14ac:dyDescent="0.3">
      <c r="A163" s="82" t="s">
        <v>198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5" t="s">
        <v>195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5" t="s">
        <v>197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 x14ac:dyDescent="0.3">
      <c r="A190" s="82" t="s">
        <v>198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5" t="s">
        <v>195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85" t="s">
        <v>197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 x14ac:dyDescent="0.3">
      <c r="A217" s="82" t="s">
        <v>198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85" t="s">
        <v>195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85" t="s">
        <v>197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 x14ac:dyDescent="0.3">
      <c r="A244" s="82" t="s">
        <v>198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85" t="s">
        <v>195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85" t="s">
        <v>197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 x14ac:dyDescent="0.3">
      <c r="A271" s="82" t="s">
        <v>198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85" t="s">
        <v>195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85" t="s">
        <v>197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 x14ac:dyDescent="0.3">
      <c r="A298" s="82" t="s">
        <v>198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85" t="s">
        <v>195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85" t="s">
        <v>197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 x14ac:dyDescent="0.3">
      <c r="A325" s="82" t="s">
        <v>198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85" t="s">
        <v>195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85" t="s">
        <v>197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 x14ac:dyDescent="0.3">
      <c r="A352" s="82" t="s">
        <v>198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85" t="s">
        <v>195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85" t="s">
        <v>197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 x14ac:dyDescent="0.3">
      <c r="A379" s="82" t="s">
        <v>198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85" t="s">
        <v>195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85" t="s">
        <v>197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 x14ac:dyDescent="0.3">
      <c r="A406" s="82" t="s">
        <v>198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 x14ac:dyDescent="0.3">
      <c r="A419" s="85" t="s">
        <v>195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85" t="s">
        <v>197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 x14ac:dyDescent="0.3">
      <c r="A433" s="82" t="s">
        <v>198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85" t="s">
        <v>195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85" t="s">
        <v>197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 x14ac:dyDescent="0.3">
      <c r="A460" s="82" t="s">
        <v>198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85" t="s">
        <v>195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85" t="s">
        <v>197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 x14ac:dyDescent="0.3">
      <c r="A487" s="82" t="s">
        <v>198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85" t="s">
        <v>195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85" t="s">
        <v>197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 x14ac:dyDescent="0.3">
      <c r="A514" s="82" t="s">
        <v>198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85" t="s">
        <v>195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85" t="s">
        <v>197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 x14ac:dyDescent="0.3">
      <c r="A541" s="82" t="s">
        <v>198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85" t="s">
        <v>195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85" t="s">
        <v>197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 x14ac:dyDescent="0.3">
      <c r="A568" s="82" t="s">
        <v>198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85" t="s">
        <v>195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85" t="s">
        <v>197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 x14ac:dyDescent="0.3">
      <c r="A595" s="82" t="s">
        <v>198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85" t="s">
        <v>195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85" t="s">
        <v>197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 x14ac:dyDescent="0.3">
      <c r="A622" s="82" t="s">
        <v>198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85" t="s">
        <v>195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85" t="s">
        <v>197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 x14ac:dyDescent="0.3">
      <c r="A649" s="82" t="s">
        <v>198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85" t="s">
        <v>195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85" t="s">
        <v>197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 x14ac:dyDescent="0.3">
      <c r="A676" s="82" t="s">
        <v>198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85" t="s">
        <v>195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85" t="s">
        <v>197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 x14ac:dyDescent="0.3">
      <c r="A703" s="82" t="s">
        <v>198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85" t="s">
        <v>195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85" t="s">
        <v>197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 x14ac:dyDescent="0.3">
      <c r="A730" s="82" t="s">
        <v>198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85" t="s">
        <v>195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85" t="s">
        <v>197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 x14ac:dyDescent="0.3">
      <c r="A757" s="82" t="s">
        <v>198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85" t="s">
        <v>195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85" t="s">
        <v>197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 x14ac:dyDescent="0.3">
      <c r="A784" s="82" t="s">
        <v>198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85" t="s">
        <v>195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85" t="s">
        <v>197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 x14ac:dyDescent="0.3">
      <c r="A811" s="82" t="s">
        <v>198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6" activePane="bottomLeft" state="frozen"/>
      <selection pane="bottomLeft" activeCell="C74" sqref="C74"/>
    </sheetView>
  </sheetViews>
  <sheetFormatPr defaultColWidth="8.5546875" defaultRowHeight="14.4" x14ac:dyDescent="0.3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52.109375" style="57" customWidth="1"/>
    <col min="11" max="11" width="18.44140625" style="57" customWidth="1"/>
    <col min="12" max="12" width="14" style="58" customWidth="1"/>
    <col min="13" max="13" width="14" style="57" customWidth="1"/>
    <col min="14" max="14" width="42.109375" style="57" customWidth="1"/>
    <col min="15" max="15" width="14" customWidth="1"/>
  </cols>
  <sheetData>
    <row r="1" spans="1:15" ht="37.5" customHeight="1" x14ac:dyDescent="0.3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 x14ac:dyDescent="0.3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 x14ac:dyDescent="0.3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 x14ac:dyDescent="0.3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85" t="s">
        <v>195</v>
      </c>
      <c r="B14" s="86"/>
      <c r="C14" s="86"/>
      <c r="D14" s="86"/>
      <c r="E14" s="8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 x14ac:dyDescent="0.3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 x14ac:dyDescent="0.3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85" t="s">
        <v>197</v>
      </c>
      <c r="B27" s="86"/>
      <c r="C27" s="86"/>
      <c r="D27" s="86"/>
      <c r="E27" s="8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 x14ac:dyDescent="0.3">
      <c r="A28" s="82" t="s">
        <v>198</v>
      </c>
      <c r="B28" s="83"/>
      <c r="C28" s="83"/>
      <c r="D28" s="83"/>
      <c r="E28" s="8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 x14ac:dyDescent="0.3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 x14ac:dyDescent="0.3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 x14ac:dyDescent="0.3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85" t="s">
        <v>195</v>
      </c>
      <c r="B41" s="86"/>
      <c r="C41" s="86"/>
      <c r="D41" s="86"/>
      <c r="E41" s="8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 x14ac:dyDescent="0.3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85" t="s">
        <v>197</v>
      </c>
      <c r="B54" s="86"/>
      <c r="C54" s="86"/>
      <c r="D54" s="86"/>
      <c r="E54" s="8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 x14ac:dyDescent="0.3">
      <c r="A55" s="82" t="s">
        <v>198</v>
      </c>
      <c r="B55" s="83"/>
      <c r="C55" s="83"/>
      <c r="D55" s="83"/>
      <c r="E55" s="8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 x14ac:dyDescent="0.3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 x14ac:dyDescent="0.3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85" t="s">
        <v>195</v>
      </c>
      <c r="B68" s="86"/>
      <c r="C68" s="86"/>
      <c r="D68" s="86"/>
      <c r="E68" s="8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 x14ac:dyDescent="0.3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 x14ac:dyDescent="0.3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 x14ac:dyDescent="0.3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 x14ac:dyDescent="0.3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 x14ac:dyDescent="0.3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 x14ac:dyDescent="0.3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221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85" t="s">
        <v>197</v>
      </c>
      <c r="B81" s="86"/>
      <c r="C81" s="86"/>
      <c r="D81" s="86"/>
      <c r="E81" s="8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196</v>
      </c>
      <c r="O81" s="39">
        <v>565120</v>
      </c>
    </row>
    <row r="82" spans="1:15" ht="18" customHeight="1" x14ac:dyDescent="0.3">
      <c r="A82" s="82" t="s">
        <v>198</v>
      </c>
      <c r="B82" s="83"/>
      <c r="C82" s="83"/>
      <c r="D82" s="83"/>
      <c r="E82" s="8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199</v>
      </c>
      <c r="O82" s="48">
        <f>IFERROR(O68+O81,"")</f>
        <v>1328490</v>
      </c>
    </row>
    <row r="83" spans="1:15" ht="15" customHeight="1" x14ac:dyDescent="0.3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3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3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85" t="s">
        <v>195</v>
      </c>
      <c r="B95" s="86"/>
      <c r="C95" s="86"/>
      <c r="D95" s="86"/>
      <c r="E95" s="8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 x14ac:dyDescent="0.3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3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3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85" t="s">
        <v>197</v>
      </c>
      <c r="B108" s="86"/>
      <c r="C108" s="86"/>
      <c r="D108" s="86"/>
      <c r="E108" s="8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 x14ac:dyDescent="0.3">
      <c r="A109" s="82" t="s">
        <v>198</v>
      </c>
      <c r="B109" s="83"/>
      <c r="C109" s="83"/>
      <c r="D109" s="83"/>
      <c r="E109" s="8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 x14ac:dyDescent="0.3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3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3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85" t="s">
        <v>195</v>
      </c>
      <c r="B122" s="86"/>
      <c r="C122" s="86"/>
      <c r="D122" s="86"/>
      <c r="E122" s="8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 x14ac:dyDescent="0.3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3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3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3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3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3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 x14ac:dyDescent="0.3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 x14ac:dyDescent="0.3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 x14ac:dyDescent="0.3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 x14ac:dyDescent="0.3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 x14ac:dyDescent="0.3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 x14ac:dyDescent="0.3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 x14ac:dyDescent="0.3">
      <c r="A135" s="85" t="s">
        <v>197</v>
      </c>
      <c r="B135" s="86"/>
      <c r="C135" s="86"/>
      <c r="D135" s="86"/>
      <c r="E135" s="8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 x14ac:dyDescent="0.3">
      <c r="A136" s="82" t="s">
        <v>198</v>
      </c>
      <c r="B136" s="83"/>
      <c r="C136" s="83"/>
      <c r="D136" s="83"/>
      <c r="E136" s="8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 x14ac:dyDescent="0.3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3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3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3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3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5" t="s">
        <v>195</v>
      </c>
      <c r="B149" s="86"/>
      <c r="C149" s="86"/>
      <c r="D149" s="86"/>
      <c r="E149" s="8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 x14ac:dyDescent="0.3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3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85" t="s">
        <v>197</v>
      </c>
      <c r="B162" s="86"/>
      <c r="C162" s="86"/>
      <c r="D162" s="86"/>
      <c r="E162" s="8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 x14ac:dyDescent="0.3">
      <c r="A163" s="82" t="s">
        <v>198</v>
      </c>
      <c r="B163" s="83"/>
      <c r="C163" s="83"/>
      <c r="D163" s="83"/>
      <c r="E163" s="8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 x14ac:dyDescent="0.3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3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85" t="s">
        <v>195</v>
      </c>
      <c r="B176" s="86"/>
      <c r="C176" s="86"/>
      <c r="D176" s="86"/>
      <c r="E176" s="8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 x14ac:dyDescent="0.3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85" t="s">
        <v>197</v>
      </c>
      <c r="B189" s="86"/>
      <c r="C189" s="86"/>
      <c r="D189" s="86"/>
      <c r="E189" s="8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 x14ac:dyDescent="0.3">
      <c r="A190" s="82" t="s">
        <v>198</v>
      </c>
      <c r="B190" s="83"/>
      <c r="C190" s="83"/>
      <c r="D190" s="83"/>
      <c r="E190" s="8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 x14ac:dyDescent="0.3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3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3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85" t="s">
        <v>195</v>
      </c>
      <c r="B203" s="86"/>
      <c r="C203" s="86"/>
      <c r="D203" s="86"/>
      <c r="E203" s="8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 x14ac:dyDescent="0.3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3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3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3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85" t="s">
        <v>197</v>
      </c>
      <c r="B216" s="86"/>
      <c r="C216" s="86"/>
      <c r="D216" s="86"/>
      <c r="E216" s="8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 x14ac:dyDescent="0.3">
      <c r="A217" s="82" t="s">
        <v>198</v>
      </c>
      <c r="B217" s="83"/>
      <c r="C217" s="83"/>
      <c r="D217" s="83"/>
      <c r="E217" s="8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 x14ac:dyDescent="0.3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3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3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3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3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 x14ac:dyDescent="0.3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85" t="s">
        <v>195</v>
      </c>
      <c r="B230" s="86"/>
      <c r="C230" s="86"/>
      <c r="D230" s="86"/>
      <c r="E230" s="8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 x14ac:dyDescent="0.3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3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3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3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3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85" t="s">
        <v>197</v>
      </c>
      <c r="B243" s="86"/>
      <c r="C243" s="86"/>
      <c r="D243" s="86"/>
      <c r="E243" s="8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 x14ac:dyDescent="0.3">
      <c r="A244" s="82" t="s">
        <v>198</v>
      </c>
      <c r="B244" s="83"/>
      <c r="C244" s="83"/>
      <c r="D244" s="83"/>
      <c r="E244" s="8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 x14ac:dyDescent="0.3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3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3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3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3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85" t="s">
        <v>195</v>
      </c>
      <c r="B257" s="86"/>
      <c r="C257" s="86"/>
      <c r="D257" s="86"/>
      <c r="E257" s="8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 x14ac:dyDescent="0.3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3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3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85" t="s">
        <v>197</v>
      </c>
      <c r="B270" s="86"/>
      <c r="C270" s="86"/>
      <c r="D270" s="86"/>
      <c r="E270" s="8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 x14ac:dyDescent="0.3">
      <c r="A271" s="82" t="s">
        <v>198</v>
      </c>
      <c r="B271" s="83"/>
      <c r="C271" s="83"/>
      <c r="D271" s="83"/>
      <c r="E271" s="8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 x14ac:dyDescent="0.3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85" t="s">
        <v>195</v>
      </c>
      <c r="B284" s="86"/>
      <c r="C284" s="86"/>
      <c r="D284" s="86"/>
      <c r="E284" s="8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 x14ac:dyDescent="0.3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85" t="s">
        <v>197</v>
      </c>
      <c r="B297" s="86"/>
      <c r="C297" s="86"/>
      <c r="D297" s="86"/>
      <c r="E297" s="8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 x14ac:dyDescent="0.3">
      <c r="A298" s="82" t="s">
        <v>198</v>
      </c>
      <c r="B298" s="83"/>
      <c r="C298" s="83"/>
      <c r="D298" s="83"/>
      <c r="E298" s="8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 x14ac:dyDescent="0.3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85" t="s">
        <v>195</v>
      </c>
      <c r="B311" s="86"/>
      <c r="C311" s="86"/>
      <c r="D311" s="86"/>
      <c r="E311" s="8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 x14ac:dyDescent="0.3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85" t="s">
        <v>197</v>
      </c>
      <c r="B324" s="86"/>
      <c r="C324" s="86"/>
      <c r="D324" s="86"/>
      <c r="E324" s="8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 x14ac:dyDescent="0.3">
      <c r="A325" s="82" t="s">
        <v>198</v>
      </c>
      <c r="B325" s="83"/>
      <c r="C325" s="83"/>
      <c r="D325" s="83"/>
      <c r="E325" s="8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 x14ac:dyDescent="0.3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 x14ac:dyDescent="0.3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 x14ac:dyDescent="0.3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 x14ac:dyDescent="0.3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 x14ac:dyDescent="0.3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 x14ac:dyDescent="0.3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 x14ac:dyDescent="0.3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 x14ac:dyDescent="0.3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 x14ac:dyDescent="0.3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 x14ac:dyDescent="0.3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 x14ac:dyDescent="0.3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 x14ac:dyDescent="0.3">
      <c r="A338" s="85" t="s">
        <v>195</v>
      </c>
      <c r="B338" s="86"/>
      <c r="C338" s="86"/>
      <c r="D338" s="86"/>
      <c r="E338" s="8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 x14ac:dyDescent="0.3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85" t="s">
        <v>197</v>
      </c>
      <c r="B351" s="86"/>
      <c r="C351" s="86"/>
      <c r="D351" s="86"/>
      <c r="E351" s="8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 x14ac:dyDescent="0.3">
      <c r="A352" s="82" t="s">
        <v>198</v>
      </c>
      <c r="B352" s="83"/>
      <c r="C352" s="83"/>
      <c r="D352" s="83"/>
      <c r="E352" s="8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 x14ac:dyDescent="0.3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5" t="s">
        <v>195</v>
      </c>
      <c r="B365" s="86"/>
      <c r="C365" s="86"/>
      <c r="D365" s="86"/>
      <c r="E365" s="8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 x14ac:dyDescent="0.3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85" t="s">
        <v>197</v>
      </c>
      <c r="B378" s="86"/>
      <c r="C378" s="86"/>
      <c r="D378" s="86"/>
      <c r="E378" s="8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 x14ac:dyDescent="0.3">
      <c r="A379" s="82" t="s">
        <v>198</v>
      </c>
      <c r="B379" s="83"/>
      <c r="C379" s="83"/>
      <c r="D379" s="83"/>
      <c r="E379" s="8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 x14ac:dyDescent="0.3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85" t="s">
        <v>195</v>
      </c>
      <c r="B392" s="86"/>
      <c r="C392" s="86"/>
      <c r="D392" s="86"/>
      <c r="E392" s="8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 x14ac:dyDescent="0.3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85" t="s">
        <v>197</v>
      </c>
      <c r="B405" s="86"/>
      <c r="C405" s="86"/>
      <c r="D405" s="86"/>
      <c r="E405" s="8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 x14ac:dyDescent="0.3">
      <c r="A406" s="82" t="s">
        <v>198</v>
      </c>
      <c r="B406" s="83"/>
      <c r="C406" s="83"/>
      <c r="D406" s="83"/>
      <c r="E406" s="8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 x14ac:dyDescent="0.3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85" t="s">
        <v>195</v>
      </c>
      <c r="B419" s="86"/>
      <c r="C419" s="86"/>
      <c r="D419" s="86"/>
      <c r="E419" s="8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 x14ac:dyDescent="0.3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85" t="s">
        <v>197</v>
      </c>
      <c r="B432" s="86"/>
      <c r="C432" s="86"/>
      <c r="D432" s="86"/>
      <c r="E432" s="8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 x14ac:dyDescent="0.3">
      <c r="A433" s="82" t="s">
        <v>198</v>
      </c>
      <c r="B433" s="83"/>
      <c r="C433" s="83"/>
      <c r="D433" s="83"/>
      <c r="E433" s="8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 x14ac:dyDescent="0.3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85" t="s">
        <v>195</v>
      </c>
      <c r="B446" s="86"/>
      <c r="C446" s="86"/>
      <c r="D446" s="86"/>
      <c r="E446" s="8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 x14ac:dyDescent="0.3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85" t="s">
        <v>197</v>
      </c>
      <c r="B459" s="86"/>
      <c r="C459" s="86"/>
      <c r="D459" s="86"/>
      <c r="E459" s="8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 x14ac:dyDescent="0.3">
      <c r="A460" s="82" t="s">
        <v>198</v>
      </c>
      <c r="B460" s="83"/>
      <c r="C460" s="83"/>
      <c r="D460" s="83"/>
      <c r="E460" s="8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 x14ac:dyDescent="0.3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85" t="s">
        <v>195</v>
      </c>
      <c r="B473" s="86"/>
      <c r="C473" s="86"/>
      <c r="D473" s="86"/>
      <c r="E473" s="8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 x14ac:dyDescent="0.3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85" t="s">
        <v>197</v>
      </c>
      <c r="B486" s="86"/>
      <c r="C486" s="86"/>
      <c r="D486" s="86"/>
      <c r="E486" s="8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 x14ac:dyDescent="0.3">
      <c r="A487" s="82" t="s">
        <v>198</v>
      </c>
      <c r="B487" s="83"/>
      <c r="C487" s="83"/>
      <c r="D487" s="83"/>
      <c r="E487" s="8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 x14ac:dyDescent="0.3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85" t="s">
        <v>195</v>
      </c>
      <c r="B500" s="86"/>
      <c r="C500" s="86"/>
      <c r="D500" s="86"/>
      <c r="E500" s="8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 x14ac:dyDescent="0.3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85" t="s">
        <v>197</v>
      </c>
      <c r="B513" s="86"/>
      <c r="C513" s="86"/>
      <c r="D513" s="86"/>
      <c r="E513" s="8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 x14ac:dyDescent="0.3">
      <c r="A514" s="82" t="s">
        <v>198</v>
      </c>
      <c r="B514" s="83"/>
      <c r="C514" s="83"/>
      <c r="D514" s="83"/>
      <c r="E514" s="8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 x14ac:dyDescent="0.3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85" t="s">
        <v>195</v>
      </c>
      <c r="B527" s="86"/>
      <c r="C527" s="86"/>
      <c r="D527" s="86"/>
      <c r="E527" s="8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 x14ac:dyDescent="0.3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85" t="s">
        <v>197</v>
      </c>
      <c r="B540" s="86"/>
      <c r="C540" s="86"/>
      <c r="D540" s="86"/>
      <c r="E540" s="8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 x14ac:dyDescent="0.3">
      <c r="A541" s="82" t="s">
        <v>198</v>
      </c>
      <c r="B541" s="83"/>
      <c r="C541" s="83"/>
      <c r="D541" s="83"/>
      <c r="E541" s="8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 x14ac:dyDescent="0.3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85" t="s">
        <v>195</v>
      </c>
      <c r="B554" s="86"/>
      <c r="C554" s="86"/>
      <c r="D554" s="86"/>
      <c r="E554" s="8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 x14ac:dyDescent="0.3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 x14ac:dyDescent="0.3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 x14ac:dyDescent="0.3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 x14ac:dyDescent="0.3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 x14ac:dyDescent="0.3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 x14ac:dyDescent="0.3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 x14ac:dyDescent="0.3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 x14ac:dyDescent="0.3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 x14ac:dyDescent="0.3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 x14ac:dyDescent="0.3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 x14ac:dyDescent="0.3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 x14ac:dyDescent="0.3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 x14ac:dyDescent="0.3">
      <c r="A567" s="85" t="s">
        <v>197</v>
      </c>
      <c r="B567" s="86"/>
      <c r="C567" s="86"/>
      <c r="D567" s="86"/>
      <c r="E567" s="8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 x14ac:dyDescent="0.3">
      <c r="A568" s="82" t="s">
        <v>198</v>
      </c>
      <c r="B568" s="83"/>
      <c r="C568" s="83"/>
      <c r="D568" s="83"/>
      <c r="E568" s="8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 x14ac:dyDescent="0.3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85" t="s">
        <v>195</v>
      </c>
      <c r="B581" s="86"/>
      <c r="C581" s="86"/>
      <c r="D581" s="86"/>
      <c r="E581" s="8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 x14ac:dyDescent="0.3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85" t="s">
        <v>197</v>
      </c>
      <c r="B594" s="86"/>
      <c r="C594" s="86"/>
      <c r="D594" s="86"/>
      <c r="E594" s="8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 x14ac:dyDescent="0.3">
      <c r="A595" s="82" t="s">
        <v>198</v>
      </c>
      <c r="B595" s="83"/>
      <c r="C595" s="83"/>
      <c r="D595" s="83"/>
      <c r="E595" s="8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 x14ac:dyDescent="0.3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85" t="s">
        <v>195</v>
      </c>
      <c r="B608" s="86"/>
      <c r="C608" s="86"/>
      <c r="D608" s="86"/>
      <c r="E608" s="8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 x14ac:dyDescent="0.3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85" t="s">
        <v>197</v>
      </c>
      <c r="B621" s="86"/>
      <c r="C621" s="86"/>
      <c r="D621" s="86"/>
      <c r="E621" s="8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 x14ac:dyDescent="0.3">
      <c r="A622" s="82" t="s">
        <v>198</v>
      </c>
      <c r="B622" s="83"/>
      <c r="C622" s="83"/>
      <c r="D622" s="83"/>
      <c r="E622" s="8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 x14ac:dyDescent="0.3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85" t="s">
        <v>195</v>
      </c>
      <c r="B635" s="86"/>
      <c r="C635" s="86"/>
      <c r="D635" s="86"/>
      <c r="E635" s="8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 x14ac:dyDescent="0.3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85" t="s">
        <v>197</v>
      </c>
      <c r="B648" s="86"/>
      <c r="C648" s="86"/>
      <c r="D648" s="86"/>
      <c r="E648" s="8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 x14ac:dyDescent="0.3">
      <c r="A649" s="82" t="s">
        <v>198</v>
      </c>
      <c r="B649" s="83"/>
      <c r="C649" s="83"/>
      <c r="D649" s="83"/>
      <c r="E649" s="8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 x14ac:dyDescent="0.3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85" t="s">
        <v>195</v>
      </c>
      <c r="B662" s="86"/>
      <c r="C662" s="86"/>
      <c r="D662" s="86"/>
      <c r="E662" s="8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 x14ac:dyDescent="0.3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85" t="s">
        <v>197</v>
      </c>
      <c r="B675" s="86"/>
      <c r="C675" s="86"/>
      <c r="D675" s="86"/>
      <c r="E675" s="8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 x14ac:dyDescent="0.3">
      <c r="A676" s="82" t="s">
        <v>198</v>
      </c>
      <c r="B676" s="83"/>
      <c r="C676" s="83"/>
      <c r="D676" s="83"/>
      <c r="E676" s="8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 x14ac:dyDescent="0.3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85" t="s">
        <v>195</v>
      </c>
      <c r="B689" s="86"/>
      <c r="C689" s="86"/>
      <c r="D689" s="86"/>
      <c r="E689" s="8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 x14ac:dyDescent="0.3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85" t="s">
        <v>197</v>
      </c>
      <c r="B702" s="86"/>
      <c r="C702" s="86"/>
      <c r="D702" s="86"/>
      <c r="E702" s="8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 x14ac:dyDescent="0.3">
      <c r="A703" s="82" t="s">
        <v>198</v>
      </c>
      <c r="B703" s="83"/>
      <c r="C703" s="83"/>
      <c r="D703" s="83"/>
      <c r="E703" s="8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 x14ac:dyDescent="0.3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85" t="s">
        <v>195</v>
      </c>
      <c r="B716" s="86"/>
      <c r="C716" s="86"/>
      <c r="D716" s="86"/>
      <c r="E716" s="8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 x14ac:dyDescent="0.3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85" t="s">
        <v>197</v>
      </c>
      <c r="B729" s="86"/>
      <c r="C729" s="86"/>
      <c r="D729" s="86"/>
      <c r="E729" s="8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 x14ac:dyDescent="0.3">
      <c r="A730" s="82" t="s">
        <v>198</v>
      </c>
      <c r="B730" s="83"/>
      <c r="C730" s="83"/>
      <c r="D730" s="83"/>
      <c r="E730" s="8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 x14ac:dyDescent="0.3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85" t="s">
        <v>195</v>
      </c>
      <c r="B743" s="86"/>
      <c r="C743" s="86"/>
      <c r="D743" s="86"/>
      <c r="E743" s="8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 x14ac:dyDescent="0.3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85" t="s">
        <v>197</v>
      </c>
      <c r="B756" s="86"/>
      <c r="C756" s="86"/>
      <c r="D756" s="86"/>
      <c r="E756" s="8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 x14ac:dyDescent="0.3">
      <c r="A757" s="82" t="s">
        <v>198</v>
      </c>
      <c r="B757" s="83"/>
      <c r="C757" s="83"/>
      <c r="D757" s="83"/>
      <c r="E757" s="8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 x14ac:dyDescent="0.3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85" t="s">
        <v>195</v>
      </c>
      <c r="B770" s="86"/>
      <c r="C770" s="86"/>
      <c r="D770" s="86"/>
      <c r="E770" s="8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 x14ac:dyDescent="0.3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85" t="s">
        <v>197</v>
      </c>
      <c r="B783" s="86"/>
      <c r="C783" s="86"/>
      <c r="D783" s="86"/>
      <c r="E783" s="8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 x14ac:dyDescent="0.3">
      <c r="A784" s="82" t="s">
        <v>198</v>
      </c>
      <c r="B784" s="83"/>
      <c r="C784" s="83"/>
      <c r="D784" s="83"/>
      <c r="E784" s="8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 x14ac:dyDescent="0.3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85" t="s">
        <v>195</v>
      </c>
      <c r="B797" s="86"/>
      <c r="C797" s="86"/>
      <c r="D797" s="86"/>
      <c r="E797" s="8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 x14ac:dyDescent="0.3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85" t="s">
        <v>197</v>
      </c>
      <c r="B810" s="86"/>
      <c r="C810" s="86"/>
      <c r="D810" s="86"/>
      <c r="E810" s="8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 x14ac:dyDescent="0.3">
      <c r="A811" s="82" t="s">
        <v>198</v>
      </c>
      <c r="B811" s="83"/>
      <c r="C811" s="83"/>
      <c r="D811" s="83"/>
      <c r="E811" s="8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2026-07-04T11:04:27Z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