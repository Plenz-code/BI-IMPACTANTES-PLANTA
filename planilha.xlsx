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51" documentId="8_{C51EB6CB-002B-4D6B-B68F-DDEBDB4460C0}" xr6:coauthVersionLast="47" xr6:coauthVersionMax="47" xr10:uidLastSave="{739D3FBA-37F1-4E8A-86BB-19C2F52DF8D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<sst xmlns="http://schemas.openxmlformats.org/spreadsheetml/2006/main" count="4070" uniqueCount="298">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</sst>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72" activePane="bottomLeft" state="frozen"/>
      <selection pane="bottomLeft" activeCell="E202" sqref="E2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0.20652268518460914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0.34541157407349804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0.43013379629572035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3.6383796301379334E-2</v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3.6383796301379334E-2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3.6383796301379334E-2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76" zoomScale="50" zoomScaleNormal="50" workbookViewId="0">
      <selection activeCell="J191" sqref="J1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/>
      <c r="M191" s="35">
        <f t="shared" ref="M191:M202" ca="1" si="43">IFERROR(IF(K191="","",IF(L191="",MOD(NOW()-K191,1),IF(L191&gt;=K191,L191-K191,L191+1-K191))),"")</f>
        <v>3.6383796301379334E-2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3.6383796301379334E-2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3.6383796301379334E-2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1" sqref="J19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/>
      <c r="G191" s="34" t="str">
        <f t="shared" ref="G191:G202" si="42">IF(F191="","",IF(E191="PC 17",F191*4.2,IF(E191="PC 19",F191*5,IF(E191="CB",F191*24,""))))</f>
        <v/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1.9444444444444431E-2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1.9444444444444431E-2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2026-08-08T11:52:55Z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