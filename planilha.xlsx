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29" documentId="8_{AF585B22-221D-4780-BB9C-493D365A6A02}" xr6:coauthVersionLast="47" xr6:coauthVersionMax="47" xr10:uidLastSave="{9B220531-62C6-49EA-9F4E-4A2DECFC463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<sst xmlns="http://schemas.openxmlformats.org/spreadsheetml/2006/main" count="4161" uniqueCount="279">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</sst>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3" activePane="bottomLeft" state="frozen"/>
      <selection pane="bottomLeft" activeCell="F235" sqref="F2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>
        <v>0.99305555555555558</v>
      </c>
      <c r="L231" s="29"/>
      <c r="M231" s="35">
        <f t="shared" ref="M231:M242" ca="1" si="52">IFERROR(IF(K231="","",IF(L231="",MOD(NOW()-K231,1),IF(L231&gt;=K231,L231-K231,L231+1-K231))),"")</f>
        <v>3.3719907405611593E-2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545</v>
      </c>
      <c r="H243" s="37"/>
      <c r="I243" s="37"/>
      <c r="J243" s="37"/>
      <c r="K243" s="37"/>
      <c r="L243" s="37"/>
      <c r="M243" s="38">
        <f ca="1">IFERROR(SUM(M231:M242),"")</f>
        <v>3.3719907405611593E-2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347</v>
      </c>
      <c r="G244" s="40">
        <f>G230+G243</f>
        <v>1735</v>
      </c>
      <c r="H244" s="41"/>
      <c r="I244" s="41"/>
      <c r="J244" s="41"/>
      <c r="K244" s="41"/>
      <c r="L244" s="41"/>
      <c r="M244" s="42">
        <f ca="1">IFERROR(M230+M243,"")</f>
        <v>0.11219212962783381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K235" sqref="K2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>
        <v>1.3888888888888888E-2</v>
      </c>
      <c r="L234" s="29"/>
      <c r="M234" s="30">
        <f t="shared" ca="1" si="52"/>
        <v>1.2886574069852941E-2</v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47</v>
      </c>
      <c r="G243" s="36">
        <f>SUM(G231:G242)</f>
        <v>197.40000000000003</v>
      </c>
      <c r="H243" s="37"/>
      <c r="I243" s="37"/>
      <c r="J243" s="37"/>
      <c r="K243" s="37"/>
      <c r="L243" s="37"/>
      <c r="M243" s="38">
        <f ca="1">IFERROR(SUM(M231:M242),"")</f>
        <v>0.12052546295874189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680.40000000000009</v>
      </c>
      <c r="H244" s="41"/>
      <c r="I244" s="41"/>
      <c r="J244" s="41"/>
      <c r="K244" s="41"/>
      <c r="L244" s="41"/>
      <c r="M244" s="42">
        <f ca="1">IFERROR(M230+M243,"")</f>
        <v>0.45108101851429738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6" sqref="F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53</v>
      </c>
      <c r="G243" s="36">
        <f>SUM(G231:G242)</f>
        <v>222.60000000000002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155</v>
      </c>
      <c r="G244" s="40">
        <f>G230+G243</f>
        <v>651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L235" sqref="L23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0.77746990740706678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0.97677546296262241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1.3441365740737334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0.12152777777777768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0.31805555555555565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2026-07-10T04:39:06Z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