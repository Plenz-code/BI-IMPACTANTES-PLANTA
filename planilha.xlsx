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963" documentId="8_{AF585B22-221D-4780-BB9C-493D365A6A02}" xr6:coauthVersionLast="47" xr6:coauthVersionMax="47" xr10:uidLastSave="{333C446F-2F44-4EDB-B6CD-8260F40C915D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<sst xmlns="http://schemas.openxmlformats.org/spreadsheetml/2006/main" count="6156" uniqueCount="315">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</sst>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F16" sqref="F1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2064210</v>
      </c>
      <c r="D17" s="11">
        <f>IFERROR('Linha 1'!O379,"")</f>
        <v>808550</v>
      </c>
      <c r="E17" s="11">
        <f>IFERROR('Linha 2'!O379,"")</f>
        <v>29130</v>
      </c>
      <c r="F17" s="11">
        <f>IFERROR('Linha 3'!O379,"")</f>
        <v>597930</v>
      </c>
      <c r="G17" s="12">
        <f t="shared" si="0"/>
        <v>1435610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41054312</v>
      </c>
      <c r="D35" s="13">
        <f>IFERROR(SUM(D4:D34),"")</f>
        <v>15234220</v>
      </c>
      <c r="E35" s="13">
        <f>IFERROR(SUM(E4:E34),"")</f>
        <v>9826580</v>
      </c>
      <c r="F35" s="13">
        <f>IFERROR(SUM(F4:F34),"")</f>
        <v>18712570</v>
      </c>
      <c r="G35" s="13">
        <f>IFERROR(SUM(G4:G34),"")</f>
        <v>43773370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358" activePane="bottomLeft" state="frozen"/>
      <selection pane="bottomLeft" activeCell="J367" sqref="J36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216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184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216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184</v>
      </c>
      <c r="K367" s="29">
        <v>0.22291666666666668</v>
      </c>
      <c r="L367" s="29"/>
      <c r="M367" s="35">
        <f t="shared" ca="1" si="82"/>
        <v>3.9837963413447142E-4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216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216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216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216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216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156</v>
      </c>
      <c r="G378" s="36">
        <f>SUM(G366:G377)</f>
        <v>780</v>
      </c>
      <c r="H378" s="37"/>
      <c r="I378" s="37"/>
      <c r="J378" s="37"/>
      <c r="K378" s="37"/>
      <c r="L378" s="37"/>
      <c r="M378" s="38">
        <f ca="1">IFERROR(SUM(M366:M377),"")</f>
        <v>1.9842824078578916E-2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431</v>
      </c>
      <c r="G379" s="40">
        <f>G365+G378</f>
        <v>2155</v>
      </c>
      <c r="H379" s="41"/>
      <c r="I379" s="41"/>
      <c r="J379" s="41"/>
      <c r="K379" s="41"/>
      <c r="L379" s="41"/>
      <c r="M379" s="42">
        <f ca="1">IFERROR(M365+M378,"")</f>
        <v>0.11081504630080104</v>
      </c>
      <c r="N379" s="40" t="s">
        <v>222</v>
      </c>
      <c r="O379" s="48">
        <f>IFERROR(O365+O378,"")</f>
        <v>2064210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57" activePane="bottomLeft" state="frozen"/>
      <selection pane="bottomLeft" activeCell="L376" sqref="L37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87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20</v>
      </c>
      <c r="G370" s="28">
        <f t="shared" si="81"/>
        <v>84</v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127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130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127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/>
      <c r="M376" s="30">
        <f t="shared" ca="1" si="82"/>
        <v>7.3428240793873556E-3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0.14345393519049848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0.25317615741272065</v>
      </c>
      <c r="N379" s="40" t="s">
        <v>222</v>
      </c>
      <c r="O379" s="84">
        <f>IFERROR(O365+O378,"")</f>
        <v>808550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51" zoomScale="50" zoomScaleNormal="50" workbookViewId="0">
      <selection activeCell="F376" sqref="F37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81</v>
      </c>
      <c r="K367" s="29">
        <v>0.2076388888888889</v>
      </c>
      <c r="L367" s="29"/>
      <c r="M367" s="35">
        <f t="shared" ca="1" si="82"/>
        <v>1.5676157410780434E-2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8</v>
      </c>
      <c r="G368" s="28">
        <f t="shared" si="81"/>
        <v>33.6</v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104</v>
      </c>
      <c r="G378" s="36">
        <f>SUM(G366:G377)</f>
        <v>436.80000000000007</v>
      </c>
      <c r="H378" s="37"/>
      <c r="I378" s="37"/>
      <c r="J378" s="37"/>
      <c r="K378" s="37"/>
      <c r="L378" s="37"/>
      <c r="M378" s="38">
        <f ca="1">IFERROR(SUM(M366:M377),"")</f>
        <v>2.8176157410780389E-2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113</v>
      </c>
      <c r="G379" s="40">
        <f>G365+G378</f>
        <v>474.60000000000008</v>
      </c>
      <c r="H379" s="41"/>
      <c r="I379" s="41"/>
      <c r="J379" s="41"/>
      <c r="K379" s="41"/>
      <c r="L379" s="41"/>
      <c r="M379" s="42">
        <f ca="1">IFERROR(M365+M378,"")</f>
        <v>0.45942615741078036</v>
      </c>
      <c r="N379" s="40" t="s">
        <v>222</v>
      </c>
      <c r="O379" s="48">
        <f>IFERROR(O365+O378,"")</f>
        <v>29130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58" activePane="bottomLeft" state="frozen"/>
      <selection pane="bottomLeft" activeCell="H377" sqref="H37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0.97400949074653909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1.1733150463020947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1.5406761574132057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314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117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 t="s">
        <v>20</v>
      </c>
      <c r="I377" s="33"/>
      <c r="J377" s="33"/>
      <c r="K377" s="29">
        <v>0.20347222222222222</v>
      </c>
      <c r="L377" s="29"/>
      <c r="M377" s="35">
        <f t="shared" ca="1" si="82"/>
        <v>1.9842824076476973E-2</v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151</v>
      </c>
      <c r="G378" s="36">
        <f>SUM(G366:G377)</f>
        <v>634.19999999999993</v>
      </c>
      <c r="H378" s="37"/>
      <c r="I378" s="37"/>
      <c r="J378" s="37"/>
      <c r="K378" s="61"/>
      <c r="L378" s="61"/>
      <c r="M378" s="38">
        <f ca="1">IFERROR(SUM(M366:M377),"")</f>
        <v>0.10664837963203262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276</v>
      </c>
      <c r="G379" s="40">
        <f>G365+G378</f>
        <v>1159.1999999999998</v>
      </c>
      <c r="H379" s="41"/>
      <c r="I379" s="41"/>
      <c r="J379" s="41"/>
      <c r="K379" s="63"/>
      <c r="L379" s="63"/>
      <c r="M379" s="42">
        <f ca="1">IFERROR(M365+M378,"")</f>
        <v>0.21150949074314379</v>
      </c>
      <c r="N379" s="40" t="s">
        <v>222</v>
      </c>
      <c r="O379" s="48">
        <f>IFERROR(O365+O378,"")</f>
        <v>597930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2026-07-15T09:21:43Z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