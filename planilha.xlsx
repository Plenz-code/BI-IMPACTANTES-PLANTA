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541" documentId="8_{AF585B22-221D-4780-BB9C-493D365A6A02}" xr6:coauthVersionLast="47" xr6:coauthVersionMax="47" xr10:uidLastSave="{0565BC95-5BF6-4B8B-9A81-FC2AAD66649F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<sst xmlns="http://schemas.openxmlformats.org/spreadsheetml/2006/main" count="9993" uniqueCount="389">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</sst>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75156798</v>
      </c>
      <c r="D35" s="13">
        <f>IFERROR(SUM(D4:D34),"")</f>
        <v>29481690</v>
      </c>
      <c r="E35" s="13">
        <f>IFERROR(SUM(E4:E34),"")</f>
        <v>17063770</v>
      </c>
      <c r="F35" s="13">
        <f>IFERROR(SUM(F4:F34),"")</f>
        <v>31043010</v>
      </c>
      <c r="G35" s="13">
        <f>IFERROR(SUM(G4:G34),"")</f>
        <v>77588470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H653" sqref="H65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30</v>
      </c>
      <c r="G662" s="36">
        <f>SUM(G650:G661)</f>
        <v>150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30</v>
      </c>
      <c r="G676" s="40">
        <f>G662+G675</f>
        <v>150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F651" sqref="F6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0.13599340277869487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0.29363229166758376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0.40335451388980592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0.1144656250035041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0.28529895833683749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0.43043784722572637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/>
      <c r="G652" s="34" t="str">
        <f t="shared" si="144"/>
        <v/>
      </c>
      <c r="H652" s="26" t="s">
        <v>18</v>
      </c>
      <c r="I652" s="26"/>
      <c r="J652" s="26" t="s">
        <v>127</v>
      </c>
      <c r="K652" s="29">
        <v>0.35902777777777778</v>
      </c>
      <c r="L652" s="29"/>
      <c r="M652" s="30">
        <f t="shared" ca="1" si="145"/>
        <v>1.6548958337807562E-2</v>
      </c>
      <c r="N652" s="46" t="s">
        <v>312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257</v>
      </c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16</v>
      </c>
      <c r="G662" s="36">
        <f>SUM(G650:G661)</f>
        <v>67.2</v>
      </c>
      <c r="H662" s="37"/>
      <c r="I662" s="37"/>
      <c r="J662" s="37"/>
      <c r="K662" s="37"/>
      <c r="L662" s="37"/>
      <c r="M662" s="38">
        <f ca="1">IFERROR(SUM(M650:M661),"")</f>
        <v>6.2382291671140955E-2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16</v>
      </c>
      <c r="G676" s="40">
        <f>G662+G675</f>
        <v>67.2</v>
      </c>
      <c r="H676" s="41"/>
      <c r="I676" s="41"/>
      <c r="J676" s="41"/>
      <c r="K676" s="41"/>
      <c r="L676" s="41"/>
      <c r="M676" s="42">
        <f ca="1">IFERROR(M662+M675,"")</f>
        <v>6.2382291671140955E-2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42" zoomScale="50" zoomScaleNormal="50" workbookViewId="0">
      <selection activeCell="F652" sqref="F65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319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321</v>
      </c>
      <c r="N166" s="27" t="s">
        <v>322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338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339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/>
      <c r="I650" s="26"/>
      <c r="J650" s="26"/>
      <c r="K650" s="29">
        <v>0.33541666666666664</v>
      </c>
      <c r="L650" s="29"/>
      <c r="M650" s="30">
        <f t="shared" ref="M650:M661" ca="1" si="145">IFERROR(IF(K650="","",IF(L650="",MOD(NOW()-K650,1),IF(L650&gt;=K650,L650-K650,L650+1-K650))),"")</f>
        <v>4.0160069445846602E-2</v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257</v>
      </c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15</v>
      </c>
      <c r="G662" s="36">
        <f>SUM(G650:G661)</f>
        <v>63</v>
      </c>
      <c r="H662" s="37"/>
      <c r="I662" s="37"/>
      <c r="J662" s="37"/>
      <c r="K662" s="37"/>
      <c r="L662" s="37"/>
      <c r="M662" s="38">
        <f ca="1">IFERROR(SUM(M650:M661),"")</f>
        <v>4.0160069445846602E-2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15</v>
      </c>
      <c r="G676" s="40">
        <f>G662+G675</f>
        <v>63</v>
      </c>
      <c r="H676" s="41"/>
      <c r="I676" s="41"/>
      <c r="J676" s="41"/>
      <c r="K676" s="41"/>
      <c r="L676" s="41"/>
      <c r="M676" s="42">
        <f ca="1">IFERROR(M662+M675,"")</f>
        <v>4.0160069445846602E-2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33" activePane="bottomLeft" state="frozen"/>
      <selection pane="bottomLeft" activeCell="N651" sqref="N65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346</v>
      </c>
      <c r="L58" s="29">
        <v>0.54097222222222219</v>
      </c>
      <c r="M58" s="30" t="str">
        <f t="shared" ca="1" si="13"/>
        <v/>
      </c>
      <c r="N58" s="27" t="s">
        <v>347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0.1262711805611616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0.32557673611671722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0.69293784722782825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/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/>
      <c r="M650" s="30">
        <f t="shared" ref="M650:M661" ca="1" si="145">IFERROR(IF(K650="","",IF(L650="",MOD(NOW()-K650,1),IF(L650&gt;=K650,L650-K650,L650+1-K650))),"")</f>
        <v>8.3910069450212177E-2</v>
      </c>
      <c r="N650" s="27" t="s">
        <v>388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8.3910069450212177E-2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8.3910069450212177E-2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2026-07-25T13:02:47Z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