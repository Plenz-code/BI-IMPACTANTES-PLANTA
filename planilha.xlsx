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388" documentId="13_ncr:1_{0A10D8D4-8450-4366-8075-B53B08E6B7EA}" xr6:coauthVersionLast="47" xr6:coauthVersionMax="47" xr10:uidLastSave="{5CDBC27D-E355-47FD-A12D-7E90E360F5BB}"/>
  <bookViews>
    <workbookView xWindow="-28920" yWindow="-6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35" i="6"/>
  <c r="J335" i="6" s="1"/>
  <c r="H336" i="6"/>
  <c r="J336" i="6" s="1"/>
  <c r="H337" i="6"/>
  <c r="J33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33" i="5"/>
  <c r="J333" i="5" s="1"/>
  <c r="H334" i="5"/>
  <c r="J334" i="5" s="1"/>
  <c r="H335" i="5"/>
  <c r="J335" i="5" s="1"/>
  <c r="H336" i="5"/>
  <c r="J336" i="5" s="1"/>
  <c r="H337" i="5"/>
  <c r="J33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33" i="4"/>
  <c r="J333" i="4" s="1"/>
  <c r="H334" i="4"/>
  <c r="J334" i="4" s="1"/>
  <c r="H335" i="4"/>
  <c r="J335" i="4" s="1"/>
  <c r="H336" i="4"/>
  <c r="J336" i="4" s="1"/>
  <c r="H337" i="4"/>
  <c r="J33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H332" i="5" s="1"/>
  <c r="J332" i="5" s="1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H332" i="4" s="1"/>
  <c r="J332" i="4" s="1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33" i="6" l="1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<sst xmlns="http://schemas.openxmlformats.org/spreadsheetml/2006/main" count="5921" uniqueCount="338">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</sst>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293" activePane="bottomLeft" state="frozen"/>
      <selection pane="bottomLeft" activeCell="F336" sqref="F336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/>
      <c r="I327" s="33"/>
      <c r="J327" s="33"/>
      <c r="K327" s="29"/>
      <c r="L327" s="29"/>
      <c r="M327" s="35" t="str">
        <f t="shared" ca="1" si="68"/>
        <v/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170</v>
      </c>
      <c r="G338" s="36">
        <f>SUM(G326:G337)</f>
        <v>850</v>
      </c>
      <c r="H338" s="37"/>
      <c r="I338" s="37"/>
      <c r="J338" s="37"/>
      <c r="K338" s="37"/>
      <c r="L338" s="37"/>
      <c r="M338" s="38">
        <f ca="1">IFERROR(SUM(M326:M337),"")</f>
        <v>5.3472222222222254E-2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170</v>
      </c>
      <c r="G352" s="40">
        <f>G338+G351</f>
        <v>850</v>
      </c>
      <c r="H352" s="41"/>
      <c r="I352" s="41"/>
      <c r="J352" s="41"/>
      <c r="K352" s="41"/>
      <c r="L352" s="41"/>
      <c r="M352" s="42">
        <f ca="1">IFERROR(M338+M351,"")</f>
        <v>5.3472222222222254E-2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10" activePane="bottomLeft" state="frozen"/>
      <selection pane="bottomLeft" activeCell="P332" sqref="P33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267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268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269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270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271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272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273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274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0.59066932870337041</v>
      </c>
      <c r="R53" s="46" t="s">
        <v>275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0.72955821759225925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0.81428043981448162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267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276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277</v>
      </c>
      <c r="Q96" s="30" t="str">
        <f t="shared" ref="Q96:Q107" ca="1" si="22">IFERROR(IF(O96="","",IF(P96="",MOD(NOW()-O96,1),IF(P96&gt;=O96,P96-O96,P96+1-O96))),"")</f>
        <v/>
      </c>
      <c r="R96" s="46" t="s">
        <v>278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279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280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281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282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283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284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286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287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288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281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276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290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291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292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293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294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/>
      <c r="Q331" s="35">
        <f t="shared" ca="1" si="76"/>
        <v>0.14761377315153368</v>
      </c>
      <c r="R331" s="46" t="s">
        <v>295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4"/>
        <v>0</v>
      </c>
      <c r="K332" s="28">
        <f t="shared" si="75"/>
        <v>37.800000000000004</v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31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147.80000000000001</v>
      </c>
      <c r="L338" s="37"/>
      <c r="M338" s="37"/>
      <c r="N338" s="37"/>
      <c r="O338" s="37"/>
      <c r="P338" s="37"/>
      <c r="Q338" s="38">
        <f ca="1">IFERROR(SUM(Q326:Q337),"")</f>
        <v>0.27747488426264466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31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147.80000000000001</v>
      </c>
      <c r="L352" s="41"/>
      <c r="M352" s="41"/>
      <c r="N352" s="41"/>
      <c r="O352" s="41"/>
      <c r="P352" s="41"/>
      <c r="Q352" s="42">
        <f ca="1">IFERROR(Q338+Q351,"")</f>
        <v>0.27747488426264466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O330" sqref="O33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270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276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284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276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287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309</v>
      </c>
      <c r="Q222" s="30" t="str">
        <f t="shared" ca="1" si="49"/>
        <v/>
      </c>
      <c r="R222" s="27" t="s">
        <v>310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294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2"/>
        <v>0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2"/>
        <v>0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2"/>
        <v>0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/>
      <c r="Q329" s="35">
        <f t="shared" ca="1" si="74"/>
        <v>0.14761377315153368</v>
      </c>
      <c r="R329" s="27" t="s">
        <v>295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2"/>
        <v>0</v>
      </c>
      <c r="K330" s="28">
        <f t="shared" si="73"/>
        <v>25</v>
      </c>
      <c r="L330" s="26"/>
      <c r="M330" s="26"/>
      <c r="N330" s="26"/>
      <c r="O330" s="29">
        <v>15</v>
      </c>
      <c r="P330" s="29"/>
      <c r="Q330" s="30">
        <f t="shared" ca="1" si="74"/>
        <v>0.71219710648438195</v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2"/>
        <v>0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56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276</v>
      </c>
      <c r="L338" s="37"/>
      <c r="M338" s="37"/>
      <c r="N338" s="37"/>
      <c r="O338" s="37"/>
      <c r="P338" s="37"/>
      <c r="Q338" s="38">
        <f ca="1">IFERROR(SUM(Q326:Q337),"")</f>
        <v>0.9153664351914711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56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276</v>
      </c>
      <c r="L352" s="41"/>
      <c r="M352" s="41"/>
      <c r="N352" s="41"/>
      <c r="O352" s="41"/>
      <c r="P352" s="41"/>
      <c r="Q352" s="42">
        <f ca="1">IFERROR(Q338+Q351,"")</f>
        <v>0.9153664351914711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08" activePane="bottomLeft" state="frozen"/>
      <selection pane="bottomLeft" activeCell="O329" sqref="O32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273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284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330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336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ref="K328:K337" si="77">IF(G328="","",IF(E328="PC 17",G328*4.2,IF(E328="PC 19",G328*5,IF(E328="CB",G328*24,""))))</f>
        <v>75</v>
      </c>
      <c r="L328" s="26"/>
      <c r="M328" s="26"/>
      <c r="N328" s="26"/>
      <c r="O328" s="29">
        <v>0.70902777777777781</v>
      </c>
      <c r="P328" s="29"/>
      <c r="Q328" s="30">
        <f t="shared" ca="1" si="75"/>
        <v>3.1690972245996818E-3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7"/>
        <v>55</v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4"/>
        <v>0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172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779.2</v>
      </c>
      <c r="L338" s="37"/>
      <c r="M338" s="37"/>
      <c r="N338" s="37"/>
      <c r="O338" s="61"/>
      <c r="P338" s="61"/>
      <c r="Q338" s="38">
        <f ca="1">IFERROR(SUM(Q326:Q337),"")</f>
        <v>2.0530208335710787E-2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172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779.2</v>
      </c>
      <c r="L352" s="41"/>
      <c r="M352" s="41"/>
      <c r="N352" s="41"/>
      <c r="O352" s="63"/>
      <c r="P352" s="63"/>
      <c r="Q352" s="42">
        <f ca="1">IFERROR(Q338+Q351,"")</f>
        <v>2.0530208335710787E-2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2026-08-13T21:07:33Z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