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17" documentId="13_ncr:1_{0A10D8D4-8450-4366-8075-B53B08E6B7EA}" xr6:coauthVersionLast="47" xr6:coauthVersionMax="47" xr10:uidLastSave="{2A190142-8DF0-4CBC-B40B-C6BD2148751A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7" i="6"/>
  <c r="J477" i="6" s="1"/>
  <c r="H478" i="6"/>
  <c r="J478" i="6" s="1"/>
  <c r="H479" i="6"/>
  <c r="J479" i="6" s="1"/>
  <c r="H480" i="6"/>
  <c r="J480" i="6" s="1"/>
  <c r="H481" i="6"/>
  <c r="J481" i="6" s="1"/>
  <c r="H482" i="6"/>
  <c r="J482" i="6" s="1"/>
  <c r="H483" i="6"/>
  <c r="J483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7" i="5"/>
  <c r="J477" i="5" s="1"/>
  <c r="H478" i="5"/>
  <c r="J478" i="5" s="1"/>
  <c r="H479" i="5"/>
  <c r="J479" i="5" s="1"/>
  <c r="H480" i="5"/>
  <c r="J480" i="5" s="1"/>
  <c r="H481" i="5"/>
  <c r="J481" i="5" s="1"/>
  <c r="H482" i="5"/>
  <c r="J482" i="5" s="1"/>
  <c r="H483" i="5"/>
  <c r="J483" i="5" s="1"/>
  <c r="H484" i="5"/>
  <c r="J484" i="5" s="1"/>
  <c r="H485" i="5"/>
  <c r="J48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H476" i="6" s="1"/>
  <c r="J476" i="6" s="1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H474" i="5" s="1"/>
  <c r="J474" i="5" s="1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H476" i="4" s="1"/>
  <c r="J476" i="4" s="1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75" i="5" l="1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<sst xmlns="http://schemas.openxmlformats.org/spreadsheetml/2006/main" count="8093" uniqueCount="377">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</sst>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9" fontId="6" fillId="8" borderId="10" xfId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79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E477" sqref="E477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278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247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245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245</v>
      </c>
      <c r="F475" s="27">
        <v>42</v>
      </c>
      <c r="G475" s="34">
        <f t="shared" si="101"/>
        <v>210</v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245</v>
      </c>
      <c r="F476" s="27">
        <v>54</v>
      </c>
      <c r="G476" s="28">
        <f t="shared" si="101"/>
        <v>270</v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245</v>
      </c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136</v>
      </c>
      <c r="G486" s="36">
        <f>SUM(G474:G485)</f>
        <v>680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483</v>
      </c>
      <c r="G487" s="40">
        <f>G473+G486</f>
        <v>2415</v>
      </c>
      <c r="H487" s="41"/>
      <c r="I487" s="41"/>
      <c r="J487" s="41"/>
      <c r="K487" s="41"/>
      <c r="L487" s="41"/>
      <c r="M487" s="42">
        <f ca="1">IFERROR(M473+M486,"")</f>
        <v>3.1944444444444442E-2</v>
      </c>
      <c r="N487" s="40" t="s">
        <v>251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66" activePane="bottomLeft" state="frozen"/>
      <selection pane="bottomLeft" activeCell="G477" sqref="G477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0.81841296295897337</v>
      </c>
      <c r="R53" s="46" t="s">
        <v>289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0.95730185184786221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1.0420240740700846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291</v>
      </c>
      <c r="Q96" s="30" t="str">
        <f t="shared" ref="Q96:Q107" ca="1" si="22">IFERROR(IF(O96="","",IF(P96="",MOD(NOW()-O96,1),IF(P96&gt;=O96,P96-O96,P96+1-O96))),"")</f>
        <v/>
      </c>
      <c r="R96" s="46" t="s">
        <v>292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314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315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316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317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319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247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>
        <v>7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320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/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43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180.6</v>
      </c>
      <c r="L486" s="37"/>
      <c r="M486" s="37"/>
      <c r="N486" s="37"/>
      <c r="O486" s="37"/>
      <c r="P486" s="37"/>
      <c r="Q486" s="38">
        <f ca="1">IFERROR(SUM(Q474:Q485),"")</f>
        <v>4.2361111111111072E-2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236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991.19999999999993</v>
      </c>
      <c r="L487" s="41"/>
      <c r="M487" s="41"/>
      <c r="N487" s="41"/>
      <c r="O487" s="41"/>
      <c r="P487" s="41"/>
      <c r="Q487" s="42">
        <f ca="1">IFERROR(Q473+Q486,"")</f>
        <v>0.16180555555555542</v>
      </c>
      <c r="R487" s="40" t="s">
        <v>251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65" activePane="bottomLeft" state="frozen"/>
      <selection pane="bottomLeft" activeCell="G475" sqref="G47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334</v>
      </c>
      <c r="Q222" s="30" t="str">
        <f t="shared" ca="1" si="49"/>
        <v/>
      </c>
      <c r="R222" s="27" t="s">
        <v>335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338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339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340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341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341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342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247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>
        <v>5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6"/>
        <v>0</v>
      </c>
      <c r="K476" s="28">
        <f t="shared" si="117"/>
        <v>21</v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261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261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261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261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261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261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9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37.799999999999997</v>
      </c>
      <c r="L486" s="37"/>
      <c r="M486" s="37"/>
      <c r="N486" s="37"/>
      <c r="O486" s="37"/>
      <c r="P486" s="37"/>
      <c r="Q486" s="38">
        <f ca="1">IFERROR(SUM(Q474:Q485),"")</f>
        <v>7.0833333333333415E-2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75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315</v>
      </c>
      <c r="L487" s="41"/>
      <c r="M487" s="41"/>
      <c r="N487" s="41"/>
      <c r="O487" s="41"/>
      <c r="P487" s="41"/>
      <c r="Q487" s="42">
        <f ca="1">IFERROR(Q473+Q486,"")</f>
        <v>0.36250000000000004</v>
      </c>
      <c r="R487" s="40" t="s">
        <v>251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46" activePane="bottomLeft" state="frozen"/>
      <selection pane="bottomLeft" activeCell="E485" sqref="E48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343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344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345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346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347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348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349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350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351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352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353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354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356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357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358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359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360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361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362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363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364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365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366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367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368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369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370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371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372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373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374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375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376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370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247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/>
      <c r="Q476" s="30">
        <f t="shared" ca="1" si="120"/>
        <v>5.7301851848023944E-2</v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261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261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261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261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261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261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38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159.60000000000002</v>
      </c>
      <c r="L486" s="37"/>
      <c r="M486" s="37"/>
      <c r="N486" s="37"/>
      <c r="O486" s="61"/>
      <c r="P486" s="61"/>
      <c r="Q486" s="38">
        <f ca="1">IFERROR(SUM(Q474:Q485),"")</f>
        <v>7.1885185181357225E-2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192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806.40000000000009</v>
      </c>
      <c r="L487" s="41"/>
      <c r="M487" s="41"/>
      <c r="N487" s="41"/>
      <c r="O487" s="63"/>
      <c r="P487" s="63"/>
      <c r="Q487" s="42">
        <f ca="1">IFERROR(Q473+Q486,"")</f>
        <v>0.36494074073691257</v>
      </c>
      <c r="R487" s="40" t="s">
        <v>251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2026-08-19T02:33:45Z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