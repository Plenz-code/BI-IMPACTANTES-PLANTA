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937" documentId="8_{AF585B22-221D-4780-BB9C-493D365A6A02}" xr6:coauthVersionLast="47" xr6:coauthVersionMax="47" xr10:uidLastSave="{84E81E7C-69D0-4AFE-AEFD-0FD852847748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<sst xmlns="http://schemas.openxmlformats.org/spreadsheetml/2006/main" count="2953" uniqueCount="251">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</sst>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1539220</v>
      </c>
      <c r="D9" s="11">
        <f>IFERROR('Linha 1'!O163,"")</f>
        <v>633800</v>
      </c>
      <c r="E9" s="11">
        <f>IFERROR('Linha 2'!O163,"")</f>
        <v>627680</v>
      </c>
      <c r="F9" s="11">
        <f>IFERROR('Linha 3'!O163,"")</f>
        <v>1190340</v>
      </c>
      <c r="G9" s="12">
        <f t="shared" si="0"/>
        <v>2451820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14002990</v>
      </c>
      <c r="D35" s="13">
        <f>IFERROR(SUM(D4:D34),"")</f>
        <v>6398650</v>
      </c>
      <c r="E35" s="13">
        <f>IFERROR(SUM(E4:E34),"")</f>
        <v>3406270</v>
      </c>
      <c r="F35" s="13">
        <f>IFERROR(SUM(F4:F34),"")</f>
        <v>6166270</v>
      </c>
      <c r="G35" s="13">
        <f>IFERROR(SUM(G4:G34),"")</f>
        <v>15971190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zoomScale="85" zoomScaleNormal="85" workbookViewId="0">
      <selection activeCell="I14" sqref="I1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/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35" activePane="bottomLeft" state="frozen"/>
      <selection pane="bottomLeft" activeCell="C150" sqref="C15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>
        <v>1539220</v>
      </c>
    </row>
    <row r="150" spans="1:15" ht="15" customHeight="1">
      <c r="A150" s="69">
        <v>46209</v>
      </c>
      <c r="B150" s="25">
        <v>0.83333333333333304</v>
      </c>
      <c r="C150" s="26"/>
      <c r="D150" s="59" t="s">
        <v>30</v>
      </c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 t="s">
        <v>30</v>
      </c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 t="s">
        <v>30</v>
      </c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 t="s">
        <v>30</v>
      </c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 t="s">
        <v>30</v>
      </c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 t="s">
        <v>30</v>
      </c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 t="s">
        <v>30</v>
      </c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 t="s">
        <v>30</v>
      </c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 t="s">
        <v>30</v>
      </c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 t="s">
        <v>30</v>
      </c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 t="s">
        <v>30</v>
      </c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 t="s">
        <v>30</v>
      </c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79</v>
      </c>
      <c r="G163" s="40">
        <f>G149+G162</f>
        <v>395</v>
      </c>
      <c r="H163" s="41"/>
      <c r="I163" s="41"/>
      <c r="J163" s="41"/>
      <c r="K163" s="41"/>
      <c r="L163" s="41"/>
      <c r="M163" s="42">
        <f ca="1">IFERROR(M149+M162,"")</f>
        <v>0.21666666666666645</v>
      </c>
      <c r="N163" s="40" t="s">
        <v>209</v>
      </c>
      <c r="O163" s="43">
        <f>IFERROR(O149+O162,"")</f>
        <v>1539220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51" sqref="F15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>
        <v>633800</v>
      </c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>
        <v>14</v>
      </c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14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109</v>
      </c>
      <c r="G163" s="40">
        <f>G149+G162</f>
        <v>475</v>
      </c>
      <c r="H163" s="41"/>
      <c r="I163" s="41"/>
      <c r="J163" s="41"/>
      <c r="K163" s="41"/>
      <c r="L163" s="41"/>
      <c r="M163" s="42">
        <f ca="1">IFERROR(M149+M162,"")</f>
        <v>0.21111111111111108</v>
      </c>
      <c r="N163" s="40" t="s">
        <v>209</v>
      </c>
      <c r="O163" s="83">
        <f>IFERROR(O149+O162,"")</f>
        <v>633800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51" sqref="F15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>
        <v>627680</v>
      </c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>
        <v>6</v>
      </c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6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124</v>
      </c>
      <c r="G163" s="40">
        <f>G149+G162</f>
        <v>590</v>
      </c>
      <c r="H163" s="41"/>
      <c r="I163" s="41"/>
      <c r="J163" s="41"/>
      <c r="K163" s="41"/>
      <c r="L163" s="41"/>
      <c r="M163" s="42">
        <f ca="1">IFERROR(M149+M162,"")</f>
        <v>5.5555555555555636E-2</v>
      </c>
      <c r="N163" s="40" t="s">
        <v>209</v>
      </c>
      <c r="O163" s="43">
        <f>IFERROR(O149+O162,"")</f>
        <v>627680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33" activePane="bottomLeft" state="frozen"/>
      <selection pane="bottomLeft" activeCell="F151" sqref="F15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240</v>
      </c>
      <c r="L58" s="29">
        <v>0.54097222222222219</v>
      </c>
      <c r="M58" s="30" t="str">
        <f t="shared" ca="1" si="13"/>
        <v/>
      </c>
      <c r="N58" s="27" t="s">
        <v>241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0.57992662037577247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0.7792321759313281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1.1465932870424391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>
        <v>1190340</v>
      </c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>
        <v>9</v>
      </c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9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230</v>
      </c>
      <c r="G163" s="40">
        <f>G149+G162</f>
        <v>1105</v>
      </c>
      <c r="H163" s="41"/>
      <c r="I163" s="41"/>
      <c r="J163" s="41"/>
      <c r="K163" s="63"/>
      <c r="L163" s="63"/>
      <c r="M163" s="42">
        <f ca="1">IFERROR(M149+M162,"")</f>
        <v>6.5277777777777823E-2</v>
      </c>
      <c r="N163" s="40" t="s">
        <v>209</v>
      </c>
      <c r="O163" s="43">
        <f>IFERROR(O149+O162,"")</f>
        <v>1190340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2026-07-06T23:54:22Z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