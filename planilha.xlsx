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888" documentId="8_{C51EB6CB-002B-4D6B-B68F-DDEBDB4460C0}" xr6:coauthVersionLast="47" xr6:coauthVersionMax="47" xr10:uidLastSave="{D1AEBFC8-286E-4AEB-B2E5-6CA1121E93AB}"/>
  <bookViews>
    <workbookView xWindow="-120" yWindow="-12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<sst xmlns="http://schemas.openxmlformats.org/spreadsheetml/2006/main" count="5677" uniqueCount="337">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</sst>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37430140</v>
      </c>
      <c r="D35" s="13">
        <f>IFERROR(SUM(D4:D34),"")</f>
        <v>12845630</v>
      </c>
      <c r="E35" s="13">
        <f>IFERROR(SUM(E4:E34),"")</f>
        <v>6272590</v>
      </c>
      <c r="F35" s="13">
        <f>IFERROR(SUM(F4:F34),"")</f>
        <v>15553450</v>
      </c>
      <c r="G35" s="13">
        <f>IFERROR(SUM(G4:G34),"")</f>
        <v>34671670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3" activePane="bottomLeft" state="frozen"/>
      <selection pane="bottomLeft" activeCell="F307" sqref="F307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317</v>
      </c>
      <c r="G311" s="90">
        <f>SUM(G299:G310)</f>
        <v>1585</v>
      </c>
      <c r="H311" s="37"/>
      <c r="I311" s="37"/>
      <c r="J311" s="37"/>
      <c r="K311" s="37"/>
      <c r="L311" s="37"/>
      <c r="M311" s="38">
        <f ca="1">IFERROR(SUM(M299:M310),"")</f>
        <v>1.5277777777777779E-2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317</v>
      </c>
      <c r="G325" s="40">
        <f>G311+G324</f>
        <v>1585</v>
      </c>
      <c r="H325" s="41"/>
      <c r="I325" s="41"/>
      <c r="J325" s="41"/>
      <c r="K325" s="41"/>
      <c r="L325" s="41"/>
      <c r="M325" s="42">
        <f ca="1">IFERROR(M311+M324,"")</f>
        <v>1.5277777777777779E-2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81" activePane="bottomLeft" state="frozen"/>
      <selection pane="bottomLeft" activeCell="K303" sqref="K303:K304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0.54207384258916136</v>
      </c>
      <c r="N53" s="46" t="s">
        <v>267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0.6809627314780502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0.76568495370027256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269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270</v>
      </c>
      <c r="M96" s="30" t="str">
        <f t="shared" ref="M96:M107" ca="1" si="22">IFERROR(IF(K96="","",IF(L96="",MOD(NOW()-K96,1),IF(L96&gt;=K96,L96-K96,L96+1-K96))),"")</f>
        <v/>
      </c>
      <c r="N96" s="46" t="s">
        <v>271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272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273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274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275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276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277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279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276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280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281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274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268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282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283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284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285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286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287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288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130</v>
      </c>
      <c r="G311" s="36">
        <f>SUM(G299:G310)</f>
        <v>546</v>
      </c>
      <c r="H311" s="37"/>
      <c r="I311" s="37"/>
      <c r="J311" s="37"/>
      <c r="K311" s="37"/>
      <c r="L311" s="37"/>
      <c r="M311" s="38">
        <f ca="1">IFERROR(SUM(M299:M310),"")</f>
        <v>2.9861111111111116E-2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130</v>
      </c>
      <c r="G325" s="40">
        <f>G311+G324</f>
        <v>546</v>
      </c>
      <c r="H325" s="41"/>
      <c r="I325" s="41"/>
      <c r="J325" s="41"/>
      <c r="K325" s="41"/>
      <c r="L325" s="41"/>
      <c r="M325" s="42">
        <f ca="1">IFERROR(M311+M324,"")</f>
        <v>2.9861111111111116E-2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72" zoomScale="68" zoomScaleNormal="68" workbookViewId="0">
      <selection activeCell="F307" sqref="F307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277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268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299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280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300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302</v>
      </c>
      <c r="M222" s="30" t="str">
        <f t="shared" ca="1" si="49"/>
        <v/>
      </c>
      <c r="N222" s="27" t="s">
        <v>303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304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268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0.46915717592492001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0.53096273148047557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0.5920738425915868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305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268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/>
      <c r="F306" s="27">
        <v>6</v>
      </c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85</v>
      </c>
      <c r="G311" s="36">
        <f>SUM(G299:G310)</f>
        <v>331.8</v>
      </c>
      <c r="H311" s="37"/>
      <c r="I311" s="37"/>
      <c r="J311" s="37"/>
      <c r="K311" s="37"/>
      <c r="L311" s="37"/>
      <c r="M311" s="38">
        <f ca="1">IFERROR(SUM(M299:M310),"")</f>
        <v>2.1527777777777868E-2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85</v>
      </c>
      <c r="G325" s="40">
        <f>G311+G324</f>
        <v>331.8</v>
      </c>
      <c r="H325" s="41"/>
      <c r="I325" s="41"/>
      <c r="J325" s="41"/>
      <c r="K325" s="41"/>
      <c r="L325" s="41"/>
      <c r="M325" s="42">
        <f ca="1">IFERROR(M311+M324,"")</f>
        <v>2.1527777777777868E-2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85" zoomScaleNormal="85" workbookViewId="0">
      <pane ySplit="1" topLeftCell="A278" activePane="bottomLeft" state="frozen"/>
      <selection pane="bottomLeft" activeCell="J301" sqref="J301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268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277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325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326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327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328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329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330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296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331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332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333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334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335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336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/>
      <c r="M301" s="35">
        <f t="shared" ca="1" si="67"/>
        <v>1.101620371628087E-3</v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153</v>
      </c>
      <c r="G311" s="36">
        <f>SUM(G299:G310)</f>
        <v>642.6</v>
      </c>
      <c r="H311" s="37"/>
      <c r="I311" s="37"/>
      <c r="J311" s="37"/>
      <c r="K311" s="61"/>
      <c r="L311" s="61"/>
      <c r="M311" s="38">
        <f ca="1">IFERROR(SUM(M299:M310),"")</f>
        <v>1.7073842593850308E-2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153</v>
      </c>
      <c r="G325" s="40">
        <f>G311+G324</f>
        <v>642.6</v>
      </c>
      <c r="H325" s="41"/>
      <c r="I325" s="41"/>
      <c r="J325" s="41"/>
      <c r="K325" s="63"/>
      <c r="L325" s="63"/>
      <c r="M325" s="42">
        <f ca="1">IFERROR(M311+M324,"")</f>
        <v>1.7073842593850308E-2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2026-08-12T19:56:04Z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