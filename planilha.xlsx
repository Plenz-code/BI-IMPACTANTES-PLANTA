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16" documentId="13_ncr:1_{A6DBCFB4-28D9-4249-9038-216934055CA6}" xr6:coauthVersionLast="47" xr6:coauthVersionMax="47" xr10:uidLastSave="{C40D7220-D185-409B-9D8C-35E08FD57AB4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Planilha1" sheetId="8" r:id="rId8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F631" i="5"/>
  <c r="Q630" i="5"/>
  <c r="K630" i="5"/>
  <c r="I630" i="5"/>
  <c r="H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9" i="5" l="1"/>
  <c r="J598" i="5"/>
  <c r="J600" i="5"/>
  <c r="J599" i="5"/>
  <c r="J618" i="5"/>
  <c r="J619" i="5"/>
  <c r="J620" i="5"/>
  <c r="J610" i="5"/>
  <c r="J627" i="5"/>
  <c r="J630" i="5"/>
  <c r="J632" i="5"/>
  <c r="J633" i="5"/>
  <c r="J634" i="5"/>
  <c r="J625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K743" i="5"/>
  <c r="K95" i="5"/>
  <c r="G19" i="1"/>
  <c r="H310" i="5"/>
  <c r="K338" i="5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03" i="5" l="1"/>
  <c r="K352" i="5"/>
  <c r="H581" i="5"/>
  <c r="K730" i="5"/>
  <c r="H338" i="5"/>
  <c r="H352" i="5" s="1"/>
  <c r="K676" i="5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406" i="5" l="1"/>
  <c r="T406" i="5" s="1"/>
  <c r="J568" i="5"/>
  <c r="T568" i="5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<sst xmlns="http://schemas.openxmlformats.org/spreadsheetml/2006/main" count="11145" uniqueCount="448">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</sst>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92854610</v>
      </c>
      <c r="D35" s="30">
        <f t="shared" si="1"/>
        <v>28721100</v>
      </c>
      <c r="E35" s="30">
        <f t="shared" si="1"/>
        <v>16255620</v>
      </c>
      <c r="F35" s="30">
        <f t="shared" si="1"/>
        <v>39349890</v>
      </c>
      <c r="G35" s="30">
        <f t="shared" si="1"/>
        <v>84326610</v>
      </c>
      <c r="H35" s="31">
        <f t="shared" si="1"/>
        <v>9287.3725946384147</v>
      </c>
      <c r="I35" s="31">
        <f t="shared" si="1"/>
        <v>9156.869999999999</v>
      </c>
      <c r="J35" s="32">
        <f>IFERROR(IF(H35&gt;I35,MAX(0,2-H35/I35),H35/I35),"")</f>
        <v>0.98574812194140393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55" activePane="bottomLeft" state="frozen"/>
      <selection pane="bottomLeft" activeCell="D687" sqref="D68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>
        <v>2408840</v>
      </c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263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23</v>
      </c>
      <c r="G689" s="2">
        <f>SUM(G677:G688)</f>
        <v>115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23</v>
      </c>
      <c r="G703" s="1">
        <f>G689+G702</f>
        <v>115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60" activePane="bottomLeft" state="frozen"/>
      <selection pane="bottomLeft" activeCell="D688" sqref="D68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0.24412141203356441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0.38301030092245214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0.46773252314467495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192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265</v>
      </c>
      <c r="S675" s="73">
        <v>534810</v>
      </c>
      <c r="T675" s="98">
        <f>IFERROR(J675,"")</f>
        <v>112.31009999999999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268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278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0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0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155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278</v>
      </c>
      <c r="F678" s="87">
        <f>IFERROR(IF($D678="","",VLOOKUP($D678,Cadastro!$C$4:$E$7,3,FALSE())),"")</f>
        <v>0.35</v>
      </c>
      <c r="G678" s="88"/>
      <c r="H678" s="87" t="str">
        <f>IFERROR(IF($G678="","",$G678*$S$689/$G$689/Cadastro!$E$33),"")</f>
        <v/>
      </c>
      <c r="I678" s="89">
        <f>IFERROR(IF($D678="","",VLOOKUP($D678,Cadastro!$C$4:$G$7,5,FALSE())),"")</f>
        <v>0.6</v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278</v>
      </c>
      <c r="F679" s="87">
        <f>IFERROR(IF($D679="","",VLOOKUP($D679,Cadastro!$C$4:$E$7,3,FALSE())),"")</f>
        <v>0.35</v>
      </c>
      <c r="G679" s="88"/>
      <c r="H679" s="87" t="str">
        <f>IFERROR(IF($G679="","",$G679*$S$689/$G$689/Cadastro!$E$33),"")</f>
        <v/>
      </c>
      <c r="I679" s="89">
        <f>IFERROR(IF($D679="","",VLOOKUP($D679,Cadastro!$C$4:$G$7,5,FALSE())),"")</f>
        <v>0.6</v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278</v>
      </c>
      <c r="F680" s="87">
        <f>IFERROR(IF($D680="","",VLOOKUP($D680,Cadastro!$C$4:$E$7,3,FALSE())),"")</f>
        <v>0.35</v>
      </c>
      <c r="G680" s="88"/>
      <c r="H680" s="87" t="str">
        <f>IFERROR(IF($G680="","",$G680*$S$689/$G$689/Cadastro!$E$33),"")</f>
        <v/>
      </c>
      <c r="I680" s="89">
        <f>IFERROR(IF($D680="","",VLOOKUP($D680,Cadastro!$C$4:$G$7,5,FALSE())),"")</f>
        <v>0.6</v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278</v>
      </c>
      <c r="F681" s="87">
        <f>IFERROR(IF($D681="","",VLOOKUP($D681,Cadastro!$C$4:$E$7,3,FALSE())),"")</f>
        <v>0.35</v>
      </c>
      <c r="G681" s="88"/>
      <c r="H681" s="87" t="str">
        <f>IFERROR(IF($G681="","",$G681*$S$689/$G$689/Cadastro!$E$33),"")</f>
        <v/>
      </c>
      <c r="I681" s="89">
        <f>IFERROR(IF($D681="","",VLOOKUP($D681,Cadastro!$C$4:$G$7,5,FALSE())),"")</f>
        <v>0.6</v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278</v>
      </c>
      <c r="F682" s="87">
        <f>IFERROR(IF($D682="","",VLOOKUP($D682,Cadastro!$C$4:$E$7,3,FALSE())),"")</f>
        <v>0.35</v>
      </c>
      <c r="G682" s="88"/>
      <c r="H682" s="87" t="str">
        <f>IFERROR(IF($G682="","",$G682*$S$689/$G$689/Cadastro!$E$33),"")</f>
        <v/>
      </c>
      <c r="I682" s="89">
        <f>IFERROR(IF($D682="","",VLOOKUP($D682,Cadastro!$C$4:$G$7,5,FALSE())),"")</f>
        <v>0.6</v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278</v>
      </c>
      <c r="F683" s="87">
        <f>IFERROR(IF($D683="","",VLOOKUP($D683,Cadastro!$C$4:$E$7,3,FALSE())),"")</f>
        <v>0.35</v>
      </c>
      <c r="G683" s="88"/>
      <c r="H683" s="87" t="str">
        <f>IFERROR(IF($G683="","",$G683*$S$689/$G$689/Cadastro!$E$33),"")</f>
        <v/>
      </c>
      <c r="I683" s="89">
        <f>IFERROR(IF($D683="","",VLOOKUP($D683,Cadastro!$C$4:$G$7,5,FALSE())),"")</f>
        <v>0.6</v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278</v>
      </c>
      <c r="F684" s="87">
        <f>IFERROR(IF($D684="","",VLOOKUP($D684,Cadastro!$C$4:$E$7,3,FALSE())),"")</f>
        <v>0.35</v>
      </c>
      <c r="G684" s="88"/>
      <c r="H684" s="87" t="str">
        <f>IFERROR(IF($G684="","",$G684*$S$689/$G$689/Cadastro!$E$33),"")</f>
        <v/>
      </c>
      <c r="I684" s="89">
        <f>IFERROR(IF($D684="","",VLOOKUP($D684,Cadastro!$C$4:$G$7,5,FALSE())),"")</f>
        <v>0.6</v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278</v>
      </c>
      <c r="F685" s="87">
        <f>IFERROR(IF($D685="","",VLOOKUP($D685,Cadastro!$C$4:$E$7,3,FALSE())),"")</f>
        <v>0.35</v>
      </c>
      <c r="G685" s="88"/>
      <c r="H685" s="87" t="str">
        <f>IFERROR(IF($G685="","",$G685*$S$689/$G$689/Cadastro!$E$33),"")</f>
        <v/>
      </c>
      <c r="I685" s="89">
        <f>IFERROR(IF($D685="","",VLOOKUP($D685,Cadastro!$C$4:$G$7,5,FALSE())),"")</f>
        <v>0.6</v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278</v>
      </c>
      <c r="F686" s="87">
        <f>IFERROR(IF($D686="","",VLOOKUP($D686,Cadastro!$C$4:$E$7,3,FALSE())),"")</f>
        <v>0.35</v>
      </c>
      <c r="G686" s="88"/>
      <c r="H686" s="87" t="str">
        <f>IFERROR(IF($G686="","",$G686*$S$689/$G$689/Cadastro!$E$33),"")</f>
        <v/>
      </c>
      <c r="I686" s="89">
        <f>IFERROR(IF($D686="","",VLOOKUP($D686,Cadastro!$C$4:$G$7,5,FALSE())),"")</f>
        <v>0.6</v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278</v>
      </c>
      <c r="F687" s="87">
        <f>IFERROR(IF($D687="","",VLOOKUP($D687,Cadastro!$C$4:$E$7,3,FALSE())),"")</f>
        <v>0.35</v>
      </c>
      <c r="G687" s="88"/>
      <c r="H687" s="87" t="str">
        <f>IFERROR(IF($G687="","",$G687*$S$689/$G$689/Cadastro!$E$33),"")</f>
        <v/>
      </c>
      <c r="I687" s="89">
        <f>IFERROR(IF($D687="","",VLOOKUP($D687,Cadastro!$C$4:$G$7,5,FALSE())),"")</f>
        <v>0.6</v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278</v>
      </c>
      <c r="F688" s="91">
        <f>IFERROR(IF($D688="","",VLOOKUP($D688,Cadastro!$C$4:$E$7,3,FALSE())),"")</f>
        <v>0.35</v>
      </c>
      <c r="G688" s="88"/>
      <c r="H688" s="91" t="str">
        <f>IFERROR(IF($G688="","",$G688*$S$689/$G$689/Cadastro!$E$33),"")</f>
        <v/>
      </c>
      <c r="I688" s="92">
        <f>IFERROR(IF($D688="","",VLOOKUP($D688,Cadastro!$C$4:$G$7,5,FALSE())),"")</f>
        <v>0.6</v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4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16.8</v>
      </c>
      <c r="L689" s="71"/>
      <c r="M689" s="71"/>
      <c r="N689" s="71"/>
      <c r="O689" s="71"/>
      <c r="P689" s="71"/>
      <c r="Q689" s="72">
        <f ca="1">IFERROR(SUM(Q677:Q688),"")</f>
        <v>3.472222222222221E-2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4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16.8</v>
      </c>
      <c r="L703" s="75"/>
      <c r="M703" s="75"/>
      <c r="N703" s="75"/>
      <c r="O703" s="75"/>
      <c r="P703" s="75"/>
      <c r="Q703" s="76">
        <f ca="1">IFERROR(Q689+Q702,"")</f>
        <v>3.472222222222221E-2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54" activePane="bottomLeft" state="frozen"/>
      <selection pane="bottomLeft" activeCell="G678" sqref="G67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>
        <v>342930</v>
      </c>
      <c r="T675" s="98">
        <f>IFERROR(J675,"")</f>
        <v>72.015299999999982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>
        <v>12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0" t="s">
        <v>29</v>
      </c>
      <c r="M677" s="69" t="s">
        <v>169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12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8.3333333333333592E-3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12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8.3333333333333592E-3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L317:L677 L679:L900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62" activePane="bottomLeft" state="frozen"/>
      <selection pane="bottomLeft" activeCell="P678" sqref="P67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140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265</v>
      </c>
      <c r="S675" s="73">
        <v>1138950</v>
      </c>
      <c r="T675" s="98">
        <f>IFERROR(J675,"")</f>
        <v>239.17950000000002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268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/>
      <c r="E677" s="99"/>
      <c r="F677" s="100" t="str">
        <f>IFERROR(IF($D677="","",VLOOKUP($D677,Cadastro!$C$4:$E$7,3,FALSE())),"")</f>
        <v/>
      </c>
      <c r="G677" s="88">
        <v>9</v>
      </c>
      <c r="H677" s="100">
        <f>IFERROR(IF($G677="","",$G677*$S$689/$G$689/Cadastro!$E$33),"")</f>
        <v>0</v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 t="s">
        <v>29</v>
      </c>
      <c r="M677" s="69" t="s">
        <v>143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9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1.9444444444444431E-2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9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1.9444444444444431E-2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2026-08-26T12:48:23Z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