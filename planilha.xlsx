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599" documentId="8_{AF585B22-221D-4780-BB9C-493D365A6A02}" xr6:coauthVersionLast="47" xr6:coauthVersionMax="47" xr10:uidLastSave="{097D69EB-105B-4062-BB36-C651804B5193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<sst xmlns="http://schemas.openxmlformats.org/spreadsheetml/2006/main" count="10771" uniqueCount="404">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</sst>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79529218</v>
      </c>
      <c r="D35" s="13">
        <f>IFERROR(SUM(D4:D34),"")</f>
        <v>32089210</v>
      </c>
      <c r="E35" s="13">
        <f>IFERROR(SUM(E4:E34),"")</f>
        <v>18769260</v>
      </c>
      <c r="F35" s="13">
        <f>IFERROR(SUM(F4:F34),"")</f>
        <v>33356480</v>
      </c>
      <c r="G35" s="13">
        <f>IFERROR(SUM(G4:G34),"")</f>
        <v>84214950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88" activePane="bottomLeft" state="frozen"/>
      <selection pane="bottomLeft" activeCell="F713" sqref="F71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247</v>
      </c>
      <c r="G716" s="36">
        <f>SUM(G704:G715)</f>
        <v>1235</v>
      </c>
      <c r="H716" s="37"/>
      <c r="I716" s="37"/>
      <c r="J716" s="37"/>
      <c r="K716" s="37"/>
      <c r="L716" s="37"/>
      <c r="M716" s="38">
        <f ca="1">IFERROR(SUM(M704:M715),"")</f>
        <v>4.4444444444444398E-2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247</v>
      </c>
      <c r="G730" s="40">
        <f>G716+G729</f>
        <v>1235</v>
      </c>
      <c r="H730" s="41"/>
      <c r="I730" s="41"/>
      <c r="J730" s="41"/>
      <c r="K730" s="41"/>
      <c r="L730" s="41"/>
      <c r="M730" s="42">
        <f ca="1">IFERROR(M716+M729,"")</f>
        <v>4.4444444444444398E-2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90" activePane="bottomLeft" state="frozen"/>
      <selection pane="bottomLeft" activeCell="J710" sqref="J71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0.45441516203572974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0.61205405092461862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0.72177627314684079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0.43288738426053897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0.60372071759387236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0.74885960648276129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311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312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313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315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318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319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320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321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322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323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/>
      <c r="K707" s="29">
        <v>0.51736111111111116</v>
      </c>
      <c r="L707" s="29"/>
      <c r="M707" s="35">
        <f t="shared" ca="1" si="157"/>
        <v>0.17663738426199416</v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99</v>
      </c>
      <c r="G716" s="36">
        <f>SUM(G704:G715)</f>
        <v>415.8</v>
      </c>
      <c r="H716" s="37"/>
      <c r="I716" s="37"/>
      <c r="J716" s="37"/>
      <c r="K716" s="37"/>
      <c r="L716" s="37"/>
      <c r="M716" s="38">
        <f ca="1">IFERROR(SUM(M704:M715),"")</f>
        <v>0.23774849537310522</v>
      </c>
      <c r="N716" s="36" t="s">
        <v>234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99</v>
      </c>
      <c r="G730" s="40">
        <f>G716+G729</f>
        <v>415.8</v>
      </c>
      <c r="H730" s="41"/>
      <c r="I730" s="41"/>
      <c r="J730" s="41"/>
      <c r="K730" s="41"/>
      <c r="L730" s="41"/>
      <c r="M730" s="42">
        <f ca="1">IFERROR(M716+M729,"")</f>
        <v>0.23774849537310522</v>
      </c>
      <c r="N730" s="40" t="s">
        <v>237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682" zoomScale="50" zoomScaleNormal="50" workbookViewId="0">
      <selection activeCell="J706" sqref="J70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281</v>
      </c>
      <c r="K141" s="29">
        <v>0.71597222222222223</v>
      </c>
      <c r="L141" s="29" t="s">
        <v>330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332</v>
      </c>
      <c r="N166" s="27" t="s">
        <v>333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320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320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/>
      <c r="M706" s="30">
        <f t="shared" ca="1" si="157"/>
        <v>9.4293981237569824E-4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71</v>
      </c>
      <c r="G716" s="36">
        <f>SUM(G704:G715)</f>
        <v>298.2</v>
      </c>
      <c r="H716" s="37"/>
      <c r="I716" s="37"/>
      <c r="J716" s="37"/>
      <c r="K716" s="37"/>
      <c r="L716" s="37"/>
      <c r="M716" s="38">
        <f ca="1">IFERROR(SUM(M704:M715),"")</f>
        <v>6.9692939812375621E-2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71</v>
      </c>
      <c r="G730" s="40">
        <f>G716+G729</f>
        <v>298.2</v>
      </c>
      <c r="H730" s="41"/>
      <c r="I730" s="41"/>
      <c r="J730" s="41"/>
      <c r="K730" s="41"/>
      <c r="L730" s="41"/>
      <c r="M730" s="42">
        <f ca="1">IFERROR(M716+M729,"")</f>
        <v>6.9692939812375621E-2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96" activePane="bottomLeft" state="frozen"/>
      <selection pane="bottomLeft" activeCell="K711" sqref="K71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358</v>
      </c>
      <c r="L58" s="29">
        <v>0.54097222222222219</v>
      </c>
      <c r="M58" s="30" t="str">
        <f t="shared" ca="1" si="13"/>
        <v/>
      </c>
      <c r="N58" s="27" t="s">
        <v>359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0.44469293981819646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0.64399849537375209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1.0113596064848631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401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402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403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276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318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128</v>
      </c>
      <c r="K709" s="29">
        <v>0.69027777777777777</v>
      </c>
      <c r="L709" s="29"/>
      <c r="M709" s="35">
        <f t="shared" ca="1" si="157"/>
        <v>3.7207175919320434E-3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106</v>
      </c>
      <c r="G716" s="36">
        <f>SUM(G704:G715)</f>
        <v>445.20000000000005</v>
      </c>
      <c r="H716" s="37"/>
      <c r="I716" s="37"/>
      <c r="J716" s="37"/>
      <c r="K716" s="61"/>
      <c r="L716" s="61"/>
      <c r="M716" s="38">
        <f ca="1">IFERROR(SUM(M704:M715),"")</f>
        <v>0.19330405092526531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106</v>
      </c>
      <c r="G730" s="40">
        <f>G716+G729</f>
        <v>445.20000000000005</v>
      </c>
      <c r="H730" s="41"/>
      <c r="I730" s="41"/>
      <c r="J730" s="41"/>
      <c r="K730" s="63"/>
      <c r="L730" s="63"/>
      <c r="M730" s="42">
        <f ca="1">IFERROR(M716+M729,"")</f>
        <v>0.19330405092526531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2026-07-27T20:41:24Z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