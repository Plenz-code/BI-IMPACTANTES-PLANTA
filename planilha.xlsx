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86" documentId="8_{AF585B22-221D-4780-BB9C-493D365A6A02}" xr6:coauthVersionLast="47" xr6:coauthVersionMax="47" xr10:uidLastSave="{75C63157-28D7-42C0-8608-5ECADDC5763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9" i="3" l="1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<sst xmlns="http://schemas.openxmlformats.org/spreadsheetml/2006/main" count="12115" uniqueCount="437">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</sst>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0.11787418981839437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0.16092974537394988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28" t="str">
        <f t="shared" ref="G798:G809" si="178">IF(F799="","",IF(E799="PC 17",F799*4.2,IF(E799="PC 19",F799*5,"")))</f>
        <v/>
      </c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8"/>
        <v/>
      </c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8"/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35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326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0.16092974537394988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0.63176307870162418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0.78940196759051307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0.89912418981273523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0.61023530092643341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0.7810686342597668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0.92620752314865573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23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177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4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98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K799" sqref="K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0.62204085648409091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0.82134641203964653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1.1887075231507576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/>
      <c r="I798" s="26"/>
      <c r="J798" s="26"/>
      <c r="K798" s="29">
        <v>0.79166666666666663</v>
      </c>
      <c r="L798" s="29"/>
      <c r="M798" s="30">
        <f t="shared" ref="M798:M809" ca="1" si="177">IFERROR(IF(K798="","",IF(L798="",MOD(NOW()-K798,1),IF(L798&gt;=K798,L798-K798,L798+1-K798))),"")</f>
        <v>7.9679745373141486E-2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7.9679745373141486E-2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0.52898530092869689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2026-07-31T00:54:56Z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