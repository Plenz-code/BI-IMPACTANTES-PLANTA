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98" documentId="8_{C51EB6CB-002B-4D6B-B68F-DDEBDB4460C0}" xr6:coauthVersionLast="47" xr6:coauthVersionMax="47" xr10:uidLastSave="{A132E65E-3EDF-424D-8921-33951628F4C1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<sst xmlns="http://schemas.openxmlformats.org/spreadsheetml/2006/main" count="2177" uniqueCount="265">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</sst>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54" activePane="bottomLeft" state="frozen"/>
      <selection pane="bottomLeft" activeCell="J69" sqref="J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19",F69*5,IF(E69="CB",F69*35,""))))</f>
        <v/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/>
      <c r="M69" s="35">
        <f t="shared" ref="M69:M80" ca="1" si="16">IFERROR(IF(K69="","",IF(L69="",MOD(NOW()-K69,1),IF(L69&gt;=K69,L69-K69,L69+1-K69))),"")</f>
        <v>7.6504629396367818E-4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7.6504629396367818E-4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375</v>
      </c>
      <c r="G82" s="40">
        <f>G68+G81</f>
        <v>1875</v>
      </c>
      <c r="H82" s="41"/>
      <c r="I82" s="41"/>
      <c r="J82" s="41"/>
      <c r="K82" s="41"/>
      <c r="L82" s="41"/>
      <c r="M82" s="42">
        <f ca="1">IFERROR(M68+M81,"")</f>
        <v>3.3403935182852673E-2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E76" sqref="E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0.69382060184580041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0.83270949073468925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0.91743171295691162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N70" sqref="N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1.5972222222222276E-2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9.9305555555555702E-2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N70" sqref="N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/>
      <c r="M69" s="35">
        <f t="shared" ref="M69:M80" ca="1" si="16">IFERROR(IF(K69="","",IF(L69="",MOD(NOW()-K69,1),IF(L69&gt;=K69,L69-K69,L69+1-K69))),"")</f>
        <v>2.36817129625706E-2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2.36817129625706E-2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115</v>
      </c>
      <c r="G82" s="40">
        <f>G68+G81</f>
        <v>482.99999999999994</v>
      </c>
      <c r="H82" s="41"/>
      <c r="I82" s="41"/>
      <c r="J82" s="41"/>
      <c r="K82" s="63"/>
      <c r="L82" s="63"/>
      <c r="M82" s="42">
        <f ca="1">IFERROR(M68+M81,"")</f>
        <v>0.16882060185145958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2026-08-03T23:34:26Z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