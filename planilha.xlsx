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216" documentId="8_{AF585B22-221D-4780-BB9C-493D365A6A02}" xr6:coauthVersionLast="47" xr6:coauthVersionMax="47" xr10:uidLastSave="{1946F230-D725-437B-BA9D-85CC3F65D50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<sst xmlns="http://schemas.openxmlformats.org/spreadsheetml/2006/main" count="9671" uniqueCount="384">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</sst>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3" activePane="bottomLeft" state="frozen"/>
      <selection pane="bottomLeft" activeCell="F633" sqref="F63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301</v>
      </c>
      <c r="G635" s="36">
        <f>SUM(G623:G634)</f>
        <v>1505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301</v>
      </c>
      <c r="G649" s="40">
        <f>G635+G648</f>
        <v>1505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13" activePane="bottomLeft" state="frozen"/>
      <selection pane="bottomLeft" activeCell="F633" sqref="F6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0.48471180555497995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0.64235069444386883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0.752072916666091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0.46318402777978918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0.63401736111312257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0.7791562500020115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/>
      <c r="I625" s="33"/>
      <c r="J625" s="33"/>
      <c r="K625" s="29"/>
      <c r="L625" s="29"/>
      <c r="M625" s="35" t="str">
        <f t="shared" ref="M625:M634" ca="1" si="140">IFERROR(IF(K625="","",IF(L625="",MOD(NOW()-K625,1),IF(L625&gt;=K625,L625-K625,L625+1-K625))),"")</f>
        <v/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80</v>
      </c>
      <c r="G635" s="36">
        <f>SUM(G623:G634)</f>
        <v>336</v>
      </c>
      <c r="H635" s="37"/>
      <c r="I635" s="37"/>
      <c r="J635" s="37"/>
      <c r="K635" s="37"/>
      <c r="L635" s="37"/>
      <c r="M635" s="38">
        <f ca="1">IFERROR(SUM(M623:M634),"")</f>
        <v>0.95833333333333315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80</v>
      </c>
      <c r="G649" s="40">
        <f>G635+G648</f>
        <v>336</v>
      </c>
      <c r="H649" s="41"/>
      <c r="I649" s="41"/>
      <c r="J649" s="41"/>
      <c r="K649" s="41"/>
      <c r="L649" s="41"/>
      <c r="M649" s="42">
        <f ca="1">IFERROR(M635+M648,"")</f>
        <v>0.95833333333333315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07" zoomScale="50" zoomScaleNormal="50" workbookViewId="0">
      <selection activeCell="F633" sqref="F6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132</v>
      </c>
      <c r="G635" s="36">
        <f>SUM(G623:G634)</f>
        <v>554.4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132</v>
      </c>
      <c r="G649" s="40">
        <f>G635+G648</f>
        <v>554.4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07" activePane="bottomLeft" state="frozen"/>
      <selection pane="bottomLeft" activeCell="N628" sqref="N6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0.47498958333744667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0.6742951388930023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1.0416562500041133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/>
      <c r="M628" s="30">
        <f t="shared" ca="1" si="139"/>
        <v>3.6100694444030523E-2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0.10901736111069732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361.20000000000005</v>
      </c>
      <c r="H649" s="41"/>
      <c r="I649" s="41"/>
      <c r="J649" s="41"/>
      <c r="K649" s="63"/>
      <c r="L649" s="63"/>
      <c r="M649" s="42">
        <f ca="1">IFERROR(M635+M648,"")</f>
        <v>0.10901736111069732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2026-07-24T21:25:02Z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