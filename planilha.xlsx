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03" documentId="8_{AF585B22-221D-4780-BB9C-493D365A6A02}" xr6:coauthVersionLast="47" xr6:coauthVersionMax="47" xr10:uidLastSave="{85910925-E51A-4FF4-9248-9502F899D99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<sst xmlns="http://schemas.openxmlformats.org/spreadsheetml/2006/main" count="12558" uniqueCount="445">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</sst>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0" sqref="F8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133</v>
      </c>
      <c r="G837" s="109">
        <f>SUM(G825:G836)</f>
        <v>665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266</v>
      </c>
      <c r="G838" s="111">
        <f>G824+G837</f>
        <v>665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98" activePane="bottomLeft" state="frozen"/>
      <selection pane="bottomLeft" activeCell="I828" sqref="I8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0.78646446759375976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0.94410335648264865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1.0538255787048709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0.76493668981856899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0.93577002315190239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1.0809089120407913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/>
      <c r="I828" s="80" t="s">
        <v>31</v>
      </c>
      <c r="J828" s="80"/>
      <c r="K828" s="98">
        <v>2.5694444444444443E-2</v>
      </c>
      <c r="L828" s="98"/>
      <c r="M828" s="78">
        <f ca="1">IFERROR(IF(K828="","",IF(L828="",MOD(NOW()-K828,1),IF(L828&gt;=K828,L828-K828,L828+1-K828))),"")</f>
        <v>3.5335648863110691E-4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82</v>
      </c>
      <c r="G837" s="109">
        <f>SUM(G825:G836)</f>
        <v>357.20000000000005</v>
      </c>
      <c r="H837" s="37"/>
      <c r="I837" s="37"/>
      <c r="J837" s="37"/>
      <c r="K837" s="37"/>
      <c r="L837" s="37"/>
      <c r="M837" s="110">
        <f ca="1">IFERROR(SUM(M825:M836),"")</f>
        <v>2.1186689821964366E-2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251</v>
      </c>
      <c r="G838" s="111">
        <f>G824+G837</f>
        <v>1067</v>
      </c>
      <c r="H838" s="41"/>
      <c r="I838" s="41"/>
      <c r="J838" s="41"/>
      <c r="K838" s="41"/>
      <c r="L838" s="41"/>
      <c r="M838" s="112">
        <f ca="1">IFERROR(M824+M837,"")</f>
        <v>0.12604780093307549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36" sqref="E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53</v>
      </c>
      <c r="G837" s="109">
        <f>SUM(G825:G836)</f>
        <v>231.4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148</v>
      </c>
      <c r="G838" s="111">
        <f>G824+G837</f>
        <v>630.4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29" sqref="F8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0.77674224537622649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0.97604780093178212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1.3434089120428931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/>
      <c r="G829" s="104" t="str">
        <f>IF(F829="","",IF(E829="PC 17",F829*4.2,IF(E829="PC 19",F829*5,"")))</f>
        <v/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39</v>
      </c>
      <c r="G837" s="109">
        <f>SUM(G825:G836)</f>
        <v>163.80000000000001</v>
      </c>
      <c r="H837" s="37"/>
      <c r="I837" s="37"/>
      <c r="J837" s="37"/>
      <c r="K837" s="37"/>
      <c r="L837" s="37"/>
      <c r="M837" s="110">
        <f ca="1">IFERROR(SUM(M825:M836),"")</f>
        <v>3.0555555555555558E-2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158</v>
      </c>
      <c r="G838" s="111">
        <f>G824+G837</f>
        <v>663.60000000000014</v>
      </c>
      <c r="H838" s="41"/>
      <c r="I838" s="41"/>
      <c r="J838" s="41"/>
      <c r="K838" s="41"/>
      <c r="L838" s="41"/>
      <c r="M838" s="112">
        <f ca="1">IFERROR(M824+M837,"")</f>
        <v>0.1465277777777777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2026-08-01T04:37:50Z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