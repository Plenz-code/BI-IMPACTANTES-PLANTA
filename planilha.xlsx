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5" documentId="13_ncr:1_{A6DBCFB4-28D9-4249-9038-216934055CA6}" xr6:coauthVersionLast="47" xr6:coauthVersionMax="47" xr10:uidLastSave="{38486BCE-8648-42A8-8937-4E803C7EB9A6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K770" i="6" s="1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K662" i="6" s="1"/>
  <c r="K676" i="6" s="1"/>
  <c r="J656" i="6"/>
  <c r="I656" i="6"/>
  <c r="H656" i="6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K554" i="6" s="1"/>
  <c r="K568" i="6" s="1"/>
  <c r="J545" i="6"/>
  <c r="I545" i="6"/>
  <c r="H545" i="6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I493" i="6"/>
  <c r="H493" i="6"/>
  <c r="J493" i="6" s="1"/>
  <c r="F493" i="6"/>
  <c r="K492" i="6"/>
  <c r="I492" i="6"/>
  <c r="H492" i="6"/>
  <c r="J492" i="6" s="1"/>
  <c r="F492" i="6"/>
  <c r="Q491" i="6"/>
  <c r="K491" i="6"/>
  <c r="I491" i="6"/>
  <c r="H491" i="6"/>
  <c r="J491" i="6" s="1"/>
  <c r="F491" i="6"/>
  <c r="Q490" i="6"/>
  <c r="K490" i="6"/>
  <c r="I490" i="6"/>
  <c r="H490" i="6"/>
  <c r="J490" i="6" s="1"/>
  <c r="F490" i="6"/>
  <c r="Q489" i="6"/>
  <c r="K489" i="6"/>
  <c r="I489" i="6"/>
  <c r="H489" i="6"/>
  <c r="J489" i="6" s="1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K446" i="6" s="1"/>
  <c r="K460" i="6" s="1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K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5" i="6"/>
  <c r="K324" i="6"/>
  <c r="G324" i="6"/>
  <c r="Q323" i="6"/>
  <c r="K323" i="6"/>
  <c r="I323" i="6"/>
  <c r="H323" i="6"/>
  <c r="J323" i="6" s="1"/>
  <c r="F323" i="6"/>
  <c r="Q322" i="6"/>
  <c r="K322" i="6"/>
  <c r="I322" i="6"/>
  <c r="H322" i="6"/>
  <c r="J322" i="6" s="1"/>
  <c r="F322" i="6"/>
  <c r="Q321" i="6"/>
  <c r="K321" i="6"/>
  <c r="I321" i="6"/>
  <c r="H321" i="6"/>
  <c r="J321" i="6" s="1"/>
  <c r="F321" i="6"/>
  <c r="Q320" i="6"/>
  <c r="K320" i="6"/>
  <c r="I320" i="6"/>
  <c r="H320" i="6"/>
  <c r="J320" i="6" s="1"/>
  <c r="F320" i="6"/>
  <c r="Q319" i="6"/>
  <c r="K319" i="6"/>
  <c r="I319" i="6"/>
  <c r="H319" i="6"/>
  <c r="J319" i="6" s="1"/>
  <c r="F319" i="6"/>
  <c r="Q318" i="6"/>
  <c r="K318" i="6"/>
  <c r="I318" i="6"/>
  <c r="H318" i="6"/>
  <c r="J318" i="6" s="1"/>
  <c r="F318" i="6"/>
  <c r="Q317" i="6"/>
  <c r="K317" i="6"/>
  <c r="I317" i="6"/>
  <c r="H317" i="6"/>
  <c r="J317" i="6" s="1"/>
  <c r="F317" i="6"/>
  <c r="Q316" i="6"/>
  <c r="K316" i="6"/>
  <c r="I316" i="6"/>
  <c r="H316" i="6"/>
  <c r="J316" i="6" s="1"/>
  <c r="F316" i="6"/>
  <c r="Q315" i="6"/>
  <c r="K315" i="6"/>
  <c r="I315" i="6"/>
  <c r="H315" i="6"/>
  <c r="J315" i="6" s="1"/>
  <c r="F315" i="6"/>
  <c r="Q314" i="6"/>
  <c r="K314" i="6"/>
  <c r="I314" i="6"/>
  <c r="H314" i="6"/>
  <c r="J314" i="6" s="1"/>
  <c r="F314" i="6"/>
  <c r="Q313" i="6"/>
  <c r="K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I312" i="6"/>
  <c r="H312" i="6"/>
  <c r="F312" i="6"/>
  <c r="G311" i="6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I452" i="5"/>
  <c r="H452" i="5"/>
  <c r="J452" i="5" s="1"/>
  <c r="F452" i="5"/>
  <c r="Q451" i="5"/>
  <c r="K451" i="5"/>
  <c r="I451" i="5"/>
  <c r="H451" i="5"/>
  <c r="J451" i="5" s="1"/>
  <c r="F451" i="5"/>
  <c r="Q450" i="5"/>
  <c r="K450" i="5"/>
  <c r="I450" i="5"/>
  <c r="H450" i="5"/>
  <c r="J450" i="5" s="1"/>
  <c r="F450" i="5"/>
  <c r="Q449" i="5"/>
  <c r="K449" i="5"/>
  <c r="I449" i="5"/>
  <c r="H449" i="5"/>
  <c r="J449" i="5" s="1"/>
  <c r="F449" i="5"/>
  <c r="Q448" i="5"/>
  <c r="K448" i="5"/>
  <c r="I448" i="5"/>
  <c r="H448" i="5"/>
  <c r="J448" i="5" s="1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J443" i="5"/>
  <c r="I443" i="5"/>
  <c r="H443" i="5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J415" i="5"/>
  <c r="I415" i="5"/>
  <c r="H415" i="5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J323" i="5" s="1"/>
  <c r="F323" i="5"/>
  <c r="Q322" i="5"/>
  <c r="I322" i="5"/>
  <c r="H322" i="5"/>
  <c r="J322" i="5" s="1"/>
  <c r="F322" i="5"/>
  <c r="Q321" i="5"/>
  <c r="I321" i="5"/>
  <c r="H321" i="5"/>
  <c r="J321" i="5" s="1"/>
  <c r="F321" i="5"/>
  <c r="Q320" i="5"/>
  <c r="I320" i="5"/>
  <c r="H320" i="5"/>
  <c r="J320" i="5" s="1"/>
  <c r="F320" i="5"/>
  <c r="Q319" i="5"/>
  <c r="I319" i="5"/>
  <c r="H319" i="5"/>
  <c r="J319" i="5" s="1"/>
  <c r="F319" i="5"/>
  <c r="Q318" i="5"/>
  <c r="I318" i="5"/>
  <c r="H318" i="5"/>
  <c r="J318" i="5" s="1"/>
  <c r="F318" i="5"/>
  <c r="Q317" i="5"/>
  <c r="I317" i="5"/>
  <c r="H317" i="5"/>
  <c r="J317" i="5" s="1"/>
  <c r="F317" i="5"/>
  <c r="Q316" i="5"/>
  <c r="I316" i="5"/>
  <c r="H316" i="5"/>
  <c r="J316" i="5" s="1"/>
  <c r="F316" i="5"/>
  <c r="Q315" i="5"/>
  <c r="I315" i="5"/>
  <c r="H315" i="5"/>
  <c r="J315" i="5" s="1"/>
  <c r="F315" i="5"/>
  <c r="Q314" i="5"/>
  <c r="I314" i="5"/>
  <c r="H314" i="5"/>
  <c r="J314" i="5" s="1"/>
  <c r="F314" i="5"/>
  <c r="Q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J506" i="4" s="1"/>
  <c r="F506" i="4"/>
  <c r="Q505" i="4"/>
  <c r="K505" i="4"/>
  <c r="I505" i="4"/>
  <c r="H505" i="4"/>
  <c r="J505" i="4" s="1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492" i="4" l="1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<sst xmlns="http://schemas.openxmlformats.org/spreadsheetml/2006/main" count="8527" uniqueCount="395">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</sst>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3" fillId="12" borderId="3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5" t="s">
        <v>0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</row>
    <row r="2" spans="1:12" ht="30" customHeight="1">
      <c r="A2" s="156"/>
      <c r="B2" s="156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7" t="s">
        <v>16</v>
      </c>
      <c r="B35" s="157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58" t="s">
        <v>17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9"/>
      <c r="N1" s="160" t="s">
        <v>18</v>
      </c>
      <c r="O1" s="160"/>
      <c r="P1" s="160"/>
      <c r="Q1" s="160"/>
      <c r="R1" s="160"/>
    </row>
    <row r="2" spans="1:18" ht="4.5" customHeight="1">
      <c r="M2" s="159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59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59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59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59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59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59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59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59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59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59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59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59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59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59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59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59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59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59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59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59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59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59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59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59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59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59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59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59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59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59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59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59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59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59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59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59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59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59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59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59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59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59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59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59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59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59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59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59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59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59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59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59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59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59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59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59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59"/>
      <c r="N59" s="40"/>
      <c r="O59" s="40"/>
      <c r="P59" s="40" t="s">
        <v>222</v>
      </c>
      <c r="Q59" s="40"/>
      <c r="R59" s="40"/>
    </row>
    <row r="60" spans="1:18" ht="15" customHeight="1">
      <c r="M60" s="159"/>
      <c r="N60" s="37"/>
      <c r="O60" s="37"/>
      <c r="P60" s="53" t="s">
        <v>114</v>
      </c>
      <c r="Q60" s="37"/>
      <c r="R60" s="37"/>
    </row>
    <row r="61" spans="1:18" ht="15" customHeight="1">
      <c r="M61" s="159"/>
      <c r="N61" s="40"/>
      <c r="O61" s="40"/>
      <c r="P61" s="40" t="s">
        <v>223</v>
      </c>
      <c r="Q61" s="40"/>
      <c r="R61" s="40"/>
    </row>
    <row r="62" spans="1:18" ht="15" customHeight="1">
      <c r="M62" s="159"/>
      <c r="N62" s="37"/>
      <c r="O62" s="37"/>
      <c r="P62" s="37" t="s">
        <v>224</v>
      </c>
      <c r="Q62" s="37"/>
      <c r="R62" s="37"/>
    </row>
    <row r="63" spans="1:18" ht="15" customHeight="1">
      <c r="M63" s="159"/>
      <c r="N63" s="40"/>
      <c r="O63" s="40"/>
      <c r="P63" s="40" t="s">
        <v>225</v>
      </c>
      <c r="Q63" s="40"/>
      <c r="R63" s="40"/>
    </row>
    <row r="64" spans="1:18" ht="15" customHeight="1">
      <c r="M64" s="159"/>
      <c r="N64" s="37"/>
      <c r="O64" s="37"/>
      <c r="P64" s="37" t="s">
        <v>226</v>
      </c>
      <c r="Q64" s="37"/>
      <c r="R64" s="37"/>
    </row>
    <row r="65" spans="13:18" ht="15" customHeight="1">
      <c r="M65" s="159"/>
      <c r="N65" s="40"/>
      <c r="O65" s="40"/>
      <c r="P65" s="40" t="s">
        <v>227</v>
      </c>
      <c r="Q65" s="40"/>
      <c r="R65" s="40"/>
    </row>
    <row r="66" spans="13:18" ht="15" customHeight="1">
      <c r="M66" s="159"/>
      <c r="N66" s="37"/>
      <c r="O66" s="37"/>
      <c r="P66" s="37" t="s">
        <v>228</v>
      </c>
      <c r="Q66" s="37"/>
      <c r="R66" s="37"/>
    </row>
    <row r="67" spans="13:18" ht="15" customHeight="1">
      <c r="M67" s="159"/>
      <c r="N67" s="40"/>
      <c r="O67" s="40"/>
      <c r="P67" s="40" t="s">
        <v>229</v>
      </c>
      <c r="Q67" s="40"/>
      <c r="R67" s="40"/>
    </row>
    <row r="68" spans="13:18" ht="15" customHeight="1">
      <c r="M68" s="159"/>
      <c r="N68" s="37"/>
      <c r="O68" s="37"/>
      <c r="P68" s="37" t="s">
        <v>230</v>
      </c>
      <c r="Q68" s="37"/>
      <c r="R68" s="37"/>
    </row>
    <row r="69" spans="13:18" ht="15" customHeight="1">
      <c r="M69" s="159"/>
      <c r="N69" s="40"/>
      <c r="O69" s="40"/>
      <c r="P69" s="40" t="s">
        <v>231</v>
      </c>
      <c r="Q69" s="40"/>
      <c r="R69" s="40"/>
    </row>
    <row r="70" spans="13:18" ht="15" customHeight="1">
      <c r="M70" s="159"/>
      <c r="N70" s="37"/>
      <c r="O70" s="37"/>
      <c r="P70" s="37" t="s">
        <v>232</v>
      </c>
      <c r="Q70" s="37"/>
      <c r="R70" s="37"/>
    </row>
    <row r="71" spans="13:18" ht="15" customHeight="1">
      <c r="M71" s="159"/>
      <c r="N71" s="40"/>
      <c r="O71" s="40"/>
      <c r="P71" s="40" t="s">
        <v>233</v>
      </c>
      <c r="Q71" s="40"/>
      <c r="R71" s="40"/>
    </row>
    <row r="72" spans="13:18" ht="15" customHeight="1">
      <c r="M72" s="159"/>
      <c r="N72" s="37"/>
      <c r="O72" s="37"/>
      <c r="P72" s="37" t="s">
        <v>234</v>
      </c>
      <c r="Q72" s="37"/>
      <c r="R72" s="37"/>
    </row>
    <row r="73" spans="13:18" ht="15" customHeight="1">
      <c r="M73" s="159"/>
      <c r="N73" s="40"/>
      <c r="O73" s="40"/>
      <c r="P73" s="40" t="s">
        <v>235</v>
      </c>
      <c r="Q73" s="40"/>
      <c r="R73" s="40"/>
    </row>
    <row r="74" spans="13:18" ht="15" customHeight="1">
      <c r="M74" s="159"/>
      <c r="N74" s="37"/>
      <c r="O74" s="37"/>
      <c r="P74" s="37" t="s">
        <v>236</v>
      </c>
      <c r="Q74" s="37"/>
      <c r="R74" s="37"/>
    </row>
    <row r="75" spans="13:18" ht="15" customHeight="1">
      <c r="M75" s="159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1" t="s">
        <v>249</v>
      </c>
      <c r="B4" s="161"/>
      <c r="C4" s="161"/>
      <c r="D4" s="161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1" t="s">
        <v>249</v>
      </c>
      <c r="B7" s="161"/>
      <c r="C7" s="161"/>
      <c r="D7" s="161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1" t="s">
        <v>249</v>
      </c>
      <c r="B10" s="161"/>
      <c r="C10" s="161"/>
      <c r="D10" s="161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1" t="s">
        <v>249</v>
      </c>
      <c r="B13" s="161"/>
      <c r="C13" s="161"/>
      <c r="D13" s="161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1" t="s">
        <v>249</v>
      </c>
      <c r="B16" s="161"/>
      <c r="C16" s="161"/>
      <c r="D16" s="161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1" t="s">
        <v>249</v>
      </c>
      <c r="B19" s="161"/>
      <c r="C19" s="161"/>
      <c r="D19" s="161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1" t="s">
        <v>249</v>
      </c>
      <c r="B22" s="161"/>
      <c r="C22" s="161"/>
      <c r="D22" s="161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1" t="s">
        <v>249</v>
      </c>
      <c r="B25" s="161"/>
      <c r="C25" s="161"/>
      <c r="D25" s="161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1" t="s">
        <v>249</v>
      </c>
      <c r="B28" s="161"/>
      <c r="C28" s="161"/>
      <c r="D28" s="161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1" t="s">
        <v>249</v>
      </c>
      <c r="B31" s="161"/>
      <c r="C31" s="161"/>
      <c r="D31" s="161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1" t="s">
        <v>249</v>
      </c>
      <c r="B34" s="161"/>
      <c r="C34" s="161"/>
      <c r="D34" s="161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1" t="s">
        <v>249</v>
      </c>
      <c r="B37" s="161"/>
      <c r="C37" s="161"/>
      <c r="D37" s="161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1" t="s">
        <v>249</v>
      </c>
      <c r="B40" s="161"/>
      <c r="C40" s="161"/>
      <c r="D40" s="161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1" t="s">
        <v>249</v>
      </c>
      <c r="B43" s="161"/>
      <c r="C43" s="161"/>
      <c r="D43" s="161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1" t="s">
        <v>249</v>
      </c>
      <c r="B46" s="161"/>
      <c r="C46" s="161"/>
      <c r="D46" s="161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1" t="s">
        <v>249</v>
      </c>
      <c r="B49" s="161"/>
      <c r="C49" s="161"/>
      <c r="D49" s="161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1" t="s">
        <v>249</v>
      </c>
      <c r="B52" s="161"/>
      <c r="C52" s="161"/>
      <c r="D52" s="161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1" t="s">
        <v>249</v>
      </c>
      <c r="B55" s="161"/>
      <c r="C55" s="161"/>
      <c r="D55" s="161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1" t="s">
        <v>249</v>
      </c>
      <c r="B58" s="161"/>
      <c r="C58" s="161"/>
      <c r="D58" s="161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1" t="s">
        <v>249</v>
      </c>
      <c r="B61" s="161"/>
      <c r="C61" s="161"/>
      <c r="D61" s="161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1" t="s">
        <v>249</v>
      </c>
      <c r="B64" s="161"/>
      <c r="C64" s="161"/>
      <c r="D64" s="161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1" t="s">
        <v>249</v>
      </c>
      <c r="B67" s="161"/>
      <c r="C67" s="161"/>
      <c r="D67" s="161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1" t="s">
        <v>249</v>
      </c>
      <c r="B70" s="161"/>
      <c r="C70" s="161"/>
      <c r="D70" s="161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1" t="s">
        <v>249</v>
      </c>
      <c r="B73" s="161"/>
      <c r="C73" s="161"/>
      <c r="D73" s="161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1" t="s">
        <v>249</v>
      </c>
      <c r="B76" s="161"/>
      <c r="C76" s="161"/>
      <c r="D76" s="161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1" t="s">
        <v>249</v>
      </c>
      <c r="B79" s="161"/>
      <c r="C79" s="161"/>
      <c r="D79" s="161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1" t="s">
        <v>249</v>
      </c>
      <c r="B82" s="161"/>
      <c r="C82" s="161"/>
      <c r="D82" s="161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1" t="s">
        <v>249</v>
      </c>
      <c r="B85" s="161"/>
      <c r="C85" s="161"/>
      <c r="D85" s="161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1" t="s">
        <v>249</v>
      </c>
      <c r="B88" s="161"/>
      <c r="C88" s="161"/>
      <c r="D88" s="161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1" t="s">
        <v>249</v>
      </c>
      <c r="B91" s="161"/>
      <c r="C91" s="161"/>
      <c r="D91" s="161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1" t="s">
        <v>249</v>
      </c>
      <c r="B94" s="161"/>
      <c r="C94" s="161"/>
      <c r="D94" s="161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78" activePane="bottomLeft" state="frozen"/>
      <selection pane="bottomLeft" activeCell="E502" sqref="E502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2" t="s">
        <v>260</v>
      </c>
      <c r="B14" s="162"/>
      <c r="C14" s="162"/>
      <c r="D14" s="162"/>
      <c r="E14" s="162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2" t="s">
        <v>263</v>
      </c>
      <c r="B27" s="162"/>
      <c r="C27" s="162"/>
      <c r="D27" s="162"/>
      <c r="E27" s="162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3" t="s">
        <v>249</v>
      </c>
      <c r="B28" s="163"/>
      <c r="C28" s="163"/>
      <c r="D28" s="163"/>
      <c r="E28" s="163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2" t="s">
        <v>260</v>
      </c>
      <c r="B41" s="162"/>
      <c r="C41" s="162"/>
      <c r="D41" s="162"/>
      <c r="E41" s="162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2" t="s">
        <v>263</v>
      </c>
      <c r="B54" s="162"/>
      <c r="C54" s="162"/>
      <c r="D54" s="162"/>
      <c r="E54" s="162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3" t="s">
        <v>249</v>
      </c>
      <c r="B55" s="163"/>
      <c r="C55" s="163"/>
      <c r="D55" s="163"/>
      <c r="E55" s="163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2" t="s">
        <v>260</v>
      </c>
      <c r="B68" s="162"/>
      <c r="C68" s="162"/>
      <c r="D68" s="162"/>
      <c r="E68" s="162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2" t="s">
        <v>263</v>
      </c>
      <c r="B81" s="162"/>
      <c r="C81" s="162"/>
      <c r="D81" s="162"/>
      <c r="E81" s="162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3" t="s">
        <v>249</v>
      </c>
      <c r="B82" s="163"/>
      <c r="C82" s="163"/>
      <c r="D82" s="163"/>
      <c r="E82" s="163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2" t="s">
        <v>260</v>
      </c>
      <c r="B95" s="162"/>
      <c r="C95" s="162"/>
      <c r="D95" s="162"/>
      <c r="E95" s="162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2" t="s">
        <v>263</v>
      </c>
      <c r="B108" s="162"/>
      <c r="C108" s="162"/>
      <c r="D108" s="162"/>
      <c r="E108" s="162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3" t="s">
        <v>249</v>
      </c>
      <c r="B109" s="163"/>
      <c r="C109" s="163"/>
      <c r="D109" s="163"/>
      <c r="E109" s="163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2" t="s">
        <v>260</v>
      </c>
      <c r="B122" s="162"/>
      <c r="C122" s="162"/>
      <c r="D122" s="162"/>
      <c r="E122" s="162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2" t="s">
        <v>263</v>
      </c>
      <c r="B135" s="162"/>
      <c r="C135" s="162"/>
      <c r="D135" s="162"/>
      <c r="E135" s="162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3" t="s">
        <v>249</v>
      </c>
      <c r="B136" s="163"/>
      <c r="C136" s="163"/>
      <c r="D136" s="163"/>
      <c r="E136" s="163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2" t="s">
        <v>260</v>
      </c>
      <c r="B149" s="162"/>
      <c r="C149" s="162"/>
      <c r="D149" s="162"/>
      <c r="E149" s="162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2" t="s">
        <v>263</v>
      </c>
      <c r="B162" s="162"/>
      <c r="C162" s="162"/>
      <c r="D162" s="162"/>
      <c r="E162" s="162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3" t="s">
        <v>249</v>
      </c>
      <c r="B163" s="163"/>
      <c r="C163" s="163"/>
      <c r="D163" s="163"/>
      <c r="E163" s="163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2" t="s">
        <v>260</v>
      </c>
      <c r="B176" s="162"/>
      <c r="C176" s="162"/>
      <c r="D176" s="162"/>
      <c r="E176" s="162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2" t="s">
        <v>263</v>
      </c>
      <c r="B189" s="162"/>
      <c r="C189" s="162"/>
      <c r="D189" s="162"/>
      <c r="E189" s="162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3" t="s">
        <v>249</v>
      </c>
      <c r="B190" s="163"/>
      <c r="C190" s="163"/>
      <c r="D190" s="163"/>
      <c r="E190" s="163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2" t="s">
        <v>260</v>
      </c>
      <c r="B203" s="162"/>
      <c r="C203" s="162"/>
      <c r="D203" s="162"/>
      <c r="E203" s="162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2" t="s">
        <v>263</v>
      </c>
      <c r="B216" s="162"/>
      <c r="C216" s="162"/>
      <c r="D216" s="162"/>
      <c r="E216" s="162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3" t="s">
        <v>249</v>
      </c>
      <c r="B217" s="163"/>
      <c r="C217" s="163"/>
      <c r="D217" s="163"/>
      <c r="E217" s="163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2" t="s">
        <v>260</v>
      </c>
      <c r="B230" s="162"/>
      <c r="C230" s="162"/>
      <c r="D230" s="162"/>
      <c r="E230" s="162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2" t="s">
        <v>263</v>
      </c>
      <c r="B243" s="162"/>
      <c r="C243" s="162"/>
      <c r="D243" s="162"/>
      <c r="E243" s="162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3" t="s">
        <v>249</v>
      </c>
      <c r="B244" s="163"/>
      <c r="C244" s="163"/>
      <c r="D244" s="163"/>
      <c r="E244" s="163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2" t="s">
        <v>260</v>
      </c>
      <c r="B257" s="162"/>
      <c r="C257" s="162"/>
      <c r="D257" s="162"/>
      <c r="E257" s="162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2" t="s">
        <v>263</v>
      </c>
      <c r="B270" s="162"/>
      <c r="C270" s="162"/>
      <c r="D270" s="162"/>
      <c r="E270" s="162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3" t="s">
        <v>249</v>
      </c>
      <c r="B271" s="163"/>
      <c r="C271" s="163"/>
      <c r="D271" s="163"/>
      <c r="E271" s="163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2" t="s">
        <v>260</v>
      </c>
      <c r="B284" s="162"/>
      <c r="C284" s="162"/>
      <c r="D284" s="162"/>
      <c r="E284" s="162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2" t="s">
        <v>263</v>
      </c>
      <c r="B297" s="162"/>
      <c r="C297" s="162"/>
      <c r="D297" s="162"/>
      <c r="E297" s="162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3" t="s">
        <v>249</v>
      </c>
      <c r="B298" s="163"/>
      <c r="C298" s="163"/>
      <c r="D298" s="163"/>
      <c r="E298" s="163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2" t="s">
        <v>260</v>
      </c>
      <c r="B311" s="162"/>
      <c r="C311" s="162"/>
      <c r="D311" s="162"/>
      <c r="E311" s="162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2" t="s">
        <v>263</v>
      </c>
      <c r="B324" s="162"/>
      <c r="C324" s="162"/>
      <c r="D324" s="162"/>
      <c r="E324" s="162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3" t="s">
        <v>249</v>
      </c>
      <c r="B325" s="163"/>
      <c r="C325" s="163"/>
      <c r="D325" s="163"/>
      <c r="E325" s="163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2" t="s">
        <v>260</v>
      </c>
      <c r="B338" s="162"/>
      <c r="C338" s="162"/>
      <c r="D338" s="162"/>
      <c r="E338" s="162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2" t="s">
        <v>263</v>
      </c>
      <c r="B351" s="162"/>
      <c r="C351" s="162"/>
      <c r="D351" s="162"/>
      <c r="E351" s="162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3" t="s">
        <v>249</v>
      </c>
      <c r="B352" s="163"/>
      <c r="C352" s="163"/>
      <c r="D352" s="163"/>
      <c r="E352" s="163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2" t="s">
        <v>260</v>
      </c>
      <c r="B365" s="162"/>
      <c r="C365" s="162"/>
      <c r="D365" s="162"/>
      <c r="E365" s="162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2" t="s">
        <v>263</v>
      </c>
      <c r="B378" s="162"/>
      <c r="C378" s="162"/>
      <c r="D378" s="162"/>
      <c r="E378" s="162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3" t="s">
        <v>249</v>
      </c>
      <c r="B379" s="163"/>
      <c r="C379" s="163"/>
      <c r="D379" s="163"/>
      <c r="E379" s="163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2" t="s">
        <v>260</v>
      </c>
      <c r="B392" s="162"/>
      <c r="C392" s="162"/>
      <c r="D392" s="162"/>
      <c r="E392" s="162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2" t="s">
        <v>263</v>
      </c>
      <c r="B405" s="162"/>
      <c r="C405" s="162"/>
      <c r="D405" s="162"/>
      <c r="E405" s="162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3" t="s">
        <v>249</v>
      </c>
      <c r="B406" s="163"/>
      <c r="C406" s="163"/>
      <c r="D406" s="163"/>
      <c r="E406" s="163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2" t="s">
        <v>260</v>
      </c>
      <c r="B419" s="162"/>
      <c r="C419" s="162"/>
      <c r="D419" s="162"/>
      <c r="E419" s="162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2" t="s">
        <v>263</v>
      </c>
      <c r="B432" s="162"/>
      <c r="C432" s="162"/>
      <c r="D432" s="162"/>
      <c r="E432" s="162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3" t="s">
        <v>249</v>
      </c>
      <c r="B433" s="163"/>
      <c r="C433" s="163"/>
      <c r="D433" s="163"/>
      <c r="E433" s="163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2" t="s">
        <v>260</v>
      </c>
      <c r="B446" s="162"/>
      <c r="C446" s="162"/>
      <c r="D446" s="162"/>
      <c r="E446" s="162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2" t="s">
        <v>263</v>
      </c>
      <c r="B459" s="162"/>
      <c r="C459" s="162"/>
      <c r="D459" s="162"/>
      <c r="E459" s="162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3" t="s">
        <v>249</v>
      </c>
      <c r="B460" s="163"/>
      <c r="C460" s="163"/>
      <c r="D460" s="163"/>
      <c r="E460" s="163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2" t="s">
        <v>260</v>
      </c>
      <c r="B473" s="162"/>
      <c r="C473" s="162"/>
      <c r="D473" s="162"/>
      <c r="E473" s="162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2" t="s">
        <v>263</v>
      </c>
      <c r="B486" s="162"/>
      <c r="C486" s="162"/>
      <c r="D486" s="162"/>
      <c r="E486" s="162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3" t="s">
        <v>249</v>
      </c>
      <c r="B487" s="163"/>
      <c r="C487" s="163"/>
      <c r="D487" s="163"/>
      <c r="E487" s="163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64" t="s">
        <v>28</v>
      </c>
      <c r="I489" s="164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64"/>
      <c r="I491" s="164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2" t="s">
        <v>260</v>
      </c>
      <c r="B500" s="162"/>
      <c r="C500" s="162"/>
      <c r="D500" s="162"/>
      <c r="E500" s="162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/>
      <c r="I501" s="70"/>
      <c r="J501" s="70"/>
      <c r="K501" s="65"/>
      <c r="L501" s="65"/>
      <c r="M501" s="71" t="str">
        <f t="shared" ref="M501:M512" ca="1" si="108">IFERROR(IF(K501="","",IF(L501="",MOD(NOW()-K501,1),IF(L501&gt;=K501,L501-K501,L501+1-K501))),"")</f>
        <v/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/>
      <c r="E503" s="75"/>
      <c r="F503" s="63"/>
      <c r="G503" s="69" t="str">
        <f t="shared" si="107"/>
        <v/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/>
      <c r="E504" s="75"/>
      <c r="F504" s="63"/>
      <c r="G504" s="64" t="str">
        <f t="shared" si="107"/>
        <v/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/>
      <c r="E505" s="75"/>
      <c r="F505" s="63"/>
      <c r="G505" s="69" t="str">
        <f t="shared" si="107"/>
        <v/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/>
      <c r="E506" s="75"/>
      <c r="F506" s="63"/>
      <c r="G506" s="64" t="str">
        <f t="shared" si="107"/>
        <v/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/>
      <c r="E507" s="75"/>
      <c r="F507" s="63"/>
      <c r="G507" s="69" t="str">
        <f t="shared" si="107"/>
        <v/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/>
      <c r="E508" s="75"/>
      <c r="F508" s="63"/>
      <c r="G508" s="64" t="str">
        <f t="shared" si="107"/>
        <v/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2" t="s">
        <v>263</v>
      </c>
      <c r="B513" s="162"/>
      <c r="C513" s="162"/>
      <c r="D513" s="162"/>
      <c r="E513" s="162"/>
      <c r="F513" s="2">
        <f>SUM(F501:F512)</f>
        <v>83</v>
      </c>
      <c r="G513" s="2">
        <f>SUM(G501:G512)</f>
        <v>415</v>
      </c>
      <c r="H513" s="72"/>
      <c r="I513" s="72"/>
      <c r="J513" s="72"/>
      <c r="K513" s="72"/>
      <c r="L513" s="72"/>
      <c r="M513" s="73">
        <f ca="1">IFERROR(SUM(M501:M512),"")</f>
        <v>0</v>
      </c>
      <c r="N513" s="2" t="s">
        <v>261</v>
      </c>
      <c r="O513" s="74"/>
    </row>
    <row r="514" spans="1:15" ht="18" customHeight="1">
      <c r="A514" s="163" t="s">
        <v>249</v>
      </c>
      <c r="B514" s="163"/>
      <c r="C514" s="163"/>
      <c r="D514" s="163"/>
      <c r="E514" s="163"/>
      <c r="F514" s="1">
        <f>F500+F513</f>
        <v>365</v>
      </c>
      <c r="G514" s="1">
        <f>G500+G513</f>
        <v>1825</v>
      </c>
      <c r="H514" s="76"/>
      <c r="I514" s="76"/>
      <c r="J514" s="76"/>
      <c r="K514" s="76"/>
      <c r="L514" s="76"/>
      <c r="M514" s="77">
        <f ca="1">IFERROR(M500+M513,"")</f>
        <v>0.11180555555555566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2" t="s">
        <v>260</v>
      </c>
      <c r="B527" s="162"/>
      <c r="C527" s="162"/>
      <c r="D527" s="162"/>
      <c r="E527" s="162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2" t="s">
        <v>263</v>
      </c>
      <c r="B540" s="162"/>
      <c r="C540" s="162"/>
      <c r="D540" s="162"/>
      <c r="E540" s="162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3" t="s">
        <v>249</v>
      </c>
      <c r="B541" s="163"/>
      <c r="C541" s="163"/>
      <c r="D541" s="163"/>
      <c r="E541" s="163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2" t="s">
        <v>260</v>
      </c>
      <c r="B554" s="162"/>
      <c r="C554" s="162"/>
      <c r="D554" s="162"/>
      <c r="E554" s="162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2" t="s">
        <v>263</v>
      </c>
      <c r="B567" s="162"/>
      <c r="C567" s="162"/>
      <c r="D567" s="162"/>
      <c r="E567" s="162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3" t="s">
        <v>249</v>
      </c>
      <c r="B568" s="163"/>
      <c r="C568" s="163"/>
      <c r="D568" s="163"/>
      <c r="E568" s="163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2" t="s">
        <v>260</v>
      </c>
      <c r="B581" s="162"/>
      <c r="C581" s="162"/>
      <c r="D581" s="162"/>
      <c r="E581" s="162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2" t="s">
        <v>263</v>
      </c>
      <c r="B594" s="162"/>
      <c r="C594" s="162"/>
      <c r="D594" s="162"/>
      <c r="E594" s="162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3" t="s">
        <v>249</v>
      </c>
      <c r="B595" s="163"/>
      <c r="C595" s="163"/>
      <c r="D595" s="163"/>
      <c r="E595" s="163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2" t="s">
        <v>260</v>
      </c>
      <c r="B608" s="162"/>
      <c r="C608" s="162"/>
      <c r="D608" s="162"/>
      <c r="E608" s="162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2" t="s">
        <v>263</v>
      </c>
      <c r="B621" s="162"/>
      <c r="C621" s="162"/>
      <c r="D621" s="162"/>
      <c r="E621" s="162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3" t="s">
        <v>249</v>
      </c>
      <c r="B622" s="163"/>
      <c r="C622" s="163"/>
      <c r="D622" s="163"/>
      <c r="E622" s="163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2" t="s">
        <v>260</v>
      </c>
      <c r="B635" s="162"/>
      <c r="C635" s="162"/>
      <c r="D635" s="162"/>
      <c r="E635" s="162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2" t="s">
        <v>263</v>
      </c>
      <c r="B648" s="162"/>
      <c r="C648" s="162"/>
      <c r="D648" s="162"/>
      <c r="E648" s="162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3" t="s">
        <v>249</v>
      </c>
      <c r="B649" s="163"/>
      <c r="C649" s="163"/>
      <c r="D649" s="163"/>
      <c r="E649" s="163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2" t="s">
        <v>260</v>
      </c>
      <c r="B662" s="162"/>
      <c r="C662" s="162"/>
      <c r="D662" s="162"/>
      <c r="E662" s="162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2" t="s">
        <v>263</v>
      </c>
      <c r="B675" s="162"/>
      <c r="C675" s="162"/>
      <c r="D675" s="162"/>
      <c r="E675" s="162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3" t="s">
        <v>249</v>
      </c>
      <c r="B676" s="163"/>
      <c r="C676" s="163"/>
      <c r="D676" s="163"/>
      <c r="E676" s="163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2" t="s">
        <v>260</v>
      </c>
      <c r="B689" s="162"/>
      <c r="C689" s="162"/>
      <c r="D689" s="162"/>
      <c r="E689" s="162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2" t="s">
        <v>263</v>
      </c>
      <c r="B702" s="162"/>
      <c r="C702" s="162"/>
      <c r="D702" s="162"/>
      <c r="E702" s="162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3" t="s">
        <v>249</v>
      </c>
      <c r="B703" s="163"/>
      <c r="C703" s="163"/>
      <c r="D703" s="163"/>
      <c r="E703" s="163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2" t="s">
        <v>260</v>
      </c>
      <c r="B716" s="162"/>
      <c r="C716" s="162"/>
      <c r="D716" s="162"/>
      <c r="E716" s="162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2" t="s">
        <v>263</v>
      </c>
      <c r="B729" s="162"/>
      <c r="C729" s="162"/>
      <c r="D729" s="162"/>
      <c r="E729" s="162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3" t="s">
        <v>249</v>
      </c>
      <c r="B730" s="163"/>
      <c r="C730" s="163"/>
      <c r="D730" s="163"/>
      <c r="E730" s="163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2" t="s">
        <v>260</v>
      </c>
      <c r="B743" s="162"/>
      <c r="C743" s="162"/>
      <c r="D743" s="162"/>
      <c r="E743" s="162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2" t="s">
        <v>263</v>
      </c>
      <c r="B756" s="162"/>
      <c r="C756" s="162"/>
      <c r="D756" s="162"/>
      <c r="E756" s="162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3" t="s">
        <v>249</v>
      </c>
      <c r="B757" s="163"/>
      <c r="C757" s="163"/>
      <c r="D757" s="163"/>
      <c r="E757" s="163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2" t="s">
        <v>260</v>
      </c>
      <c r="B770" s="162"/>
      <c r="C770" s="162"/>
      <c r="D770" s="162"/>
      <c r="E770" s="162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2" t="s">
        <v>263</v>
      </c>
      <c r="B783" s="162"/>
      <c r="C783" s="162"/>
      <c r="D783" s="162"/>
      <c r="E783" s="162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3" t="s">
        <v>249</v>
      </c>
      <c r="B784" s="163"/>
      <c r="C784" s="163"/>
      <c r="D784" s="163"/>
      <c r="E784" s="163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2" t="s">
        <v>260</v>
      </c>
      <c r="B797" s="162"/>
      <c r="C797" s="162"/>
      <c r="D797" s="162"/>
      <c r="E797" s="162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2" t="s">
        <v>263</v>
      </c>
      <c r="B810" s="162"/>
      <c r="C810" s="162"/>
      <c r="D810" s="162"/>
      <c r="E810" s="162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3" t="s">
        <v>249</v>
      </c>
      <c r="B811" s="163"/>
      <c r="C811" s="163"/>
      <c r="D811" s="163"/>
      <c r="E811" s="163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2" t="s">
        <v>260</v>
      </c>
      <c r="B824" s="162"/>
      <c r="C824" s="162"/>
      <c r="D824" s="162"/>
      <c r="E824" s="162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2" t="s">
        <v>263</v>
      </c>
      <c r="B837" s="162"/>
      <c r="C837" s="162"/>
      <c r="D837" s="162"/>
      <c r="E837" s="162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3" t="s">
        <v>249</v>
      </c>
      <c r="B838" s="163"/>
      <c r="C838" s="163"/>
      <c r="D838" s="163"/>
      <c r="E838" s="163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1" activePane="bottomLeft" state="frozen"/>
      <selection pane="bottomLeft" activeCell="N501" sqref="N50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0.76795891203073552</v>
      </c>
      <c r="R53" s="80" t="s">
        <v>304</v>
      </c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0.90684780091962325</v>
      </c>
      <c r="R54" s="2" t="s">
        <v>261</v>
      </c>
      <c r="S54" s="113">
        <v>352430</v>
      </c>
      <c r="T54" s="114"/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0.99157002314184606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/>
      <c r="P501" s="65"/>
      <c r="Q501" s="71" t="str">
        <f t="shared" ref="Q501:Q512" ca="1" si="128">IFERROR(IF(O501="","",IF(P501="",MOD(NOW()-O501,1),IF(P501&gt;=O501,P501-O501,P501+1-O501))),"")</f>
        <v/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/>
      <c r="M502" s="61"/>
      <c r="N502" s="61"/>
      <c r="O502" s="65"/>
      <c r="P502" s="65"/>
      <c r="Q502" s="66" t="str">
        <f t="shared" ca="1" si="128"/>
        <v/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19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79.800000000000011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161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685</v>
      </c>
      <c r="L514" s="76"/>
      <c r="M514" s="76"/>
      <c r="N514" s="76"/>
      <c r="O514" s="76"/>
      <c r="P514" s="76"/>
      <c r="Q514" s="77">
        <f ca="1">IFERROR(Q500+Q513,"")</f>
        <v>9.1666666666666619E-2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E502" sqref="E50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4" t="s">
        <v>260</v>
      </c>
      <c r="B149" s="154"/>
      <c r="C149" s="154"/>
      <c r="D149" s="154"/>
      <c r="E149" s="15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4" t="s">
        <v>260</v>
      </c>
      <c r="B365" s="154"/>
      <c r="C365" s="154"/>
      <c r="D365" s="154"/>
      <c r="E365" s="15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/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/>
      <c r="M501" s="70"/>
      <c r="N501" s="70"/>
      <c r="O501" s="65"/>
      <c r="P501" s="65"/>
      <c r="Q501" s="71" t="str">
        <f t="shared" ref="Q501:Q512" ca="1" si="125">IFERROR(IF(O501="","",IF(P501="",MOD(NOW()-O501,1),IF(P501&gt;=O501,P501-O501,P501+1-O501))),"")</f>
        <v/>
      </c>
      <c r="R501" s="63"/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/>
      <c r="E502" s="100" t="s">
        <v>274</v>
      </c>
      <c r="F502" s="88" t="str">
        <f>IFERROR(IF($D502="","",VLOOKUP($D502,Cadastro!$C$4:$E$7,3,FALSE())),"")</f>
        <v/>
      </c>
      <c r="G502" s="89">
        <v>9</v>
      </c>
      <c r="H502" s="88">
        <f>IFERROR(IF($G502="","",$G502*$S$513/$G$513/Cadastro!$E$33),"")</f>
        <v>0</v>
      </c>
      <c r="I502" s="90" t="str">
        <f>IFERROR(IF($D502="","",VLOOKUP($D502,Cadastro!$C$4:$G$7,5,FALSE())),"")</f>
        <v/>
      </c>
      <c r="J502" s="91" t="str">
        <f t="shared" si="123"/>
        <v/>
      </c>
      <c r="K502" s="64">
        <f t="shared" si="124"/>
        <v>37.800000000000004</v>
      </c>
      <c r="L502" s="61"/>
      <c r="M502" s="61"/>
      <c r="N502" s="61"/>
      <c r="O502" s="65"/>
      <c r="P502" s="65"/>
      <c r="Q502" s="66" t="str">
        <f t="shared" ca="1" si="125"/>
        <v/>
      </c>
      <c r="R502" s="63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/>
      <c r="E503" s="100"/>
      <c r="F503" s="88" t="str">
        <f>IFERROR(IF($D503="","",VLOOKUP($D503,Cadastro!$C$4:$E$7,3,FALSE())),"")</f>
        <v/>
      </c>
      <c r="G503" s="89"/>
      <c r="H503" s="88" t="str">
        <f>IFERROR(IF($G503="","",$G503*$S$513/$G$513/Cadastro!$E$33),"")</f>
        <v/>
      </c>
      <c r="I503" s="90" t="str">
        <f>IFERROR(IF($D503="","",VLOOKUP($D503,Cadastro!$C$4:$G$7,5,FALSE())),"")</f>
        <v/>
      </c>
      <c r="J503" s="91" t="str">
        <f t="shared" si="123"/>
        <v/>
      </c>
      <c r="K503" s="69" t="str">
        <f t="shared" si="124"/>
        <v/>
      </c>
      <c r="L503" s="70"/>
      <c r="M503" s="70"/>
      <c r="N503" s="70"/>
      <c r="O503" s="65"/>
      <c r="P503" s="65"/>
      <c r="Q503" s="71" t="str">
        <f t="shared" ca="1" si="125"/>
        <v/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/>
      <c r="E504" s="100"/>
      <c r="F504" s="88" t="str">
        <f>IFERROR(IF($D504="","",VLOOKUP($D504,Cadastro!$C$4:$E$7,3,FALSE())),"")</f>
        <v/>
      </c>
      <c r="G504" s="89"/>
      <c r="H504" s="88" t="str">
        <f>IFERROR(IF($G504="","",$G504*$S$513/$G$513/Cadastro!$E$33),"")</f>
        <v/>
      </c>
      <c r="I504" s="90" t="str">
        <f>IFERROR(IF($D504="","",VLOOKUP($D504,Cadastro!$C$4:$G$7,5,FALSE())),"")</f>
        <v/>
      </c>
      <c r="J504" s="91" t="str">
        <f t="shared" si="123"/>
        <v/>
      </c>
      <c r="K504" s="64" t="str">
        <f t="shared" si="124"/>
        <v/>
      </c>
      <c r="L504" s="61"/>
      <c r="M504" s="61"/>
      <c r="N504" s="61"/>
      <c r="O504" s="65"/>
      <c r="P504" s="65"/>
      <c r="Q504" s="66" t="str">
        <f t="shared" ca="1" si="125"/>
        <v/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/>
      <c r="E505" s="100"/>
      <c r="F505" s="88" t="str">
        <f>IFERROR(IF($D505="","",VLOOKUP($D505,Cadastro!$C$4:$E$7,3,FALSE())),"")</f>
        <v/>
      </c>
      <c r="G505" s="89"/>
      <c r="H505" s="88" t="str">
        <f>IFERROR(IF($G505="","",$G505*$S$513/$G$513/Cadastro!$E$33),"")</f>
        <v/>
      </c>
      <c r="I505" s="90" t="str">
        <f>IFERROR(IF($D505="","",VLOOKUP($D505,Cadastro!$C$4:$G$7,5,FALSE())),"")</f>
        <v/>
      </c>
      <c r="J505" s="91" t="str">
        <f t="shared" si="123"/>
        <v/>
      </c>
      <c r="K505" s="69" t="str">
        <f t="shared" si="124"/>
        <v/>
      </c>
      <c r="L505" s="70"/>
      <c r="M505" s="70"/>
      <c r="N505" s="70"/>
      <c r="O505" s="65"/>
      <c r="P505" s="65"/>
      <c r="Q505" s="71" t="str">
        <f t="shared" ca="1" si="125"/>
        <v/>
      </c>
      <c r="R505" s="63"/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/>
      <c r="E506" s="100"/>
      <c r="F506" s="88" t="str">
        <f>IFERROR(IF($D506="","",VLOOKUP($D506,Cadastro!$C$4:$E$7,3,FALSE())),"")</f>
        <v/>
      </c>
      <c r="G506" s="89"/>
      <c r="H506" s="88" t="str">
        <f>IFERROR(IF($G506="","",$G506*$S$513/$G$513/Cadastro!$E$33),"")</f>
        <v/>
      </c>
      <c r="I506" s="90" t="str">
        <f>IFERROR(IF($D506="","",VLOOKUP($D506,Cadastro!$C$4:$G$7,5,FALSE())),"")</f>
        <v/>
      </c>
      <c r="J506" s="91" t="str">
        <f t="shared" si="123"/>
        <v/>
      </c>
      <c r="K506" s="64" t="str">
        <f t="shared" si="124"/>
        <v/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/>
      <c r="E507" s="100"/>
      <c r="F507" s="88" t="str">
        <f>IFERROR(IF($D507="","",VLOOKUP($D507,Cadastro!$C$4:$E$7,3,FALSE())),"")</f>
        <v/>
      </c>
      <c r="G507" s="89"/>
      <c r="H507" s="88" t="str">
        <f>IFERROR(IF($G507="","",$G507*$S$513/$G$513/Cadastro!$E$33),"")</f>
        <v/>
      </c>
      <c r="I507" s="90" t="str">
        <f>IFERROR(IF($D507="","",VLOOKUP($D507,Cadastro!$C$4:$G$7,5,FALSE())),"")</f>
        <v/>
      </c>
      <c r="J507" s="91" t="str">
        <f t="shared" si="123"/>
        <v/>
      </c>
      <c r="K507" s="69" t="str">
        <f t="shared" si="124"/>
        <v/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3"/>
        <v/>
      </c>
      <c r="K508" s="64" t="str">
        <f t="shared" si="124"/>
        <v/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16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67.2</v>
      </c>
      <c r="L513" s="72"/>
      <c r="M513" s="72"/>
      <c r="N513" s="72"/>
      <c r="O513" s="72"/>
      <c r="P513" s="72"/>
      <c r="Q513" s="73">
        <f ca="1">IFERROR(SUM(Q501:Q512),"")</f>
        <v>0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88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373.59999999999997</v>
      </c>
      <c r="L514" s="76"/>
      <c r="M514" s="76"/>
      <c r="N514" s="76"/>
      <c r="O514" s="76"/>
      <c r="P514" s="76"/>
      <c r="Q514" s="77">
        <f ca="1">IFERROR(Q500+Q513,"")</f>
        <v>9.5833333333333437E-2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00000000-0002-0000-0400-000002000000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79" activePane="bottomLeft" state="frozen"/>
      <selection pane="bottomLeft" activeCell="E502" sqref="E502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4" t="s">
        <v>260</v>
      </c>
      <c r="B14" s="154"/>
      <c r="C14" s="154"/>
      <c r="D14" s="154"/>
      <c r="E14" s="15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4" t="s">
        <v>263</v>
      </c>
      <c r="B27" s="154"/>
      <c r="C27" s="154"/>
      <c r="D27" s="154"/>
      <c r="E27" s="15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3" t="s">
        <v>249</v>
      </c>
      <c r="B28" s="153"/>
      <c r="C28" s="153"/>
      <c r="D28" s="153"/>
      <c r="E28" s="153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4" t="s">
        <v>260</v>
      </c>
      <c r="B41" s="154"/>
      <c r="C41" s="154"/>
      <c r="D41" s="154"/>
      <c r="E41" s="15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4" t="s">
        <v>263</v>
      </c>
      <c r="B54" s="154"/>
      <c r="C54" s="154"/>
      <c r="D54" s="154"/>
      <c r="E54" s="15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3" t="s">
        <v>249</v>
      </c>
      <c r="B55" s="153"/>
      <c r="C55" s="153"/>
      <c r="D55" s="153"/>
      <c r="E55" s="153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4" t="s">
        <v>260</v>
      </c>
      <c r="B68" s="154"/>
      <c r="C68" s="154"/>
      <c r="D68" s="154"/>
      <c r="E68" s="15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4" t="s">
        <v>263</v>
      </c>
      <c r="B81" s="154"/>
      <c r="C81" s="154"/>
      <c r="D81" s="154"/>
      <c r="E81" s="15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3" t="s">
        <v>249</v>
      </c>
      <c r="B82" s="153"/>
      <c r="C82" s="153"/>
      <c r="D82" s="153"/>
      <c r="E82" s="153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4" t="s">
        <v>260</v>
      </c>
      <c r="B95" s="154"/>
      <c r="C95" s="154"/>
      <c r="D95" s="154"/>
      <c r="E95" s="15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4" t="s">
        <v>263</v>
      </c>
      <c r="B108" s="154"/>
      <c r="C108" s="154"/>
      <c r="D108" s="154"/>
      <c r="E108" s="15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3" t="s">
        <v>249</v>
      </c>
      <c r="B109" s="153"/>
      <c r="C109" s="153"/>
      <c r="D109" s="153"/>
      <c r="E109" s="153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4" t="s">
        <v>260</v>
      </c>
      <c r="B122" s="154"/>
      <c r="C122" s="154"/>
      <c r="D122" s="154"/>
      <c r="E122" s="15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368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4" t="s">
        <v>263</v>
      </c>
      <c r="B135" s="154"/>
      <c r="C135" s="154"/>
      <c r="D135" s="154"/>
      <c r="E135" s="15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3" t="s">
        <v>249</v>
      </c>
      <c r="B136" s="153"/>
      <c r="C136" s="153"/>
      <c r="D136" s="153"/>
      <c r="E136" s="153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369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4" t="s">
        <v>263</v>
      </c>
      <c r="B162" s="154"/>
      <c r="C162" s="154"/>
      <c r="D162" s="154"/>
      <c r="E162" s="15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3" t="s">
        <v>249</v>
      </c>
      <c r="B163" s="153"/>
      <c r="C163" s="153"/>
      <c r="D163" s="153"/>
      <c r="E163" s="153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4" t="s">
        <v>260</v>
      </c>
      <c r="B176" s="154"/>
      <c r="C176" s="154"/>
      <c r="D176" s="154"/>
      <c r="E176" s="15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4" t="s">
        <v>263</v>
      </c>
      <c r="B189" s="154"/>
      <c r="C189" s="154"/>
      <c r="D189" s="154"/>
      <c r="E189" s="15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3" t="s">
        <v>249</v>
      </c>
      <c r="B190" s="153"/>
      <c r="C190" s="153"/>
      <c r="D190" s="153"/>
      <c r="E190" s="153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4" t="s">
        <v>260</v>
      </c>
      <c r="B203" s="154"/>
      <c r="C203" s="154"/>
      <c r="D203" s="154"/>
      <c r="E203" s="15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378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4" t="s">
        <v>263</v>
      </c>
      <c r="B216" s="154"/>
      <c r="C216" s="154"/>
      <c r="D216" s="154"/>
      <c r="E216" s="15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3" t="s">
        <v>249</v>
      </c>
      <c r="B217" s="153"/>
      <c r="C217" s="153"/>
      <c r="D217" s="153"/>
      <c r="E217" s="153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379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4" t="s">
        <v>260</v>
      </c>
      <c r="B230" s="154"/>
      <c r="C230" s="154"/>
      <c r="D230" s="154"/>
      <c r="E230" s="15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4" t="s">
        <v>263</v>
      </c>
      <c r="B243" s="154"/>
      <c r="C243" s="154"/>
      <c r="D243" s="154"/>
      <c r="E243" s="15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3" t="s">
        <v>249</v>
      </c>
      <c r="B244" s="153"/>
      <c r="C244" s="153"/>
      <c r="D244" s="153"/>
      <c r="E244" s="153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4" t="s">
        <v>260</v>
      </c>
      <c r="B257" s="154"/>
      <c r="C257" s="154"/>
      <c r="D257" s="154"/>
      <c r="E257" s="15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4" t="s">
        <v>263</v>
      </c>
      <c r="B270" s="154"/>
      <c r="C270" s="154"/>
      <c r="D270" s="154"/>
      <c r="E270" s="15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3" t="s">
        <v>249</v>
      </c>
      <c r="B271" s="153"/>
      <c r="C271" s="153"/>
      <c r="D271" s="153"/>
      <c r="E271" s="153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4" t="s">
        <v>260</v>
      </c>
      <c r="B284" s="154"/>
      <c r="C284" s="154"/>
      <c r="D284" s="154"/>
      <c r="E284" s="15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4" t="s">
        <v>263</v>
      </c>
      <c r="B297" s="154"/>
      <c r="C297" s="154"/>
      <c r="D297" s="154"/>
      <c r="E297" s="15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3" t="s">
        <v>249</v>
      </c>
      <c r="B298" s="153"/>
      <c r="C298" s="153"/>
      <c r="D298" s="153"/>
      <c r="E298" s="153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4" t="s">
        <v>260</v>
      </c>
      <c r="B311" s="154"/>
      <c r="C311" s="154"/>
      <c r="D311" s="154"/>
      <c r="E311" s="15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4" t="s">
        <v>263</v>
      </c>
      <c r="B324" s="154"/>
      <c r="C324" s="154"/>
      <c r="D324" s="154"/>
      <c r="E324" s="15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3" t="s">
        <v>249</v>
      </c>
      <c r="B325" s="153"/>
      <c r="C325" s="153"/>
      <c r="D325" s="153"/>
      <c r="E325" s="153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4" t="s">
        <v>260</v>
      </c>
      <c r="B338" s="154"/>
      <c r="C338" s="154"/>
      <c r="D338" s="154"/>
      <c r="E338" s="15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4" t="s">
        <v>263</v>
      </c>
      <c r="B351" s="154"/>
      <c r="C351" s="154"/>
      <c r="D351" s="154"/>
      <c r="E351" s="15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3" t="s">
        <v>249</v>
      </c>
      <c r="B352" s="153"/>
      <c r="C352" s="153"/>
      <c r="D352" s="153"/>
      <c r="E352" s="153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388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4" t="s">
        <v>263</v>
      </c>
      <c r="B378" s="154"/>
      <c r="C378" s="154"/>
      <c r="D378" s="154"/>
      <c r="E378" s="15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3" t="s">
        <v>249</v>
      </c>
      <c r="B379" s="153"/>
      <c r="C379" s="153"/>
      <c r="D379" s="153"/>
      <c r="E379" s="153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389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4" t="s">
        <v>260</v>
      </c>
      <c r="B392" s="154"/>
      <c r="C392" s="154"/>
      <c r="D392" s="154"/>
      <c r="E392" s="15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4" t="s">
        <v>263</v>
      </c>
      <c r="B405" s="154"/>
      <c r="C405" s="154"/>
      <c r="D405" s="154"/>
      <c r="E405" s="15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3" t="s">
        <v>249</v>
      </c>
      <c r="B406" s="153"/>
      <c r="C406" s="153"/>
      <c r="D406" s="153"/>
      <c r="E406" s="153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4" t="s">
        <v>260</v>
      </c>
      <c r="B419" s="154"/>
      <c r="C419" s="154"/>
      <c r="D419" s="154"/>
      <c r="E419" s="15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4" t="s">
        <v>263</v>
      </c>
      <c r="B432" s="154"/>
      <c r="C432" s="154"/>
      <c r="D432" s="154"/>
      <c r="E432" s="15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3" t="s">
        <v>249</v>
      </c>
      <c r="B433" s="153"/>
      <c r="C433" s="153"/>
      <c r="D433" s="153"/>
      <c r="E433" s="153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4" t="s">
        <v>260</v>
      </c>
      <c r="B446" s="154"/>
      <c r="C446" s="154"/>
      <c r="D446" s="154"/>
      <c r="E446" s="15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4" t="s">
        <v>263</v>
      </c>
      <c r="B459" s="154"/>
      <c r="C459" s="154"/>
      <c r="D459" s="154"/>
      <c r="E459" s="15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3" t="s">
        <v>249</v>
      </c>
      <c r="B460" s="153"/>
      <c r="C460" s="153"/>
      <c r="D460" s="153"/>
      <c r="E460" s="153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4" t="s">
        <v>260</v>
      </c>
      <c r="B473" s="154"/>
      <c r="C473" s="154"/>
      <c r="D473" s="154"/>
      <c r="E473" s="15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4" t="s">
        <v>263</v>
      </c>
      <c r="B486" s="154"/>
      <c r="C486" s="154"/>
      <c r="D486" s="154"/>
      <c r="E486" s="15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3" t="s">
        <v>249</v>
      </c>
      <c r="B487" s="153"/>
      <c r="C487" s="153"/>
      <c r="D487" s="153"/>
      <c r="E487" s="153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4" t="s">
        <v>260</v>
      </c>
      <c r="B500" s="154"/>
      <c r="C500" s="154"/>
      <c r="D500" s="154"/>
      <c r="E500" s="15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/>
      <c r="M502" s="61"/>
      <c r="N502" s="61"/>
      <c r="O502" s="65"/>
      <c r="P502" s="65"/>
      <c r="Q502" s="66" t="str">
        <f t="shared" ca="1" si="128"/>
        <v/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/>
      <c r="F503" s="88">
        <f>IFERROR(IF($D503="","",VLOOKUP($D503,Cadastro!$C$4:$E$7,3,FALSE())),"")</f>
        <v>0.35</v>
      </c>
      <c r="G503" s="89"/>
      <c r="H503" s="88" t="str">
        <f>IFERROR(IF($G503="","",$G503*$S$513/$G$513/Cadastro!$E$33),"")</f>
        <v/>
      </c>
      <c r="I503" s="90">
        <f>IFERROR(IF($D503="","",VLOOKUP($D503,Cadastro!$C$4:$G$7,5,FALSE())),"")</f>
        <v>0.6</v>
      </c>
      <c r="J503" s="91" t="str">
        <f t="shared" si="126"/>
        <v/>
      </c>
      <c r="K503" s="69" t="str">
        <f t="shared" si="127"/>
        <v/>
      </c>
      <c r="L503" s="70"/>
      <c r="M503" s="70"/>
      <c r="N503" s="70"/>
      <c r="O503" s="65"/>
      <c r="P503" s="65"/>
      <c r="Q503" s="71" t="str">
        <f t="shared" ca="1" si="128"/>
        <v/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/>
      <c r="F504" s="88">
        <f>IFERROR(IF($D504="","",VLOOKUP($D504,Cadastro!$C$4:$E$7,3,FALSE())),"")</f>
        <v>0.35</v>
      </c>
      <c r="G504" s="89"/>
      <c r="H504" s="88" t="str">
        <f>IFERROR(IF($G504="","",$G504*$S$513/$G$513/Cadastro!$E$33),"")</f>
        <v/>
      </c>
      <c r="I504" s="90">
        <f>IFERROR(IF($D504="","",VLOOKUP($D504,Cadastro!$C$4:$G$7,5,FALSE())),"")</f>
        <v>0.6</v>
      </c>
      <c r="J504" s="91" t="str">
        <f t="shared" si="126"/>
        <v/>
      </c>
      <c r="K504" s="64" t="str">
        <f t="shared" si="127"/>
        <v/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/>
      <c r="F505" s="88">
        <f>IFERROR(IF($D505="","",VLOOKUP($D505,Cadastro!$C$4:$E$7,3,FALSE())),"")</f>
        <v>0.35</v>
      </c>
      <c r="G505" s="89"/>
      <c r="H505" s="88" t="str">
        <f>IFERROR(IF($G505="","",$G505*$S$513/$G$513/Cadastro!$E$33),"")</f>
        <v/>
      </c>
      <c r="I505" s="90">
        <f>IFERROR(IF($D505="","",VLOOKUP($D505,Cadastro!$C$4:$G$7,5,FALSE())),"")</f>
        <v>0.6</v>
      </c>
      <c r="J505" s="91" t="str">
        <f t="shared" si="126"/>
        <v/>
      </c>
      <c r="K505" s="69" t="str">
        <f t="shared" si="127"/>
        <v/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/>
      <c r="F506" s="88">
        <f>IFERROR(IF($D506="","",VLOOKUP($D506,Cadastro!$C$4:$E$7,3,FALSE())),"")</f>
        <v>0.35</v>
      </c>
      <c r="G506" s="89"/>
      <c r="H506" s="88" t="str">
        <f>IFERROR(IF($G506="","",$G506*$S$513/$G$513/Cadastro!$E$33),"")</f>
        <v/>
      </c>
      <c r="I506" s="90">
        <f>IFERROR(IF($D506="","",VLOOKUP($D506,Cadastro!$C$4:$G$7,5,FALSE())),"")</f>
        <v>0.6</v>
      </c>
      <c r="J506" s="91" t="str">
        <f t="shared" si="126"/>
        <v/>
      </c>
      <c r="K506" s="64" t="str">
        <f t="shared" si="127"/>
        <v/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/>
      <c r="F507" s="88">
        <f>IFERROR(IF($D507="","",VLOOKUP($D507,Cadastro!$C$4:$E$7,3,FALSE())),"")</f>
        <v>0.35</v>
      </c>
      <c r="G507" s="89"/>
      <c r="H507" s="88" t="str">
        <f>IFERROR(IF($G507="","",$G507*$S$513/$G$513/Cadastro!$E$33),"")</f>
        <v/>
      </c>
      <c r="I507" s="90">
        <f>IFERROR(IF($D507="","",VLOOKUP($D507,Cadastro!$C$4:$G$7,5,FALSE())),"")</f>
        <v>0.6</v>
      </c>
      <c r="J507" s="91" t="str">
        <f t="shared" si="126"/>
        <v/>
      </c>
      <c r="K507" s="69" t="str">
        <f t="shared" si="127"/>
        <v/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/>
      <c r="E508" s="100"/>
      <c r="F508" s="88" t="str">
        <f>IFERROR(IF($D508="","",VLOOKUP($D508,Cadastro!$C$4:$E$7,3,FALSE())),"")</f>
        <v/>
      </c>
      <c r="G508" s="89"/>
      <c r="H508" s="88" t="str">
        <f>IFERROR(IF($G508="","",$G508*$S$513/$G$513/Cadastro!$E$33),"")</f>
        <v/>
      </c>
      <c r="I508" s="90" t="str">
        <f>IFERROR(IF($D508="","",VLOOKUP($D508,Cadastro!$C$4:$G$7,5,FALSE())),"")</f>
        <v/>
      </c>
      <c r="J508" s="91" t="str">
        <f t="shared" si="126"/>
        <v/>
      </c>
      <c r="K508" s="64" t="str">
        <f t="shared" si="127"/>
        <v/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4" t="s">
        <v>263</v>
      </c>
      <c r="B513" s="154"/>
      <c r="C513" s="154"/>
      <c r="D513" s="154"/>
      <c r="E513" s="154"/>
      <c r="F513" s="105"/>
      <c r="G513" s="96">
        <f>SUM(G501:G512)</f>
        <v>24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100.80000000000001</v>
      </c>
      <c r="L513" s="72"/>
      <c r="M513" s="72"/>
      <c r="N513" s="72"/>
      <c r="O513" s="134"/>
      <c r="P513" s="134"/>
      <c r="Q513" s="73">
        <f ca="1">IFERROR(SUM(Q501:Q512),"")</f>
        <v>5.5555555555556468E-3</v>
      </c>
      <c r="R513" s="2" t="s">
        <v>261</v>
      </c>
      <c r="S513" s="74"/>
      <c r="T513" s="99">
        <f>IFERROR(J513,"")</f>
        <v>0</v>
      </c>
    </row>
    <row r="514" spans="1:20" ht="18" customHeight="1">
      <c r="A514" s="153" t="s">
        <v>249</v>
      </c>
      <c r="B514" s="153"/>
      <c r="C514" s="153"/>
      <c r="D514" s="153"/>
      <c r="E514" s="153"/>
      <c r="F514" s="108"/>
      <c r="G514" s="109">
        <f>G500+G513</f>
        <v>226</v>
      </c>
      <c r="H514" s="108">
        <f>IFERROR(H500+H513,"")</f>
        <v>864.28</v>
      </c>
      <c r="I514" s="110"/>
      <c r="J514" s="111">
        <f>IFERROR(J500+J513,"")</f>
        <v>124.45631999999999</v>
      </c>
      <c r="K514" s="1">
        <f>K500+K513</f>
        <v>954.8</v>
      </c>
      <c r="L514" s="76"/>
      <c r="M514" s="76"/>
      <c r="N514" s="76"/>
      <c r="O514" s="135"/>
      <c r="P514" s="135"/>
      <c r="Q514" s="77">
        <f ca="1">IFERROR(Q500+Q513,"")</f>
        <v>9.0277777777777179E-2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4" t="s">
        <v>260</v>
      </c>
      <c r="B527" s="154"/>
      <c r="C527" s="154"/>
      <c r="D527" s="154"/>
      <c r="E527" s="15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4" t="s">
        <v>263</v>
      </c>
      <c r="B540" s="154"/>
      <c r="C540" s="154"/>
      <c r="D540" s="154"/>
      <c r="E540" s="15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3" t="s">
        <v>249</v>
      </c>
      <c r="B541" s="153"/>
      <c r="C541" s="153"/>
      <c r="D541" s="153"/>
      <c r="E541" s="153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4" t="s">
        <v>260</v>
      </c>
      <c r="B554" s="154"/>
      <c r="C554" s="154"/>
      <c r="D554" s="154"/>
      <c r="E554" s="15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4" t="s">
        <v>263</v>
      </c>
      <c r="B567" s="154"/>
      <c r="C567" s="154"/>
      <c r="D567" s="154"/>
      <c r="E567" s="15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3" t="s">
        <v>249</v>
      </c>
      <c r="B568" s="153"/>
      <c r="C568" s="153"/>
      <c r="D568" s="153"/>
      <c r="E568" s="153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4" t="s">
        <v>260</v>
      </c>
      <c r="B581" s="154"/>
      <c r="C581" s="154"/>
      <c r="D581" s="154"/>
      <c r="E581" s="15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4" t="s">
        <v>263</v>
      </c>
      <c r="B594" s="154"/>
      <c r="C594" s="154"/>
      <c r="D594" s="154"/>
      <c r="E594" s="15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3" t="s">
        <v>249</v>
      </c>
      <c r="B595" s="153"/>
      <c r="C595" s="153"/>
      <c r="D595" s="153"/>
      <c r="E595" s="153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4" t="s">
        <v>260</v>
      </c>
      <c r="B608" s="154"/>
      <c r="C608" s="154"/>
      <c r="D608" s="154"/>
      <c r="E608" s="15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4" t="s">
        <v>263</v>
      </c>
      <c r="B621" s="154"/>
      <c r="C621" s="154"/>
      <c r="D621" s="154"/>
      <c r="E621" s="15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3" t="s">
        <v>249</v>
      </c>
      <c r="B622" s="153"/>
      <c r="C622" s="153"/>
      <c r="D622" s="153"/>
      <c r="E622" s="153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4" t="s">
        <v>260</v>
      </c>
      <c r="B635" s="154"/>
      <c r="C635" s="154"/>
      <c r="D635" s="154"/>
      <c r="E635" s="15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4" t="s">
        <v>263</v>
      </c>
      <c r="B648" s="154"/>
      <c r="C648" s="154"/>
      <c r="D648" s="154"/>
      <c r="E648" s="15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3" t="s">
        <v>249</v>
      </c>
      <c r="B649" s="153"/>
      <c r="C649" s="153"/>
      <c r="D649" s="153"/>
      <c r="E649" s="153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4" t="s">
        <v>260</v>
      </c>
      <c r="B662" s="154"/>
      <c r="C662" s="154"/>
      <c r="D662" s="154"/>
      <c r="E662" s="15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4" t="s">
        <v>263</v>
      </c>
      <c r="B675" s="154"/>
      <c r="C675" s="154"/>
      <c r="D675" s="154"/>
      <c r="E675" s="15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3" t="s">
        <v>249</v>
      </c>
      <c r="B676" s="153"/>
      <c r="C676" s="153"/>
      <c r="D676" s="153"/>
      <c r="E676" s="153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4" t="s">
        <v>260</v>
      </c>
      <c r="B689" s="154"/>
      <c r="C689" s="154"/>
      <c r="D689" s="154"/>
      <c r="E689" s="15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4" t="s">
        <v>263</v>
      </c>
      <c r="B702" s="154"/>
      <c r="C702" s="154"/>
      <c r="D702" s="154"/>
      <c r="E702" s="15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3" t="s">
        <v>249</v>
      </c>
      <c r="B703" s="153"/>
      <c r="C703" s="153"/>
      <c r="D703" s="153"/>
      <c r="E703" s="153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4" t="s">
        <v>260</v>
      </c>
      <c r="B716" s="154"/>
      <c r="C716" s="154"/>
      <c r="D716" s="154"/>
      <c r="E716" s="15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4" t="s">
        <v>263</v>
      </c>
      <c r="B729" s="154"/>
      <c r="C729" s="154"/>
      <c r="D729" s="154"/>
      <c r="E729" s="15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3" t="s">
        <v>249</v>
      </c>
      <c r="B730" s="153"/>
      <c r="C730" s="153"/>
      <c r="D730" s="153"/>
      <c r="E730" s="153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4" t="s">
        <v>260</v>
      </c>
      <c r="B743" s="154"/>
      <c r="C743" s="154"/>
      <c r="D743" s="154"/>
      <c r="E743" s="15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4" t="s">
        <v>263</v>
      </c>
      <c r="B756" s="154"/>
      <c r="C756" s="154"/>
      <c r="D756" s="154"/>
      <c r="E756" s="15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3" t="s">
        <v>249</v>
      </c>
      <c r="B757" s="153"/>
      <c r="C757" s="153"/>
      <c r="D757" s="153"/>
      <c r="E757" s="153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4" t="s">
        <v>260</v>
      </c>
      <c r="B770" s="154"/>
      <c r="C770" s="154"/>
      <c r="D770" s="154"/>
      <c r="E770" s="15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4" t="s">
        <v>263</v>
      </c>
      <c r="B783" s="154"/>
      <c r="C783" s="154"/>
      <c r="D783" s="154"/>
      <c r="E783" s="15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3" t="s">
        <v>249</v>
      </c>
      <c r="B784" s="153"/>
      <c r="C784" s="153"/>
      <c r="D784" s="153"/>
      <c r="E784" s="153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4" t="s">
        <v>260</v>
      </c>
      <c r="B797" s="154"/>
      <c r="C797" s="154"/>
      <c r="D797" s="154"/>
      <c r="E797" s="15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4" t="s">
        <v>263</v>
      </c>
      <c r="B810" s="154"/>
      <c r="C810" s="154"/>
      <c r="D810" s="154"/>
      <c r="E810" s="15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3" t="s">
        <v>249</v>
      </c>
      <c r="B811" s="153"/>
      <c r="C811" s="153"/>
      <c r="D811" s="153"/>
      <c r="E811" s="153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4" t="s">
        <v>260</v>
      </c>
      <c r="B824" s="154"/>
      <c r="C824" s="154"/>
      <c r="D824" s="154"/>
      <c r="E824" s="15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4" t="s">
        <v>263</v>
      </c>
      <c r="B837" s="154"/>
      <c r="C837" s="154"/>
      <c r="D837" s="154"/>
      <c r="E837" s="15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3" t="s">
        <v>249</v>
      </c>
      <c r="B838" s="153"/>
      <c r="C838" s="153"/>
      <c r="D838" s="153"/>
      <c r="E838" s="153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2026-08-20T01:20:51Z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