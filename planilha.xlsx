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044" documentId="8_{C51EB6CB-002B-4D6B-B68F-DDEBDB4460C0}" xr6:coauthVersionLast="47" xr6:coauthVersionMax="47" xr10:uidLastSave="{31B9A576-77F7-46CE-BCA8-6897226C0BDE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<sst xmlns="http://schemas.openxmlformats.org/spreadsheetml/2006/main" count="3449" uniqueCount="284">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</sst>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3" fontId="14" fillId="14" borderId="6" xfId="0" applyNumberFormat="1" applyFont="1" applyFill="1" applyBorder="1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3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3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3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3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3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3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3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3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3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3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3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3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3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3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3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3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3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3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3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3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3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3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3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3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3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3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F151" sqref="F15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18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28</v>
      </c>
      <c r="G150" s="28">
        <f t="shared" ref="G150:G161" si="33">IF(F150="","",IF(E150="PC 17",F150*4.2,IF(E150="PC 19",F150*5,IF(E150="CB",F150*35,""))))</f>
        <v>140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28</v>
      </c>
      <c r="G162" s="36">
        <f>SUM(G150:G161)</f>
        <v>140</v>
      </c>
      <c r="H162" s="37"/>
      <c r="I162" s="37"/>
      <c r="J162" s="37"/>
      <c r="K162" s="37"/>
      <c r="L162" s="37"/>
      <c r="M162" s="38">
        <f ca="1">IFERROR(SUM(M150:M161),"")</f>
        <v>3.3333333333333326E-2</v>
      </c>
      <c r="N162" s="36" t="s">
        <v>233</v>
      </c>
      <c r="O162" s="4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317</v>
      </c>
      <c r="G163" s="40">
        <f>G149+G162</f>
        <v>1585</v>
      </c>
      <c r="H163" s="41"/>
      <c r="I163" s="41"/>
      <c r="J163" s="41"/>
      <c r="K163" s="41"/>
      <c r="L163" s="41"/>
      <c r="M163" s="42">
        <f ca="1">IFERROR(M149+M162,"")</f>
        <v>0.13194444444444448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236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20" activePane="bottomLeft" state="frozen"/>
      <selection pane="bottomLeft" activeCell="N151" sqref="N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244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244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244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244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244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244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244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244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244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244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244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0.73628900462790625</v>
      </c>
      <c r="N53" s="46" t="s">
        <v>253</v>
      </c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0.87517789351679509</v>
      </c>
      <c r="N54" s="36" t="s">
        <v>233</v>
      </c>
      <c r="O54" s="84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0.95990011573901746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244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244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244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244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244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244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244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244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255</v>
      </c>
      <c r="E83" s="59" t="s">
        <v>244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256</v>
      </c>
      <c r="M96" s="30" t="str">
        <f t="shared" ref="M96:M107" ca="1" si="22">IFERROR(IF(K96="","",IF(L96="",MOD(NOW()-K96,1),IF(L96&gt;=K96,L96-K96,L96+1-K96))),"")</f>
        <v/>
      </c>
      <c r="N96" s="46" t="s">
        <v>257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244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244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244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244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244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244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244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244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244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/>
      <c r="M151" s="35">
        <f t="shared" ca="1" si="34"/>
        <v>2.2612268512602895E-3</v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17</v>
      </c>
      <c r="G162" s="36">
        <f>SUM(G150:G161)</f>
        <v>71.400000000000006</v>
      </c>
      <c r="H162" s="37"/>
      <c r="I162" s="37"/>
      <c r="J162" s="37"/>
      <c r="K162" s="37"/>
      <c r="L162" s="37"/>
      <c r="M162" s="38">
        <f ca="1">IFERROR(SUM(M150:M161),"")</f>
        <v>2.2400115740149218E-2</v>
      </c>
      <c r="N162" s="36" t="s">
        <v>233</v>
      </c>
      <c r="O162" s="54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157</v>
      </c>
      <c r="G163" s="40">
        <f>G149+G162</f>
        <v>659.4</v>
      </c>
      <c r="H163" s="41"/>
      <c r="I163" s="41"/>
      <c r="J163" s="41"/>
      <c r="K163" s="41"/>
      <c r="L163" s="41"/>
      <c r="M163" s="42">
        <f ca="1">IFERROR(M149+M162,"")</f>
        <v>0.19809456018459365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232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17" zoomScale="50" zoomScaleNormal="50" workbookViewId="0">
      <selection activeCell="F151" sqref="F1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244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244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235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244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244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244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244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244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244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244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244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244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244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244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232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244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244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244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244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244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244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244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244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244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244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232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4</v>
      </c>
      <c r="G162" s="36">
        <f>SUM(G150:G161)</f>
        <v>16.8</v>
      </c>
      <c r="H162" s="37"/>
      <c r="I162" s="37"/>
      <c r="J162" s="37"/>
      <c r="K162" s="37"/>
      <c r="L162" s="37"/>
      <c r="M162" s="38">
        <f ca="1">IFERROR(SUM(M150:M161),"")</f>
        <v>2.0138888888888928E-2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37</v>
      </c>
      <c r="G163" s="40">
        <f>G149+G162</f>
        <v>155.4</v>
      </c>
      <c r="H163" s="41"/>
      <c r="I163" s="41"/>
      <c r="J163" s="41"/>
      <c r="K163" s="41"/>
      <c r="L163" s="41"/>
      <c r="M163" s="42">
        <f ca="1">IFERROR(M149+M162,"")</f>
        <v>0.1736111111111111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232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232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28" activePane="bottomLeft" state="frozen"/>
      <selection pane="bottomLeft" activeCell="F151" sqref="F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232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235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3" t="s">
        <v>236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244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244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244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244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244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244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244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244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244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244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232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244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244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244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244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244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244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244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244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244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244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235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3" t="s">
        <v>236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244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244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244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244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244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244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244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244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244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244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244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232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244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244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244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244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244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244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244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244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244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244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244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235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3" t="s">
        <v>236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244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244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244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244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244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244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244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244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244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244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244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244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232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244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244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244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244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244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244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244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244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244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244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244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235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3" t="s">
        <v>236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244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244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244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244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244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244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244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244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244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244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232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244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244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244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244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244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244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244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244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244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244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244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244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235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3" t="s">
        <v>236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244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244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244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244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244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244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244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244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244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244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244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244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244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244</v>
      </c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244</v>
      </c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244</v>
      </c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244</v>
      </c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244</v>
      </c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244</v>
      </c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244</v>
      </c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244</v>
      </c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244</v>
      </c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244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244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235</v>
      </c>
      <c r="B162" s="107"/>
      <c r="C162" s="107"/>
      <c r="D162" s="107"/>
      <c r="E162" s="108">
        <f>SUM(E150:E161)</f>
        <v>0</v>
      </c>
      <c r="F162" s="36">
        <f>SUM(F150:F161)</f>
        <v>10</v>
      </c>
      <c r="G162" s="36">
        <f>SUM(G150:G161)</f>
        <v>42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233</v>
      </c>
      <c r="O162" s="39"/>
    </row>
    <row r="163" spans="1:15" ht="18" customHeight="1">
      <c r="A163" s="103" t="s">
        <v>236</v>
      </c>
      <c r="B163" s="104"/>
      <c r="C163" s="104"/>
      <c r="D163" s="104"/>
      <c r="E163" s="105">
        <f>E149+E162</f>
        <v>0</v>
      </c>
      <c r="F163" s="40">
        <f>F149+F162</f>
        <v>192</v>
      </c>
      <c r="G163" s="40">
        <f>G149+G162</f>
        <v>806.40000000000009</v>
      </c>
      <c r="H163" s="41"/>
      <c r="I163" s="41"/>
      <c r="J163" s="41"/>
      <c r="K163" s="63"/>
      <c r="L163" s="63"/>
      <c r="M163" s="42">
        <f ca="1">IFERROR(M149+M162,"")</f>
        <v>9.4444444444444386E-2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232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235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3" t="s">
        <v>236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232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235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3" t="s">
        <v>236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232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235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3" t="s">
        <v>236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232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235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3" t="s">
        <v>236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232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235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3" t="s">
        <v>236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232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235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3" t="s">
        <v>236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232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235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3" t="s">
        <v>236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235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3" t="s">
        <v>236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232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235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3" t="s">
        <v>236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232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235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3" t="s">
        <v>236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232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235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3" t="s">
        <v>236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232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235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3" t="s">
        <v>236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232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235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3" t="s">
        <v>236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232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235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3" t="s">
        <v>236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232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235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3" t="s">
        <v>236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232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235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3" t="s">
        <v>236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232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235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3" t="s">
        <v>236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232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235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3" t="s">
        <v>236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232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235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3" t="s">
        <v>236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232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235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3" t="s">
        <v>236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232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235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3" t="s">
        <v>236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232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235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3" t="s">
        <v>236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232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235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3" t="s">
        <v>236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232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235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3" t="s">
        <v>236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232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235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3" t="s">
        <v>236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2026-08-07T00:35:47Z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