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48" documentId="8_{C51EB6CB-002B-4D6B-B68F-DDEBDB4460C0}" xr6:coauthVersionLast="47" xr6:coauthVersionMax="47" xr10:uidLastSave="{C7E095BD-840C-4C67-9CF9-ED6103BA71F2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<sst xmlns="http://schemas.openxmlformats.org/spreadsheetml/2006/main" count="4965" uniqueCount="323">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</sst>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/>
      <c r="G258" s="34" t="str">
        <f t="shared" ref="G258:G269" si="57">IF(F258="","",IF(E258="PC 17",F258*4.2,IF(E258="PC 19",F258*5,IF(E258="CB",F258*35,""))))</f>
        <v/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/>
      <c r="M258" s="30">
        <f t="shared" ref="M258:M269" ca="1" si="58">IFERROR(IF(K258="","",IF(L258="",MOD(NOW()-K258,1),IF(L258&gt;=K258,L258-K258,L258+1-K258))),"")</f>
        <v>6.6134259395767003E-4</v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6.6134259395767003E-4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5.621689814951325E-2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42" activePane="bottomLeft" state="frozen"/>
      <selection pane="bottomLeft" activeCell="O258" sqref="O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0.6756613425895921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0.81455023147848094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0.8992724537007033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183</v>
      </c>
      <c r="G271" s="40">
        <f>G257+G270</f>
        <v>825.4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41" zoomScale="50" zoomScaleNormal="50" workbookViewId="0">
      <selection activeCell="O258" sqref="O2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O258" sqref="O2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182</v>
      </c>
      <c r="G271" s="40">
        <f>G257+G270</f>
        <v>822.80000000000007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2026-08-10T23:07:57Z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