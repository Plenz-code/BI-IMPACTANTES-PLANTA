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63" documentId="8_{C51EB6CB-002B-4D6B-B68F-DDEBDB4460C0}" xr6:coauthVersionLast="47" xr6:coauthVersionMax="47" xr10:uidLastSave="{123B70CD-90E4-4FA6-9AB7-1B2E3A6C004A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<sst xmlns="http://schemas.openxmlformats.org/spreadsheetml/2006/main" count="1794" uniqueCount="257">
  <si>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</si>
  <si>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</si>
  <si>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</si>
  <si>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</si>
  <si>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</si>
  <si>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</si>
  <si>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</si>
  <si>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</si>
  <si>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</si>
  <si>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</si>
  <si>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</si>
  <si>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</si>
  <si>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</si>
  <si>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</si>
  <si>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</si>
  <si>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</si>
  <si>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</si>
  <si>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</si>
  <si>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</si>
  <si>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</si>
  <si>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</si>
  <si>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</si>
  <si>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</si>
  <si>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</si>
  <si>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</si>
  <si>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</si>
  <si>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</si>
  <si>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</si>
  <si>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</si>
  <si>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</si>
  <si>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</si>
  <si>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</si>
  <si>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</si>
  <si>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</si>
  <si>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</si>
  <si>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</si>
  <si>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</si>
  <si>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</si>
  <si>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</si>
  <si>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</si>
  <si>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</si>
  <si>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</si>
  <si>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</si>
  <si>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</si>
  <si>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</si>
  <si>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</si>
  <si>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</si>
  <si>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</si>
  <si>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</si>
  <si>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</si>
  <si>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</si>
  <si>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</si>
  <si>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</si>
  <si>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</si>
  <si>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</si>
  <si>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</si>
  <si>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</si>
  <si>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</si>
  <si>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</si>
  <si>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</si>
  <si>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</si>
  <si>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</si>
  <si>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</si>
  <si>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</si>
  <si>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</si>
  <si>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</si>
  <si>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</si>
  <si>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</si>
  <si>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</si>
  <si>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</si>
  <si>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</si>
  <si>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</si>
  <si>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</si>
  <si>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</si>
  <si>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</si>
  <si>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</si>
  <si>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</si>
  <si>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</si>
  <si>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</si>
  <si>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</si>
  <si>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</si>
  <si>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</si>
  <si>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</si>
  <si>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</si>
  <si>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</si>
  <si>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</si>
  <si>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</si>
  <si>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</si>
  <si>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</si>
  <si>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</si>
  <si>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</si>
  <si>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</si>
  <si>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</si>
  <si>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</si>
  <si>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</si>
  <si>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</si>
  <si>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</si>
  <si>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</si>
  <si>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</si>
  <si>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</si>
  <si>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</si>
  <si>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</si>
  <si>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</si>
  <si>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</si>
  <si>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</si>
  <si>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</si>
  <si>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</si>
  <si>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</si>
  <si>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</si>
  <si>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</si>
  <si>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</si>
  <si>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</si>
  <si>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</si>
  <si>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</si>
  <si>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</si>
  <si>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</si>
  <si>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</si>
  <si>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</si>
  <si>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</si>
  <si>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</si>
  <si>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</si>
  <si>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</si>
  <si>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</si>
  <si>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</si>
  <si>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</si>
  <si>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</si>
  <si>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</si>
  <si>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</si>
  <si>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</si>
  <si>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</si>
  <si>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</si>
  <si>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</si>
  <si>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</si>
  <si>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</si>
  <si>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</si>
  <si>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</si>
  <si>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</si>
  <si>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</si>
  <si>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</si>
  <si>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</si>
  <si>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</si>
  <si>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</si>
  <si>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</si>
  <si>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</si>
  <si>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</si>
  <si>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</si>
  <si>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</si>
  <si>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</si>
  <si>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</si>
  <si>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</si>
  <si>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</si>
  <si>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</si>
  <si>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</si>
  <si>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</si>
  <si>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</si>
  <si>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</si>
  <si>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</si>
  <si>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</si>
  <si>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</si>
  <si>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</si>
  <si>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</si>
  <si>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</si>
  <si>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</si>
  <si>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</si>
  <si>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</si>
  <si>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</si>
  <si>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</si>
  <si>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</si>
  <si>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</si>
  <si>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</si>
  <si>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</si>
  <si>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</si>
  <si>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</si>
  <si>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</si>
  <si>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</si>
  <si>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</si>
  <si>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</si>
  <si>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</si>
  <si>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</si>
  <si>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</si>
  <si>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</si>
  <si>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</si>
  <si>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</si>
  <si>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</si>
  <si>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</si>
  <si>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</si>
  <si>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</si>
  <si>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</si>
  <si>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</si>
  <si>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</si>
  <si>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</si>
  <si>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</si>
  <si>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</si>
  <si>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</si>
  <si>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</si>
  <si>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</si>
  <si>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</si>
  <si>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</si>
  <si>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</si>
  <si>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</si>
  <si>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</si>
  <si>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</si>
  <si>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</si>
  <si>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</si>
  <si>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</si>
  <si>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</si>
  <si>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</si>
  <si>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</si>
  <si>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</si>
  <si>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</si>
  <si>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</si>
  <si>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</si>
  <si>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</si>
  <si>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</si>
  <si>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</si>
  <si>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</si>
  <si>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</si>
  <si>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</si>
  <si>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</si>
  <si>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</si>
  <si>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</si>
  <si>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</si>
  <si>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</si>
  <si>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</si>
  <si>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</si>
  <si>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</si>
  <si>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</si>
  <si>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</si>
  <si>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</si>
  <si>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</si>
  <si>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</si>
  <si>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</si>
  <si>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</si>
  <si>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</si>
  <si>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</si>
  <si>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</si>
  <si>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</si>
  <si>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</si>
  <si>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</si>
  <si>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</si>
  <si>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</si>
  <si>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</si>
  <si>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</si>
  <si>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</si>
  <si>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</si>
  <si>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</si>
  <si>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</si>
  <si>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</si>
  <si>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</si>
  <si>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solda no queixo</t>
  </si>
  <si>
    <t>sem material no estoque</t>
  </si>
  <si>
    <t>troca de martelo</t>
  </si>
  <si>
    <t>processando blend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</si>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</sst>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8" activePane="bottomLeft" state="frozen"/>
      <selection pane="bottomLeft" activeCell="N43" sqref="N4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45</v>
      </c>
      <c r="G54" s="36">
        <f>SUM(G42:G53)</f>
        <v>225</v>
      </c>
      <c r="H54" s="37"/>
      <c r="I54" s="37"/>
      <c r="J54" s="37"/>
      <c r="K54" s="37"/>
      <c r="L54" s="37"/>
      <c r="M54" s="38">
        <f ca="1">IFERROR(SUM(M42:M53),"")</f>
        <v>0.13402777777777775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298</v>
      </c>
      <c r="G55" s="40">
        <f>G41+G54</f>
        <v>920</v>
      </c>
      <c r="H55" s="41"/>
      <c r="I55" s="41"/>
      <c r="J55" s="41"/>
      <c r="K55" s="41"/>
      <c r="L55" s="41"/>
      <c r="M55" s="42">
        <f ca="1">IFERROR(M41+M54,"")</f>
        <v>0.19374999999999992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L48" sqref="L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6</v>
      </c>
      <c r="G44" s="34">
        <f t="shared" si="9"/>
        <v>25.200000000000003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/>
      <c r="M48" s="30">
        <f t="shared" ca="1" si="11"/>
        <v>2.6349189814936835E-2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30</v>
      </c>
      <c r="G54" s="36">
        <f>SUM(G42:G53)</f>
        <v>126.00000000000001</v>
      </c>
      <c r="H54" s="37"/>
      <c r="I54" s="37"/>
      <c r="J54" s="37"/>
      <c r="K54" s="37"/>
      <c r="L54" s="37"/>
      <c r="M54" s="38">
        <f ca="1">IFERROR(SUM(M42:M53),"")</f>
        <v>6.8710300926048018E-2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110</v>
      </c>
      <c r="G55" s="40">
        <f>G41+G54</f>
        <v>449.4</v>
      </c>
      <c r="H55" s="41"/>
      <c r="I55" s="41"/>
      <c r="J55" s="41"/>
      <c r="K55" s="41"/>
      <c r="L55" s="41"/>
      <c r="M55" s="42">
        <f ca="1">IFERROR(M41+M54,"")</f>
        <v>0.15343252314827033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L47" sqref="L4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10</v>
      </c>
      <c r="G44" s="34">
        <f t="shared" si="9"/>
        <v>42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/>
      <c r="G46" s="34" t="str">
        <f t="shared" si="9"/>
        <v/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18</v>
      </c>
      <c r="G54" s="36">
        <f>SUM(G42:G53)</f>
        <v>75.599999999999994</v>
      </c>
      <c r="H54" s="37"/>
      <c r="I54" s="37"/>
      <c r="J54" s="37"/>
      <c r="K54" s="37"/>
      <c r="L54" s="37"/>
      <c r="M54" s="38">
        <f ca="1">IFERROR(SUM(M42:M53),"")</f>
        <v>8.6111111111111138E-2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95</v>
      </c>
      <c r="G55" s="40">
        <f>G41+G54</f>
        <v>399</v>
      </c>
      <c r="H55" s="41"/>
      <c r="I55" s="41"/>
      <c r="J55" s="41"/>
      <c r="K55" s="41"/>
      <c r="L55" s="41"/>
      <c r="M55" s="42">
        <f ca="1">IFERROR(M41+M54,"")</f>
        <v>0.10694444444444451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0" activePane="bottomLeft" state="frozen"/>
      <selection pane="bottomLeft" activeCell="J45" sqref="J4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/>
      <c r="M45" s="35">
        <f t="shared" ca="1" si="10"/>
        <v>2.357141203538049E-2</v>
      </c>
      <c r="N45" s="27" t="s">
        <v>252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39</v>
      </c>
      <c r="G54" s="36">
        <f>SUM(G42:G53)</f>
        <v>163.80000000000001</v>
      </c>
      <c r="H54" s="37"/>
      <c r="I54" s="37"/>
      <c r="J54" s="37"/>
      <c r="K54" s="61"/>
      <c r="L54" s="61"/>
      <c r="M54" s="38">
        <f ca="1">IFERROR(SUM(M42:M53),"")</f>
        <v>7.2876967590935982E-2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180</v>
      </c>
      <c r="G55" s="40">
        <f>G41+G54</f>
        <v>722.40000000000009</v>
      </c>
      <c r="H55" s="41"/>
      <c r="I55" s="41"/>
      <c r="J55" s="41"/>
      <c r="K55" s="63"/>
      <c r="L55" s="63"/>
      <c r="M55" s="42">
        <f ca="1">IFERROR(M41+M54,"")</f>
        <v>8.3988078702047053E-2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2026-08-03T03:50:08Z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