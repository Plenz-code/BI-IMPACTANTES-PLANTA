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38" documentId="8_{AF585B22-221D-4780-BB9C-493D365A6A02}" xr6:coauthVersionLast="47" xr6:coauthVersionMax="47" xr10:uidLastSave="{647C4A4C-6480-4D1A-8CC5-7916E41AE72B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<sst xmlns="http://schemas.openxmlformats.org/spreadsheetml/2006/main" count="3569" uniqueCount="261">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</sst>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G196" sqref="G19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70" activePane="bottomLeft" state="frozen"/>
      <selection pane="bottomLeft" activeCell="I191" sqref="I1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/>
      <c r="G191" s="34" t="str">
        <f t="shared" ref="G191:G202" si="42">IF(F191="","",IF(E191="PC 17",F191*4.2,IF(E191="PC 19",F191*5,"")))</f>
        <v/>
      </c>
      <c r="H191" s="33" t="s">
        <v>18</v>
      </c>
      <c r="I191" s="33" t="s">
        <v>127</v>
      </c>
      <c r="J191" s="33"/>
      <c r="K191" s="29">
        <v>0.33194444444444443</v>
      </c>
      <c r="L191" s="29"/>
      <c r="M191" s="35">
        <f t="shared" ref="M191:M202" ca="1" si="43">IFERROR(IF(K191="","",IF(L191="",MOD(NOW()-K191,1),IF(L191&gt;=K191,L191-K191,L191+1-K191))),"")</f>
        <v>1.1752314821933396E-3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1.1752314821933396E-3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1.1752314821933396E-3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E202" sqref="E20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8.3814120371243916E-2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0.28311967592679954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0.65048078703791057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2026-07-08T11:59:53Z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