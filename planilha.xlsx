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60" documentId="8_{AF585B22-221D-4780-BB9C-493D365A6A02}" xr6:coauthVersionLast="47" xr6:coauthVersionMax="47" xr10:uidLastSave="{B98A7930-164E-42B9-AD0B-E2AA812DFDF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<sst xmlns="http://schemas.openxmlformats.org/spreadsheetml/2006/main" count="3744" uniqueCount="266">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</sst>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K205" sqref="K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/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3.842592632281594E-4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3.842592632281594E-4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2.3995370374339298E-2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7" activePane="bottomLeft" state="frozen"/>
      <selection pane="bottomLeft" activeCell="E229" sqref="E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219</v>
      </c>
      <c r="F218" s="27">
        <v>13</v>
      </c>
      <c r="G218" s="28">
        <f t="shared" ref="G218:G229" si="48">IF(F218="","",IF(E218="PC 17",F218*4.2,IF(E218="PC 19",F218*5,"")))</f>
        <v>54.6</v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219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219</v>
      </c>
      <c r="F220" s="27">
        <v>24</v>
      </c>
      <c r="G220" s="28">
        <f t="shared" si="48"/>
        <v>100.80000000000001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 t="s">
        <v>219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 t="s">
        <v>219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 t="s">
        <v>219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 t="s">
        <v>219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 t="s">
        <v>219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 t="s">
        <v>219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 t="s">
        <v>219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 t="s">
        <v>219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 t="s">
        <v>219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44</v>
      </c>
      <c r="G230" s="36">
        <f>SUM(G218:G229)</f>
        <v>184.8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44</v>
      </c>
      <c r="G244" s="40">
        <f>G230+G243</f>
        <v>184.8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0.7038564814865822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0.90316203704213782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1.2705231481532488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3.472222222222221E-2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0.2319444444444444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2026-07-09T02:53:07Z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