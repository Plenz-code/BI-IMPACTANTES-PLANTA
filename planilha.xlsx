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31" documentId="13_ncr:1_{0A10D8D4-8450-4366-8075-B53B08E6B7EA}" xr6:coauthVersionLast="47" xr6:coauthVersionMax="47" xr10:uidLastSave="{94BE618D-FEBD-401D-B4CA-545C961ADCA3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72" i="6" s="1"/>
  <c r="J372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72" i="5" s="1"/>
  <c r="J372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72" i="4" s="1"/>
  <c r="J372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0" i="6" l="1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<sst xmlns="http://schemas.openxmlformats.org/spreadsheetml/2006/main" count="6549" uniqueCount="348">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</sst>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73" sqref="F37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240</v>
      </c>
      <c r="G378" s="36">
        <f>SUM(G366:G377)</f>
        <v>1200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640</v>
      </c>
      <c r="G379" s="40">
        <f>G365+G378</f>
        <v>3166.4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73" sqref="G37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0.99341539351735264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1.1323042824062415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1.2170265046284638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 t="s">
        <v>27</v>
      </c>
      <c r="M369" s="33"/>
      <c r="N369" s="33" t="s">
        <v>35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97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407.40000000000003</v>
      </c>
      <c r="L378" s="37"/>
      <c r="M378" s="37"/>
      <c r="N378" s="37"/>
      <c r="O378" s="37"/>
      <c r="P378" s="37"/>
      <c r="Q378" s="38">
        <f ca="1">IFERROR(SUM(Q366:Q377),"")</f>
        <v>7.9166666666666802E-2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205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861</v>
      </c>
      <c r="L379" s="41"/>
      <c r="M379" s="41"/>
      <c r="N379" s="41"/>
      <c r="O379" s="41"/>
      <c r="P379" s="41"/>
      <c r="Q379" s="42">
        <f ca="1">IFERROR(Q365+Q378,"")</f>
        <v>0.16250000000000006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3" sqref="G37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4"/>
        <v>0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33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138.6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123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516.60000000000014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P372" sqref="P37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142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596.39999999999986</v>
      </c>
      <c r="L378" s="37"/>
      <c r="M378" s="37"/>
      <c r="N378" s="37"/>
      <c r="O378" s="61"/>
      <c r="P378" s="61"/>
      <c r="Q378" s="38">
        <f ca="1">IFERROR(SUM(Q366:Q377),"")</f>
        <v>8.1944444444444473E-2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338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1419.6</v>
      </c>
      <c r="L379" s="41"/>
      <c r="M379" s="41"/>
      <c r="N379" s="41"/>
      <c r="O379" s="63"/>
      <c r="P379" s="63"/>
      <c r="Q379" s="42">
        <f ca="1">IFERROR(Q365+Q378,"")</f>
        <v>0.20000000000000018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2026-08-15T06:46:03Z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