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497" documentId="8_{AF585B22-221D-4780-BB9C-493D365A6A02}" xr6:coauthVersionLast="47" xr6:coauthVersionMax="47" xr10:uidLastSave="{C893B39A-4B7E-44EE-AE66-CD75541658B5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<sst xmlns="http://schemas.openxmlformats.org/spreadsheetml/2006/main" count="9121" uniqueCount="377">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</sst>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62" activePane="bottomLeft" state="frozen"/>
      <selection pane="bottomLeft" activeCell="F587" sqref="F58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67</v>
      </c>
      <c r="G594" s="36">
        <f>SUM(G582:G593)</f>
        <v>335</v>
      </c>
      <c r="H594" s="37"/>
      <c r="I594" s="37"/>
      <c r="J594" s="37"/>
      <c r="K594" s="37"/>
      <c r="L594" s="37"/>
      <c r="M594" s="38">
        <f ca="1">IFERROR(SUM(M582:M593),"")</f>
        <v>1.388888888888884E-2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253</v>
      </c>
      <c r="G595" s="40">
        <f>G581+G594</f>
        <v>1265</v>
      </c>
      <c r="H595" s="41"/>
      <c r="I595" s="41"/>
      <c r="J595" s="41"/>
      <c r="K595" s="41"/>
      <c r="L595" s="41"/>
      <c r="M595" s="42">
        <f ca="1">IFERROR(M581+M594,"")</f>
        <v>7.2222222222222132E-2</v>
      </c>
      <c r="N595" s="40" t="s">
        <v>235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87" sqref="F5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0.79054525462561287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0.94818414351450175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1.057906365736724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0.7690174768504221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0.93985081018375549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1.0849896990726444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62</v>
      </c>
      <c r="G594" s="36">
        <f>SUM(G582:G593)</f>
        <v>269.2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77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292</v>
      </c>
      <c r="G595" s="40">
        <f>G581+G594</f>
        <v>1235.2</v>
      </c>
      <c r="H595" s="41"/>
      <c r="I595" s="41"/>
      <c r="J595" s="41"/>
      <c r="K595" s="41"/>
      <c r="L595" s="41"/>
      <c r="M595" s="42">
        <f ca="1">IFERROR(M581+M594,"")</f>
        <v>3.0555555555555558E-2</v>
      </c>
      <c r="N595" s="40" t="s">
        <v>235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87" sqref="F5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38</v>
      </c>
      <c r="G594" s="36">
        <f>SUM(G582:G593)</f>
        <v>163.6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91</v>
      </c>
      <c r="G595" s="40">
        <f>G581+G594</f>
        <v>386.20000000000005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F587" sqref="F58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0.7808230324080796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0.98012858796363522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1.3474896990747462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/>
      <c r="I583" s="33"/>
      <c r="J583" s="33"/>
      <c r="K583" s="29"/>
      <c r="L583" s="29"/>
      <c r="M583" s="35" t="str">
        <f t="shared" ref="M582:M593" ca="1" si="131">IFERROR(IF(K583="","",IF(L583="",MOD(NOW()-K583,1),IF(L583&gt;=K583,L583-K583,L583+1-K583))),"")</f>
        <v/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/>
      <c r="G587" s="34" t="str">
        <f>IF(F587="","",IF(E588="PC 17",F587*4.2,IF(E588="PC 19",F587*5,"")))</f>
        <v/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>IF(F588="","",IF(#REF!="PC 17",F588*4.2,IF(#REF!="PC 19",F588*5,"")))</f>
        <v/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48</v>
      </c>
      <c r="G594" s="36">
        <f>SUM(G582:G593)</f>
        <v>201.60000000000002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48</v>
      </c>
      <c r="G595" s="40">
        <f>G581+G594</f>
        <v>201.60000000000002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235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2026-07-23T04:43:56Z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