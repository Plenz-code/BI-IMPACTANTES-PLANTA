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49" documentId="13_ncr:1_{A6DBCFB4-28D9-4249-9038-216934055CA6}" xr6:coauthVersionLast="47" xr6:coauthVersionMax="47" xr10:uidLastSave="{548F62AD-66A1-428B-93CA-19DCB03938F5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<sst xmlns="http://schemas.openxmlformats.org/spreadsheetml/2006/main" count="8821" uniqueCount="399">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</sst>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3" fontId="23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19" sqref="F51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259</v>
      </c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259</v>
      </c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259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259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259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259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259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85</v>
      </c>
      <c r="G527" s="2">
        <f>SUM(G515:G526)</f>
        <v>425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85</v>
      </c>
      <c r="G541" s="1">
        <f>G527+G540</f>
        <v>425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20" sqref="G52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0.37928217591979774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0.51817106480868547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0.60289328703090828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40</v>
      </c>
      <c r="N517" s="70" t="s">
        <v>36</v>
      </c>
      <c r="O517" s="65">
        <v>0.49583333333333335</v>
      </c>
      <c r="P517" s="65"/>
      <c r="Q517" s="71">
        <f t="shared" ca="1" si="132"/>
        <v>4.9766203665058129E-3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72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302.40000000000003</v>
      </c>
      <c r="L527" s="72"/>
      <c r="M527" s="72"/>
      <c r="N527" s="72"/>
      <c r="O527" s="72"/>
      <c r="P527" s="72"/>
      <c r="Q527" s="73">
        <f ca="1">IFERROR(SUM(Q515:Q526),"")</f>
        <v>2.303217592206136E-2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72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302.40000000000003</v>
      </c>
      <c r="L541" s="76"/>
      <c r="M541" s="76"/>
      <c r="N541" s="76"/>
      <c r="O541" s="76"/>
      <c r="P541" s="76"/>
      <c r="Q541" s="77">
        <f ca="1">IFERROR(Q527+Q540,"")</f>
        <v>2.303217592206136E-2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96" activePane="bottomLeft" state="frozen"/>
      <selection pane="bottomLeft" activeCell="G520" sqref="G52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66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/>
      <c r="M517" s="70"/>
      <c r="N517" s="70"/>
      <c r="O517" s="65"/>
      <c r="P517" s="65"/>
      <c r="Q517" s="71" t="str">
        <f t="shared" ca="1" si="128"/>
        <v/>
      </c>
      <c r="R517" s="63"/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/>
      <c r="M518" s="61"/>
      <c r="N518" s="61"/>
      <c r="O518" s="65"/>
      <c r="P518" s="65"/>
      <c r="Q518" s="66" t="str">
        <f t="shared" ca="1" si="128"/>
        <v/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27"/>
        <v/>
      </c>
      <c r="K520" s="64" t="str">
        <f t="shared" si="130"/>
        <v/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27"/>
        <v/>
      </c>
      <c r="K521" s="69" t="str">
        <f t="shared" si="130"/>
        <v/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27"/>
        <v/>
      </c>
      <c r="K522" s="64" t="str">
        <f t="shared" si="130"/>
        <v/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30"/>
        <v/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35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147</v>
      </c>
      <c r="L527" s="72"/>
      <c r="M527" s="72"/>
      <c r="N527" s="72"/>
      <c r="O527" s="72"/>
      <c r="P527" s="72"/>
      <c r="Q527" s="73">
        <f ca="1">IFERROR(SUM(Q515:Q526),"")</f>
        <v>1.7361111111111105E-2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35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147</v>
      </c>
      <c r="L541" s="76"/>
      <c r="M541" s="76"/>
      <c r="N541" s="76"/>
      <c r="O541" s="76"/>
      <c r="P541" s="76"/>
      <c r="Q541" s="77">
        <f ca="1">IFERROR(Q527+Q540,"")</f>
        <v>1.7361111111111105E-2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85" activePane="bottomLeft" state="frozen"/>
      <selection pane="bottomLeft" activeCell="G519" sqref="G51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66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74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310.8</v>
      </c>
      <c r="L527" s="72"/>
      <c r="M527" s="72"/>
      <c r="N527" s="72"/>
      <c r="O527" s="134"/>
      <c r="P527" s="134"/>
      <c r="Q527" s="73">
        <f ca="1">IFERROR(SUM(Q515:Q526),"")</f>
        <v>1.6666666666666663E-2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74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310.8</v>
      </c>
      <c r="L541" s="76"/>
      <c r="M541" s="76"/>
      <c r="N541" s="76"/>
      <c r="O541" s="135"/>
      <c r="P541" s="135"/>
      <c r="Q541" s="77">
        <f ca="1">IFERROR(Q527+Q540,"")</f>
        <v>1.6666666666666663E-2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2026-08-20T16:01:11Z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