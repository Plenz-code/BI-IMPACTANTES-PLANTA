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77" documentId="8_{C51EB6CB-002B-4D6B-B68F-DDEBDB4460C0}" xr6:coauthVersionLast="47" xr6:coauthVersionMax="47" xr10:uidLastSave="{EEAD0791-61F2-4E2C-A6A4-A31615AEEA3F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<sst xmlns="http://schemas.openxmlformats.org/spreadsheetml/2006/main" count="3688" uniqueCount="291">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</sst>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2" activePane="bottomLeft" state="frozen"/>
      <selection pane="bottomLeft" activeCell="F170" sqref="F17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249</v>
      </c>
      <c r="G176" s="36">
        <f>SUM(G164:G175)</f>
        <v>1245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249</v>
      </c>
      <c r="G190" s="40">
        <f>G176+G189</f>
        <v>1245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6" activePane="bottomLeft" state="frozen"/>
      <selection pane="bottomLeft" activeCell="F171" sqref="F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0.47104594907432329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0.60993483796321213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0.69465706018543449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>
        <v>8</v>
      </c>
      <c r="G168" s="28">
        <f t="shared" si="36"/>
        <v>33.6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41</v>
      </c>
      <c r="G176" s="36">
        <f>SUM(G164:G175)</f>
        <v>172.2</v>
      </c>
      <c r="H176" s="37"/>
      <c r="I176" s="37"/>
      <c r="J176" s="37"/>
      <c r="K176" s="37"/>
      <c r="L176" s="37"/>
      <c r="M176" s="38">
        <f ca="1">IFERROR(SUM(M164:M175),"")</f>
        <v>7.0138888888888973E-2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41</v>
      </c>
      <c r="G190" s="40">
        <f>G176+G189</f>
        <v>172.2</v>
      </c>
      <c r="H190" s="41"/>
      <c r="I190" s="41"/>
      <c r="J190" s="41"/>
      <c r="K190" s="41"/>
      <c r="L190" s="41"/>
      <c r="M190" s="42">
        <f ca="1">IFERROR(M176+M189,"")</f>
        <v>7.0138888888888973E-2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J171" sqref="J1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/>
      <c r="M171" s="35">
        <f t="shared" ca="1" si="37"/>
        <v>2.2957175897317939E-3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189.00000000000003</v>
      </c>
      <c r="H176" s="37"/>
      <c r="I176" s="37"/>
      <c r="J176" s="37"/>
      <c r="K176" s="37"/>
      <c r="L176" s="37"/>
      <c r="M176" s="38">
        <f ca="1">IFERROR(SUM(M164:M175),"")</f>
        <v>6.8962384256398557E-2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189.00000000000003</v>
      </c>
      <c r="H190" s="41"/>
      <c r="I190" s="41"/>
      <c r="J190" s="41"/>
      <c r="K190" s="41"/>
      <c r="L190" s="41"/>
      <c r="M190" s="42">
        <f ca="1">IFERROR(M176+M189,"")</f>
        <v>6.8962384256398557E-2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71" sqref="F1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140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>
        <v>18</v>
      </c>
      <c r="G170" s="28">
        <f t="shared" si="36"/>
        <v>75.600000000000009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101</v>
      </c>
      <c r="G176" s="36">
        <f>SUM(G164:G175)</f>
        <v>424.20000000000005</v>
      </c>
      <c r="H176" s="37"/>
      <c r="I176" s="37"/>
      <c r="J176" s="37"/>
      <c r="K176" s="61"/>
      <c r="L176" s="61"/>
      <c r="M176" s="38">
        <f ca="1">IFERROR(SUM(M164:M175),"")</f>
        <v>9.722222222222221E-2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101</v>
      </c>
      <c r="G190" s="40">
        <f>G176+G189</f>
        <v>424.20000000000005</v>
      </c>
      <c r="H190" s="41"/>
      <c r="I190" s="41"/>
      <c r="J190" s="41"/>
      <c r="K190" s="63"/>
      <c r="L190" s="63"/>
      <c r="M190" s="42">
        <f ca="1">IFERROR(M176+M189,"")</f>
        <v>9.722222222222221E-2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2026-08-07T18:15:08Z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