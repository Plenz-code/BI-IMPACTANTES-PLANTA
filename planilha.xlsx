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447" documentId="8_{1D11E9C4-FEA4-4128-910F-91CB6BBF9255}" xr6:coauthVersionLast="47" xr6:coauthVersionMax="47" xr10:uidLastSave="{00231FA0-78D5-418D-9110-31E0343C1D1E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85" i="2" l="1"/>
  <c r="L786" i="2"/>
  <c r="L787" i="2"/>
  <c r="L788" i="2"/>
  <c r="L789" i="2"/>
  <c r="L790" i="2"/>
  <c r="L791" i="2"/>
  <c r="L792" i="2"/>
  <c r="L793" i="2"/>
  <c r="L794" i="2"/>
  <c r="L795" i="2"/>
  <c r="L796" i="2"/>
  <c r="L797" i="2"/>
  <c r="L780" i="2"/>
  <c r="L781" i="2"/>
  <c r="L782" i="2"/>
  <c r="L783" i="2"/>
  <c r="L784" i="2"/>
  <c r="L792" i="4"/>
  <c r="L793" i="4"/>
  <c r="L794" i="4"/>
  <c r="F775" i="5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F796" i="2"/>
  <c r="F795" i="2"/>
  <c r="F794" i="2"/>
  <c r="F793" i="2"/>
  <c r="F792" i="2"/>
  <c r="F791" i="2"/>
  <c r="F790" i="2"/>
  <c r="F789" i="2"/>
  <c r="F788" i="2"/>
  <c r="F787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F785" i="2"/>
  <c r="N784" i="2"/>
  <c r="C32" i="6" s="1"/>
  <c r="E783" i="2"/>
  <c r="F782" i="2"/>
  <c r="F781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811" i="2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<sst xmlns="http://schemas.openxmlformats.org/spreadsheetml/2006/main" count="8681" uniqueCount="387">
  <si>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</si>
  <si>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</si>
  <si>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</si>
  <si>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</si>
  <si>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</si>
  <si>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</si>
  <si>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</si>
  <si>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</si>
  <si>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</si>
  <si>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</si>
  <si>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</si>
  <si>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</si>
  <si>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</si>
  <si>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</si>
  <si>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</si>
  <si>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</si>
  <si>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</si>
  <si>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</si>
  <si>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</si>
  <si>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</si>
  <si>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</si>
  <si>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</si>
  <si>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</si>
  <si>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</si>
  <si>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</si>
  <si>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</si>
  <si>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</si>
  <si>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</si>
  <si>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</si>
  <si>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</si>
  <si>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</si>
  <si>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</si>
  <si>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</si>
  <si>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</si>
  <si>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</si>
  <si>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</si>
  <si>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</si>
  <si>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</si>
  <si>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</si>
  <si>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</si>
  <si>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</si>
  <si>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</si>
  <si>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</si>
  <si>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</si>
  <si>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</si>
  <si>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</si>
  <si>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</si>
  <si>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</si>
  <si>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</si>
  <si>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</si>
  <si>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</si>
  <si>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</si>
  <si>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</si>
  <si>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</si>
  <si>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</si>
  <si>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</si>
  <si>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</si>
  <si>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</si>
  <si>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</si>
  <si>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</si>
  <si>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</si>
  <si>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</si>
  <si>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</si>
  <si>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</si>
  <si>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</si>
  <si>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</si>
  <si>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</si>
  <si>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</si>
  <si>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</si>
  <si>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</si>
  <si>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</si>
  <si>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</si>
  <si>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</si>
  <si>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</si>
  <si>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</si>
  <si>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</si>
  <si>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</si>
  <si>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</si>
  <si>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</si>
  <si>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</si>
  <si>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</si>
  <si>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</si>
  <si>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</si>
  <si>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</si>
  <si>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</si>
  <si>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</si>
  <si>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</si>
  <si>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</si>
  <si>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</si>
  <si>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</si>
  <si>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</si>
  <si>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</si>
  <si>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</si>
  <si>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</si>
  <si>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</si>
  <si>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</si>
  <si>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</si>
  <si>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</si>
  <si>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</si>
  <si>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</si>
  <si>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</si>
  <si>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</si>
  <si>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</si>
  <si>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</si>
  <si>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</si>
  <si>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</si>
  <si>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</si>
  <si>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</si>
  <si>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</si>
  <si>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</si>
  <si>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</si>
  <si>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</si>
  <si>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</si>
  <si>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</si>
  <si>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</si>
  <si>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</si>
  <si>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</si>
  <si>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</si>
  <si>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</si>
  <si>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</si>
  <si>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</si>
  <si>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</si>
  <si>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</si>
  <si>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</si>
  <si>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</si>
  <si>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</si>
  <si>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</si>
  <si>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</si>
  <si>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</si>
  <si>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</si>
  <si>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</si>
  <si>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</si>
  <si>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</si>
  <si>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</si>
  <si>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</si>
  <si>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</si>
  <si>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</si>
  <si>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</si>
  <si>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</si>
  <si>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</si>
  <si>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</si>
  <si>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</si>
  <si>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</si>
  <si>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</si>
  <si>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</si>
  <si>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</si>
  <si>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</si>
  <si>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</si>
  <si>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</si>
  <si>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</si>
  <si>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</si>
  <si>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</si>
  <si>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</si>
  <si>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</si>
  <si>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</si>
  <si>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</si>
  <si>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</si>
  <si>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</si>
  <si>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</si>
  <si>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</si>
  <si>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</si>
  <si>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</si>
  <si>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</si>
  <si>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</si>
  <si>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</si>
  <si>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</si>
  <si>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</si>
  <si>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</si>
  <si>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</si>
  <si>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</si>
  <si>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</si>
  <si>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</si>
  <si>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</si>
  <si>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</si>
  <si>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</si>
  <si>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</si>
  <si>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</si>
  <si>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</si>
  <si>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</si>
  <si>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</si>
  <si>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limpeza 5s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</si>
  <si>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</si>
  <si>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</si>
  <si>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</si>
  <si>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</si>
  <si>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</si>
  <si>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</si>
  <si>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</si>
  <si>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</si>
  <si>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</si>
  <si>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</si>
  <si>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</si>
  <si>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</si>
  <si>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</si>
  <si>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</si>
  <si>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</si>
  <si>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</si>
  <si>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</si>
  <si>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</si>
  <si>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</si>
  <si>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</si>
  <si>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</si>
  <si>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</si>
  <si>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</si>
  <si>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</si>
  <si>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</si>
  <si>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</si>
  <si>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</si>
  <si>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</si>
  <si>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</si>
  <si>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</si>
  <si>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</si>
  <si>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</si>
  <si>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</si>
  <si>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</si>
  <si>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</si>
  <si>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</si>
  <si>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</si>
  <si>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</si>
  <si>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</si>
  <si>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</si>
  <si>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</si>
  <si>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</si>
  <si>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</si>
  <si>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</si>
  <si>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</si>
  <si>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</si>
  <si>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</si>
  <si>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</si>
  <si>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</si>
  <si>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</si>
  <si>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</si>
  <si>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</si>
  <si>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</si>
  <si>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</si>
  <si>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</si>
  <si>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</si>
  <si>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</si>
  <si>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cano da tc 17 quebrou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</si>
  <si>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</si>
  <si>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</si>
  <si>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</si>
  <si>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</si>
  <si>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</si>
  <si>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</si>
  <si>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</si>
  <si>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</si>
  <si>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</si>
  <si>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</si>
  <si>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</si>
  <si>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</si>
  <si>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</si>
  <si>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</si>
  <si>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</si>
  <si>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</si>
  <si>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</si>
  <si>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</si>
  <si>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</si>
  <si>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</si>
  <si>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</si>
  <si>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</si>
  <si>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</si>
  <si>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</si>
  <si>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</si>
  <si>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</si>
  <si>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</si>
  <si>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</si>
  <si>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</si>
  <si>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</si>
  <si>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</si>
  <si>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</si>
  <si>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</si>
  <si>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</si>
  <si>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</si>
  <si>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</si>
  <si>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</si>
  <si>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</si>
  <si>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</si>
  <si>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</si>
  <si>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</si>
  <si>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</si>
  <si>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</si>
  <si>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</si>
  <si>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</si>
  <si>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</si>
  <si>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</si>
  <si>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</si>
  <si>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</si>
  <si>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</si>
  <si>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</si>
  <si>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</si>
  <si>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</si>
  <si>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</si>
  <si>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</si>
  <si>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</si>
  <si>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</si>
  <si>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</si>
  <si>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</si>
  <si>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</si>
  <si>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</si>
  <si>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</si>
  <si>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</si>
  <si>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</si>
  <si>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</si>
  <si>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</si>
  <si>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</si>
  <si>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</si>
  <si>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</si>
  <si>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</si>
  <si>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</si>
  <si>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</si>
  <si>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</si>
  <si>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</si>
  <si>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</si>
  <si>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</si>
  <si>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</si>
  <si>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</si>
  <si>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</si>
  <si>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</si>
  <si>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</si>
  <si>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</si>
  <si>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</si>
  <si>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</si>
  <si>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</si>
  <si>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</si>
  <si>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</si>
  <si>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</si>
  <si>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</si>
  <si>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</si>
  <si>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</si>
  <si>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</si>
  <si>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</si>
  <si>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grelha</t>
  </si>
  <si>
    <t>18;15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</si>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</sst>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25" activePane="bottomLeft" state="frozen"/>
      <selection pane="bottomLeft" activeCell="C33" sqref="C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930640</v>
      </c>
      <c r="D33" s="53">
        <f>IFERROR('Linha 1'!N811,"")</f>
        <v>698510</v>
      </c>
      <c r="E33" s="53">
        <f>IFERROR('Linha 2'!N811,"")</f>
        <v>279560</v>
      </c>
      <c r="F33" s="53">
        <f>IFERROR('Linha 3'!N811,"")</f>
        <v>638180</v>
      </c>
      <c r="G33" s="54">
        <f t="shared" si="0"/>
        <v>1616250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52396900</v>
      </c>
      <c r="D34" s="55">
        <f t="shared" si="1"/>
        <v>25807690</v>
      </c>
      <c r="E34" s="55">
        <f t="shared" si="1"/>
        <v>10511320</v>
      </c>
      <c r="F34" s="55">
        <f t="shared" si="1"/>
        <v>30540745</v>
      </c>
      <c r="G34" s="55">
        <f>IFERROR(SUM(G4:G33),"")</f>
        <v>66859755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 t="s">
        <v>180</v>
      </c>
    </row>
    <row r="49" spans="1:13" ht="18" customHeight="1">
      <c r="H49" s="103"/>
      <c r="I49" s="4"/>
      <c r="J49" s="4"/>
      <c r="K49" s="4" t="s">
        <v>181</v>
      </c>
      <c r="L49" s="4"/>
      <c r="M49" s="4"/>
    </row>
    <row r="50" spans="1:13" ht="21" customHeight="1">
      <c r="A50" s="6" t="s">
        <v>182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183</v>
      </c>
      <c r="L50" s="3"/>
      <c r="M50" s="3"/>
    </row>
    <row r="51" spans="1:13" ht="24" customHeight="1">
      <c r="H51" s="103"/>
      <c r="I51" s="4"/>
      <c r="J51" s="4"/>
      <c r="K51" s="4" t="s">
        <v>184</v>
      </c>
      <c r="L51" s="4"/>
      <c r="M51" s="4"/>
    </row>
    <row r="52" spans="1:13" ht="24" customHeight="1">
      <c r="H52" s="103"/>
      <c r="I52" s="3"/>
      <c r="J52" s="3"/>
      <c r="K52" s="3" t="s">
        <v>185</v>
      </c>
      <c r="L52" s="3"/>
      <c r="M52" s="3"/>
    </row>
    <row r="53" spans="1:13" ht="36" customHeight="1">
      <c r="H53" s="103"/>
      <c r="I53" s="4"/>
      <c r="J53" s="4"/>
      <c r="K53" s="4" t="s">
        <v>186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91" activePane="bottomLeft" state="frozen"/>
      <selection pane="bottomLeft" activeCell="E803" sqref="E803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189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197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199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198</v>
      </c>
      <c r="N27" s="20">
        <v>0</v>
      </c>
    </row>
    <row r="28" spans="1:14" ht="18" customHeight="1">
      <c r="A28" s="97" t="s">
        <v>200</v>
      </c>
      <c r="B28" s="97"/>
      <c r="C28" s="97"/>
      <c r="D28" s="97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197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199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198</v>
      </c>
      <c r="N54" s="20">
        <v>125660</v>
      </c>
    </row>
    <row r="55" spans="1:14" ht="18" customHeight="1">
      <c r="A55" s="97" t="s">
        <v>200</v>
      </c>
      <c r="B55" s="97"/>
      <c r="C55" s="97"/>
      <c r="D55" s="97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197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199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198</v>
      </c>
      <c r="N81" s="20">
        <v>580300</v>
      </c>
    </row>
    <row r="82" spans="1:14" ht="18" customHeight="1">
      <c r="A82" s="97" t="s">
        <v>200</v>
      </c>
      <c r="B82" s="97"/>
      <c r="C82" s="97"/>
      <c r="D82" s="97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197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199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198</v>
      </c>
      <c r="N108" s="20">
        <v>652520</v>
      </c>
    </row>
    <row r="109" spans="1:14" ht="18" customHeight="1">
      <c r="A109" s="97" t="s">
        <v>200</v>
      </c>
      <c r="B109" s="97"/>
      <c r="C109" s="97"/>
      <c r="D109" s="97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197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199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>
        <v>909050</v>
      </c>
    </row>
    <row r="136" spans="1:14" ht="18" customHeight="1">
      <c r="A136" s="97" t="s">
        <v>200</v>
      </c>
      <c r="B136" s="97"/>
      <c r="C136" s="97"/>
      <c r="D136" s="97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197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199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198</v>
      </c>
      <c r="N162" s="27">
        <v>1048880</v>
      </c>
    </row>
    <row r="163" spans="1:14" ht="18" customHeight="1">
      <c r="A163" s="97" t="s">
        <v>200</v>
      </c>
      <c r="B163" s="97"/>
      <c r="C163" s="97"/>
      <c r="D163" s="97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197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199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198</v>
      </c>
      <c r="N189" s="20">
        <v>797540</v>
      </c>
    </row>
    <row r="190" spans="1:14" ht="18" customHeight="1">
      <c r="A190" s="97" t="s">
        <v>200</v>
      </c>
      <c r="B190" s="97"/>
      <c r="C190" s="97"/>
      <c r="D190" s="97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197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199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198</v>
      </c>
      <c r="N216" s="28">
        <v>203080</v>
      </c>
    </row>
    <row r="217" spans="1:14" ht="18" customHeight="1">
      <c r="A217" s="97" t="s">
        <v>200</v>
      </c>
      <c r="B217" s="97"/>
      <c r="C217" s="97"/>
      <c r="D217" s="97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197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199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7" t="s">
        <v>200</v>
      </c>
      <c r="B244" s="97"/>
      <c r="C244" s="97"/>
      <c r="D244" s="97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197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199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198</v>
      </c>
      <c r="N270" s="20">
        <f>346400+269080</f>
        <v>615480</v>
      </c>
    </row>
    <row r="271" spans="1:14" ht="18" customHeight="1">
      <c r="A271" s="97" t="s">
        <v>200</v>
      </c>
      <c r="B271" s="97"/>
      <c r="C271" s="97"/>
      <c r="D271" s="97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197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199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198</v>
      </c>
      <c r="N297" s="20">
        <f>35160+383610</f>
        <v>418770</v>
      </c>
    </row>
    <row r="298" spans="1:14" ht="18" customHeight="1">
      <c r="A298" s="97" t="s">
        <v>200</v>
      </c>
      <c r="B298" s="97"/>
      <c r="C298" s="97"/>
      <c r="D298" s="97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197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199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198</v>
      </c>
      <c r="N324" s="20">
        <f>411220+466620</f>
        <v>877840</v>
      </c>
    </row>
    <row r="325" spans="1:14" ht="18" customHeight="1">
      <c r="A325" s="97" t="s">
        <v>200</v>
      </c>
      <c r="B325" s="97"/>
      <c r="C325" s="97"/>
      <c r="D325" s="97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210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197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199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198</v>
      </c>
      <c r="N351" s="20"/>
    </row>
    <row r="352" spans="1:14" ht="18" customHeight="1">
      <c r="A352" s="97" t="s">
        <v>200</v>
      </c>
      <c r="B352" s="97"/>
      <c r="C352" s="97"/>
      <c r="D352" s="97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197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199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198</v>
      </c>
      <c r="N378" s="20">
        <v>1299920</v>
      </c>
    </row>
    <row r="379" spans="1:14" ht="18" customHeight="1">
      <c r="A379" s="97" t="s">
        <v>200</v>
      </c>
      <c r="B379" s="97"/>
      <c r="C379" s="97"/>
      <c r="D379" s="97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197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199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198</v>
      </c>
      <c r="N405" s="20">
        <v>1342790</v>
      </c>
    </row>
    <row r="406" spans="1:14" ht="18" customHeight="1">
      <c r="A406" s="97" t="s">
        <v>200</v>
      </c>
      <c r="B406" s="97"/>
      <c r="C406" s="97"/>
      <c r="D406" s="97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197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199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198</v>
      </c>
      <c r="N432" s="20">
        <v>963120</v>
      </c>
    </row>
    <row r="433" spans="1:14" ht="18" customHeight="1">
      <c r="A433" s="97" t="s">
        <v>200</v>
      </c>
      <c r="B433" s="97"/>
      <c r="C433" s="97"/>
      <c r="D433" s="97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199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198</v>
      </c>
      <c r="N459" s="20">
        <v>534910</v>
      </c>
    </row>
    <row r="460" spans="1:14" ht="18" customHeight="1">
      <c r="A460" s="97" t="s">
        <v>200</v>
      </c>
      <c r="B460" s="97"/>
      <c r="C460" s="97"/>
      <c r="D460" s="97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197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199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198</v>
      </c>
      <c r="N486" s="20">
        <v>557170</v>
      </c>
    </row>
    <row r="487" spans="1:14" ht="18" customHeight="1">
      <c r="A487" s="97" t="s">
        <v>200</v>
      </c>
      <c r="B487" s="97"/>
      <c r="C487" s="97"/>
      <c r="D487" s="97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197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199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198</v>
      </c>
      <c r="N513" s="20">
        <v>701090</v>
      </c>
    </row>
    <row r="514" spans="1:14" ht="18" customHeight="1">
      <c r="A514" s="97" t="s">
        <v>200</v>
      </c>
      <c r="B514" s="97"/>
      <c r="C514" s="97"/>
      <c r="D514" s="97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220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197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199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198</v>
      </c>
      <c r="N540" s="20">
        <v>915770</v>
      </c>
    </row>
    <row r="541" spans="1:14" ht="18" customHeight="1">
      <c r="A541" s="97" t="s">
        <v>200</v>
      </c>
      <c r="B541" s="97"/>
      <c r="C541" s="97"/>
      <c r="D541" s="97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197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199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198</v>
      </c>
      <c r="N567" s="20">
        <v>636740</v>
      </c>
    </row>
    <row r="568" spans="1:14" ht="18" customHeight="1">
      <c r="A568" s="97" t="s">
        <v>200</v>
      </c>
      <c r="B568" s="97"/>
      <c r="C568" s="97"/>
      <c r="D568" s="97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197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199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198</v>
      </c>
      <c r="N594" s="20">
        <v>394820</v>
      </c>
    </row>
    <row r="595" spans="1:14" ht="18" customHeight="1">
      <c r="A595" s="97" t="s">
        <v>200</v>
      </c>
      <c r="B595" s="97"/>
      <c r="C595" s="97"/>
      <c r="D595" s="97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197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230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199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198</v>
      </c>
      <c r="N621" s="20">
        <v>587370</v>
      </c>
    </row>
    <row r="622" spans="1:14" ht="18" customHeight="1">
      <c r="A622" s="97" t="s">
        <v>200</v>
      </c>
      <c r="B622" s="97"/>
      <c r="C622" s="97"/>
      <c r="D622" s="97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197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199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198</v>
      </c>
      <c r="N648" s="20">
        <v>635110</v>
      </c>
    </row>
    <row r="649" spans="1:14" ht="18" customHeight="1">
      <c r="A649" s="97" t="s">
        <v>200</v>
      </c>
      <c r="B649" s="97"/>
      <c r="C649" s="97"/>
      <c r="D649" s="97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197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199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198</v>
      </c>
      <c r="N675" s="20">
        <v>1608610</v>
      </c>
    </row>
    <row r="676" spans="1:14" ht="18" customHeight="1">
      <c r="A676" s="97" t="s">
        <v>200</v>
      </c>
      <c r="B676" s="97"/>
      <c r="C676" s="97"/>
      <c r="D676" s="97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181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197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199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198</v>
      </c>
      <c r="N702" s="20">
        <f>316300+609860</f>
        <v>926160</v>
      </c>
    </row>
    <row r="703" spans="1:14" ht="18" customHeight="1">
      <c r="A703" s="97" t="s">
        <v>200</v>
      </c>
      <c r="B703" s="97"/>
      <c r="C703" s="97"/>
      <c r="D703" s="97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197</v>
      </c>
      <c r="B716" s="98"/>
      <c r="C716" s="98"/>
      <c r="D716" s="9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199</v>
      </c>
      <c r="B729" s="98"/>
      <c r="C729" s="98"/>
      <c r="D729" s="9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198</v>
      </c>
      <c r="N729" s="20">
        <v>706600</v>
      </c>
    </row>
    <row r="730" spans="1:14" ht="18" customHeight="1">
      <c r="A730" s="97" t="s">
        <v>200</v>
      </c>
      <c r="B730" s="97"/>
      <c r="C730" s="97"/>
      <c r="D730" s="97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197</v>
      </c>
      <c r="B743" s="98"/>
      <c r="C743" s="98"/>
      <c r="D743" s="9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198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199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1646670</v>
      </c>
    </row>
    <row r="757" spans="1:14" ht="18" customHeight="1">
      <c r="A757" s="22" t="s">
        <v>200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201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183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236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237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197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198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96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199</v>
      </c>
      <c r="B783" s="98"/>
      <c r="C783" s="98"/>
      <c r="D783" s="98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1736080</v>
      </c>
    </row>
    <row r="784" spans="1:14" ht="18" customHeight="1">
      <c r="A784" s="97" t="s">
        <v>200</v>
      </c>
      <c r="B784" s="97"/>
      <c r="C784" s="97"/>
      <c r="D784" s="97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201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>
        <v>0.29166666666666669</v>
      </c>
      <c r="K785" s="13">
        <v>0.51875000000000004</v>
      </c>
      <c r="L785" s="71">
        <f t="shared" ref="L785:L796" si="178">IFERROR(IF(K785="","",IF(K785&gt;=J785,K785-J785,K785+1-J785)),"")</f>
        <v>0.22708333333333336</v>
      </c>
      <c r="M785" s="29" t="s">
        <v>235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 t="s">
        <v>20</v>
      </c>
      <c r="H786" s="10" t="s">
        <v>23</v>
      </c>
      <c r="I786" s="10" t="s">
        <v>180</v>
      </c>
      <c r="J786" s="13">
        <v>0.71250000000000002</v>
      </c>
      <c r="K786" s="13">
        <v>0.7270833333333333</v>
      </c>
      <c r="L786" s="70">
        <f t="shared" si="178"/>
        <v>1.4583333333333282E-2</v>
      </c>
      <c r="M786" s="29" t="s">
        <v>238</v>
      </c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>
        <v>25</v>
      </c>
      <c r="F794" s="12">
        <f t="shared" si="177"/>
        <v>125</v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>
        <v>35</v>
      </c>
      <c r="F795" s="17">
        <f t="shared" si="177"/>
        <v>175</v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>
        <v>10</v>
      </c>
      <c r="F796" s="12">
        <f t="shared" si="177"/>
        <v>50</v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197</v>
      </c>
      <c r="B797" s="98"/>
      <c r="C797" s="98"/>
      <c r="D797" s="98"/>
      <c r="E797" s="19">
        <f>SUM(E785:E796)</f>
        <v>206</v>
      </c>
      <c r="F797" s="19">
        <f>SUM(F785:F796)</f>
        <v>1030</v>
      </c>
      <c r="G797" s="18"/>
      <c r="H797" s="18"/>
      <c r="I797" s="18"/>
      <c r="J797" s="18"/>
      <c r="K797" s="18"/>
      <c r="L797" s="72">
        <f>IFERROR(SUM(L785:L796),"")</f>
        <v>0.24166666666666664</v>
      </c>
      <c r="M797" s="19" t="s">
        <v>198</v>
      </c>
      <c r="N797" s="20">
        <v>930640</v>
      </c>
    </row>
    <row r="798" spans="1:14" ht="15" customHeight="1">
      <c r="A798" s="58">
        <v>46203</v>
      </c>
      <c r="B798" s="9">
        <v>0.83333333333333304</v>
      </c>
      <c r="C798" s="10" t="s">
        <v>45</v>
      </c>
      <c r="D798" s="10" t="s">
        <v>30</v>
      </c>
      <c r="E798" s="11">
        <v>14</v>
      </c>
      <c r="F798" s="12">
        <f t="shared" ref="F798:F809" si="180">IF(E798="","",E798*5)</f>
        <v>70</v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0" t="s">
        <v>45</v>
      </c>
      <c r="D799" s="10" t="s">
        <v>30</v>
      </c>
      <c r="E799" s="11">
        <v>20</v>
      </c>
      <c r="F799" s="17">
        <f t="shared" si="180"/>
        <v>100</v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 t="s">
        <v>45</v>
      </c>
      <c r="D800" s="10" t="s">
        <v>30</v>
      </c>
      <c r="E800" s="11">
        <v>21</v>
      </c>
      <c r="F800" s="12">
        <f t="shared" si="180"/>
        <v>105</v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0" t="s">
        <v>45</v>
      </c>
      <c r="D801" s="10" t="s">
        <v>30</v>
      </c>
      <c r="E801" s="11">
        <v>48</v>
      </c>
      <c r="F801" s="17">
        <f t="shared" si="180"/>
        <v>240</v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 t="s">
        <v>45</v>
      </c>
      <c r="D802" s="10" t="s">
        <v>30</v>
      </c>
      <c r="E802" s="11">
        <v>52</v>
      </c>
      <c r="F802" s="12">
        <f t="shared" si="180"/>
        <v>260</v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0" t="s">
        <v>45</v>
      </c>
      <c r="D803" s="10" t="s">
        <v>30</v>
      </c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 t="s">
        <v>45</v>
      </c>
      <c r="D804" s="10" t="s">
        <v>30</v>
      </c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0" t="s">
        <v>45</v>
      </c>
      <c r="D805" s="10" t="s">
        <v>30</v>
      </c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 t="s">
        <v>45</v>
      </c>
      <c r="D806" s="10" t="s">
        <v>30</v>
      </c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0" t="s">
        <v>45</v>
      </c>
      <c r="D807" s="10" t="s">
        <v>30</v>
      </c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 t="s">
        <v>45</v>
      </c>
      <c r="D808" s="10" t="s">
        <v>30</v>
      </c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0" t="s">
        <v>45</v>
      </c>
      <c r="D809" s="10" t="s">
        <v>30</v>
      </c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199</v>
      </c>
      <c r="B810" s="98"/>
      <c r="C810" s="98"/>
      <c r="D810" s="98"/>
      <c r="E810" s="19">
        <f>SUM(E798:E809)</f>
        <v>155</v>
      </c>
      <c r="F810" s="19">
        <f>SUM(F798:F809)</f>
        <v>775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7" t="s">
        <v>200</v>
      </c>
      <c r="B811" s="97"/>
      <c r="C811" s="97"/>
      <c r="D811" s="97"/>
      <c r="E811" s="22">
        <f>E797+E810</f>
        <v>361</v>
      </c>
      <c r="F811" s="22">
        <f>F797+F810</f>
        <v>1805</v>
      </c>
      <c r="G811" s="21"/>
      <c r="H811" s="21"/>
      <c r="I811" s="21"/>
      <c r="J811" s="21"/>
      <c r="K811" s="21"/>
      <c r="L811" s="73">
        <f>IFERROR(L797+L810,"")</f>
        <v>0.24166666666666664</v>
      </c>
      <c r="M811" s="22" t="s">
        <v>201</v>
      </c>
      <c r="N811" s="23">
        <f>IFERROR(N797+N810,"")</f>
        <v>930640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8" zoomScale="85" zoomScaleNormal="85" workbookViewId="0">
      <selection activeCell="E804" sqref="E80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239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198</v>
      </c>
      <c r="N27" s="20">
        <v>1035240</v>
      </c>
    </row>
    <row r="28" spans="1:14" ht="18" customHeight="1">
      <c r="A28" s="97" t="s">
        <v>200</v>
      </c>
      <c r="B28" s="97"/>
      <c r="C28" s="97"/>
      <c r="D28" s="97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240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198</v>
      </c>
      <c r="N54" s="20">
        <v>871960</v>
      </c>
    </row>
    <row r="55" spans="1:14" ht="18" customHeight="1">
      <c r="A55" s="97" t="s">
        <v>200</v>
      </c>
      <c r="B55" s="97"/>
      <c r="C55" s="97"/>
      <c r="D55" s="97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241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242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198</v>
      </c>
      <c r="N81" s="20">
        <v>482250</v>
      </c>
    </row>
    <row r="82" spans="1:14" ht="18" customHeight="1">
      <c r="A82" s="97" t="s">
        <v>200</v>
      </c>
      <c r="B82" s="97"/>
      <c r="C82" s="97"/>
      <c r="D82" s="97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243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244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198</v>
      </c>
      <c r="N108" s="20">
        <v>529500</v>
      </c>
    </row>
    <row r="109" spans="1:14" ht="18" customHeight="1">
      <c r="A109" s="97" t="s">
        <v>200</v>
      </c>
      <c r="B109" s="97"/>
      <c r="C109" s="97"/>
      <c r="D109" s="97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244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244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244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245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198</v>
      </c>
      <c r="N135" s="20">
        <v>666150</v>
      </c>
    </row>
    <row r="136" spans="1:14" ht="18" customHeight="1">
      <c r="A136" s="97" t="s">
        <v>200</v>
      </c>
      <c r="B136" s="97"/>
      <c r="C136" s="97"/>
      <c r="D136" s="97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243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246</v>
      </c>
      <c r="I139" s="16" t="s">
        <v>247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244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198</v>
      </c>
      <c r="N162" s="35">
        <v>183240</v>
      </c>
    </row>
    <row r="163" spans="1:14" ht="18" customHeight="1">
      <c r="A163" s="97" t="s">
        <v>200</v>
      </c>
      <c r="B163" s="97"/>
      <c r="C163" s="97"/>
      <c r="D163" s="97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248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248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248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248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248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248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248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248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198</v>
      </c>
      <c r="N189" s="20">
        <v>0</v>
      </c>
    </row>
    <row r="190" spans="1:14" ht="18" customHeight="1">
      <c r="A190" s="97" t="s">
        <v>200</v>
      </c>
      <c r="B190" s="97"/>
      <c r="C190" s="97"/>
      <c r="D190" s="97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248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249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198</v>
      </c>
      <c r="N216" s="28">
        <v>525070</v>
      </c>
    </row>
    <row r="217" spans="1:14" ht="18" customHeight="1">
      <c r="A217" s="97" t="s">
        <v>200</v>
      </c>
      <c r="B217" s="97"/>
      <c r="C217" s="97"/>
      <c r="D217" s="97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250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244000</v>
      </c>
    </row>
    <row r="244" spans="1:14" ht="18" customHeight="1">
      <c r="A244" s="97" t="s">
        <v>200</v>
      </c>
      <c r="B244" s="97"/>
      <c r="C244" s="97"/>
      <c r="D244" s="97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252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198</v>
      </c>
      <c r="N270" s="20">
        <v>8130</v>
      </c>
    </row>
    <row r="271" spans="1:14" ht="18" customHeight="1">
      <c r="A271" s="97" t="s">
        <v>200</v>
      </c>
      <c r="B271" s="97"/>
      <c r="C271" s="97"/>
      <c r="D271" s="97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254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198</v>
      </c>
      <c r="N297" s="20">
        <f>229280+228660</f>
        <v>457940</v>
      </c>
    </row>
    <row r="298" spans="1:14" ht="18" customHeight="1">
      <c r="A298" s="97" t="s">
        <v>200</v>
      </c>
      <c r="B298" s="97"/>
      <c r="C298" s="97"/>
      <c r="D298" s="97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255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256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256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257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258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259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261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198</v>
      </c>
      <c r="N324" s="20">
        <f>217310+197670</f>
        <v>414980</v>
      </c>
    </row>
    <row r="325" spans="1:14" ht="18" customHeight="1">
      <c r="A325" s="97" t="s">
        <v>200</v>
      </c>
      <c r="B325" s="97"/>
      <c r="C325" s="97"/>
      <c r="D325" s="97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262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263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264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265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198</v>
      </c>
      <c r="N351" s="20">
        <f>135270+304860</f>
        <v>440130</v>
      </c>
    </row>
    <row r="352" spans="1:14" ht="18" customHeight="1">
      <c r="A352" s="97" t="s">
        <v>200</v>
      </c>
      <c r="B352" s="97"/>
      <c r="C352" s="97"/>
      <c r="D352" s="97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267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268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198</v>
      </c>
      <c r="N378" s="20">
        <f>291750+291000</f>
        <v>582750</v>
      </c>
    </row>
    <row r="379" spans="1:14" ht="18" customHeight="1">
      <c r="A379" s="97" t="s">
        <v>200</v>
      </c>
      <c r="B379" s="97"/>
      <c r="C379" s="97"/>
      <c r="D379" s="97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269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270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198</v>
      </c>
      <c r="N405" s="20">
        <v>305810</v>
      </c>
    </row>
    <row r="406" spans="1:14" ht="18" customHeight="1">
      <c r="A406" s="97" t="s">
        <v>200</v>
      </c>
      <c r="B406" s="97"/>
      <c r="C406" s="97"/>
      <c r="D406" s="97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271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272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273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274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275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198</v>
      </c>
      <c r="N432" s="20">
        <v>522180</v>
      </c>
    </row>
    <row r="433" spans="1:14" ht="18" customHeight="1">
      <c r="A433" s="97" t="s">
        <v>200</v>
      </c>
      <c r="B433" s="97"/>
      <c r="C433" s="97"/>
      <c r="D433" s="97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276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277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279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198</v>
      </c>
      <c r="N459" s="20">
        <v>560220</v>
      </c>
    </row>
    <row r="460" spans="1:14" ht="18" customHeight="1">
      <c r="A460" s="97" t="s">
        <v>200</v>
      </c>
      <c r="B460" s="97"/>
      <c r="C460" s="97"/>
      <c r="D460" s="97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280</v>
      </c>
      <c r="J465" s="13">
        <v>0.70833333333333337</v>
      </c>
      <c r="K465" s="13" t="s">
        <v>281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283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284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198</v>
      </c>
      <c r="N486" s="20">
        <v>400000</v>
      </c>
    </row>
    <row r="487" spans="1:14" ht="18" customHeight="1">
      <c r="A487" s="97" t="s">
        <v>200</v>
      </c>
      <c r="B487" s="97"/>
      <c r="C487" s="97"/>
      <c r="D487" s="97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285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198</v>
      </c>
      <c r="N513" s="20">
        <f>1031250+71560</f>
        <v>1102810</v>
      </c>
    </row>
    <row r="514" spans="1:14" ht="18" customHeight="1">
      <c r="A514" s="97" t="s">
        <v>200</v>
      </c>
      <c r="B514" s="97"/>
      <c r="C514" s="97"/>
      <c r="D514" s="97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286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288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289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290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290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198</v>
      </c>
      <c r="N540" s="20">
        <v>504470</v>
      </c>
    </row>
    <row r="541" spans="1:14" ht="18" customHeight="1">
      <c r="A541" s="97" t="s">
        <v>200</v>
      </c>
      <c r="B541" s="97"/>
      <c r="C541" s="97"/>
      <c r="D541" s="97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291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198</v>
      </c>
      <c r="N567" s="20">
        <v>0</v>
      </c>
    </row>
    <row r="568" spans="1:14" ht="18" customHeight="1">
      <c r="A568" s="97" t="s">
        <v>200</v>
      </c>
      <c r="B568" s="97"/>
      <c r="C568" s="97"/>
      <c r="D568" s="97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292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198</v>
      </c>
      <c r="N594" s="20">
        <v>258960</v>
      </c>
    </row>
    <row r="595" spans="1:14" ht="18" customHeight="1">
      <c r="A595" s="97" t="s">
        <v>200</v>
      </c>
      <c r="B595" s="97"/>
      <c r="C595" s="97"/>
      <c r="D595" s="97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293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294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295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296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297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198</v>
      </c>
      <c r="N621" s="20">
        <v>687740</v>
      </c>
    </row>
    <row r="622" spans="1:14" ht="18" customHeight="1">
      <c r="A622" s="97" t="s">
        <v>200</v>
      </c>
      <c r="B622" s="97"/>
      <c r="C622" s="97"/>
      <c r="D622" s="97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298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299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300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301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198</v>
      </c>
      <c r="N648" s="20">
        <f>47050+58630</f>
        <v>105680</v>
      </c>
    </row>
    <row r="649" spans="1:14" ht="18" customHeight="1">
      <c r="A649" s="97" t="s">
        <v>200</v>
      </c>
      <c r="B649" s="97"/>
      <c r="C649" s="97"/>
      <c r="D649" s="97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302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303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304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198</v>
      </c>
      <c r="N675" s="20">
        <v>546550</v>
      </c>
    </row>
    <row r="676" spans="1:14" ht="18" customHeight="1">
      <c r="A676" s="97" t="s">
        <v>200</v>
      </c>
      <c r="B676" s="97"/>
      <c r="C676" s="97"/>
      <c r="D676" s="97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305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306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307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198</v>
      </c>
      <c r="N702" s="20">
        <f>430070+116100</f>
        <v>546170</v>
      </c>
    </row>
    <row r="703" spans="1:14" ht="18" customHeight="1">
      <c r="A703" s="97" t="s">
        <v>200</v>
      </c>
      <c r="B703" s="97"/>
      <c r="C703" s="97"/>
      <c r="D703" s="97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308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198</v>
      </c>
      <c r="N729" s="20">
        <v>477920</v>
      </c>
    </row>
    <row r="730" spans="1:14" ht="18" customHeight="1">
      <c r="A730" s="97" t="s">
        <v>200</v>
      </c>
      <c r="B730" s="97"/>
      <c r="C730" s="97"/>
      <c r="D730" s="97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309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198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310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379890</v>
      </c>
    </row>
    <row r="757" spans="1:14" ht="18" customHeight="1">
      <c r="A757" s="97" t="s">
        <v>200</v>
      </c>
      <c r="B757" s="97"/>
      <c r="C757" s="97"/>
      <c r="D757" s="97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201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311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312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198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198</v>
      </c>
      <c r="N783" s="20">
        <v>602090</v>
      </c>
    </row>
    <row r="784" spans="1:14" ht="18" customHeight="1">
      <c r="A784" s="97" t="s">
        <v>200</v>
      </c>
      <c r="B784" s="97"/>
      <c r="C784" s="97"/>
      <c r="D784" s="97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201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186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186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313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>
        <v>11</v>
      </c>
      <c r="F793" s="93">
        <f>IF(E793="","",E793*4)</f>
        <v>44</v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>
        <v>0</v>
      </c>
      <c r="F794" s="80">
        <f>IF(E794="","",E794*4)</f>
        <v>0</v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>
        <v>21</v>
      </c>
      <c r="F795" s="93">
        <f>IF(E795="","",E795*4)</f>
        <v>84</v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>
        <v>8</v>
      </c>
      <c r="F796" s="80">
        <f>IF(E796="","",E796*4)</f>
        <v>32</v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100</v>
      </c>
      <c r="F797" s="19">
        <f>SUM(F785:F796)</f>
        <v>400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198</v>
      </c>
      <c r="N797" s="20">
        <v>698510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11</v>
      </c>
      <c r="F798" s="80">
        <f>IF(E798="","",E798*4)</f>
        <v>44</v>
      </c>
      <c r="G798" s="76" t="s">
        <v>19</v>
      </c>
      <c r="H798" s="76" t="s">
        <v>151</v>
      </c>
      <c r="I798" s="76" t="s">
        <v>27</v>
      </c>
      <c r="J798" s="13">
        <v>0.83333333333333337</v>
      </c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76" t="s">
        <v>45</v>
      </c>
      <c r="D799" s="76" t="s">
        <v>30</v>
      </c>
      <c r="E799" s="11">
        <v>0</v>
      </c>
      <c r="F799" s="93">
        <f>IF(E799="","",E799*4)</f>
        <v>0</v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 t="s">
        <v>45</v>
      </c>
      <c r="D800" s="76" t="s">
        <v>30</v>
      </c>
      <c r="E800" s="11">
        <v>10</v>
      </c>
      <c r="F800" s="80">
        <f>IF(E800="","",E800*4)</f>
        <v>40</v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76" t="s">
        <v>45</v>
      </c>
      <c r="D801" s="76" t="s">
        <v>30</v>
      </c>
      <c r="E801" s="11">
        <v>11</v>
      </c>
      <c r="F801" s="93">
        <f>IF(E801="","",E801*4)</f>
        <v>44</v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 t="s">
        <v>45</v>
      </c>
      <c r="D802" s="76" t="s">
        <v>30</v>
      </c>
      <c r="E802" s="11">
        <v>11</v>
      </c>
      <c r="F802" s="80">
        <f t="shared" ref="F798:F809" si="179">IF(E802="","",E802*4)</f>
        <v>44</v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76" t="s">
        <v>45</v>
      </c>
      <c r="D803" s="76" t="s">
        <v>30</v>
      </c>
      <c r="E803" s="11">
        <v>12</v>
      </c>
      <c r="F803" s="93">
        <f t="shared" si="179"/>
        <v>48</v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 t="s">
        <v>45</v>
      </c>
      <c r="D804" s="76" t="s">
        <v>30</v>
      </c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76" t="s">
        <v>45</v>
      </c>
      <c r="D805" s="76" t="s">
        <v>30</v>
      </c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 t="s">
        <v>45</v>
      </c>
      <c r="D806" s="76" t="s">
        <v>30</v>
      </c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76" t="s">
        <v>45</v>
      </c>
      <c r="D807" s="76" t="s">
        <v>30</v>
      </c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 t="s">
        <v>45</v>
      </c>
      <c r="D808" s="76" t="s">
        <v>30</v>
      </c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76" t="s">
        <v>45</v>
      </c>
      <c r="D809" s="76" t="s">
        <v>30</v>
      </c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55</v>
      </c>
      <c r="F810" s="19">
        <f>SUM(F798:F809)</f>
        <v>220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7" t="s">
        <v>200</v>
      </c>
      <c r="B811" s="97"/>
      <c r="C811" s="97"/>
      <c r="D811" s="97"/>
      <c r="E811" s="22">
        <f>E797+E810</f>
        <v>155</v>
      </c>
      <c r="F811" s="22">
        <f>F797+F810</f>
        <v>620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201</v>
      </c>
      <c r="N811" s="23">
        <f>IFERROR(N797+N810,"")</f>
        <v>698510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95" activePane="bottomLeft" state="frozen"/>
      <selection pane="bottomLeft" activeCell="E804" sqref="E80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314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198</v>
      </c>
      <c r="N27" s="20"/>
    </row>
    <row r="28" spans="1:14" ht="18" customHeight="1">
      <c r="A28" s="97" t="s">
        <v>200</v>
      </c>
      <c r="B28" s="97"/>
      <c r="C28" s="97"/>
      <c r="D28" s="97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198</v>
      </c>
      <c r="N54" s="20"/>
    </row>
    <row r="55" spans="1:14" ht="18" customHeight="1">
      <c r="A55" s="97" t="s">
        <v>200</v>
      </c>
      <c r="B55" s="97"/>
      <c r="C55" s="97"/>
      <c r="D55" s="97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315</v>
      </c>
      <c r="I80" s="10" t="s">
        <v>242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198</v>
      </c>
      <c r="N81" s="20">
        <v>206440</v>
      </c>
    </row>
    <row r="82" spans="1:14" ht="18" customHeight="1">
      <c r="A82" s="97" t="s">
        <v>200</v>
      </c>
      <c r="B82" s="97"/>
      <c r="C82" s="97"/>
      <c r="D82" s="97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198</v>
      </c>
      <c r="N108" s="20"/>
    </row>
    <row r="109" spans="1:14" ht="18" customHeight="1">
      <c r="A109" s="97" t="s">
        <v>200</v>
      </c>
      <c r="B109" s="97"/>
      <c r="C109" s="97"/>
      <c r="D109" s="97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/>
    </row>
    <row r="136" spans="1:14" ht="18" customHeight="1">
      <c r="A136" s="97" t="s">
        <v>200</v>
      </c>
      <c r="B136" s="97"/>
      <c r="C136" s="97"/>
      <c r="D136" s="97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198</v>
      </c>
      <c r="N162" s="20">
        <v>0</v>
      </c>
    </row>
    <row r="163" spans="1:14" ht="18" customHeight="1">
      <c r="A163" s="97" t="s">
        <v>200</v>
      </c>
      <c r="B163" s="97"/>
      <c r="C163" s="97"/>
      <c r="D163" s="97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198</v>
      </c>
      <c r="N189" s="20">
        <v>0</v>
      </c>
    </row>
    <row r="190" spans="1:14" ht="18" customHeight="1">
      <c r="A190" s="97" t="s">
        <v>200</v>
      </c>
      <c r="B190" s="97"/>
      <c r="C190" s="97"/>
      <c r="D190" s="97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198</v>
      </c>
      <c r="N216" s="20"/>
    </row>
    <row r="217" spans="1:14" ht="18" customHeight="1">
      <c r="A217" s="97" t="s">
        <v>200</v>
      </c>
      <c r="B217" s="97"/>
      <c r="C217" s="97"/>
      <c r="D217" s="97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180000</v>
      </c>
    </row>
    <row r="244" spans="1:14" ht="18" customHeight="1">
      <c r="A244" s="97" t="s">
        <v>200</v>
      </c>
      <c r="B244" s="97"/>
      <c r="C244" s="97"/>
      <c r="D244" s="97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316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198</v>
      </c>
      <c r="N270" s="20">
        <f>103170+137770</f>
        <v>240940</v>
      </c>
    </row>
    <row r="271" spans="1:14" ht="18" customHeight="1">
      <c r="A271" s="97" t="s">
        <v>200</v>
      </c>
      <c r="B271" s="97"/>
      <c r="C271" s="97"/>
      <c r="D271" s="97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317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198</v>
      </c>
      <c r="N297" s="20">
        <f>110740+118380</f>
        <v>229120</v>
      </c>
    </row>
    <row r="298" spans="1:14" ht="18" customHeight="1">
      <c r="A298" s="97" t="s">
        <v>200</v>
      </c>
      <c r="B298" s="97"/>
      <c r="C298" s="97"/>
      <c r="D298" s="97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318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198</v>
      </c>
      <c r="N324" s="20">
        <f>119730+227060</f>
        <v>346790</v>
      </c>
    </row>
    <row r="325" spans="1:14" ht="18" customHeight="1">
      <c r="A325" s="97" t="s">
        <v>200</v>
      </c>
      <c r="B325" s="97"/>
      <c r="C325" s="97"/>
      <c r="D325" s="97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265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198</v>
      </c>
      <c r="N351" s="20">
        <f>50730+24450</f>
        <v>75180</v>
      </c>
    </row>
    <row r="352" spans="1:14" ht="18" customHeight="1">
      <c r="A352" s="97" t="s">
        <v>200</v>
      </c>
      <c r="B352" s="97"/>
      <c r="C352" s="97"/>
      <c r="D352" s="97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320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198</v>
      </c>
      <c r="N378" s="20">
        <f>151130+160740</f>
        <v>311870</v>
      </c>
    </row>
    <row r="379" spans="1:14" ht="18" customHeight="1">
      <c r="A379" s="97" t="s">
        <v>200</v>
      </c>
      <c r="B379" s="97"/>
      <c r="C379" s="97"/>
      <c r="D379" s="97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198</v>
      </c>
      <c r="N405" s="20">
        <v>340530</v>
      </c>
    </row>
    <row r="406" spans="1:14" ht="18" customHeight="1">
      <c r="A406" s="97" t="s">
        <v>200</v>
      </c>
      <c r="B406" s="97"/>
      <c r="C406" s="97"/>
      <c r="D406" s="97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198</v>
      </c>
      <c r="N432" s="20">
        <v>169230</v>
      </c>
    </row>
    <row r="433" spans="1:14" ht="18" customHeight="1">
      <c r="A433" s="97" t="s">
        <v>200</v>
      </c>
      <c r="B433" s="97"/>
      <c r="C433" s="97"/>
      <c r="D433" s="97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321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198</v>
      </c>
      <c r="N459" s="20">
        <v>221750</v>
      </c>
    </row>
    <row r="460" spans="1:14" ht="18" customHeight="1">
      <c r="A460" s="97" t="s">
        <v>200</v>
      </c>
      <c r="B460" s="97"/>
      <c r="C460" s="97"/>
      <c r="D460" s="97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280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282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198</v>
      </c>
      <c r="N486" s="20">
        <v>240000</v>
      </c>
    </row>
    <row r="487" spans="1:14" ht="18" customHeight="1">
      <c r="A487" s="97" t="s">
        <v>200</v>
      </c>
      <c r="B487" s="97"/>
      <c r="C487" s="97"/>
      <c r="D487" s="97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198</v>
      </c>
      <c r="N513" s="20">
        <v>3930</v>
      </c>
    </row>
    <row r="514" spans="1:14" ht="18" customHeight="1">
      <c r="A514" s="97" t="s">
        <v>200</v>
      </c>
      <c r="B514" s="97"/>
      <c r="C514" s="97"/>
      <c r="D514" s="97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288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198</v>
      </c>
      <c r="N540" s="20">
        <v>304230</v>
      </c>
    </row>
    <row r="541" spans="1:14" ht="18" customHeight="1">
      <c r="A541" s="97" t="s">
        <v>200</v>
      </c>
      <c r="B541" s="97"/>
      <c r="C541" s="97"/>
      <c r="D541" s="97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276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198</v>
      </c>
      <c r="N567" s="20">
        <v>437260</v>
      </c>
    </row>
    <row r="568" spans="1:14" ht="18" customHeight="1">
      <c r="A568" s="97" t="s">
        <v>200</v>
      </c>
      <c r="B568" s="97"/>
      <c r="C568" s="97"/>
      <c r="D568" s="97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324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325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260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198</v>
      </c>
      <c r="N594" s="20">
        <v>269570</v>
      </c>
    </row>
    <row r="595" spans="1:14" ht="18" customHeight="1">
      <c r="A595" s="97" t="s">
        <v>200</v>
      </c>
      <c r="B595" s="97"/>
      <c r="C595" s="97"/>
      <c r="D595" s="97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326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198</v>
      </c>
      <c r="N621" s="20">
        <v>176650</v>
      </c>
    </row>
    <row r="622" spans="1:14" ht="18" customHeight="1">
      <c r="A622" s="97" t="s">
        <v>200</v>
      </c>
      <c r="B622" s="97"/>
      <c r="C622" s="97"/>
      <c r="D622" s="97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327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328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198</v>
      </c>
      <c r="N648" s="20">
        <f>154590+56700</f>
        <v>211290</v>
      </c>
    </row>
    <row r="649" spans="1:14" ht="18" customHeight="1">
      <c r="A649" s="97" t="s">
        <v>200</v>
      </c>
      <c r="B649" s="97"/>
      <c r="C649" s="97"/>
      <c r="D649" s="97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198</v>
      </c>
      <c r="N675" s="20">
        <v>234010</v>
      </c>
    </row>
    <row r="676" spans="1:14" ht="18" customHeight="1">
      <c r="A676" s="97" t="s">
        <v>200</v>
      </c>
      <c r="B676" s="97"/>
      <c r="C676" s="97"/>
      <c r="D676" s="97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329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198</v>
      </c>
      <c r="N702" s="20">
        <f>151740+85690</f>
        <v>237430</v>
      </c>
    </row>
    <row r="703" spans="1:14" ht="18" customHeight="1">
      <c r="A703" s="97" t="s">
        <v>200</v>
      </c>
      <c r="B703" s="97"/>
      <c r="C703" s="97"/>
      <c r="D703" s="97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198</v>
      </c>
      <c r="N729" s="20">
        <v>377030</v>
      </c>
    </row>
    <row r="730" spans="1:14" ht="18" customHeight="1">
      <c r="A730" s="97" t="s">
        <v>200</v>
      </c>
      <c r="B730" s="97"/>
      <c r="C730" s="97"/>
      <c r="D730" s="97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309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330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198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310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265090</v>
      </c>
    </row>
    <row r="757" spans="1:14" ht="18" customHeight="1">
      <c r="A757" s="97" t="s">
        <v>200</v>
      </c>
      <c r="B757" s="97"/>
      <c r="C757" s="97"/>
      <c r="D757" s="97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201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331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313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198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357910</v>
      </c>
    </row>
    <row r="784" spans="1:14" ht="18" customHeight="1">
      <c r="A784" s="97" t="s">
        <v>200</v>
      </c>
      <c r="B784" s="97"/>
      <c r="C784" s="97"/>
      <c r="D784" s="97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201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4"/>
        <v>4.9305555555555602E-2</v>
      </c>
      <c r="M790" s="11" t="s">
        <v>332</v>
      </c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 t="s">
        <v>18</v>
      </c>
      <c r="H791" s="67" t="s">
        <v>47</v>
      </c>
      <c r="I791" s="67" t="s">
        <v>148</v>
      </c>
      <c r="J791" s="13">
        <v>0.72361111111111109</v>
      </c>
      <c r="K791" s="13">
        <v>0.74375000000000002</v>
      </c>
      <c r="L791" s="86">
        <f t="shared" si="174"/>
        <v>2.0138888888888928E-2</v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 t="s">
        <v>20</v>
      </c>
      <c r="H792" s="76" t="s">
        <v>47</v>
      </c>
      <c r="I792" s="76" t="s">
        <v>51</v>
      </c>
      <c r="J792" s="13" t="s">
        <v>333</v>
      </c>
      <c r="K792" s="13">
        <v>0.76666666666666672</v>
      </c>
      <c r="L792" s="86" t="str">
        <f t="shared" si="174"/>
        <v/>
      </c>
      <c r="M792" s="11" t="s">
        <v>313</v>
      </c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>
        <v>3</v>
      </c>
      <c r="F794" s="80">
        <f>IF(E794="","",E794*4)</f>
        <v>12</v>
      </c>
      <c r="G794" s="76"/>
      <c r="H794" s="76"/>
      <c r="I794" s="76"/>
      <c r="J794" s="13"/>
      <c r="K794" s="13"/>
      <c r="L794" s="86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>
        <v>0</v>
      </c>
      <c r="F795" s="93">
        <f>IF(E795="","",E795*4)</f>
        <v>0</v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0.13958333333333328</v>
      </c>
      <c r="M797" s="19" t="s">
        <v>198</v>
      </c>
      <c r="N797" s="20">
        <v>279560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8</v>
      </c>
      <c r="F798" s="80">
        <f>IF(E798="","",E798*4)</f>
        <v>32</v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76" t="s">
        <v>45</v>
      </c>
      <c r="D799" s="76" t="s">
        <v>30</v>
      </c>
      <c r="E799" s="11">
        <v>5</v>
      </c>
      <c r="F799" s="93">
        <f>IF(E799="","",E799*4)</f>
        <v>20</v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 t="s">
        <v>45</v>
      </c>
      <c r="D800" s="76" t="s">
        <v>30</v>
      </c>
      <c r="E800" s="11">
        <v>7</v>
      </c>
      <c r="F800" s="80">
        <f>IF(E800="","",E800*4)</f>
        <v>28</v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76" t="s">
        <v>45</v>
      </c>
      <c r="D801" s="76" t="s">
        <v>30</v>
      </c>
      <c r="E801" s="11">
        <v>4</v>
      </c>
      <c r="F801" s="93">
        <f t="shared" ref="F798:F809" si="178">IF(E801="","",E801*4)</f>
        <v>16</v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 t="s">
        <v>45</v>
      </c>
      <c r="D802" s="76" t="s">
        <v>30</v>
      </c>
      <c r="E802" s="11">
        <v>4</v>
      </c>
      <c r="F802" s="80">
        <f t="shared" si="178"/>
        <v>16</v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76" t="s">
        <v>45</v>
      </c>
      <c r="D803" s="76" t="s">
        <v>30</v>
      </c>
      <c r="E803" s="11">
        <v>5</v>
      </c>
      <c r="F803" s="93">
        <f t="shared" si="178"/>
        <v>20</v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 t="s">
        <v>45</v>
      </c>
      <c r="D804" s="76" t="s">
        <v>30</v>
      </c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76" t="s">
        <v>45</v>
      </c>
      <c r="D805" s="76" t="s">
        <v>30</v>
      </c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 t="s">
        <v>45</v>
      </c>
      <c r="D806" s="76" t="s">
        <v>30</v>
      </c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76" t="s">
        <v>45</v>
      </c>
      <c r="D807" s="76" t="s">
        <v>30</v>
      </c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 t="s">
        <v>45</v>
      </c>
      <c r="D808" s="76" t="s">
        <v>30</v>
      </c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76" t="s">
        <v>45</v>
      </c>
      <c r="D809" s="76" t="s">
        <v>30</v>
      </c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33</v>
      </c>
      <c r="F810" s="19">
        <f>SUM(F798:F809)</f>
        <v>132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7" t="s">
        <v>200</v>
      </c>
      <c r="B811" s="97"/>
      <c r="C811" s="97"/>
      <c r="D811" s="97"/>
      <c r="E811" s="22">
        <f>E797+E810</f>
        <v>74</v>
      </c>
      <c r="F811" s="22">
        <f>F797+F810</f>
        <v>296</v>
      </c>
      <c r="G811" s="21"/>
      <c r="H811" s="21"/>
      <c r="I811" s="21"/>
      <c r="J811" s="21"/>
      <c r="K811" s="21"/>
      <c r="L811" s="73">
        <f>IFERROR(L797+L810,"")</f>
        <v>0.13958333333333328</v>
      </c>
      <c r="M811" s="22" t="s">
        <v>201</v>
      </c>
      <c r="N811" s="23">
        <f>IFERROR(N797+N810,"")</f>
        <v>279560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89" activePane="bottomLeft" state="frozen"/>
      <selection pane="bottomLeft" activeCell="E804" sqref="E804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57" t="s">
        <v>13</v>
      </c>
      <c r="E1" s="8" t="s">
        <v>188</v>
      </c>
      <c r="F1" s="8" t="s">
        <v>334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335</v>
      </c>
      <c r="I2" s="10" t="s">
        <v>336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335</v>
      </c>
      <c r="I3" s="16" t="s">
        <v>336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335</v>
      </c>
      <c r="I4" s="10" t="s">
        <v>336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335</v>
      </c>
      <c r="I5" s="16" t="s">
        <v>336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335</v>
      </c>
      <c r="I6" s="10" t="s">
        <v>336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335</v>
      </c>
      <c r="I7" s="16" t="s">
        <v>336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335</v>
      </c>
      <c r="I8" s="10" t="s">
        <v>336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335</v>
      </c>
      <c r="I9" s="16" t="s">
        <v>336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335</v>
      </c>
      <c r="I10" s="10" t="s">
        <v>336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335</v>
      </c>
      <c r="I11" s="16" t="s">
        <v>336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335</v>
      </c>
      <c r="I12" s="10" t="s">
        <v>336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335</v>
      </c>
      <c r="I13" s="16" t="s">
        <v>336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198</v>
      </c>
      <c r="N27" s="20">
        <v>537710</v>
      </c>
    </row>
    <row r="28" spans="1:14" ht="18" customHeight="1">
      <c r="A28" s="97" t="s">
        <v>200</v>
      </c>
      <c r="B28" s="97"/>
      <c r="C28" s="97"/>
      <c r="D28" s="97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339</v>
      </c>
      <c r="I33" s="16" t="s">
        <v>340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196</v>
      </c>
      <c r="H36" s="10" t="s">
        <v>341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242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198</v>
      </c>
      <c r="N54" s="20">
        <v>800250</v>
      </c>
    </row>
    <row r="55" spans="1:14" ht="18" customHeight="1">
      <c r="A55" s="97" t="s">
        <v>200</v>
      </c>
      <c r="B55" s="97"/>
      <c r="C55" s="97"/>
      <c r="D55" s="97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341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198</v>
      </c>
      <c r="N81" s="20">
        <v>423590</v>
      </c>
    </row>
    <row r="82" spans="1:14" ht="18" customHeight="1">
      <c r="A82" s="97" t="s">
        <v>200</v>
      </c>
      <c r="B82" s="97"/>
      <c r="C82" s="97"/>
      <c r="D82" s="97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342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198</v>
      </c>
      <c r="N108" s="20">
        <v>784300</v>
      </c>
    </row>
    <row r="109" spans="1:14" ht="18" customHeight="1">
      <c r="A109" s="97" t="s">
        <v>200</v>
      </c>
      <c r="B109" s="97"/>
      <c r="C109" s="97"/>
      <c r="D109" s="97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196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198</v>
      </c>
      <c r="N135" s="20">
        <v>527600</v>
      </c>
    </row>
    <row r="136" spans="1:14" ht="18" customHeight="1">
      <c r="A136" s="97" t="s">
        <v>200</v>
      </c>
      <c r="B136" s="97"/>
      <c r="C136" s="97"/>
      <c r="D136" s="97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198</v>
      </c>
      <c r="N162" s="20">
        <v>215370</v>
      </c>
    </row>
    <row r="163" spans="1:14" ht="18" customHeight="1">
      <c r="A163" s="97" t="s">
        <v>200</v>
      </c>
      <c r="B163" s="97"/>
      <c r="C163" s="97"/>
      <c r="D163" s="97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198</v>
      </c>
      <c r="N189" s="20">
        <v>400530</v>
      </c>
    </row>
    <row r="190" spans="1:14" ht="18" customHeight="1">
      <c r="A190" s="97" t="s">
        <v>200</v>
      </c>
      <c r="B190" s="97"/>
      <c r="C190" s="97"/>
      <c r="D190" s="97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245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198</v>
      </c>
      <c r="N216" s="28">
        <v>704110</v>
      </c>
    </row>
    <row r="217" spans="1:14" ht="18" customHeight="1">
      <c r="A217" s="97" t="s">
        <v>200</v>
      </c>
      <c r="B217" s="97"/>
      <c r="C217" s="97"/>
      <c r="D217" s="97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260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7" t="s">
        <v>200</v>
      </c>
      <c r="B244" s="97"/>
      <c r="C244" s="97"/>
      <c r="D244" s="97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198</v>
      </c>
      <c r="N270" s="20">
        <f>214250+252630</f>
        <v>466880</v>
      </c>
    </row>
    <row r="271" spans="1:14" ht="18" customHeight="1">
      <c r="A271" s="97" t="s">
        <v>200</v>
      </c>
      <c r="B271" s="97"/>
      <c r="C271" s="97"/>
      <c r="D271" s="97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198</v>
      </c>
      <c r="N297" s="20">
        <f>124260+105220</f>
        <v>229480</v>
      </c>
    </row>
    <row r="298" spans="1:14" ht="18" customHeight="1">
      <c r="A298" s="97" t="s">
        <v>200</v>
      </c>
      <c r="B298" s="97"/>
      <c r="C298" s="97"/>
      <c r="D298" s="97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350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318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351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351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351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352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198</v>
      </c>
      <c r="N324" s="20">
        <f>311920+165290</f>
        <v>477210</v>
      </c>
    </row>
    <row r="325" spans="1:14" ht="18" customHeight="1">
      <c r="A325" s="97" t="s">
        <v>200</v>
      </c>
      <c r="B325" s="97"/>
      <c r="C325" s="97"/>
      <c r="D325" s="97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265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198</v>
      </c>
      <c r="N351" s="20">
        <f>117790+390790</f>
        <v>508580</v>
      </c>
    </row>
    <row r="352" spans="1:14" ht="18" customHeight="1">
      <c r="A352" s="97" t="s">
        <v>200</v>
      </c>
      <c r="B352" s="97"/>
      <c r="C352" s="97"/>
      <c r="D352" s="97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320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198</v>
      </c>
      <c r="N378" s="20">
        <f>490380+390690</f>
        <v>881070</v>
      </c>
    </row>
    <row r="379" spans="1:14" ht="18" customHeight="1">
      <c r="A379" s="97" t="s">
        <v>200</v>
      </c>
      <c r="B379" s="97"/>
      <c r="C379" s="97"/>
      <c r="D379" s="97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198</v>
      </c>
      <c r="N405" s="20">
        <v>745910</v>
      </c>
    </row>
    <row r="406" spans="1:14" ht="18" customHeight="1">
      <c r="A406" s="97" t="s">
        <v>200</v>
      </c>
      <c r="B406" s="97"/>
      <c r="C406" s="97"/>
      <c r="D406" s="97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332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356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357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198</v>
      </c>
      <c r="N432" s="20">
        <v>669300</v>
      </c>
    </row>
    <row r="433" spans="1:16" ht="18" customHeight="1">
      <c r="A433" s="97" t="s">
        <v>200</v>
      </c>
      <c r="B433" s="97"/>
      <c r="C433" s="97"/>
      <c r="D433" s="97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198</v>
      </c>
      <c r="N459" s="20">
        <v>561580</v>
      </c>
    </row>
    <row r="460" spans="1:14" ht="18" customHeight="1">
      <c r="A460" s="97" t="s">
        <v>200</v>
      </c>
      <c r="B460" s="97"/>
      <c r="C460" s="97"/>
      <c r="D460" s="97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282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282</v>
      </c>
      <c r="N472" s="41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358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313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359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198</v>
      </c>
      <c r="N486" s="20">
        <v>508000</v>
      </c>
    </row>
    <row r="487" spans="1:14" ht="18" customHeight="1">
      <c r="A487" s="97" t="s">
        <v>200</v>
      </c>
      <c r="B487" s="97"/>
      <c r="C487" s="97"/>
      <c r="D487" s="97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360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361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198</v>
      </c>
      <c r="N513" s="20">
        <v>745760</v>
      </c>
    </row>
    <row r="514" spans="1:14" ht="18" customHeight="1">
      <c r="A514" s="97" t="s">
        <v>200</v>
      </c>
      <c r="B514" s="97"/>
      <c r="C514" s="97"/>
      <c r="D514" s="97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362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363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260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198</v>
      </c>
      <c r="N540" s="20">
        <v>426450</v>
      </c>
    </row>
    <row r="541" spans="1:14" ht="18" customHeight="1">
      <c r="A541" s="97" t="s">
        <v>200</v>
      </c>
      <c r="B541" s="97"/>
      <c r="C541" s="97"/>
      <c r="D541" s="97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364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365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366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198</v>
      </c>
      <c r="N567" s="20">
        <v>652080</v>
      </c>
    </row>
    <row r="568" spans="1:14" ht="18" customHeight="1">
      <c r="A568" s="97" t="s">
        <v>200</v>
      </c>
      <c r="B568" s="97"/>
      <c r="C568" s="97"/>
      <c r="D568" s="97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367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368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369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286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260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198</v>
      </c>
      <c r="N594" s="20">
        <v>800310</v>
      </c>
    </row>
    <row r="595" spans="1:14" ht="18" customHeight="1">
      <c r="A595" s="97" t="s">
        <v>200</v>
      </c>
      <c r="B595" s="97"/>
      <c r="C595" s="97"/>
      <c r="D595" s="97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370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371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198</v>
      </c>
      <c r="N621" s="20">
        <v>141320</v>
      </c>
    </row>
    <row r="622" spans="1:14" ht="18" customHeight="1">
      <c r="A622" s="97" t="s">
        <v>200</v>
      </c>
      <c r="B622" s="97"/>
      <c r="C622" s="97"/>
      <c r="D622" s="97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313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372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373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198</v>
      </c>
      <c r="N648" s="20">
        <f>89640+153770</f>
        <v>243410</v>
      </c>
    </row>
    <row r="649" spans="1:14" ht="18" customHeight="1">
      <c r="A649" s="97" t="s">
        <v>200</v>
      </c>
      <c r="B649" s="97"/>
      <c r="C649" s="97"/>
      <c r="D649" s="97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374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198</v>
      </c>
      <c r="N675" s="20">
        <v>425320</v>
      </c>
    </row>
    <row r="676" spans="1:14" ht="18" customHeight="1">
      <c r="A676" s="97" t="s">
        <v>200</v>
      </c>
      <c r="B676" s="97"/>
      <c r="C676" s="97"/>
      <c r="D676" s="97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375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376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198</v>
      </c>
      <c r="N702" s="20">
        <f>626540+94190</f>
        <v>720730</v>
      </c>
    </row>
    <row r="703" spans="1:14" ht="18" customHeight="1">
      <c r="A703" s="97" t="s">
        <v>200</v>
      </c>
      <c r="B703" s="97"/>
      <c r="C703" s="97"/>
      <c r="D703" s="97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377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378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379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380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381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198</v>
      </c>
      <c r="N729" s="20">
        <v>874110</v>
      </c>
    </row>
    <row r="730" spans="1:14" ht="18" customHeight="1">
      <c r="A730" s="97" t="s">
        <v>200</v>
      </c>
      <c r="B730" s="97"/>
      <c r="C730" s="97"/>
      <c r="D730" s="97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382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309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330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198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310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198</v>
      </c>
      <c r="N756" s="20">
        <v>1001690</v>
      </c>
    </row>
    <row r="757" spans="1:14" ht="18" customHeight="1">
      <c r="A757" s="97" t="s">
        <v>200</v>
      </c>
      <c r="B757" s="97"/>
      <c r="C757" s="97"/>
      <c r="D757" s="97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201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383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331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197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198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198</v>
      </c>
      <c r="N783" s="20">
        <v>1318280</v>
      </c>
    </row>
    <row r="784" spans="1:14" ht="18" customHeight="1">
      <c r="A784" s="97" t="s">
        <v>200</v>
      </c>
      <c r="B784" s="97"/>
      <c r="C784" s="97"/>
      <c r="D784" s="97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201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384</v>
      </c>
      <c r="K786" s="13">
        <v>0.5395833333333333</v>
      </c>
      <c r="L786" s="77" t="str">
        <f t="shared" si="175"/>
        <v/>
      </c>
      <c r="M786" s="11" t="s">
        <v>385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386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>
        <v>11</v>
      </c>
      <c r="F794" s="80">
        <f>IF(E794="","",E794*4)</f>
        <v>44</v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>
        <v>8</v>
      </c>
      <c r="F795" s="93">
        <f>IF(E795="","",E795*4)</f>
        <v>32</v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197</v>
      </c>
      <c r="B797" s="109"/>
      <c r="C797" s="109"/>
      <c r="D797" s="109"/>
      <c r="E797" s="19">
        <f>SUM(E785:E796)</f>
        <v>104</v>
      </c>
      <c r="F797" s="19">
        <f>SUM(F785:F796)</f>
        <v>416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198</v>
      </c>
      <c r="N797" s="20">
        <v>638180</v>
      </c>
    </row>
    <row r="798" spans="1:14" ht="15" customHeight="1">
      <c r="A798" s="94">
        <v>46203</v>
      </c>
      <c r="B798" s="95">
        <v>0.83333333333333304</v>
      </c>
      <c r="C798" s="76" t="s">
        <v>45</v>
      </c>
      <c r="D798" s="87" t="s">
        <v>30</v>
      </c>
      <c r="E798" s="11">
        <v>10</v>
      </c>
      <c r="F798" s="80">
        <f>IF(E798="","",E798*4)</f>
        <v>40</v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76" t="s">
        <v>45</v>
      </c>
      <c r="D799" s="87" t="s">
        <v>30</v>
      </c>
      <c r="E799" s="11">
        <v>8</v>
      </c>
      <c r="F799" s="93">
        <f>IF(E799="","",E799*4)</f>
        <v>32</v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 t="s">
        <v>45</v>
      </c>
      <c r="D800" s="87" t="s">
        <v>30</v>
      </c>
      <c r="E800" s="11">
        <v>21</v>
      </c>
      <c r="F800" s="80">
        <f>IF(E800="","",E800*4)</f>
        <v>84</v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76" t="s">
        <v>45</v>
      </c>
      <c r="D801" s="87" t="s">
        <v>30</v>
      </c>
      <c r="E801" s="11">
        <v>16</v>
      </c>
      <c r="F801" s="93">
        <f t="shared" ref="F798:F809" si="179">IF(E801="","",E801*4)</f>
        <v>64</v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 t="s">
        <v>45</v>
      </c>
      <c r="D802" s="87" t="s">
        <v>30</v>
      </c>
      <c r="E802" s="11">
        <v>8</v>
      </c>
      <c r="F802" s="80">
        <f t="shared" si="179"/>
        <v>32</v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76" t="s">
        <v>45</v>
      </c>
      <c r="D803" s="87" t="s">
        <v>30</v>
      </c>
      <c r="E803" s="11">
        <v>10</v>
      </c>
      <c r="F803" s="93">
        <f t="shared" si="179"/>
        <v>40</v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 t="s">
        <v>45</v>
      </c>
      <c r="D804" s="87" t="s">
        <v>30</v>
      </c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76" t="s">
        <v>45</v>
      </c>
      <c r="D805" s="87" t="s">
        <v>30</v>
      </c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 t="s">
        <v>45</v>
      </c>
      <c r="D806" s="87" t="s">
        <v>30</v>
      </c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76" t="s">
        <v>45</v>
      </c>
      <c r="D807" s="87" t="s">
        <v>30</v>
      </c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 t="s">
        <v>45</v>
      </c>
      <c r="D808" s="87" t="s">
        <v>30</v>
      </c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76" t="s">
        <v>45</v>
      </c>
      <c r="D809" s="87" t="s">
        <v>30</v>
      </c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199</v>
      </c>
      <c r="B810" s="109"/>
      <c r="C810" s="109"/>
      <c r="D810" s="109"/>
      <c r="E810" s="19">
        <f>SUM(E798:E809)</f>
        <v>73</v>
      </c>
      <c r="F810" s="19">
        <f>SUM(F798:F809)</f>
        <v>292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198</v>
      </c>
      <c r="N810" s="20"/>
    </row>
    <row r="811" spans="1:14" ht="18" customHeight="1">
      <c r="A811" s="110" t="s">
        <v>200</v>
      </c>
      <c r="B811" s="110"/>
      <c r="C811" s="110"/>
      <c r="D811" s="110"/>
      <c r="E811" s="22">
        <f>E797+E810</f>
        <v>177</v>
      </c>
      <c r="F811" s="22">
        <f>F797+F810</f>
        <v>708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201</v>
      </c>
      <c r="N811" s="96">
        <f>IFERROR(N797+N810,"")</f>
        <v>638180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2026-07-01T05:00:50Z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