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338" documentId="8_{AF585B22-221D-4780-BB9C-493D365A6A02}" xr6:coauthVersionLast="47" xr6:coauthVersionMax="47" xr10:uidLastSave="{EEA59FC2-17F1-405F-B28B-32CBDD61EE11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<sst xmlns="http://schemas.openxmlformats.org/spreadsheetml/2006/main" count="3291" uniqueCount="259">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</sst>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15131070</v>
      </c>
      <c r="D35" s="13">
        <f>IFERROR(SUM(D4:D34),"")</f>
        <v>7238930</v>
      </c>
      <c r="E35" s="13">
        <f>IFERROR(SUM(E4:E34),"")</f>
        <v>3700390</v>
      </c>
      <c r="F35" s="13">
        <f>IFERROR(SUM(F4:F34),"")</f>
        <v>6731590</v>
      </c>
      <c r="G35" s="13">
        <f>IFERROR(SUM(G4:G34),"")</f>
        <v>17670910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192</v>
      </c>
      <c r="L58" s="16"/>
      <c r="M58" s="16"/>
    </row>
    <row r="59" spans="1:13" ht="15" customHeight="1">
      <c r="H59" s="97"/>
      <c r="I59" s="17"/>
      <c r="J59" s="17"/>
      <c r="K59" s="17" t="s">
        <v>193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41" activePane="bottomLeft" state="frozen"/>
      <selection pane="bottomLeft" activeCell="F171" sqref="F17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204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0" t="s">
        <v>207</v>
      </c>
      <c r="B14" s="91"/>
      <c r="C14" s="91"/>
      <c r="D14" s="91"/>
      <c r="E14" s="9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0" t="s">
        <v>209</v>
      </c>
      <c r="B27" s="91"/>
      <c r="C27" s="91"/>
      <c r="D27" s="91"/>
      <c r="E27" s="9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208</v>
      </c>
      <c r="O27" s="39">
        <v>1183060</v>
      </c>
    </row>
    <row r="28" spans="1:15" ht="18" customHeight="1">
      <c r="A28" s="87" t="s">
        <v>210</v>
      </c>
      <c r="B28" s="88"/>
      <c r="C28" s="88"/>
      <c r="D28" s="88"/>
      <c r="E28" s="8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0" t="s">
        <v>207</v>
      </c>
      <c r="B41" s="91"/>
      <c r="C41" s="91"/>
      <c r="D41" s="91"/>
      <c r="E41" s="9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0" t="s">
        <v>209</v>
      </c>
      <c r="B54" s="91"/>
      <c r="C54" s="91"/>
      <c r="D54" s="91"/>
      <c r="E54" s="9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208</v>
      </c>
      <c r="O54" s="39">
        <v>959290</v>
      </c>
    </row>
    <row r="55" spans="1:15" ht="18" customHeight="1">
      <c r="A55" s="87" t="s">
        <v>210</v>
      </c>
      <c r="B55" s="88"/>
      <c r="C55" s="88"/>
      <c r="D55" s="88"/>
      <c r="E55" s="8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0" t="s">
        <v>207</v>
      </c>
      <c r="B68" s="91"/>
      <c r="C68" s="91"/>
      <c r="D68" s="91"/>
      <c r="E68" s="92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0" t="s">
        <v>209</v>
      </c>
      <c r="B81" s="91"/>
      <c r="C81" s="91"/>
      <c r="D81" s="91"/>
      <c r="E81" s="92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208</v>
      </c>
      <c r="O81" s="39">
        <v>878050</v>
      </c>
    </row>
    <row r="82" spans="1:15" ht="18" customHeight="1">
      <c r="A82" s="87" t="s">
        <v>210</v>
      </c>
      <c r="B82" s="88"/>
      <c r="C82" s="88"/>
      <c r="D82" s="88"/>
      <c r="E82" s="8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0" t="s">
        <v>207</v>
      </c>
      <c r="B95" s="91"/>
      <c r="C95" s="91"/>
      <c r="D95" s="91"/>
      <c r="E95" s="92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0" t="s">
        <v>209</v>
      </c>
      <c r="B108" s="91"/>
      <c r="C108" s="91"/>
      <c r="D108" s="91"/>
      <c r="E108" s="9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208</v>
      </c>
      <c r="O108" s="39">
        <v>1700000</v>
      </c>
    </row>
    <row r="109" spans="1:15" ht="18" customHeight="1">
      <c r="A109" s="87" t="s">
        <v>210</v>
      </c>
      <c r="B109" s="88"/>
      <c r="C109" s="88"/>
      <c r="D109" s="88"/>
      <c r="E109" s="8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0" t="s">
        <v>207</v>
      </c>
      <c r="B122" s="91"/>
      <c r="C122" s="91"/>
      <c r="D122" s="91"/>
      <c r="E122" s="92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0" t="s">
        <v>209</v>
      </c>
      <c r="B135" s="91"/>
      <c r="C135" s="91"/>
      <c r="D135" s="91"/>
      <c r="E135" s="92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208</v>
      </c>
      <c r="O135" s="39">
        <v>862330</v>
      </c>
    </row>
    <row r="136" spans="1:15" ht="18" customHeight="1">
      <c r="A136" s="87" t="s">
        <v>210</v>
      </c>
      <c r="B136" s="88"/>
      <c r="C136" s="88"/>
      <c r="D136" s="88"/>
      <c r="E136" s="8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0" t="s">
        <v>207</v>
      </c>
      <c r="B149" s="91"/>
      <c r="C149" s="91"/>
      <c r="D149" s="91"/>
      <c r="E149" s="92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157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136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0" t="s">
        <v>209</v>
      </c>
      <c r="B162" s="91"/>
      <c r="C162" s="91"/>
      <c r="D162" s="91"/>
      <c r="E162" s="92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208</v>
      </c>
      <c r="O162" s="44">
        <v>1546080</v>
      </c>
    </row>
    <row r="163" spans="1:15" ht="18" customHeight="1">
      <c r="A163" s="87" t="s">
        <v>210</v>
      </c>
      <c r="B163" s="88"/>
      <c r="C163" s="88"/>
      <c r="D163" s="88"/>
      <c r="E163" s="8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121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0" t="s">
        <v>207</v>
      </c>
      <c r="B176" s="91"/>
      <c r="C176" s="91"/>
      <c r="D176" s="91"/>
      <c r="E176" s="92">
        <f>SUM(E164:E175)</f>
        <v>0</v>
      </c>
      <c r="F176" s="36">
        <f>SUM(F164:F175)</f>
        <v>202</v>
      </c>
      <c r="G176" s="36">
        <f>SUM(G164:G175)</f>
        <v>1010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0" t="s">
        <v>209</v>
      </c>
      <c r="B189" s="91"/>
      <c r="C189" s="91"/>
      <c r="D189" s="91"/>
      <c r="E189" s="9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87" t="s">
        <v>210</v>
      </c>
      <c r="B190" s="88"/>
      <c r="C190" s="88"/>
      <c r="D190" s="88"/>
      <c r="E190" s="89">
        <f>E176+E189</f>
        <v>0</v>
      </c>
      <c r="F190" s="40">
        <f>F176+F189</f>
        <v>202</v>
      </c>
      <c r="G190" s="40">
        <f>G176+G189</f>
        <v>1010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0" t="s">
        <v>207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0" t="s">
        <v>209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87" t="s">
        <v>210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0" t="s">
        <v>207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0" t="s">
        <v>209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87" t="s">
        <v>210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0" t="s">
        <v>207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0" t="s">
        <v>209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87" t="s">
        <v>210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0" t="s">
        <v>207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0" t="s">
        <v>209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87" t="s">
        <v>210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0" t="s">
        <v>207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0" t="s">
        <v>209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87" t="s">
        <v>210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0" t="s">
        <v>207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0" t="s">
        <v>209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87" t="s">
        <v>210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0" t="s">
        <v>207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0" t="s">
        <v>209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87" t="s">
        <v>210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0" t="s">
        <v>207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0" t="s">
        <v>209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87" t="s">
        <v>210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0" t="s">
        <v>207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0" t="s">
        <v>209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87" t="s">
        <v>210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0" t="s">
        <v>207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0" t="s">
        <v>209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87" t="s">
        <v>210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0" t="s">
        <v>207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0" t="s">
        <v>209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87" t="s">
        <v>210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0" t="s">
        <v>207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0" t="s">
        <v>209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87" t="s">
        <v>210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0" t="s">
        <v>207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0" t="s">
        <v>209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87" t="s">
        <v>210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0" t="s">
        <v>207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0" t="s">
        <v>209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87" t="s">
        <v>210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0" t="s">
        <v>207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0" t="s">
        <v>209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87" t="s">
        <v>210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0" t="s">
        <v>207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0" t="s">
        <v>209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87" t="s">
        <v>210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0" t="s">
        <v>207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0" t="s">
        <v>209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87" t="s">
        <v>210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0" t="s">
        <v>207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0" t="s">
        <v>209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87" t="s">
        <v>210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0" t="s">
        <v>207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0" t="s">
        <v>209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87" t="s">
        <v>210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0" t="s">
        <v>207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0" t="s">
        <v>209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87" t="s">
        <v>210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0" t="s">
        <v>207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0" t="s">
        <v>209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87" t="s">
        <v>210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0" t="s">
        <v>207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0" t="s">
        <v>209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87" t="s">
        <v>210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0" t="s">
        <v>207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0" t="s">
        <v>209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87" t="s">
        <v>210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4" activePane="bottomLeft" state="frozen"/>
      <selection pane="bottomLeft" activeCell="F176" sqref="F17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0" t="s">
        <v>207</v>
      </c>
      <c r="B14" s="91"/>
      <c r="C14" s="91"/>
      <c r="D14" s="91"/>
      <c r="E14" s="9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0" t="s">
        <v>209</v>
      </c>
      <c r="B27" s="91"/>
      <c r="C27" s="91"/>
      <c r="D27" s="91"/>
      <c r="E27" s="9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208</v>
      </c>
      <c r="O27" s="78">
        <v>393200</v>
      </c>
    </row>
    <row r="28" spans="1:15" ht="18" customHeight="1">
      <c r="A28" s="87" t="s">
        <v>210</v>
      </c>
      <c r="B28" s="88"/>
      <c r="C28" s="88"/>
      <c r="D28" s="88"/>
      <c r="E28" s="8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0" t="s">
        <v>207</v>
      </c>
      <c r="B41" s="91"/>
      <c r="C41" s="91"/>
      <c r="D41" s="91"/>
      <c r="E41" s="9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216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0" t="s">
        <v>209</v>
      </c>
      <c r="B54" s="91"/>
      <c r="C54" s="91"/>
      <c r="D54" s="91"/>
      <c r="E54" s="9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85">
        <v>276360</v>
      </c>
    </row>
    <row r="55" spans="1:15" ht="18" customHeight="1">
      <c r="A55" s="87" t="s">
        <v>210</v>
      </c>
      <c r="B55" s="88"/>
      <c r="C55" s="88"/>
      <c r="D55" s="88"/>
      <c r="E55" s="8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0" t="s">
        <v>207</v>
      </c>
      <c r="B68" s="91"/>
      <c r="C68" s="91"/>
      <c r="D68" s="91"/>
      <c r="E68" s="9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0" t="s">
        <v>209</v>
      </c>
      <c r="B81" s="91"/>
      <c r="C81" s="91"/>
      <c r="D81" s="91"/>
      <c r="E81" s="92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208</v>
      </c>
      <c r="O81" s="54">
        <v>787860</v>
      </c>
    </row>
    <row r="82" spans="1:15" ht="18" customHeight="1">
      <c r="A82" s="87" t="s">
        <v>210</v>
      </c>
      <c r="B82" s="88"/>
      <c r="C82" s="88"/>
      <c r="D82" s="88"/>
      <c r="E82" s="8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0" t="s">
        <v>207</v>
      </c>
      <c r="B95" s="91"/>
      <c r="C95" s="91"/>
      <c r="D95" s="91"/>
      <c r="E95" s="92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0" t="s">
        <v>209</v>
      </c>
      <c r="B108" s="91"/>
      <c r="C108" s="91"/>
      <c r="D108" s="91"/>
      <c r="E108" s="92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208</v>
      </c>
      <c r="O108" s="54">
        <v>1087080</v>
      </c>
    </row>
    <row r="109" spans="1:15" ht="18" customHeight="1">
      <c r="A109" s="87" t="s">
        <v>210</v>
      </c>
      <c r="B109" s="88"/>
      <c r="C109" s="88"/>
      <c r="D109" s="88"/>
      <c r="E109" s="8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0" t="s">
        <v>207</v>
      </c>
      <c r="B122" s="91"/>
      <c r="C122" s="91"/>
      <c r="D122" s="91"/>
      <c r="E122" s="92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0" t="s">
        <v>209</v>
      </c>
      <c r="B135" s="91"/>
      <c r="C135" s="91"/>
      <c r="D135" s="91"/>
      <c r="E135" s="92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208</v>
      </c>
      <c r="O135" s="54">
        <v>794480</v>
      </c>
    </row>
    <row r="136" spans="1:15" ht="18" customHeight="1">
      <c r="A136" s="87" t="s">
        <v>210</v>
      </c>
      <c r="B136" s="88"/>
      <c r="C136" s="88"/>
      <c r="D136" s="88"/>
      <c r="E136" s="8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0" t="s">
        <v>207</v>
      </c>
      <c r="B149" s="91"/>
      <c r="C149" s="91"/>
      <c r="D149" s="91"/>
      <c r="E149" s="92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0" t="s">
        <v>209</v>
      </c>
      <c r="B162" s="91"/>
      <c r="C162" s="91"/>
      <c r="D162" s="91"/>
      <c r="E162" s="92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208</v>
      </c>
      <c r="O162" s="54">
        <v>882280</v>
      </c>
    </row>
    <row r="163" spans="1:15" ht="18" customHeight="1">
      <c r="A163" s="87" t="s">
        <v>210</v>
      </c>
      <c r="B163" s="88"/>
      <c r="C163" s="88"/>
      <c r="D163" s="88"/>
      <c r="E163" s="8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31</v>
      </c>
      <c r="J164" s="26" t="s">
        <v>193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0.29747152778145391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0" t="s">
        <v>207</v>
      </c>
      <c r="B176" s="91"/>
      <c r="C176" s="91"/>
      <c r="D176" s="91"/>
      <c r="E176" s="9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0.29747152778145391</v>
      </c>
      <c r="N176" s="36" t="s">
        <v>208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0" t="s">
        <v>209</v>
      </c>
      <c r="B189" s="91"/>
      <c r="C189" s="91"/>
      <c r="D189" s="91"/>
      <c r="E189" s="9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78"/>
    </row>
    <row r="190" spans="1:15" ht="18" customHeight="1">
      <c r="A190" s="87" t="s">
        <v>210</v>
      </c>
      <c r="B190" s="88"/>
      <c r="C190" s="88"/>
      <c r="D190" s="88"/>
      <c r="E190" s="8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0.29747152778145391</v>
      </c>
      <c r="N190" s="40" t="s">
        <v>211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0" t="s">
        <v>207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0" t="s">
        <v>209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78"/>
    </row>
    <row r="217" spans="1:15" ht="18" customHeight="1">
      <c r="A217" s="87" t="s">
        <v>210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0" t="s">
        <v>207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0" t="s">
        <v>209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78"/>
    </row>
    <row r="244" spans="1:15" ht="18" customHeight="1">
      <c r="A244" s="87" t="s">
        <v>210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0" t="s">
        <v>207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0" t="s">
        <v>209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78"/>
    </row>
    <row r="271" spans="1:15" ht="18" customHeight="1">
      <c r="A271" s="87" t="s">
        <v>210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0" t="s">
        <v>207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0" t="s">
        <v>209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78"/>
    </row>
    <row r="298" spans="1:15" ht="18" customHeight="1">
      <c r="A298" s="87" t="s">
        <v>210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0" t="s">
        <v>207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0" t="s">
        <v>209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78"/>
    </row>
    <row r="325" spans="1:15" ht="18" customHeight="1">
      <c r="A325" s="87" t="s">
        <v>210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0" t="s">
        <v>207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0" t="s">
        <v>209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78"/>
    </row>
    <row r="352" spans="1:15" ht="18" customHeight="1">
      <c r="A352" s="87" t="s">
        <v>210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0" t="s">
        <v>207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0" t="s">
        <v>209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78"/>
    </row>
    <row r="379" spans="1:15" ht="18" customHeight="1">
      <c r="A379" s="87" t="s">
        <v>210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0" t="s">
        <v>207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0" t="s">
        <v>209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78"/>
    </row>
    <row r="406" spans="1:15" ht="18" customHeight="1">
      <c r="A406" s="87" t="s">
        <v>210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0" t="s">
        <v>207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0" t="s">
        <v>209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78"/>
    </row>
    <row r="433" spans="1:15" ht="18" customHeight="1">
      <c r="A433" s="87" t="s">
        <v>210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0" t="s">
        <v>207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0" t="s">
        <v>209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78"/>
    </row>
    <row r="460" spans="1:15" ht="18" customHeight="1">
      <c r="A460" s="87" t="s">
        <v>210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0" t="s">
        <v>207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0" t="s">
        <v>209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78"/>
    </row>
    <row r="487" spans="1:15" ht="18" customHeight="1">
      <c r="A487" s="87" t="s">
        <v>210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0" t="s">
        <v>207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0" t="s">
        <v>209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78"/>
    </row>
    <row r="514" spans="1:15" ht="18" customHeight="1">
      <c r="A514" s="87" t="s">
        <v>210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0" t="s">
        <v>207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0" t="s">
        <v>209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78"/>
    </row>
    <row r="541" spans="1:15" ht="18" customHeight="1">
      <c r="A541" s="87" t="s">
        <v>210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0" t="s">
        <v>207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0" t="s">
        <v>209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78"/>
    </row>
    <row r="568" spans="1:15" ht="18" customHeight="1">
      <c r="A568" s="87" t="s">
        <v>210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0" t="s">
        <v>207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0" t="s">
        <v>209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78"/>
    </row>
    <row r="595" spans="1:15" ht="18" customHeight="1">
      <c r="A595" s="87" t="s">
        <v>210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0" t="s">
        <v>207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0" t="s">
        <v>209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78"/>
    </row>
    <row r="622" spans="1:15" ht="18" customHeight="1">
      <c r="A622" s="87" t="s">
        <v>210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0" t="s">
        <v>207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0" t="s">
        <v>209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78"/>
    </row>
    <row r="649" spans="1:15" ht="18" customHeight="1">
      <c r="A649" s="87" t="s">
        <v>210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0" t="s">
        <v>207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0" t="s">
        <v>209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78"/>
    </row>
    <row r="676" spans="1:15" ht="18" customHeight="1">
      <c r="A676" s="87" t="s">
        <v>210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0" t="s">
        <v>207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0" t="s">
        <v>209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78"/>
    </row>
    <row r="703" spans="1:15" ht="18" customHeight="1">
      <c r="A703" s="87" t="s">
        <v>210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0" t="s">
        <v>207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0" t="s">
        <v>209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78"/>
    </row>
    <row r="730" spans="1:15" ht="18" customHeight="1">
      <c r="A730" s="87" t="s">
        <v>210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0" t="s">
        <v>207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0" t="s">
        <v>209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87" t="s">
        <v>210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0" t="s">
        <v>207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0" t="s">
        <v>209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87" t="s">
        <v>210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0" t="s">
        <v>207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0" t="s">
        <v>209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87" t="s">
        <v>210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34" activePane="bottomLeft" state="frozen"/>
      <selection pane="bottomLeft" activeCell="F171" sqref="F17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0" t="s">
        <v>207</v>
      </c>
      <c r="B14" s="91"/>
      <c r="C14" s="91"/>
      <c r="D14" s="91"/>
      <c r="E14" s="9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0" t="s">
        <v>209</v>
      </c>
      <c r="B27" s="91"/>
      <c r="C27" s="91"/>
      <c r="D27" s="91"/>
      <c r="E27" s="9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208</v>
      </c>
      <c r="O27" s="39">
        <v>308500</v>
      </c>
    </row>
    <row r="28" spans="1:15" ht="18" customHeight="1">
      <c r="A28" s="87" t="s">
        <v>210</v>
      </c>
      <c r="B28" s="88"/>
      <c r="C28" s="88"/>
      <c r="D28" s="88"/>
      <c r="E28" s="8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0" t="s">
        <v>207</v>
      </c>
      <c r="B41" s="91"/>
      <c r="C41" s="91"/>
      <c r="D41" s="91"/>
      <c r="E41" s="9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0" t="s">
        <v>209</v>
      </c>
      <c r="B54" s="91"/>
      <c r="C54" s="91"/>
      <c r="D54" s="91"/>
      <c r="E54" s="9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39">
        <v>124290</v>
      </c>
    </row>
    <row r="55" spans="1:15" ht="18" customHeight="1">
      <c r="A55" s="87" t="s">
        <v>210</v>
      </c>
      <c r="B55" s="88"/>
      <c r="C55" s="88"/>
      <c r="D55" s="88"/>
      <c r="E55" s="8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0" t="s">
        <v>207</v>
      </c>
      <c r="B68" s="91"/>
      <c r="C68" s="91"/>
      <c r="D68" s="91"/>
      <c r="E68" s="92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0" t="s">
        <v>209</v>
      </c>
      <c r="B81" s="91"/>
      <c r="C81" s="91"/>
      <c r="D81" s="91"/>
      <c r="E81" s="92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208</v>
      </c>
      <c r="O81" s="39">
        <v>396340</v>
      </c>
    </row>
    <row r="82" spans="1:15" ht="18" customHeight="1">
      <c r="A82" s="87" t="s">
        <v>210</v>
      </c>
      <c r="B82" s="88"/>
      <c r="C82" s="88"/>
      <c r="D82" s="88"/>
      <c r="E82" s="8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0" t="s">
        <v>207</v>
      </c>
      <c r="B95" s="91"/>
      <c r="C95" s="91"/>
      <c r="D95" s="91"/>
      <c r="E95" s="92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0" t="s">
        <v>209</v>
      </c>
      <c r="B108" s="91"/>
      <c r="C108" s="91"/>
      <c r="D108" s="91"/>
      <c r="E108" s="92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208</v>
      </c>
      <c r="O108" s="39">
        <v>41230</v>
      </c>
    </row>
    <row r="109" spans="1:15" ht="18" customHeight="1">
      <c r="A109" s="87" t="s">
        <v>210</v>
      </c>
      <c r="B109" s="88"/>
      <c r="C109" s="88"/>
      <c r="D109" s="88"/>
      <c r="E109" s="8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0" t="s">
        <v>207</v>
      </c>
      <c r="B122" s="91"/>
      <c r="C122" s="91"/>
      <c r="D122" s="91"/>
      <c r="E122" s="92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0" t="s">
        <v>209</v>
      </c>
      <c r="B135" s="91"/>
      <c r="C135" s="91"/>
      <c r="D135" s="91"/>
      <c r="E135" s="92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208</v>
      </c>
      <c r="O135" s="39">
        <v>381250</v>
      </c>
    </row>
    <row r="136" spans="1:15" ht="18" customHeight="1">
      <c r="A136" s="87" t="s">
        <v>210</v>
      </c>
      <c r="B136" s="88"/>
      <c r="C136" s="88"/>
      <c r="D136" s="88"/>
      <c r="E136" s="8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0" t="s">
        <v>207</v>
      </c>
      <c r="B149" s="91"/>
      <c r="C149" s="91"/>
      <c r="D149" s="91"/>
      <c r="E149" s="92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0" t="s">
        <v>209</v>
      </c>
      <c r="B162" s="91"/>
      <c r="C162" s="91"/>
      <c r="D162" s="91"/>
      <c r="E162" s="92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208</v>
      </c>
      <c r="O162" s="39">
        <v>337120</v>
      </c>
    </row>
    <row r="163" spans="1:15" ht="18" customHeight="1">
      <c r="A163" s="87" t="s">
        <v>210</v>
      </c>
      <c r="B163" s="88"/>
      <c r="C163" s="88"/>
      <c r="D163" s="88"/>
      <c r="E163" s="8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121</v>
      </c>
      <c r="K166" s="29">
        <v>0.45694444444444443</v>
      </c>
      <c r="L166" s="29">
        <v>0.47222222222222221</v>
      </c>
      <c r="M166" s="30" t="s">
        <v>241</v>
      </c>
      <c r="N166" s="27" t="s">
        <v>242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216</v>
      </c>
      <c r="F169" s="27">
        <v>5</v>
      </c>
      <c r="G169" s="34">
        <f t="shared" si="36"/>
        <v>21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216</v>
      </c>
      <c r="F170" s="27">
        <v>1</v>
      </c>
      <c r="G170" s="28">
        <f t="shared" si="36"/>
        <v>4.2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0" t="s">
        <v>207</v>
      </c>
      <c r="B176" s="91"/>
      <c r="C176" s="91"/>
      <c r="D176" s="91"/>
      <c r="E176" s="92">
        <f>SUM(E164:E175)</f>
        <v>0</v>
      </c>
      <c r="F176" s="36">
        <f>SUM(F164:F175)</f>
        <v>43</v>
      </c>
      <c r="G176" s="36">
        <f>SUM(G164:G175)</f>
        <v>183</v>
      </c>
      <c r="H176" s="37"/>
      <c r="I176" s="37"/>
      <c r="J176" s="37"/>
      <c r="K176" s="37"/>
      <c r="L176" s="37"/>
      <c r="M176" s="38">
        <f ca="1">IFERROR(SUM(M164:M175),"")</f>
        <v>2.3611111111111194E-2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0" t="s">
        <v>209</v>
      </c>
      <c r="B189" s="91"/>
      <c r="C189" s="91"/>
      <c r="D189" s="91"/>
      <c r="E189" s="9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87" t="s">
        <v>210</v>
      </c>
      <c r="B190" s="88"/>
      <c r="C190" s="88"/>
      <c r="D190" s="88"/>
      <c r="E190" s="89">
        <f>E176+E189</f>
        <v>0</v>
      </c>
      <c r="F190" s="40">
        <f>F176+F189</f>
        <v>43</v>
      </c>
      <c r="G190" s="40">
        <f>G176+G189</f>
        <v>183</v>
      </c>
      <c r="H190" s="41"/>
      <c r="I190" s="41"/>
      <c r="J190" s="41"/>
      <c r="K190" s="41"/>
      <c r="L190" s="41"/>
      <c r="M190" s="42">
        <f ca="1">IFERROR(M176+M189,"")</f>
        <v>2.3611111111111194E-2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0" t="s">
        <v>207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0" t="s">
        <v>209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39"/>
    </row>
    <row r="217" spans="1:15" ht="18" customHeight="1">
      <c r="A217" s="87" t="s">
        <v>210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0" t="s">
        <v>207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0" t="s">
        <v>209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87" t="s">
        <v>210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0" t="s">
        <v>207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0" t="s">
        <v>209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87" t="s">
        <v>210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0" t="s">
        <v>207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0" t="s">
        <v>209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87" t="s">
        <v>210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0" t="s">
        <v>207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0" t="s">
        <v>209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87" t="s">
        <v>210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0" t="s">
        <v>207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0" t="s">
        <v>209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87" t="s">
        <v>210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0" t="s">
        <v>207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0" t="s">
        <v>209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87" t="s">
        <v>210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0" t="s">
        <v>207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0" t="s">
        <v>209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87" t="s">
        <v>210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0" t="s">
        <v>207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0" t="s">
        <v>209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87" t="s">
        <v>210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0" t="s">
        <v>207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0" t="s">
        <v>209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87" t="s">
        <v>210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0" t="s">
        <v>207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0" t="s">
        <v>209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87" t="s">
        <v>210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0" t="s">
        <v>207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0" t="s">
        <v>209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87" t="s">
        <v>210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0" t="s">
        <v>207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0" t="s">
        <v>209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87" t="s">
        <v>210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0" t="s">
        <v>207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0" t="s">
        <v>209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87" t="s">
        <v>210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0" t="s">
        <v>207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0" t="s">
        <v>209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87" t="s">
        <v>210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0" t="s">
        <v>207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0" t="s">
        <v>209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87" t="s">
        <v>210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0" t="s">
        <v>207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0" t="s">
        <v>209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87" t="s">
        <v>210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0" t="s">
        <v>207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0" t="s">
        <v>209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87" t="s">
        <v>210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0" t="s">
        <v>207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0" t="s">
        <v>209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87" t="s">
        <v>210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0" t="s">
        <v>207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0" t="s">
        <v>209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87" t="s">
        <v>210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0" t="s">
        <v>207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0" t="s">
        <v>209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87" t="s">
        <v>210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0" t="s">
        <v>207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0" t="s">
        <v>209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87" t="s">
        <v>210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0" t="s">
        <v>207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0" t="s">
        <v>209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87" t="s">
        <v>210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32" activePane="bottomLeft" state="frozen"/>
      <selection pane="bottomLeft" activeCell="F171" sqref="F17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0" t="s">
        <v>207</v>
      </c>
      <c r="B14" s="91"/>
      <c r="C14" s="91"/>
      <c r="D14" s="91"/>
      <c r="E14" s="9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0" t="s">
        <v>209</v>
      </c>
      <c r="B27" s="91"/>
      <c r="C27" s="91"/>
      <c r="D27" s="91"/>
      <c r="E27" s="9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208</v>
      </c>
      <c r="O27" s="39">
        <v>202230</v>
      </c>
    </row>
    <row r="28" spans="1:15" ht="18" customHeight="1">
      <c r="A28" s="87" t="s">
        <v>210</v>
      </c>
      <c r="B28" s="88"/>
      <c r="C28" s="88"/>
      <c r="D28" s="88"/>
      <c r="E28" s="8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0" t="s">
        <v>207</v>
      </c>
      <c r="B41" s="91"/>
      <c r="C41" s="91"/>
      <c r="D41" s="91"/>
      <c r="E41" s="9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0" t="s">
        <v>209</v>
      </c>
      <c r="B54" s="91"/>
      <c r="C54" s="91"/>
      <c r="D54" s="91"/>
      <c r="E54" s="9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208</v>
      </c>
      <c r="O54" s="39">
        <v>473910</v>
      </c>
    </row>
    <row r="55" spans="1:15" ht="18" customHeight="1">
      <c r="A55" s="87" t="s">
        <v>210</v>
      </c>
      <c r="B55" s="88"/>
      <c r="C55" s="88"/>
      <c r="D55" s="88"/>
      <c r="E55" s="8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247</v>
      </c>
      <c r="L58" s="29">
        <v>0.54097222222222219</v>
      </c>
      <c r="M58" s="30" t="str">
        <f t="shared" ca="1" si="13"/>
        <v/>
      </c>
      <c r="N58" s="27" t="s">
        <v>248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0" t="s">
        <v>207</v>
      </c>
      <c r="B68" s="91"/>
      <c r="C68" s="91"/>
      <c r="D68" s="91"/>
      <c r="E68" s="92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0" t="s">
        <v>209</v>
      </c>
      <c r="B81" s="91"/>
      <c r="C81" s="91"/>
      <c r="D81" s="91"/>
      <c r="E81" s="92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208</v>
      </c>
      <c r="O81" s="39">
        <v>565120</v>
      </c>
    </row>
    <row r="82" spans="1:15" ht="18" customHeight="1">
      <c r="A82" s="87" t="s">
        <v>210</v>
      </c>
      <c r="B82" s="88"/>
      <c r="C82" s="88"/>
      <c r="D82" s="88"/>
      <c r="E82" s="8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0" t="s">
        <v>207</v>
      </c>
      <c r="B95" s="91"/>
      <c r="C95" s="91"/>
      <c r="D95" s="91"/>
      <c r="E95" s="92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0" t="s">
        <v>209</v>
      </c>
      <c r="B108" s="91"/>
      <c r="C108" s="91"/>
      <c r="D108" s="91"/>
      <c r="E108" s="92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208</v>
      </c>
      <c r="O108" s="39">
        <v>558590</v>
      </c>
    </row>
    <row r="109" spans="1:15" ht="18" customHeight="1">
      <c r="A109" s="87" t="s">
        <v>210</v>
      </c>
      <c r="B109" s="88"/>
      <c r="C109" s="88"/>
      <c r="D109" s="88"/>
      <c r="E109" s="8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0" t="s">
        <v>207</v>
      </c>
      <c r="B122" s="91"/>
      <c r="C122" s="91"/>
      <c r="D122" s="91"/>
      <c r="E122" s="92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0.33983263889240334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0" t="s">
        <v>209</v>
      </c>
      <c r="B135" s="91"/>
      <c r="C135" s="91"/>
      <c r="D135" s="91"/>
      <c r="E135" s="92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0.53913819444795896</v>
      </c>
      <c r="N135" s="36" t="s">
        <v>208</v>
      </c>
      <c r="O135" s="39">
        <v>729290</v>
      </c>
    </row>
    <row r="136" spans="1:18" ht="18" customHeight="1">
      <c r="A136" s="87" t="s">
        <v>210</v>
      </c>
      <c r="B136" s="88"/>
      <c r="C136" s="88"/>
      <c r="D136" s="88"/>
      <c r="E136" s="8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0.90649930555906999</v>
      </c>
      <c r="N136" s="40" t="s">
        <v>211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0" t="s">
        <v>207</v>
      </c>
      <c r="B149" s="91"/>
      <c r="C149" s="91"/>
      <c r="D149" s="91"/>
      <c r="E149" s="92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0" t="s">
        <v>209</v>
      </c>
      <c r="B162" s="91"/>
      <c r="C162" s="91"/>
      <c r="D162" s="91"/>
      <c r="E162" s="92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208</v>
      </c>
      <c r="O162" s="39">
        <v>697320</v>
      </c>
    </row>
    <row r="163" spans="1:15" ht="18" customHeight="1">
      <c r="A163" s="87" t="s">
        <v>210</v>
      </c>
      <c r="B163" s="88"/>
      <c r="C163" s="88"/>
      <c r="D163" s="88"/>
      <c r="E163" s="8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216</v>
      </c>
      <c r="F165" s="27">
        <v>20</v>
      </c>
      <c r="G165" s="34">
        <f t="shared" si="36"/>
        <v>84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>
        <v>10</v>
      </c>
      <c r="G166" s="28">
        <f t="shared" si="36"/>
        <v>42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216</v>
      </c>
      <c r="F167" s="27">
        <v>10</v>
      </c>
      <c r="G167" s="34">
        <f t="shared" si="36"/>
        <v>42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26</v>
      </c>
      <c r="G168" s="28">
        <f t="shared" si="36"/>
        <v>109.2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0" t="s">
        <v>207</v>
      </c>
      <c r="B176" s="91"/>
      <c r="C176" s="91"/>
      <c r="D176" s="91"/>
      <c r="E176" s="92">
        <f>SUM(E164:E175)</f>
        <v>0</v>
      </c>
      <c r="F176" s="36">
        <f>SUM(F164:F175)</f>
        <v>119</v>
      </c>
      <c r="G176" s="36">
        <f>SUM(G164:G175)</f>
        <v>510.2</v>
      </c>
      <c r="H176" s="37"/>
      <c r="I176" s="37"/>
      <c r="J176" s="37"/>
      <c r="K176" s="61"/>
      <c r="L176" s="61"/>
      <c r="M176" s="38">
        <f ca="1">IFERROR(SUM(M164:M175),"")</f>
        <v>1.2499999999999956E-2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0" t="s">
        <v>209</v>
      </c>
      <c r="B189" s="91"/>
      <c r="C189" s="91"/>
      <c r="D189" s="91"/>
      <c r="E189" s="9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87" t="s">
        <v>210</v>
      </c>
      <c r="B190" s="88"/>
      <c r="C190" s="88"/>
      <c r="D190" s="88"/>
      <c r="E190" s="89">
        <f>E176+E189</f>
        <v>0</v>
      </c>
      <c r="F190" s="40">
        <f>F176+F189</f>
        <v>119</v>
      </c>
      <c r="G190" s="40">
        <f>G176+G189</f>
        <v>510.2</v>
      </c>
      <c r="H190" s="41"/>
      <c r="I190" s="41"/>
      <c r="J190" s="41"/>
      <c r="K190" s="63"/>
      <c r="L190" s="63"/>
      <c r="M190" s="42">
        <f ca="1">IFERROR(M176+M189,"")</f>
        <v>1.2499999999999956E-2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0" t="s">
        <v>207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0" t="s">
        <v>209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87" t="s">
        <v>210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0" t="s">
        <v>207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0" t="s">
        <v>209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87" t="s">
        <v>210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0" t="s">
        <v>207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0" t="s">
        <v>209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87" t="s">
        <v>210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0" t="s">
        <v>207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0" t="s">
        <v>209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87" t="s">
        <v>210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0" t="s">
        <v>207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0" t="s">
        <v>209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87" t="s">
        <v>210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0" t="s">
        <v>207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0" t="s">
        <v>209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87" t="s">
        <v>210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0" t="s">
        <v>207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0" t="s">
        <v>209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87" t="s">
        <v>210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0" t="s">
        <v>207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0" t="s">
        <v>209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87" t="s">
        <v>210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0" t="s">
        <v>207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0" t="s">
        <v>209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208</v>
      </c>
      <c r="O432" s="39"/>
    </row>
    <row r="433" spans="1:17" ht="18" customHeight="1">
      <c r="A433" s="87" t="s">
        <v>210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0" t="s">
        <v>207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0" t="s">
        <v>209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87" t="s">
        <v>210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0" t="s">
        <v>207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0" t="s">
        <v>209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87" t="s">
        <v>210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0" t="s">
        <v>207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0" t="s">
        <v>209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87" t="s">
        <v>210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0" t="s">
        <v>207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0" t="s">
        <v>209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87" t="s">
        <v>210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0" t="s">
        <v>207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0" t="s">
        <v>209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87" t="s">
        <v>210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0" t="s">
        <v>207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0" t="s">
        <v>209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87" t="s">
        <v>210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0" t="s">
        <v>207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0" t="s">
        <v>209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87" t="s">
        <v>210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0" t="s">
        <v>207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0" t="s">
        <v>209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87" t="s">
        <v>210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0" t="s">
        <v>207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0" t="s">
        <v>209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87" t="s">
        <v>210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0" t="s">
        <v>207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0" t="s">
        <v>209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87" t="s">
        <v>210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0" t="s">
        <v>207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0" t="s">
        <v>209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87" t="s">
        <v>210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0" t="s">
        <v>207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0" t="s">
        <v>209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87" t="s">
        <v>210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0" t="s">
        <v>207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0" t="s">
        <v>209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87" t="s">
        <v>210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0" t="s">
        <v>207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0" t="s">
        <v>209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87" t="s">
        <v>210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2026-07-07T18:08:49Z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