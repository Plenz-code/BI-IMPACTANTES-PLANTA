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393" documentId="8_{C51EB6CB-002B-4D6B-B68F-DDEBDB4460C0}" xr6:coauthVersionLast="47" xr6:coauthVersionMax="47" xr10:uidLastSave="{A82E6A5C-7A94-414D-B14E-6755476301D9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<sst xmlns="http://schemas.openxmlformats.org/spreadsheetml/2006/main" count="2072" uniqueCount="259">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</sst>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/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203</v>
      </c>
      <c r="L58" s="16"/>
      <c r="M58" s="16"/>
    </row>
    <row r="59" spans="1:13" ht="15" customHeight="1">
      <c r="H59" s="113"/>
      <c r="I59" s="17"/>
      <c r="J59" s="17"/>
      <c r="K59" s="17" t="s">
        <v>204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205</v>
      </c>
      <c r="L61" s="17"/>
      <c r="M61" s="17"/>
    </row>
    <row r="62" spans="1:13" ht="15" customHeight="1">
      <c r="H62" s="113"/>
      <c r="I62" s="16"/>
      <c r="J62" s="16"/>
      <c r="K62" s="16" t="s">
        <v>206</v>
      </c>
      <c r="L62" s="16"/>
      <c r="M62" s="16"/>
    </row>
    <row r="63" spans="1:13" ht="15" customHeight="1">
      <c r="H63" s="113"/>
      <c r="I63" s="17"/>
      <c r="J63" s="17"/>
      <c r="K63" s="17" t="s">
        <v>207</v>
      </c>
      <c r="L63" s="17"/>
      <c r="M63" s="17"/>
    </row>
    <row r="64" spans="1:13" ht="15" customHeight="1">
      <c r="H64" s="113"/>
      <c r="I64" s="16"/>
      <c r="J64" s="16"/>
      <c r="K64" s="16" t="s">
        <v>208</v>
      </c>
      <c r="L64" s="16"/>
      <c r="M64" s="16"/>
    </row>
    <row r="65" spans="8:13" ht="15" customHeight="1">
      <c r="H65" s="113"/>
      <c r="I65" s="17"/>
      <c r="J65" s="17"/>
      <c r="K65" s="17" t="s">
        <v>209</v>
      </c>
      <c r="L65" s="17"/>
      <c r="M65" s="17"/>
    </row>
    <row r="66" spans="8:13" ht="15" customHeight="1">
      <c r="H66" s="113"/>
      <c r="I66" s="16"/>
      <c r="J66" s="16"/>
      <c r="K66" s="16" t="s">
        <v>210</v>
      </c>
      <c r="L66" s="16"/>
      <c r="M66" s="16"/>
    </row>
    <row r="67" spans="8:13" ht="15" customHeight="1">
      <c r="H67" s="113"/>
      <c r="I67" s="17"/>
      <c r="J67" s="17"/>
      <c r="K67" s="17" t="s">
        <v>211</v>
      </c>
      <c r="L67" s="17"/>
      <c r="M67" s="17"/>
    </row>
    <row r="68" spans="8:13" ht="15" customHeight="1">
      <c r="H68" s="113"/>
      <c r="I68" s="16"/>
      <c r="J68" s="16"/>
      <c r="K68" s="16" t="s">
        <v>212</v>
      </c>
      <c r="L68" s="16"/>
      <c r="M68" s="16"/>
    </row>
    <row r="69" spans="8:13" ht="15" customHeight="1">
      <c r="H69" s="113"/>
      <c r="I69" s="17"/>
      <c r="J69" s="17"/>
      <c r="K69" s="17" t="s">
        <v>213</v>
      </c>
      <c r="L69" s="17"/>
      <c r="M69" s="17"/>
    </row>
    <row r="70" spans="8:13" ht="15" customHeight="1">
      <c r="H70" s="113"/>
      <c r="I70" s="16"/>
      <c r="J70" s="16"/>
      <c r="K70" s="16" t="s">
        <v>214</v>
      </c>
      <c r="L70" s="16"/>
      <c r="M70" s="16"/>
    </row>
    <row r="71" spans="8:13" ht="15" customHeight="1">
      <c r="H71" s="113"/>
      <c r="I71" s="17"/>
      <c r="J71" s="17"/>
      <c r="K71" s="17" t="s">
        <v>215</v>
      </c>
      <c r="L71" s="17"/>
      <c r="M71" s="17"/>
    </row>
    <row r="72" spans="8:13" ht="15" customHeight="1">
      <c r="H72" s="113"/>
      <c r="I72" s="16"/>
      <c r="J72" s="16"/>
      <c r="K72" s="16" t="s">
        <v>216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1" sqref="F6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156</v>
      </c>
      <c r="G68" s="36">
        <f>SUM(G56:G67)</f>
        <v>780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156</v>
      </c>
      <c r="G82" s="40">
        <f>G68+G81</f>
        <v>780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5" t="s">
        <v>232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6" activePane="bottomLeft" state="frozen"/>
      <selection pane="bottomLeft" activeCell="J62" sqref="J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0.40795138888643123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0.54684027777532007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0.63156249999754244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/>
      <c r="M62" s="35">
        <f t="shared" ca="1" si="13"/>
        <v>1.6979166670353152E-2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55</v>
      </c>
      <c r="G68" s="36">
        <f>SUM(G56:G67)</f>
        <v>231</v>
      </c>
      <c r="H68" s="37"/>
      <c r="I68" s="37"/>
      <c r="J68" s="37"/>
      <c r="K68" s="37"/>
      <c r="L68" s="37"/>
      <c r="M68" s="38">
        <f ca="1">IFERROR(SUM(M56:M67),"")</f>
        <v>7.8784722225908654E-2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55</v>
      </c>
      <c r="G82" s="40">
        <f>G68+G81</f>
        <v>231</v>
      </c>
      <c r="H82" s="41"/>
      <c r="I82" s="41"/>
      <c r="J82" s="41"/>
      <c r="K82" s="41"/>
      <c r="L82" s="41"/>
      <c r="M82" s="42">
        <f ca="1">IFERROR(M68+M81,"")</f>
        <v>7.8784722225908654E-2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228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42" zoomScale="50" zoomScaleNormal="50" workbookViewId="0">
      <selection activeCell="J60" sqref="J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/>
      <c r="M60" s="30">
        <f t="shared" ca="1" si="13"/>
        <v>1.6979166670353152E-2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23</v>
      </c>
      <c r="G68" s="36">
        <f>SUM(G56:G67)</f>
        <v>96.600000000000009</v>
      </c>
      <c r="H68" s="37"/>
      <c r="I68" s="37"/>
      <c r="J68" s="37"/>
      <c r="K68" s="37"/>
      <c r="L68" s="37"/>
      <c r="M68" s="38">
        <f ca="1">IFERROR(SUM(M56:M67),"")</f>
        <v>5.1701388892575417E-2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23</v>
      </c>
      <c r="G82" s="40">
        <f>G68+G81</f>
        <v>96.600000000000009</v>
      </c>
      <c r="H82" s="41"/>
      <c r="I82" s="41"/>
      <c r="J82" s="41"/>
      <c r="K82" s="41"/>
      <c r="L82" s="41"/>
      <c r="M82" s="42">
        <f ca="1">IFERROR(M68+M81,"")</f>
        <v>5.1701388892575417E-2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32" activePane="bottomLeft" state="frozen"/>
      <selection pane="bottomLeft" activeCell="H58" sqref="H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148</v>
      </c>
      <c r="K58" s="29">
        <v>0.52777777777777779</v>
      </c>
      <c r="L58" s="29"/>
      <c r="M58" s="30">
        <f t="shared" ca="1" si="13"/>
        <v>1.7013888864312321E-3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242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242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76</v>
      </c>
      <c r="G68" s="36">
        <f>SUM(G56:G67)</f>
        <v>319.2</v>
      </c>
      <c r="H68" s="37"/>
      <c r="I68" s="37"/>
      <c r="J68" s="37"/>
      <c r="K68" s="61"/>
      <c r="L68" s="61"/>
      <c r="M68" s="38">
        <f ca="1">IFERROR(SUM(M56:M67),"")</f>
        <v>3.0868055553097962E-2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76</v>
      </c>
      <c r="G82" s="40">
        <f>G68+G81</f>
        <v>319.2</v>
      </c>
      <c r="H82" s="41"/>
      <c r="I82" s="41"/>
      <c r="J82" s="41"/>
      <c r="K82" s="63"/>
      <c r="L82" s="63"/>
      <c r="M82" s="42">
        <f ca="1">IFERROR(M68+M81,"")</f>
        <v>3.0868055553097962E-2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2026-08-03T16:42:30Z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