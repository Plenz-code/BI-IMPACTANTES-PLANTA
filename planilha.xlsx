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39" documentId="8_{AF585B22-221D-4780-BB9C-493D365A6A02}" xr6:coauthVersionLast="47" xr6:coauthVersionMax="47" xr10:uidLastSave="{51F4EF06-DF79-40B9-BB7D-8BCBD545538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<sst xmlns="http://schemas.openxmlformats.org/spreadsheetml/2006/main" count="7845" uniqueCount="352">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</sst>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E494" sqref="E4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91</v>
      </c>
      <c r="G500" s="36">
        <f>SUM(G488:G499)</f>
        <v>382.2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91</v>
      </c>
      <c r="G514" s="40">
        <f>G500+G513</f>
        <v>382.2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0.38480520833400078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0.54244409722288967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0.65216631944511183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0.36327743055881001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0.5341107638921434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0.67924965278103233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2</v>
      </c>
      <c r="G494" s="28">
        <f t="shared" si="108"/>
        <v>10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73</v>
      </c>
      <c r="G500" s="36">
        <f>SUM(G488:G499)</f>
        <v>353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353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L489" sqref="L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6</v>
      </c>
      <c r="G494" s="28">
        <f t="shared" si="108"/>
        <v>30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33</v>
      </c>
      <c r="G500" s="36">
        <f>SUM(G488:G499)</f>
        <v>165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33</v>
      </c>
      <c r="G514" s="40">
        <f>G500+G513</f>
        <v>165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J491" sqref="J4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0.37508298611646751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0.57438854167202313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0.94174965278313416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/>
      <c r="M491" s="35">
        <f ca="1">IFERROR(IF(K491="","",IF(L491="",MOD(NOW()-K491,1),IF(L491&gt;=K491,L491-K491,L491+1-K491))),"")</f>
        <v>1.3277430560265202E-2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>
        <v>18</v>
      </c>
      <c r="G494" s="28">
        <f t="shared" si="108"/>
        <v>90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97</v>
      </c>
      <c r="G500" s="36">
        <f>SUM(G488:G499)</f>
        <v>485</v>
      </c>
      <c r="H500" s="37"/>
      <c r="I500" s="37"/>
      <c r="J500" s="37"/>
      <c r="K500" s="61"/>
      <c r="L500" s="61"/>
      <c r="M500" s="38">
        <f ca="1">IFERROR(SUM(M488:M499),"")</f>
        <v>3.4805208338042959E-2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97</v>
      </c>
      <c r="G514" s="40">
        <f>G500+G513</f>
        <v>485</v>
      </c>
      <c r="H514" s="41"/>
      <c r="I514" s="41"/>
      <c r="J514" s="41"/>
      <c r="K514" s="63"/>
      <c r="L514" s="63"/>
      <c r="M514" s="42">
        <f ca="1">IFERROR(M500+M513,"")</f>
        <v>3.4805208338042959E-2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2026-07-19T18:59:27Z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