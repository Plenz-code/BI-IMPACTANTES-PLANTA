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914" documentId="8_{AF585B22-221D-4780-BB9C-493D365A6A02}" xr6:coauthVersionLast="47" xr6:coauthVersionMax="47" xr10:uidLastSave="{2D993621-2930-49EA-8082-F16CC28CAA33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<sst xmlns="http://schemas.openxmlformats.org/spreadsheetml/2006/main" count="6135" uniqueCount="315">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</sst>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6" activePane="bottomLeft" state="frozen"/>
      <selection pane="bottomLeft" activeCell="F374" sqref="F37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106</v>
      </c>
      <c r="G378" s="36">
        <f>SUM(G366:G377)</f>
        <v>530</v>
      </c>
      <c r="H378" s="37"/>
      <c r="I378" s="37"/>
      <c r="J378" s="37"/>
      <c r="K378" s="37"/>
      <c r="L378" s="37"/>
      <c r="M378" s="38">
        <f ca="1">IFERROR(SUM(M366:M377),"")</f>
        <v>1.9444444444444445E-2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381</v>
      </c>
      <c r="G379" s="40">
        <f>G365+G378</f>
        <v>1905</v>
      </c>
      <c r="H379" s="41"/>
      <c r="I379" s="41"/>
      <c r="J379" s="41"/>
      <c r="K379" s="41"/>
      <c r="L379" s="41"/>
      <c r="M379" s="42">
        <f ca="1">IFERROR(M365+M378,"")</f>
        <v>0.11041666666666657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64" activePane="bottomLeft" state="frozen"/>
      <selection pane="bottomLeft" activeCell="J373" sqref="J37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79</v>
      </c>
      <c r="G378" s="36">
        <f>SUM(G366:G377)</f>
        <v>331.8</v>
      </c>
      <c r="H378" s="37"/>
      <c r="I378" s="37"/>
      <c r="J378" s="37"/>
      <c r="K378" s="37"/>
      <c r="L378" s="37"/>
      <c r="M378" s="38">
        <f ca="1">IFERROR(SUM(M366:M377),"")</f>
        <v>0.10555555555555556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237</v>
      </c>
      <c r="G379" s="40">
        <f>G365+G378</f>
        <v>995.40000000000009</v>
      </c>
      <c r="H379" s="41"/>
      <c r="I379" s="41"/>
      <c r="J379" s="41"/>
      <c r="K379" s="41"/>
      <c r="L379" s="41"/>
      <c r="M379" s="42">
        <f ca="1">IFERROR(M365+M378,"")</f>
        <v>0.21527777777777773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73" sqref="F37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80</v>
      </c>
      <c r="G378" s="36">
        <f>SUM(G366:G377)</f>
        <v>336.00000000000006</v>
      </c>
      <c r="H378" s="37"/>
      <c r="I378" s="37"/>
      <c r="J378" s="37"/>
      <c r="K378" s="37"/>
      <c r="L378" s="37"/>
      <c r="M378" s="38">
        <f ca="1">IFERROR(SUM(M366:M377),"")</f>
        <v>1.2499999999999956E-2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89</v>
      </c>
      <c r="G379" s="40">
        <f>G365+G378</f>
        <v>373.80000000000007</v>
      </c>
      <c r="H379" s="41"/>
      <c r="I379" s="41"/>
      <c r="J379" s="41"/>
      <c r="K379" s="41"/>
      <c r="L379" s="41"/>
      <c r="M379" s="42">
        <f ca="1">IFERROR(M365+M378,"")</f>
        <v>0.44374999999999992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46" activePane="bottomLeft" state="frozen"/>
      <selection pane="bottomLeft" activeCell="J374" sqref="J37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0.87664224537002156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1.0759478009255772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1.4433089120366882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/>
      <c r="M374" s="30">
        <f t="shared" ca="1" si="82"/>
        <v>5.8089120357180946E-3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122</v>
      </c>
      <c r="G378" s="36">
        <f>SUM(G366:G377)</f>
        <v>512.4</v>
      </c>
      <c r="H378" s="37"/>
      <c r="I378" s="37"/>
      <c r="J378" s="37"/>
      <c r="K378" s="61"/>
      <c r="L378" s="61"/>
      <c r="M378" s="38">
        <f ca="1">IFERROR(SUM(M366:M377),"")</f>
        <v>4.8170023146829305E-2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247</v>
      </c>
      <c r="G379" s="40">
        <f>G365+G378</f>
        <v>1037.4000000000001</v>
      </c>
      <c r="H379" s="41"/>
      <c r="I379" s="41"/>
      <c r="J379" s="41"/>
      <c r="K379" s="63"/>
      <c r="L379" s="63"/>
      <c r="M379" s="42">
        <f ca="1">IFERROR(M365+M378,"")</f>
        <v>0.15303113425794049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2026-07-15T07:01:48Z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