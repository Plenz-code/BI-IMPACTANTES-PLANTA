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70" documentId="13_ncr:1_{0A10D8D4-8450-4366-8075-B53B08E6B7EA}" xr6:coauthVersionLast="47" xr6:coauthVersionMax="47" xr10:uidLastSave="{2F3151BF-3FCC-4DA2-9D5F-7578649D125D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2" i="6" l="1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<sst xmlns="http://schemas.openxmlformats.org/spreadsheetml/2006/main" count="7544" uniqueCount="363">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</sst>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3895.4599999999996</v>
      </c>
      <c r="J35" s="130">
        <f>IFERROR(AVERAGE(J4:J34),"-")</f>
        <v>0.93662764247245955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/>
    </row>
    <row r="59" spans="1:18" ht="15" customHeight="1">
      <c r="M59" s="170"/>
      <c r="N59" s="17"/>
      <c r="O59" s="17"/>
      <c r="P59" s="17" t="s">
        <v>217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218</v>
      </c>
      <c r="Q61" s="17"/>
      <c r="R61" s="17"/>
    </row>
    <row r="62" spans="1:18" ht="15" customHeight="1">
      <c r="M62" s="170"/>
      <c r="N62" s="16"/>
      <c r="O62" s="16"/>
      <c r="P62" s="16" t="s">
        <v>219</v>
      </c>
      <c r="Q62" s="16"/>
      <c r="R62" s="16"/>
    </row>
    <row r="63" spans="1:18" ht="15" customHeight="1">
      <c r="M63" s="170"/>
      <c r="N63" s="17"/>
      <c r="O63" s="17"/>
      <c r="P63" s="17" t="s">
        <v>220</v>
      </c>
      <c r="Q63" s="17"/>
      <c r="R63" s="17"/>
    </row>
    <row r="64" spans="1:18" ht="15" customHeight="1">
      <c r="M64" s="170"/>
      <c r="N64" s="16"/>
      <c r="O64" s="16"/>
      <c r="P64" s="16" t="s">
        <v>221</v>
      </c>
      <c r="Q64" s="16"/>
      <c r="R64" s="16"/>
    </row>
    <row r="65" spans="13:18" ht="15" customHeight="1">
      <c r="M65" s="170"/>
      <c r="N65" s="17"/>
      <c r="O65" s="17"/>
      <c r="P65" s="17" t="s">
        <v>222</v>
      </c>
      <c r="Q65" s="17"/>
      <c r="R65" s="17"/>
    </row>
    <row r="66" spans="13:18" ht="15" customHeight="1">
      <c r="M66" s="170"/>
      <c r="N66" s="16"/>
      <c r="O66" s="16"/>
      <c r="P66" s="16" t="s">
        <v>223</v>
      </c>
      <c r="Q66" s="16"/>
      <c r="R66" s="16"/>
    </row>
    <row r="67" spans="13:18" ht="15" customHeight="1">
      <c r="M67" s="170"/>
      <c r="N67" s="17"/>
      <c r="O67" s="17"/>
      <c r="P67" s="17" t="s">
        <v>224</v>
      </c>
      <c r="Q67" s="17"/>
      <c r="R67" s="17"/>
    </row>
    <row r="68" spans="13:18" ht="15" customHeight="1">
      <c r="M68" s="170"/>
      <c r="N68" s="16"/>
      <c r="O68" s="16"/>
      <c r="P68" s="16" t="s">
        <v>225</v>
      </c>
      <c r="Q68" s="16"/>
      <c r="R68" s="16"/>
    </row>
    <row r="69" spans="13:18" ht="15" customHeight="1">
      <c r="M69" s="170"/>
      <c r="N69" s="17"/>
      <c r="O69" s="17"/>
      <c r="P69" s="17" t="s">
        <v>226</v>
      </c>
      <c r="Q69" s="17"/>
      <c r="R69" s="17"/>
    </row>
    <row r="70" spans="13:18" ht="15" customHeight="1">
      <c r="M70" s="170"/>
      <c r="N70" s="16"/>
      <c r="O70" s="16"/>
      <c r="P70" s="16" t="s">
        <v>227</v>
      </c>
      <c r="Q70" s="16"/>
      <c r="R70" s="16"/>
    </row>
    <row r="71" spans="13:18" ht="15" customHeight="1">
      <c r="M71" s="170"/>
      <c r="N71" s="17"/>
      <c r="O71" s="17"/>
      <c r="P71" s="17" t="s">
        <v>228</v>
      </c>
      <c r="Q71" s="17"/>
      <c r="R71" s="17"/>
    </row>
    <row r="72" spans="13:18" ht="15" customHeight="1">
      <c r="M72" s="170"/>
      <c r="N72" s="16"/>
      <c r="O72" s="16"/>
      <c r="P72" s="16" t="s">
        <v>229</v>
      </c>
      <c r="Q72" s="16"/>
      <c r="R72" s="16"/>
    </row>
    <row r="73" spans="13:18" ht="15" customHeight="1">
      <c r="M73" s="170"/>
      <c r="N73" s="17"/>
      <c r="O73" s="17"/>
      <c r="P73" s="17" t="s">
        <v>230</v>
      </c>
      <c r="Q73" s="17"/>
      <c r="R73" s="17"/>
    </row>
    <row r="74" spans="13:18" ht="15" customHeight="1">
      <c r="M74" s="170"/>
      <c r="N74" s="16"/>
      <c r="O74" s="16"/>
      <c r="P74" s="16" t="s">
        <v>231</v>
      </c>
      <c r="Q74" s="16"/>
      <c r="R74" s="16"/>
    </row>
    <row r="75" spans="13:18" ht="15" customHeight="1">
      <c r="M75" s="170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11" activePane="bottomLeft" state="frozen"/>
      <selection pane="bottomLeft" activeCell="L439" sqref="L43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244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247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1" t="s">
        <v>248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244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247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1" t="s">
        <v>248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244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247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1" t="s">
        <v>248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244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247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1" t="s">
        <v>248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244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247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1" t="s">
        <v>248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244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247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1" t="s">
        <v>248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244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247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1" t="s">
        <v>248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244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247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1" t="s">
        <v>248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244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247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1" t="s">
        <v>248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244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247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1" t="s">
        <v>248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244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247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1" t="s">
        <v>248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244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247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1" t="s">
        <v>248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244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247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1" t="s">
        <v>248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244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247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1" t="s">
        <v>248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244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247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1" t="s">
        <v>248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244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247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1" t="s">
        <v>248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244</v>
      </c>
      <c r="B446" s="160"/>
      <c r="C446" s="160"/>
      <c r="D446" s="160"/>
      <c r="E446" s="172">
        <f>SUM(E434:E445)</f>
        <v>0</v>
      </c>
      <c r="F446" s="36">
        <f>SUM(F434:F445)</f>
        <v>128</v>
      </c>
      <c r="G446" s="81">
        <f>SUM(G434:G445)</f>
        <v>640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247</v>
      </c>
      <c r="B459" s="160"/>
      <c r="C459" s="160"/>
      <c r="D459" s="160"/>
      <c r="E459" s="17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1" t="s">
        <v>248</v>
      </c>
      <c r="B460" s="162"/>
      <c r="C460" s="162"/>
      <c r="D460" s="162"/>
      <c r="E460" s="173">
        <f>E446+E459</f>
        <v>0</v>
      </c>
      <c r="F460" s="40">
        <f>F446+F459</f>
        <v>128</v>
      </c>
      <c r="G460" s="40">
        <f>G446+G459</f>
        <v>640</v>
      </c>
      <c r="H460" s="41"/>
      <c r="I460" s="41"/>
      <c r="J460" s="41"/>
      <c r="K460" s="41"/>
      <c r="L460" s="41"/>
      <c r="M460" s="42">
        <f ca="1">IFERROR(M446+M459,"")</f>
        <v>0.12847222222222232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244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247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1" t="s">
        <v>248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244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247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1" t="s">
        <v>248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244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247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1" t="s">
        <v>248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244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247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1" t="s">
        <v>248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244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247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1" t="s">
        <v>248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244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247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1" t="s">
        <v>248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244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247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1" t="s">
        <v>248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244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247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1" t="s">
        <v>248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244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247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1" t="s">
        <v>248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244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247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1" t="s">
        <v>248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244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247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1" t="s">
        <v>248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244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247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1" t="s">
        <v>248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244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247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5" t="s">
        <v>248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244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247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1" t="s">
        <v>248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454:E838 E29:E229 E231:E310 E312:E381 E383:E452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11" activePane="bottomLeft" state="frozen"/>
      <selection pane="bottomLeft" activeCell="P437" sqref="P437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0.61516689814743586</v>
      </c>
      <c r="R53" s="46" t="s">
        <v>281</v>
      </c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0.7540557870363247</v>
      </c>
      <c r="R54" s="36" t="s">
        <v>245</v>
      </c>
      <c r="S54" s="75">
        <v>352430</v>
      </c>
      <c r="T54" s="117"/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0.83877800925854706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244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/>
      <c r="Q437" s="35">
        <f t="shared" ca="1" si="108"/>
        <v>1.0305787036486436E-2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308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6"/>
        <v>0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6"/>
        <v>0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0</v>
      </c>
      <c r="I443" s="135">
        <f>IFERROR(IF($D443="","",VLOOKUP($D443,Cadastro!$C$4:$G$7,5,FALSE)),"")</f>
        <v>0.6</v>
      </c>
      <c r="J443" s="136">
        <f t="shared" si="106"/>
        <v>0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95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399.00000000000006</v>
      </c>
      <c r="L446" s="37"/>
      <c r="M446" s="37"/>
      <c r="N446" s="37"/>
      <c r="O446" s="37"/>
      <c r="P446" s="37"/>
      <c r="Q446" s="38">
        <f ca="1">IFERROR(SUM(Q434:Q445),"")</f>
        <v>5.9611342592042038E-2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95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399.00000000000006</v>
      </c>
      <c r="L460" s="41"/>
      <c r="M460" s="41"/>
      <c r="N460" s="41"/>
      <c r="O460" s="41"/>
      <c r="P460" s="41"/>
      <c r="Q460" s="42">
        <f ca="1">IFERROR(Q446+Q459,"")</f>
        <v>5.9611342592042038E-2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4" activePane="bottomLeft" state="frozen"/>
      <selection pane="bottomLeft" activeCell="N436" sqref="N43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 t="s">
        <v>27</v>
      </c>
      <c r="M436" s="26" t="s">
        <v>54</v>
      </c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4"/>
        <v>0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4"/>
        <v>0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4"/>
        <v>0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4"/>
        <v>0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0</v>
      </c>
      <c r="I443" s="135">
        <f>IFERROR(IF($D443="","",VLOOKUP($D443,Cadastro!$C$4:$G$7,5,FALSE)),"")</f>
        <v>0.6</v>
      </c>
      <c r="J443" s="136">
        <f t="shared" si="104"/>
        <v>0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77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323.40000000000003</v>
      </c>
      <c r="L446" s="37"/>
      <c r="M446" s="37"/>
      <c r="N446" s="37"/>
      <c r="O446" s="37"/>
      <c r="P446" s="37"/>
      <c r="Q446" s="38">
        <f ca="1">IFERROR(SUM(Q434:Q445),"")</f>
        <v>2.7083333333333293E-2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77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323.40000000000003</v>
      </c>
      <c r="L460" s="41"/>
      <c r="M460" s="41"/>
      <c r="N460" s="41"/>
      <c r="O460" s="41"/>
      <c r="P460" s="41"/>
      <c r="Q460" s="42">
        <f ca="1">IFERROR(Q446+Q459,"")</f>
        <v>2.7083333333333293E-2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13" activePane="bottomLeft" state="frozen"/>
      <selection pane="bottomLeft" activeCell="G444" sqref="G44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244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244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/>
      <c r="Q435" s="35">
        <f t="shared" ca="1" si="108"/>
        <v>5.6833564820408355E-2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0</v>
      </c>
      <c r="I439" s="135">
        <f>IFERROR(IF($D439="","",VLOOKUP($D439,Cadastro!$C$4:$G$7,5,FALSE)),"")</f>
        <v>0.6</v>
      </c>
      <c r="J439" s="136">
        <f t="shared" si="106"/>
        <v>0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0</v>
      </c>
      <c r="I440" s="135">
        <f>IFERROR(IF($D440="","",VLOOKUP($D440,Cadastro!$C$4:$G$7,5,FALSE)),"")</f>
        <v>0.6</v>
      </c>
      <c r="J440" s="136">
        <f t="shared" si="106"/>
        <v>0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0</v>
      </c>
      <c r="I441" s="135">
        <f>IFERROR(IF($D441="","",VLOOKUP($D441,Cadastro!$C$4:$G$7,5,FALSE)),"")</f>
        <v>0.6</v>
      </c>
      <c r="J441" s="136">
        <f t="shared" si="106"/>
        <v>0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0</v>
      </c>
      <c r="I442" s="135">
        <f>IFERROR(IF($D442="","",VLOOKUP($D442,Cadastro!$C$4:$G$7,5,FALSE)),"")</f>
        <v>0.6</v>
      </c>
      <c r="J442" s="136">
        <f t="shared" si="106"/>
        <v>0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0</v>
      </c>
      <c r="I443" s="135">
        <f>IFERROR(IF($D443="","",VLOOKUP($D443,Cadastro!$C$4:$G$7,5,FALSE)),"")</f>
        <v>0.6</v>
      </c>
      <c r="J443" s="136">
        <f t="shared" si="106"/>
        <v>0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169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709.80000000000007</v>
      </c>
      <c r="L446" s="37"/>
      <c r="M446" s="37"/>
      <c r="N446" s="37"/>
      <c r="O446" s="61"/>
      <c r="P446" s="61"/>
      <c r="Q446" s="38">
        <f ca="1">IFERROR(SUM(Q434:Q445),"")</f>
        <v>7.0028009264852864E-2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169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709.80000000000007</v>
      </c>
      <c r="L460" s="41"/>
      <c r="M460" s="41"/>
      <c r="N460" s="41"/>
      <c r="O460" s="63"/>
      <c r="P460" s="63"/>
      <c r="Q460" s="42">
        <f ca="1">IFERROR(Q446+Q459,"")</f>
        <v>7.0028009264852864E-2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2026-08-17T21:42:03Z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