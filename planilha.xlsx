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85" documentId="8_{AF585B22-221D-4780-BB9C-493D365A6A02}" xr6:coauthVersionLast="47" xr6:coauthVersionMax="47" xr10:uidLastSave="{934FF68B-8D58-448E-BE3A-85D839C6D8B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<sst xmlns="http://schemas.openxmlformats.org/spreadsheetml/2006/main" count="3106" uniqueCount="255">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</sst>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224</v>
      </c>
      <c r="G162" s="36">
        <f>SUM(G150:G161)</f>
        <v>1120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303</v>
      </c>
      <c r="G163" s="40">
        <f>G149+G162</f>
        <v>1515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142</v>
      </c>
      <c r="G162" s="36">
        <f>SUM(G150:G161)</f>
        <v>622.80000000000007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1097.8000000000002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43" activePane="bottomLeft" state="frozen"/>
      <selection pane="bottomLeft" activeCell="F158" sqref="F1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74</v>
      </c>
      <c r="G162" s="36">
        <f>SUM(G150:G161)</f>
        <v>325.2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192</v>
      </c>
      <c r="G163" s="40">
        <f>G149+G162</f>
        <v>915.2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47" activePane="bottomLeft" state="frozen"/>
      <selection pane="bottomLeft" activeCell="K154" sqref="K1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0.87919062500441214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1.0784961805599678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1.4458572916710788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>
        <v>0.12708333333333333</v>
      </c>
      <c r="L153" s="29"/>
      <c r="M153" s="35">
        <f t="shared" ca="1" si="34"/>
        <v>1.4128472248557955E-3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121</v>
      </c>
      <c r="G162" s="36">
        <f>SUM(G150:G161)</f>
        <v>532.20000000000005</v>
      </c>
      <c r="H162" s="37"/>
      <c r="I162" s="37"/>
      <c r="J162" s="37"/>
      <c r="K162" s="61"/>
      <c r="L162" s="61"/>
      <c r="M162" s="38">
        <f ca="1">IFERROR(SUM(M150:M161),"")</f>
        <v>4.169062500263343E-2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342</v>
      </c>
      <c r="G163" s="40">
        <f>G149+G162</f>
        <v>1637.2</v>
      </c>
      <c r="H163" s="41"/>
      <c r="I163" s="41"/>
      <c r="J163" s="41"/>
      <c r="K163" s="63"/>
      <c r="L163" s="63"/>
      <c r="M163" s="42">
        <f ca="1">IFERROR(M149+M162,"")</f>
        <v>0.10696840278041125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2026-07-07T07:05:06Z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