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58" documentId="8_{AF585B22-221D-4780-BB9C-493D365A6A02}" xr6:coauthVersionLast="47" xr6:coauthVersionMax="47" xr10:uidLastSave="{68D84669-A552-4840-B8D2-63F4B9F2A88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<sst xmlns="http://schemas.openxmlformats.org/spreadsheetml/2006/main" count="10736" uniqueCount="403">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</sst>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0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0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0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0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0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0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0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0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0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0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0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0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0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0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0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0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0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0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0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0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0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0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0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0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0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0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205</v>
      </c>
      <c r="L58" s="16"/>
      <c r="M58" s="16"/>
    </row>
    <row r="59" spans="1:13" ht="15" customHeight="1">
      <c r="H59" s="110"/>
      <c r="I59" s="17"/>
      <c r="J59" s="17"/>
      <c r="K59" s="17" t="s">
        <v>206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207</v>
      </c>
      <c r="L61" s="17"/>
      <c r="M61" s="17"/>
    </row>
    <row r="62" spans="1:13" ht="15" customHeight="1">
      <c r="H62" s="110"/>
      <c r="I62" s="16"/>
      <c r="J62" s="16"/>
      <c r="K62" s="16" t="s">
        <v>208</v>
      </c>
      <c r="L62" s="16"/>
      <c r="M62" s="16"/>
    </row>
    <row r="63" spans="1:13" ht="15" customHeight="1">
      <c r="H63" s="110"/>
      <c r="I63" s="17"/>
      <c r="J63" s="17"/>
      <c r="K63" s="17" t="s">
        <v>209</v>
      </c>
      <c r="L63" s="17"/>
      <c r="M63" s="17"/>
    </row>
    <row r="64" spans="1:13" ht="15" customHeight="1">
      <c r="H64" s="110"/>
      <c r="I64" s="16"/>
      <c r="J64" s="16"/>
      <c r="K64" s="16" t="s">
        <v>210</v>
      </c>
      <c r="L64" s="16"/>
      <c r="M64" s="16"/>
    </row>
    <row r="65" spans="8:13" ht="15" customHeight="1">
      <c r="H65" s="110"/>
      <c r="I65" s="17"/>
      <c r="J65" s="17"/>
      <c r="K65" s="17" t="s">
        <v>211</v>
      </c>
      <c r="L65" s="17"/>
      <c r="M65" s="17"/>
    </row>
    <row r="66" spans="8:13" ht="15" customHeight="1">
      <c r="H66" s="110"/>
      <c r="I66" s="16"/>
      <c r="J66" s="16"/>
      <c r="K66" s="16" t="s">
        <v>212</v>
      </c>
      <c r="L66" s="16"/>
      <c r="M66" s="16"/>
    </row>
    <row r="67" spans="8:13" ht="15" customHeight="1">
      <c r="H67" s="110"/>
      <c r="I67" s="17"/>
      <c r="J67" s="17"/>
      <c r="K67" s="17" t="s">
        <v>213</v>
      </c>
      <c r="L67" s="17"/>
      <c r="M67" s="17"/>
    </row>
    <row r="68" spans="8:13" ht="15" customHeight="1">
      <c r="H68" s="110"/>
      <c r="I68" s="16"/>
      <c r="J68" s="16"/>
      <c r="K68" s="16" t="s">
        <v>214</v>
      </c>
      <c r="L68" s="16"/>
      <c r="M68" s="16"/>
    </row>
    <row r="69" spans="8:13" ht="15" customHeight="1">
      <c r="H69" s="110"/>
      <c r="I69" s="17"/>
      <c r="J69" s="17"/>
      <c r="K69" s="17" t="s">
        <v>215</v>
      </c>
      <c r="L69" s="17"/>
      <c r="M69" s="17"/>
    </row>
    <row r="70" spans="8:13" ht="15" customHeight="1">
      <c r="H70" s="110"/>
      <c r="I70" s="16"/>
      <c r="J70" s="16"/>
      <c r="K70" s="16" t="s">
        <v>216</v>
      </c>
      <c r="L70" s="16"/>
      <c r="M70" s="16"/>
    </row>
    <row r="71" spans="8:13" ht="15" customHeight="1">
      <c r="H71" s="110"/>
      <c r="I71" s="17"/>
      <c r="J71" s="17"/>
      <c r="K71" s="17" t="s">
        <v>217</v>
      </c>
      <c r="L71" s="17"/>
      <c r="M71" s="17"/>
    </row>
    <row r="72" spans="8:13" ht="15" customHeight="1">
      <c r="H72" s="110"/>
      <c r="I72" s="16"/>
      <c r="J72" s="16"/>
      <c r="K72" s="16" t="s">
        <v>218</v>
      </c>
      <c r="L72" s="16"/>
      <c r="M72" s="16"/>
    </row>
    <row r="73" spans="8:13" ht="15" customHeight="1">
      <c r="H73" s="110"/>
      <c r="I73" s="17"/>
      <c r="J73" s="17"/>
      <c r="K73" s="17" t="s">
        <v>219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6" sqref="F7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33</v>
      </c>
      <c r="G716" s="36">
        <f>SUM(G704:G715)</f>
        <v>165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33</v>
      </c>
      <c r="G730" s="40">
        <f>G716+G729</f>
        <v>165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J704" sqref="J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0.1551607638830319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0.31279965277192079</v>
      </c>
      <c r="N378" s="36" t="s">
        <v>234</v>
      </c>
      <c r="O378" s="77">
        <v>511980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0.42252187499414295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0.13363298610784113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0.30446631944117453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0.4496052083300634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258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18</v>
      </c>
      <c r="G716" s="36">
        <f>SUM(G704:G715)</f>
        <v>75.600000000000009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18</v>
      </c>
      <c r="G730" s="40">
        <f>G716+G729</f>
        <v>75.600000000000009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J704" sqref="J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329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331</v>
      </c>
      <c r="N166" s="27" t="s">
        <v>332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15</v>
      </c>
      <c r="G716" s="36">
        <f>SUM(G704:G715)</f>
        <v>63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15</v>
      </c>
      <c r="G730" s="40">
        <f>G716+G729</f>
        <v>63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N707" sqref="N7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0" t="s">
        <v>236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0" t="s">
        <v>236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357</v>
      </c>
      <c r="L58" s="29">
        <v>0.54097222222222219</v>
      </c>
      <c r="M58" s="30" t="str">
        <f t="shared" ca="1" si="13"/>
        <v/>
      </c>
      <c r="N58" s="27" t="s">
        <v>358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0" t="s">
        <v>236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0" t="s">
        <v>236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0.14543854166549863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0.34474409722105426</v>
      </c>
      <c r="N135" s="36" t="s">
        <v>234</v>
      </c>
      <c r="O135" s="39">
        <v>729290</v>
      </c>
    </row>
    <row r="136" spans="1:18" ht="18" customHeight="1">
      <c r="A136" s="100" t="s">
        <v>236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0.71210520833216528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0" t="s">
        <v>236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0" t="s">
        <v>236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0" t="s">
        <v>236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0" t="s">
        <v>236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0" t="s">
        <v>236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0" t="s">
        <v>236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0" t="s">
        <v>236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379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0" t="s">
        <v>236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0" t="s">
        <v>236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0" t="s">
        <v>236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0" t="s">
        <v>236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0" t="s">
        <v>236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0" t="s">
        <v>236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0" t="s">
        <v>236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0" t="s">
        <v>236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0" t="s">
        <v>236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0" t="s">
        <v>236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0" t="s">
        <v>236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0" t="s">
        <v>236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0" t="s">
        <v>236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0" t="s">
        <v>236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/>
      <c r="G706" s="28" t="str">
        <f t="shared" si="156"/>
        <v/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</v>
      </c>
      <c r="G716" s="36">
        <f>SUM(G704:G715)</f>
        <v>12.600000000000001</v>
      </c>
      <c r="H716" s="37"/>
      <c r="I716" s="37"/>
      <c r="J716" s="37"/>
      <c r="K716" s="61"/>
      <c r="L716" s="61"/>
      <c r="M716" s="38">
        <f ca="1">IFERROR(SUM(M704:M715),"")</f>
        <v>0.11666666666666664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0" t="s">
        <v>236</v>
      </c>
      <c r="B730" s="101"/>
      <c r="C730" s="101"/>
      <c r="D730" s="101"/>
      <c r="E730" s="102">
        <f>E716+E729</f>
        <v>0</v>
      </c>
      <c r="F730" s="40">
        <f>F716+F729</f>
        <v>3</v>
      </c>
      <c r="G730" s="40">
        <f>G716+G729</f>
        <v>12.600000000000001</v>
      </c>
      <c r="H730" s="41"/>
      <c r="I730" s="41"/>
      <c r="J730" s="41"/>
      <c r="K730" s="63"/>
      <c r="L730" s="63"/>
      <c r="M730" s="42">
        <f ca="1">IFERROR(M716+M729,"")</f>
        <v>0.11666666666666664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0" t="s">
        <v>236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0" t="s">
        <v>236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2026-07-27T13:29:18Z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