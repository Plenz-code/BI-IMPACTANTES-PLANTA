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044" documentId="8_{AF585B22-221D-4780-BB9C-493D365A6A02}" xr6:coauthVersionLast="47" xr6:coauthVersionMax="47" xr10:uidLastSave="{A0A987F1-7DB6-4ED1-8A5A-4130A4C08B64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<sst xmlns="http://schemas.openxmlformats.org/spreadsheetml/2006/main" count="7100" uniqueCount="336">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</sst>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4.75" customHeight="1">
      <c r="A2" s="102"/>
      <c r="B2" s="10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3" t="s">
        <v>9</v>
      </c>
      <c r="B35" s="103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29" zoomScale="85" zoomScaleNormal="85" workbookViewId="0">
      <selection activeCell="K68" sqref="K6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5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5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5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5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5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5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5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5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5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5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5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5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5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5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5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5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5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5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5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5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5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5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5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5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5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5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5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5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5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5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5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5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5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5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5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5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5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5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5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5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5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5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5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5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5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5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5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5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5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5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5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5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5"/>
      <c r="I55" s="17"/>
      <c r="J55" s="17"/>
      <c r="K55" s="17" t="s">
        <v>200</v>
      </c>
      <c r="L55" s="17"/>
      <c r="M55" s="17"/>
    </row>
    <row r="56" spans="1:13" ht="15" customHeight="1">
      <c r="H56" s="105"/>
      <c r="I56" s="16"/>
      <c r="J56" s="16"/>
      <c r="K56" s="16" t="s">
        <v>201</v>
      </c>
      <c r="L56" s="16"/>
      <c r="M56" s="16"/>
    </row>
    <row r="57" spans="1:13" ht="15" customHeight="1">
      <c r="H57" s="105"/>
      <c r="I57" s="17"/>
      <c r="J57" s="17"/>
      <c r="K57" s="17" t="s">
        <v>50</v>
      </c>
      <c r="L57" s="17"/>
      <c r="M57" s="17"/>
    </row>
    <row r="58" spans="1:13" ht="15" customHeight="1">
      <c r="H58" s="105"/>
      <c r="I58" s="16"/>
      <c r="J58" s="16"/>
      <c r="K58" s="16" t="s">
        <v>202</v>
      </c>
      <c r="L58" s="16"/>
      <c r="M58" s="16"/>
    </row>
    <row r="59" spans="1:13" ht="15" customHeight="1">
      <c r="H59" s="105"/>
      <c r="I59" s="17"/>
      <c r="J59" s="17"/>
      <c r="K59" s="17" t="s">
        <v>203</v>
      </c>
      <c r="L59" s="17"/>
      <c r="M59" s="17"/>
    </row>
    <row r="60" spans="1:13" ht="15" customHeight="1">
      <c r="H60" s="105"/>
      <c r="I60" s="16"/>
      <c r="J60" s="16"/>
      <c r="K60" s="87" t="s">
        <v>105</v>
      </c>
      <c r="L60" s="16"/>
      <c r="M60" s="16"/>
    </row>
    <row r="61" spans="1:13" ht="15" customHeight="1">
      <c r="H61" s="105"/>
      <c r="I61" s="17"/>
      <c r="J61" s="17"/>
      <c r="K61" s="17" t="s">
        <v>204</v>
      </c>
      <c r="L61" s="17"/>
      <c r="M61" s="17"/>
    </row>
    <row r="62" spans="1:13" ht="15" customHeight="1">
      <c r="H62" s="105"/>
      <c r="I62" s="16"/>
      <c r="J62" s="16"/>
      <c r="K62" s="16" t="s">
        <v>205</v>
      </c>
      <c r="L62" s="16"/>
      <c r="M62" s="16"/>
    </row>
    <row r="63" spans="1:13" ht="15" customHeight="1">
      <c r="H63" s="105"/>
      <c r="I63" s="17"/>
      <c r="J63" s="17"/>
      <c r="K63" s="17" t="s">
        <v>206</v>
      </c>
      <c r="L63" s="17"/>
      <c r="M63" s="17"/>
    </row>
    <row r="64" spans="1:13" ht="15" customHeight="1">
      <c r="H64" s="105"/>
      <c r="I64" s="16"/>
      <c r="J64" s="16"/>
      <c r="K64" s="16" t="s">
        <v>207</v>
      </c>
      <c r="L64" s="16"/>
      <c r="M64" s="16"/>
    </row>
    <row r="65" spans="8:13" ht="15" customHeight="1">
      <c r="H65" s="105"/>
      <c r="I65" s="17"/>
      <c r="J65" s="17"/>
      <c r="K65" s="17" t="s">
        <v>208</v>
      </c>
      <c r="L65" s="17"/>
      <c r="M65" s="17"/>
    </row>
    <row r="66" spans="8:13" ht="15" customHeight="1">
      <c r="H66" s="105"/>
      <c r="I66" s="16"/>
      <c r="J66" s="16"/>
      <c r="K66" s="16" t="s">
        <v>209</v>
      </c>
      <c r="L66" s="16"/>
      <c r="M66" s="16"/>
    </row>
    <row r="67" spans="8:13" ht="15" customHeight="1">
      <c r="H67" s="105"/>
      <c r="I67" s="17"/>
      <c r="J67" s="17"/>
      <c r="K67" s="17" t="s">
        <v>210</v>
      </c>
      <c r="L67" s="17"/>
      <c r="M67" s="17"/>
    </row>
    <row r="68" spans="8:13" ht="15" customHeight="1">
      <c r="H68" s="105"/>
      <c r="I68" s="16"/>
      <c r="J68" s="16"/>
      <c r="K68" s="16"/>
      <c r="L68" s="16"/>
      <c r="M68" s="16"/>
    </row>
    <row r="69" spans="8:13" ht="15" customHeight="1">
      <c r="H69" s="105"/>
      <c r="I69" s="17"/>
      <c r="J69" s="17"/>
      <c r="K69" s="17"/>
      <c r="L69" s="17"/>
      <c r="M69" s="17"/>
    </row>
    <row r="70" spans="8:13" ht="15" customHeight="1">
      <c r="H70" s="105"/>
      <c r="I70" s="16"/>
      <c r="J70" s="16"/>
      <c r="K70" s="16"/>
      <c r="L70" s="16"/>
      <c r="M70" s="16"/>
    </row>
    <row r="71" spans="8:13" ht="15" customHeight="1">
      <c r="H71" s="105"/>
      <c r="I71" s="17"/>
      <c r="J71" s="17"/>
      <c r="K71" s="17"/>
      <c r="L71" s="17"/>
      <c r="M71" s="17"/>
    </row>
    <row r="72" spans="8:13" ht="15" customHeight="1">
      <c r="H72" s="105"/>
      <c r="I72" s="16"/>
      <c r="J72" s="16"/>
      <c r="K72" s="16"/>
      <c r="L72" s="16"/>
      <c r="M72" s="16"/>
    </row>
    <row r="73" spans="8:13" ht="15" customHeight="1">
      <c r="H73" s="105"/>
      <c r="I73" s="17"/>
      <c r="J73" s="17"/>
      <c r="K73" s="17"/>
      <c r="L73" s="17"/>
      <c r="M73" s="17"/>
    </row>
    <row r="74" spans="8:13" ht="15" customHeight="1">
      <c r="H74" s="105"/>
      <c r="I74" s="16"/>
      <c r="J74" s="16"/>
      <c r="K74" s="16"/>
      <c r="L74" s="16"/>
      <c r="M74" s="16"/>
    </row>
    <row r="75" spans="8:13" ht="15" customHeight="1">
      <c r="H75" s="105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E445" sqref="E44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221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224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226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225</v>
      </c>
      <c r="O27" s="39">
        <v>1183060</v>
      </c>
    </row>
    <row r="28" spans="1:15" ht="18" customHeight="1">
      <c r="A28" s="98" t="s">
        <v>227</v>
      </c>
      <c r="B28" s="99"/>
      <c r="C28" s="99"/>
      <c r="D28" s="99"/>
      <c r="E28" s="100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224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226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225</v>
      </c>
      <c r="O54" s="39">
        <v>959290</v>
      </c>
    </row>
    <row r="55" spans="1:15" ht="18" customHeight="1">
      <c r="A55" s="98" t="s">
        <v>227</v>
      </c>
      <c r="B55" s="99"/>
      <c r="C55" s="99"/>
      <c r="D55" s="99"/>
      <c r="E55" s="100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224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226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225</v>
      </c>
      <c r="O81" s="39">
        <v>878050</v>
      </c>
    </row>
    <row r="82" spans="1:15" ht="18" customHeight="1">
      <c r="A82" s="98" t="s">
        <v>227</v>
      </c>
      <c r="B82" s="99"/>
      <c r="C82" s="99"/>
      <c r="D82" s="99"/>
      <c r="E82" s="100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224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226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225</v>
      </c>
      <c r="O108" s="39">
        <v>1700000</v>
      </c>
    </row>
    <row r="109" spans="1:15" ht="18" customHeight="1">
      <c r="A109" s="98" t="s">
        <v>227</v>
      </c>
      <c r="B109" s="99"/>
      <c r="C109" s="99"/>
      <c r="D109" s="99"/>
      <c r="E109" s="100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224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226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225</v>
      </c>
      <c r="O135" s="39">
        <v>862330</v>
      </c>
    </row>
    <row r="136" spans="1:15" ht="18" customHeight="1">
      <c r="A136" s="98" t="s">
        <v>227</v>
      </c>
      <c r="B136" s="99"/>
      <c r="C136" s="99"/>
      <c r="D136" s="99"/>
      <c r="E136" s="100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224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226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225</v>
      </c>
      <c r="O162" s="44">
        <v>1546080</v>
      </c>
    </row>
    <row r="163" spans="1:15" ht="18" customHeight="1">
      <c r="A163" s="98" t="s">
        <v>227</v>
      </c>
      <c r="B163" s="99"/>
      <c r="C163" s="99"/>
      <c r="D163" s="99"/>
      <c r="E163" s="100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224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226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225</v>
      </c>
      <c r="O189" s="39">
        <v>2355810</v>
      </c>
    </row>
    <row r="190" spans="1:15" ht="18" customHeight="1">
      <c r="A190" s="98" t="s">
        <v>227</v>
      </c>
      <c r="B190" s="99"/>
      <c r="C190" s="99"/>
      <c r="D190" s="99"/>
      <c r="E190" s="100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224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226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225</v>
      </c>
      <c r="O216" s="45">
        <v>2013260</v>
      </c>
    </row>
    <row r="217" spans="1:15" ht="18" customHeight="1">
      <c r="A217" s="98" t="s">
        <v>227</v>
      </c>
      <c r="B217" s="99"/>
      <c r="C217" s="99"/>
      <c r="D217" s="99"/>
      <c r="E217" s="100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224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226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225</v>
      </c>
      <c r="O243" s="39">
        <v>1545480</v>
      </c>
    </row>
    <row r="244" spans="1:15" ht="18" customHeight="1">
      <c r="A244" s="98" t="s">
        <v>227</v>
      </c>
      <c r="B244" s="99"/>
      <c r="C244" s="99"/>
      <c r="D244" s="99"/>
      <c r="E244" s="100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224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226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225</v>
      </c>
      <c r="O270" s="39">
        <v>1182690</v>
      </c>
    </row>
    <row r="271" spans="1:15" ht="18" customHeight="1">
      <c r="A271" s="98" t="s">
        <v>227</v>
      </c>
      <c r="B271" s="99"/>
      <c r="C271" s="99"/>
      <c r="D271" s="99"/>
      <c r="E271" s="100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228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224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225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235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236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236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236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236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236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236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236</v>
      </c>
      <c r="O296" s="47"/>
    </row>
    <row r="297" spans="1:15" ht="15.75" customHeight="1">
      <c r="A297" s="95" t="s">
        <v>226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225</v>
      </c>
      <c r="O297" s="39">
        <v>1843460</v>
      </c>
    </row>
    <row r="298" spans="1:15" ht="18" customHeight="1">
      <c r="A298" s="98" t="s">
        <v>227</v>
      </c>
      <c r="B298" s="99"/>
      <c r="C298" s="99"/>
      <c r="D298" s="99"/>
      <c r="E298" s="100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228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237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238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224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225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239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239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239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239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226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225</v>
      </c>
      <c r="O324" s="39">
        <v>1940000</v>
      </c>
    </row>
    <row r="325" spans="1:15" ht="18" customHeight="1">
      <c r="A325" s="98" t="s">
        <v>227</v>
      </c>
      <c r="B325" s="99"/>
      <c r="C325" s="99"/>
      <c r="D325" s="99"/>
      <c r="E325" s="100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228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224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225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226</v>
      </c>
      <c r="B351" s="96"/>
      <c r="C351" s="96"/>
      <c r="D351" s="96"/>
      <c r="E351" s="97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225</v>
      </c>
      <c r="O351" s="39">
        <v>701874</v>
      </c>
    </row>
    <row r="352" spans="1:15" ht="18" customHeight="1">
      <c r="A352" s="98" t="s">
        <v>227</v>
      </c>
      <c r="B352" s="99"/>
      <c r="C352" s="99"/>
      <c r="D352" s="99"/>
      <c r="E352" s="100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228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241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224</v>
      </c>
      <c r="B365" s="96"/>
      <c r="C365" s="96"/>
      <c r="D365" s="96"/>
      <c r="E365" s="97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225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226</v>
      </c>
      <c r="B378" s="96"/>
      <c r="C378" s="96"/>
      <c r="D378" s="96"/>
      <c r="E378" s="97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225</v>
      </c>
      <c r="O378" s="39">
        <v>1088710</v>
      </c>
    </row>
    <row r="379" spans="1:15" ht="18" customHeight="1">
      <c r="A379" s="98" t="s">
        <v>227</v>
      </c>
      <c r="B379" s="99"/>
      <c r="C379" s="99"/>
      <c r="D379" s="99"/>
      <c r="E379" s="100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228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242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243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224</v>
      </c>
      <c r="B392" s="96"/>
      <c r="C392" s="96"/>
      <c r="D392" s="96"/>
      <c r="E392" s="97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225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244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226</v>
      </c>
      <c r="B405" s="96"/>
      <c r="C405" s="96"/>
      <c r="D405" s="96"/>
      <c r="E405" s="97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225</v>
      </c>
      <c r="O405" s="39">
        <v>1202270</v>
      </c>
    </row>
    <row r="406" spans="1:15" ht="18" customHeight="1">
      <c r="A406" s="98" t="s">
        <v>227</v>
      </c>
      <c r="B406" s="99"/>
      <c r="C406" s="99"/>
      <c r="D406" s="99"/>
      <c r="E406" s="100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228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245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246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247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247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224</v>
      </c>
      <c r="B419" s="96"/>
      <c r="C419" s="96"/>
      <c r="D419" s="96"/>
      <c r="E419" s="97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225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226</v>
      </c>
      <c r="B432" s="96"/>
      <c r="C432" s="96"/>
      <c r="D432" s="96"/>
      <c r="E432" s="97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225</v>
      </c>
      <c r="O432" s="39">
        <v>1801910</v>
      </c>
    </row>
    <row r="433" spans="1:15" ht="18" customHeight="1">
      <c r="A433" s="98" t="s">
        <v>227</v>
      </c>
      <c r="B433" s="99"/>
      <c r="C433" s="99"/>
      <c r="D433" s="99"/>
      <c r="E433" s="100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228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222</v>
      </c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222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222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222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222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222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222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222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222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222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222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222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224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226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8" t="s">
        <v>227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224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226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8" t="s">
        <v>227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224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226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8" t="s">
        <v>227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224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226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8" t="s">
        <v>227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224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226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8" t="s">
        <v>227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224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226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8" t="s">
        <v>227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224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226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8" t="s">
        <v>227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224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226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8" t="s">
        <v>227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224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226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8" t="s">
        <v>227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224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226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8" t="s">
        <v>227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224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226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8" t="s">
        <v>227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224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226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8" t="s">
        <v>227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224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226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8" t="s">
        <v>227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224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226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59" t="s">
        <v>222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16" activePane="bottomLeft" state="frozen"/>
      <selection pane="bottomLeft" activeCell="J434" sqref="J4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224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226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225</v>
      </c>
      <c r="O27" s="78">
        <v>393200</v>
      </c>
    </row>
    <row r="28" spans="1:15" ht="18" customHeight="1">
      <c r="A28" s="98" t="s">
        <v>227</v>
      </c>
      <c r="B28" s="99"/>
      <c r="C28" s="99"/>
      <c r="D28" s="99"/>
      <c r="E28" s="100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224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248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226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85">
        <v>276360</v>
      </c>
    </row>
    <row r="55" spans="1:15" ht="18" customHeight="1">
      <c r="A55" s="98" t="s">
        <v>227</v>
      </c>
      <c r="B55" s="99"/>
      <c r="C55" s="99"/>
      <c r="D55" s="99"/>
      <c r="E55" s="100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224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226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225</v>
      </c>
      <c r="O81" s="54">
        <v>787860</v>
      </c>
    </row>
    <row r="82" spans="1:15" ht="18" customHeight="1">
      <c r="A82" s="98" t="s">
        <v>227</v>
      </c>
      <c r="B82" s="99"/>
      <c r="C82" s="99"/>
      <c r="D82" s="99"/>
      <c r="E82" s="100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224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226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225</v>
      </c>
      <c r="O108" s="54">
        <v>1087080</v>
      </c>
    </row>
    <row r="109" spans="1:15" ht="18" customHeight="1">
      <c r="A109" s="98" t="s">
        <v>227</v>
      </c>
      <c r="B109" s="99"/>
      <c r="C109" s="99"/>
      <c r="D109" s="99"/>
      <c r="E109" s="100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224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226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225</v>
      </c>
      <c r="O135" s="54">
        <v>794480</v>
      </c>
    </row>
    <row r="136" spans="1:15" ht="18" customHeight="1">
      <c r="A136" s="98" t="s">
        <v>227</v>
      </c>
      <c r="B136" s="99"/>
      <c r="C136" s="99"/>
      <c r="D136" s="99"/>
      <c r="E136" s="100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224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226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225</v>
      </c>
      <c r="O162" s="54">
        <v>882280</v>
      </c>
    </row>
    <row r="163" spans="1:15" ht="18" customHeight="1">
      <c r="A163" s="98" t="s">
        <v>227</v>
      </c>
      <c r="B163" s="99"/>
      <c r="C163" s="99"/>
      <c r="D163" s="99"/>
      <c r="E163" s="100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224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226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225</v>
      </c>
      <c r="O189" s="78"/>
    </row>
    <row r="190" spans="1:15" ht="18" customHeight="1">
      <c r="A190" s="98" t="s">
        <v>227</v>
      </c>
      <c r="B190" s="99"/>
      <c r="C190" s="99"/>
      <c r="D190" s="99"/>
      <c r="E190" s="100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224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226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225</v>
      </c>
      <c r="O216" s="78">
        <v>648410</v>
      </c>
    </row>
    <row r="217" spans="1:15" ht="18" customHeight="1">
      <c r="A217" s="98" t="s">
        <v>227</v>
      </c>
      <c r="B217" s="99"/>
      <c r="C217" s="99"/>
      <c r="D217" s="99"/>
      <c r="E217" s="100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226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225</v>
      </c>
      <c r="O243" s="78">
        <v>849060</v>
      </c>
    </row>
    <row r="244" spans="1:15" ht="18" customHeight="1">
      <c r="A244" s="98" t="s">
        <v>227</v>
      </c>
      <c r="B244" s="99"/>
      <c r="C244" s="99"/>
      <c r="D244" s="99"/>
      <c r="E244" s="100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224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226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225</v>
      </c>
      <c r="O270" s="78">
        <v>625070</v>
      </c>
    </row>
    <row r="271" spans="1:15" ht="18" customHeight="1">
      <c r="A271" s="98" t="s">
        <v>227</v>
      </c>
      <c r="B271" s="99"/>
      <c r="C271" s="99"/>
      <c r="D271" s="99"/>
      <c r="E271" s="100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228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224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225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226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225</v>
      </c>
      <c r="O297" s="78">
        <v>761660</v>
      </c>
    </row>
    <row r="298" spans="1:15" ht="18" customHeight="1">
      <c r="A298" s="98" t="s">
        <v>227</v>
      </c>
      <c r="B298" s="99"/>
      <c r="C298" s="99"/>
      <c r="D298" s="99"/>
      <c r="E298" s="100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228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224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225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226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225</v>
      </c>
      <c r="O324" s="78">
        <v>524410</v>
      </c>
    </row>
    <row r="325" spans="1:15" ht="18" customHeight="1">
      <c r="A325" s="98" t="s">
        <v>227</v>
      </c>
      <c r="B325" s="99"/>
      <c r="C325" s="99"/>
      <c r="D325" s="99"/>
      <c r="E325" s="100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228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224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225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226</v>
      </c>
      <c r="B351" s="96"/>
      <c r="C351" s="96"/>
      <c r="D351" s="96"/>
      <c r="E351" s="97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225</v>
      </c>
      <c r="O351" s="78">
        <v>598420</v>
      </c>
    </row>
    <row r="352" spans="1:15" ht="18" customHeight="1">
      <c r="A352" s="98" t="s">
        <v>227</v>
      </c>
      <c r="B352" s="99"/>
      <c r="C352" s="99"/>
      <c r="D352" s="99"/>
      <c r="E352" s="100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228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224</v>
      </c>
      <c r="B365" s="96"/>
      <c r="C365" s="96"/>
      <c r="D365" s="96"/>
      <c r="E365" s="97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225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7.253599536488764E-2</v>
      </c>
      <c r="N377" s="46"/>
      <c r="O377" s="47"/>
    </row>
    <row r="378" spans="1:15" ht="15.75" customHeight="1">
      <c r="A378" s="95" t="s">
        <v>226</v>
      </c>
      <c r="B378" s="96"/>
      <c r="C378" s="96"/>
      <c r="D378" s="96"/>
      <c r="E378" s="97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0.23017488425377652</v>
      </c>
      <c r="N378" s="36" t="s">
        <v>225</v>
      </c>
      <c r="O378" s="78">
        <v>511980</v>
      </c>
    </row>
    <row r="379" spans="1:15" ht="18" customHeight="1">
      <c r="A379" s="98" t="s">
        <v>227</v>
      </c>
      <c r="B379" s="99"/>
      <c r="C379" s="99"/>
      <c r="D379" s="99"/>
      <c r="E379" s="100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0.33989710647599869</v>
      </c>
      <c r="N379" s="40" t="s">
        <v>228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263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280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224</v>
      </c>
      <c r="B392" s="96"/>
      <c r="C392" s="96"/>
      <c r="D392" s="96"/>
      <c r="E392" s="97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225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281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240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226</v>
      </c>
      <c r="B405" s="96"/>
      <c r="C405" s="96"/>
      <c r="D405" s="96"/>
      <c r="E405" s="97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225</v>
      </c>
      <c r="O405" s="78">
        <v>552440</v>
      </c>
    </row>
    <row r="406" spans="1:15" ht="18" customHeight="1">
      <c r="A406" s="98" t="s">
        <v>227</v>
      </c>
      <c r="B406" s="99"/>
      <c r="C406" s="99"/>
      <c r="D406" s="99"/>
      <c r="E406" s="100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228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224</v>
      </c>
      <c r="B419" s="96"/>
      <c r="C419" s="96"/>
      <c r="D419" s="96"/>
      <c r="E419" s="97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225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5.1008217589696869E-2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226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0.22184155092303023</v>
      </c>
      <c r="N432" s="36" t="s">
        <v>225</v>
      </c>
      <c r="O432" s="78">
        <v>484540</v>
      </c>
    </row>
    <row r="433" spans="1:15" ht="18" customHeight="1">
      <c r="A433" s="94" t="s">
        <v>227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0.36698043981191908</v>
      </c>
      <c r="N433" s="40" t="s">
        <v>228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248</v>
      </c>
      <c r="F434" s="27"/>
      <c r="G434" s="28" t="str">
        <f t="shared" ref="G434:G445" si="96">IF(F434="","",IF(E434="PC 17",F434*4.2,IF(E434="PC 19",F434*5,"")))</f>
        <v/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/>
      <c r="M434" s="30">
        <f t="shared" ref="M434:M445" ca="1" si="97">IFERROR(IF(K434="","",IF(L434="",MOD(NOW()-K434,1),IF(L434&gt;=K434,L434-K434,L434+1-K434))),"")</f>
        <v>2.0452662036404945E-2</v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248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248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248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248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248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248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248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248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248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248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248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224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2.0452662036404945E-2</v>
      </c>
      <c r="N446" s="36" t="s">
        <v>225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226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78"/>
    </row>
    <row r="460" spans="1:15" ht="18" customHeight="1">
      <c r="A460" s="98" t="s">
        <v>227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2.0452662036404945E-2</v>
      </c>
      <c r="N460" s="40" t="s">
        <v>228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224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226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78"/>
    </row>
    <row r="487" spans="1:15" ht="18" customHeight="1">
      <c r="A487" s="98" t="s">
        <v>227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224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226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78"/>
    </row>
    <row r="514" spans="1:15" ht="18" customHeight="1">
      <c r="A514" s="98" t="s">
        <v>227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224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226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78"/>
    </row>
    <row r="541" spans="1:15" ht="18" customHeight="1">
      <c r="A541" s="98" t="s">
        <v>227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224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226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78"/>
    </row>
    <row r="568" spans="1:15" ht="18" customHeight="1">
      <c r="A568" s="98" t="s">
        <v>227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224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226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78"/>
    </row>
    <row r="595" spans="1:15" ht="18" customHeight="1">
      <c r="A595" s="98" t="s">
        <v>227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224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226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78"/>
    </row>
    <row r="622" spans="1:15" ht="18" customHeight="1">
      <c r="A622" s="98" t="s">
        <v>227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224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226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78"/>
    </row>
    <row r="649" spans="1:15" ht="18" customHeight="1">
      <c r="A649" s="98" t="s">
        <v>227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224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226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78"/>
    </row>
    <row r="676" spans="1:15" ht="18" customHeight="1">
      <c r="A676" s="98" t="s">
        <v>227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224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226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78"/>
    </row>
    <row r="703" spans="1:15" ht="18" customHeight="1">
      <c r="A703" s="98" t="s">
        <v>227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224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226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78"/>
    </row>
    <row r="730" spans="1:15" ht="18" customHeight="1">
      <c r="A730" s="98" t="s">
        <v>227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224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226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8" t="s">
        <v>227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224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226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8" t="s">
        <v>227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224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226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8" t="s">
        <v>227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0" zoomScale="50" zoomScaleNormal="50" workbookViewId="0">
      <selection activeCell="B382" sqref="B38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224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226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225</v>
      </c>
      <c r="O27" s="39">
        <v>308500</v>
      </c>
    </row>
    <row r="28" spans="1:15" ht="18" customHeight="1">
      <c r="A28" s="98" t="s">
        <v>227</v>
      </c>
      <c r="B28" s="99"/>
      <c r="C28" s="99"/>
      <c r="D28" s="99"/>
      <c r="E28" s="100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224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226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39">
        <v>124290</v>
      </c>
    </row>
    <row r="55" spans="1:15" ht="18" customHeight="1">
      <c r="A55" s="98" t="s">
        <v>227</v>
      </c>
      <c r="B55" s="99"/>
      <c r="C55" s="99"/>
      <c r="D55" s="99"/>
      <c r="E55" s="100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224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226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225</v>
      </c>
      <c r="O81" s="39">
        <v>396340</v>
      </c>
    </row>
    <row r="82" spans="1:15" ht="18" customHeight="1">
      <c r="A82" s="98" t="s">
        <v>227</v>
      </c>
      <c r="B82" s="99"/>
      <c r="C82" s="99"/>
      <c r="D82" s="99"/>
      <c r="E82" s="100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224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226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225</v>
      </c>
      <c r="O108" s="39">
        <v>41230</v>
      </c>
    </row>
    <row r="109" spans="1:15" ht="18" customHeight="1">
      <c r="A109" s="98" t="s">
        <v>227</v>
      </c>
      <c r="B109" s="99"/>
      <c r="C109" s="99"/>
      <c r="D109" s="99"/>
      <c r="E109" s="100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224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226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225</v>
      </c>
      <c r="O135" s="39">
        <v>381250</v>
      </c>
    </row>
    <row r="136" spans="1:15" ht="18" customHeight="1">
      <c r="A136" s="98" t="s">
        <v>227</v>
      </c>
      <c r="B136" s="99"/>
      <c r="C136" s="99"/>
      <c r="D136" s="99"/>
      <c r="E136" s="100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262</v>
      </c>
      <c r="K141" s="29">
        <v>0.71597222222222223</v>
      </c>
      <c r="L141" s="29" t="s">
        <v>290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224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226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225</v>
      </c>
      <c r="O162" s="39">
        <v>337120</v>
      </c>
    </row>
    <row r="163" spans="1:15" ht="18" customHeight="1">
      <c r="A163" s="98" t="s">
        <v>227</v>
      </c>
      <c r="B163" s="99"/>
      <c r="C163" s="99"/>
      <c r="D163" s="99"/>
      <c r="E163" s="100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292</v>
      </c>
      <c r="N166" s="27" t="s">
        <v>293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224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226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225</v>
      </c>
      <c r="O189" s="39">
        <v>747210</v>
      </c>
    </row>
    <row r="190" spans="1:15" ht="18" customHeight="1">
      <c r="A190" s="98" t="s">
        <v>227</v>
      </c>
      <c r="B190" s="99"/>
      <c r="C190" s="99"/>
      <c r="D190" s="99"/>
      <c r="E190" s="100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224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226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225</v>
      </c>
      <c r="O216" s="39">
        <v>468430</v>
      </c>
    </row>
    <row r="217" spans="1:15" ht="18" customHeight="1">
      <c r="A217" s="98" t="s">
        <v>227</v>
      </c>
      <c r="B217" s="99"/>
      <c r="C217" s="99"/>
      <c r="D217" s="99"/>
      <c r="E217" s="100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224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226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225</v>
      </c>
      <c r="O243" s="39">
        <v>575930</v>
      </c>
    </row>
    <row r="244" spans="1:15" ht="18" customHeight="1">
      <c r="A244" s="98" t="s">
        <v>227</v>
      </c>
      <c r="B244" s="99"/>
      <c r="C244" s="99"/>
      <c r="D244" s="99"/>
      <c r="E244" s="100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224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226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225</v>
      </c>
      <c r="O270" s="39">
        <v>483510</v>
      </c>
    </row>
    <row r="271" spans="1:15" ht="18" customHeight="1">
      <c r="A271" s="98" t="s">
        <v>227</v>
      </c>
      <c r="B271" s="99"/>
      <c r="C271" s="99"/>
      <c r="D271" s="99"/>
      <c r="E271" s="100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228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224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225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226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225</v>
      </c>
      <c r="O297" s="39">
        <v>487980</v>
      </c>
    </row>
    <row r="298" spans="1:15" ht="18" customHeight="1">
      <c r="A298" s="98" t="s">
        <v>227</v>
      </c>
      <c r="B298" s="99"/>
      <c r="C298" s="99"/>
      <c r="D298" s="99"/>
      <c r="E298" s="100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228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224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225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226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225</v>
      </c>
      <c r="O324" s="39">
        <v>609460</v>
      </c>
    </row>
    <row r="325" spans="1:15" ht="18" customHeight="1">
      <c r="A325" s="98" t="s">
        <v>227</v>
      </c>
      <c r="B325" s="99"/>
      <c r="C325" s="99"/>
      <c r="D325" s="99"/>
      <c r="E325" s="100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228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224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225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226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225</v>
      </c>
      <c r="O351" s="39">
        <v>437940</v>
      </c>
    </row>
    <row r="352" spans="1:15" ht="18" customHeight="1">
      <c r="A352" s="98" t="s">
        <v>227</v>
      </c>
      <c r="B352" s="99"/>
      <c r="C352" s="99"/>
      <c r="D352" s="99"/>
      <c r="E352" s="100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228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224</v>
      </c>
      <c r="B365" s="96"/>
      <c r="C365" s="96"/>
      <c r="D365" s="96"/>
      <c r="E365" s="97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225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226</v>
      </c>
      <c r="B378" s="96"/>
      <c r="C378" s="96"/>
      <c r="D378" s="96"/>
      <c r="E378" s="97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225</v>
      </c>
      <c r="O378" s="39">
        <v>473310</v>
      </c>
    </row>
    <row r="379" spans="1:15" ht="18" customHeight="1">
      <c r="A379" s="98" t="s">
        <v>227</v>
      </c>
      <c r="B379" s="99"/>
      <c r="C379" s="99"/>
      <c r="D379" s="99"/>
      <c r="E379" s="100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228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224</v>
      </c>
      <c r="B392" s="96"/>
      <c r="C392" s="96"/>
      <c r="D392" s="96"/>
      <c r="E392" s="97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225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226</v>
      </c>
      <c r="B405" s="96"/>
      <c r="C405" s="96"/>
      <c r="D405" s="96"/>
      <c r="E405" s="97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225</v>
      </c>
      <c r="O405" s="39">
        <v>507450</v>
      </c>
    </row>
    <row r="406" spans="1:15" ht="18" customHeight="1">
      <c r="A406" s="98" t="s">
        <v>227</v>
      </c>
      <c r="B406" s="99"/>
      <c r="C406" s="99"/>
      <c r="D406" s="99"/>
      <c r="E406" s="100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228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248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5" t="s">
        <v>224</v>
      </c>
      <c r="B419" s="96"/>
      <c r="C419" s="96"/>
      <c r="D419" s="96"/>
      <c r="E419" s="97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225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226</v>
      </c>
      <c r="B432" s="96"/>
      <c r="C432" s="96"/>
      <c r="D432" s="96"/>
      <c r="E432" s="97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39">
        <v>229150</v>
      </c>
    </row>
    <row r="433" spans="1:15" ht="18" customHeight="1">
      <c r="A433" s="98" t="s">
        <v>227</v>
      </c>
      <c r="B433" s="99"/>
      <c r="C433" s="99"/>
      <c r="D433" s="99"/>
      <c r="E433" s="100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228</v>
      </c>
      <c r="O433" s="48">
        <f>IFERROR(O420+O432,"")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248</v>
      </c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248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248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248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248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248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248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248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248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248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248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248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224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226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8" t="s">
        <v>227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224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226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8" t="s">
        <v>227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224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226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8" t="s">
        <v>227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224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226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8" t="s">
        <v>227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224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226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8" t="s">
        <v>227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224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226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8" t="s">
        <v>227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224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226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8" t="s">
        <v>227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224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226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8" t="s">
        <v>227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224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226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8" t="s">
        <v>227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224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226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8" t="s">
        <v>227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224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226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8" t="s">
        <v>227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224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226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8" t="s">
        <v>227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224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226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8" t="s">
        <v>227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224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226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8" t="s">
        <v>227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E445" sqref="E44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224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226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225</v>
      </c>
      <c r="O27" s="39">
        <v>202230</v>
      </c>
    </row>
    <row r="28" spans="1:15" ht="18" customHeight="1">
      <c r="A28" s="98" t="s">
        <v>227</v>
      </c>
      <c r="B28" s="99"/>
      <c r="C28" s="99"/>
      <c r="D28" s="99"/>
      <c r="E28" s="100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224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226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225</v>
      </c>
      <c r="O54" s="39">
        <v>473910</v>
      </c>
    </row>
    <row r="55" spans="1:15" ht="18" customHeight="1">
      <c r="A55" s="98" t="s">
        <v>227</v>
      </c>
      <c r="B55" s="99"/>
      <c r="C55" s="99"/>
      <c r="D55" s="99"/>
      <c r="E55" s="100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307</v>
      </c>
      <c r="L58" s="29">
        <v>0.54097222222222219</v>
      </c>
      <c r="M58" s="30" t="str">
        <f t="shared" ca="1" si="13"/>
        <v/>
      </c>
      <c r="N58" s="27" t="s">
        <v>308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224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226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225</v>
      </c>
      <c r="O81" s="39">
        <v>565120</v>
      </c>
    </row>
    <row r="82" spans="1:15" ht="18" customHeight="1">
      <c r="A82" s="98" t="s">
        <v>227</v>
      </c>
      <c r="B82" s="99"/>
      <c r="C82" s="99"/>
      <c r="D82" s="99"/>
      <c r="E82" s="100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224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226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225</v>
      </c>
      <c r="O108" s="39">
        <v>558590</v>
      </c>
    </row>
    <row r="109" spans="1:15" ht="18" customHeight="1">
      <c r="A109" s="98" t="s">
        <v>227</v>
      </c>
      <c r="B109" s="99"/>
      <c r="C109" s="99"/>
      <c r="D109" s="99"/>
      <c r="E109" s="100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224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6.2813773147354368E-2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226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0.26211932870290999</v>
      </c>
      <c r="N135" s="36" t="s">
        <v>225</v>
      </c>
      <c r="O135" s="39">
        <v>729290</v>
      </c>
    </row>
    <row r="136" spans="1:18" ht="18" customHeight="1">
      <c r="A136" s="98" t="s">
        <v>227</v>
      </c>
      <c r="B136" s="99"/>
      <c r="C136" s="99"/>
      <c r="D136" s="99"/>
      <c r="E136" s="100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0.62948043981402102</v>
      </c>
      <c r="N136" s="40" t="s">
        <v>228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224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226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225</v>
      </c>
      <c r="O162" s="39">
        <v>697320</v>
      </c>
    </row>
    <row r="163" spans="1:15" ht="18" customHeight="1">
      <c r="A163" s="98" t="s">
        <v>227</v>
      </c>
      <c r="B163" s="99"/>
      <c r="C163" s="99"/>
      <c r="D163" s="99"/>
      <c r="E163" s="100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248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224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226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225</v>
      </c>
      <c r="O189" s="39">
        <v>973580</v>
      </c>
    </row>
    <row r="190" spans="1:15" ht="18" customHeight="1">
      <c r="A190" s="98" t="s">
        <v>227</v>
      </c>
      <c r="B190" s="99"/>
      <c r="C190" s="99"/>
      <c r="D190" s="99"/>
      <c r="E190" s="100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224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226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225</v>
      </c>
      <c r="O216" s="45">
        <v>1060630</v>
      </c>
    </row>
    <row r="217" spans="1:15" ht="18" customHeight="1">
      <c r="A217" s="98" t="s">
        <v>227</v>
      </c>
      <c r="B217" s="99"/>
      <c r="C217" s="99"/>
      <c r="D217" s="99"/>
      <c r="E217" s="100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224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226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225</v>
      </c>
      <c r="O243" s="39">
        <v>982340</v>
      </c>
    </row>
    <row r="244" spans="1:15" ht="18" customHeight="1">
      <c r="A244" s="98" t="s">
        <v>227</v>
      </c>
      <c r="B244" s="99"/>
      <c r="C244" s="99"/>
      <c r="D244" s="99"/>
      <c r="E244" s="100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224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226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225</v>
      </c>
      <c r="O270" s="39">
        <v>1208450</v>
      </c>
    </row>
    <row r="271" spans="1:15" ht="18" customHeight="1">
      <c r="A271" s="98" t="s">
        <v>227</v>
      </c>
      <c r="B271" s="99"/>
      <c r="C271" s="99"/>
      <c r="D271" s="99"/>
      <c r="E271" s="100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228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224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225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226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225</v>
      </c>
      <c r="O297" s="39">
        <v>1049090</v>
      </c>
    </row>
    <row r="298" spans="1:15" ht="18" customHeight="1">
      <c r="A298" s="98" t="s">
        <v>227</v>
      </c>
      <c r="B298" s="99"/>
      <c r="C298" s="99"/>
      <c r="D298" s="99"/>
      <c r="E298" s="100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228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224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225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226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225</v>
      </c>
      <c r="O324" s="39">
        <v>1063720</v>
      </c>
    </row>
    <row r="325" spans="1:15" ht="18" customHeight="1">
      <c r="A325" s="98" t="s">
        <v>227</v>
      </c>
      <c r="B325" s="99"/>
      <c r="C325" s="99"/>
      <c r="D325" s="99"/>
      <c r="E325" s="100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228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224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225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226</v>
      </c>
      <c r="B351" s="96"/>
      <c r="C351" s="96"/>
      <c r="D351" s="96"/>
      <c r="E351" s="97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225</v>
      </c>
      <c r="O351" s="39">
        <v>696140</v>
      </c>
    </row>
    <row r="352" spans="1:15" ht="18" customHeight="1">
      <c r="A352" s="98" t="s">
        <v>227</v>
      </c>
      <c r="B352" s="99"/>
      <c r="C352" s="99"/>
      <c r="D352" s="99"/>
      <c r="E352" s="100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228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224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225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5" t="s">
        <v>226</v>
      </c>
      <c r="B378" s="96"/>
      <c r="C378" s="96"/>
      <c r="D378" s="96"/>
      <c r="E378" s="97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225</v>
      </c>
      <c r="O378" s="39">
        <v>704750</v>
      </c>
    </row>
    <row r="379" spans="1:15" ht="18" customHeight="1">
      <c r="A379" s="98" t="s">
        <v>227</v>
      </c>
      <c r="B379" s="99"/>
      <c r="C379" s="99"/>
      <c r="D379" s="99"/>
      <c r="E379" s="100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228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224</v>
      </c>
      <c r="B392" s="96"/>
      <c r="C392" s="96"/>
      <c r="D392" s="96"/>
      <c r="E392" s="97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225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226</v>
      </c>
      <c r="B405" s="96"/>
      <c r="C405" s="96"/>
      <c r="D405" s="96"/>
      <c r="E405" s="97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225</v>
      </c>
      <c r="O405" s="39">
        <v>958130</v>
      </c>
    </row>
    <row r="406" spans="1:15" ht="18" customHeight="1">
      <c r="A406" s="98" t="s">
        <v>227</v>
      </c>
      <c r="B406" s="99"/>
      <c r="C406" s="99"/>
      <c r="D406" s="99"/>
      <c r="E406" s="100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228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224</v>
      </c>
      <c r="B419" s="96"/>
      <c r="C419" s="96"/>
      <c r="D419" s="96"/>
      <c r="E419" s="97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225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335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226</v>
      </c>
      <c r="B432" s="96"/>
      <c r="C432" s="96"/>
      <c r="D432" s="96"/>
      <c r="E432" s="97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225</v>
      </c>
      <c r="O432" s="39">
        <v>605220</v>
      </c>
    </row>
    <row r="433" spans="1:17" ht="18" customHeight="1">
      <c r="A433" s="98" t="s">
        <v>227</v>
      </c>
      <c r="B433" s="99"/>
      <c r="C433" s="99"/>
      <c r="D433" s="99"/>
      <c r="E433" s="100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228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248</v>
      </c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248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248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248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248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248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248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248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248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248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248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248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224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226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8" t="s">
        <v>227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224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226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8" t="s">
        <v>227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224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226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8" t="s">
        <v>227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224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226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8" t="s">
        <v>227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224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226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8" t="s">
        <v>227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224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226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8" t="s">
        <v>227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224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226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8" t="s">
        <v>227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224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226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8" t="s">
        <v>227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224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226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8" t="s">
        <v>227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224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226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8" t="s">
        <v>227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224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226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8" t="s">
        <v>227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224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226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8" t="s">
        <v>227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224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226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8" t="s">
        <v>227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224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226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8" t="s">
        <v>227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2026-07-17T11:31:35Z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