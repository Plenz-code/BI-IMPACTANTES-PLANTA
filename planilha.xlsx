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77" documentId="8_{C51EB6CB-002B-4D6B-B68F-DDEBDB4460C0}" xr6:coauthVersionLast="47" xr6:coauthVersionMax="47" xr10:uidLastSave="{2F1A1AE2-FE00-49A1-A295-5A621BC0A16C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<sst xmlns="http://schemas.openxmlformats.org/spreadsheetml/2006/main" count="2294" uniqueCount="266">
  <si>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</si>
  <si>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</si>
  <si>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</si>
  <si>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</si>
  <si>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</si>
  <si>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</si>
  <si>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</si>
  <si>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</si>
  <si>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</si>
  <si>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</si>
  <si>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</si>
  <si>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</si>
  <si>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</si>
  <si>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</si>
  <si>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</si>
  <si>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</si>
  <si>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</si>
  <si>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</si>
  <si>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</si>
  <si>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</si>
  <si>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</si>
  <si>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</si>
  <si>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</si>
  <si>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</si>
  <si>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</si>
  <si>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</si>
  <si>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</si>
  <si>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</si>
  <si>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</si>
  <si>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</si>
  <si>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</si>
  <si>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</si>
  <si>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</si>
  <si>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</si>
  <si>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</si>
  <si>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</si>
  <si>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</si>
  <si>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</si>
  <si>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</si>
  <si>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</si>
  <si>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</si>
  <si>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</si>
  <si>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</si>
  <si>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</si>
  <si>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</si>
  <si>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</si>
  <si>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</si>
  <si>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</si>
  <si>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</si>
  <si>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</si>
  <si>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</si>
  <si>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</si>
  <si>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</si>
  <si>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</si>
  <si>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</si>
  <si>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</si>
  <si>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</si>
  <si>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</si>
  <si>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</si>
  <si>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</si>
  <si>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</si>
  <si>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</si>
  <si>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</si>
  <si>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</si>
  <si>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</si>
  <si>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</si>
  <si>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</si>
  <si>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</si>
  <si>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</si>
  <si>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</si>
  <si>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</si>
  <si>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</si>
  <si>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</si>
  <si>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</si>
  <si>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</si>
  <si>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</si>
  <si>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</si>
  <si>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</si>
  <si>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</si>
  <si>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</si>
  <si>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</si>
  <si>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</si>
  <si>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</si>
  <si>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</si>
  <si>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</si>
  <si>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</si>
  <si>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</si>
  <si>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</si>
  <si>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</si>
  <si>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</si>
  <si>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</si>
  <si>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</si>
  <si>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</si>
  <si>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</si>
  <si>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</si>
  <si>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</si>
  <si>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</si>
  <si>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</si>
  <si>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</si>
  <si>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</si>
  <si>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</si>
  <si>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</si>
  <si>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</si>
  <si>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</si>
  <si>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</si>
  <si>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</si>
  <si>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</si>
  <si>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</si>
  <si>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</si>
  <si>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</si>
  <si>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</si>
  <si>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</si>
  <si>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</si>
  <si>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</si>
  <si>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</si>
  <si>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</si>
  <si>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</si>
  <si>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</si>
  <si>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</si>
  <si>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</si>
  <si>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</si>
  <si>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</si>
  <si>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</si>
  <si>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</si>
  <si>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</si>
  <si>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</si>
  <si>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</si>
  <si>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</si>
  <si>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</si>
  <si>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</si>
  <si>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</si>
  <si>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</si>
  <si>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</si>
  <si>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</si>
  <si>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</si>
  <si>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</si>
  <si>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</si>
  <si>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</si>
  <si>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</si>
  <si>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</si>
  <si>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</si>
  <si>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</si>
  <si>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</si>
  <si>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</si>
  <si>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</si>
  <si>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</si>
  <si>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</si>
  <si>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</si>
  <si>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</si>
  <si>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</si>
  <si>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</si>
  <si>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</si>
  <si>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</si>
  <si>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</si>
  <si>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</si>
  <si>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</si>
  <si>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</si>
  <si>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</si>
  <si>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</si>
  <si>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</si>
  <si>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</si>
  <si>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</si>
  <si>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</si>
  <si>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</si>
  <si>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</si>
  <si>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</si>
  <si>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</si>
  <si>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</si>
  <si>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</si>
  <si>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</si>
  <si>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</si>
  <si>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</si>
  <si>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</si>
  <si>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</si>
  <si>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</si>
  <si>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</si>
  <si>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</si>
  <si>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</si>
  <si>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</si>
  <si>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</si>
  <si>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</si>
  <si>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</si>
  <si>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</si>
  <si>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</si>
  <si>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</si>
  <si>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</si>
  <si>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</si>
  <si>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</si>
  <si>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</si>
  <si>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</si>
  <si>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</si>
  <si>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</si>
  <si>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</si>
  <si>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</si>
  <si>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</si>
  <si>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</si>
  <si>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</si>
  <si>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</si>
  <si>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</si>
  <si>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</si>
  <si>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</si>
  <si>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</si>
  <si>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</si>
  <si>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</si>
  <si>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</si>
  <si>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</si>
  <si>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</si>
  <si>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</si>
  <si>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</si>
  <si>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</si>
  <si>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</si>
  <si>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</si>
  <si>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</si>
  <si>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</si>
  <si>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</si>
  <si>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</si>
  <si>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</si>
  <si>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</si>
  <si>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</si>
  <si>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</si>
  <si>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</si>
  <si>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</si>
  <si>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</si>
  <si>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</si>
  <si>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</si>
  <si>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</si>
  <si>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</si>
  <si>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</si>
  <si>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</si>
  <si>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</si>
  <si>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</si>
  <si>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</si>
  <si>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</si>
  <si>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</si>
  <si>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</si>
  <si>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</si>
  <si>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</si>
  <si>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</si>
  <si>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</si>
  <si>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</si>
  <si>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</si>
  <si>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</si>
  <si>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</si>
  <si>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caiu faca,quebrou pino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</si>
  <si>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</si>
  <si>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</si>
  <si>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</si>
  <si>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</si>
  <si>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</si>
  <si>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</si>
  <si>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</si>
  <si>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</si>
  <si>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</si>
  <si>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</si>
  <si>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</si>
  <si>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</si>
  <si>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</si>
  <si>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bomba 01 parada pra  manutencao eletrica</t>
  </si>
  <si>
    <t>troca de martelo,adicinado 4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</si>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</sst>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2102950</v>
      </c>
      <c r="D6" s="8">
        <f>IFERROR('Linha 1'!O82,"")</f>
        <v>565230</v>
      </c>
      <c r="E6" s="8">
        <f>IFERROR('Linha 2'!O82,"")</f>
        <v>221380</v>
      </c>
      <c r="F6" s="8">
        <f>IFERROR('Linha 3'!O82,"")</f>
        <v>477090</v>
      </c>
      <c r="G6" s="9">
        <f t="shared" si="0"/>
        <v>1263700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6231495</v>
      </c>
      <c r="D35" s="13">
        <f>IFERROR(SUM(D4:D34),"")</f>
        <v>2259870</v>
      </c>
      <c r="E35" s="13">
        <f>IFERROR(SUM(E4:E34),"")</f>
        <v>1422960</v>
      </c>
      <c r="F35" s="13">
        <f>IFERROR(SUM(F4:F34),"")</f>
        <v>2649260</v>
      </c>
      <c r="G35" s="13">
        <f>IFERROR(SUM(G4:G34),"")</f>
        <v>6332090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56" activePane="bottomLeft" state="frozen"/>
      <selection pane="bottomLeft" activeCell="F76" sqref="F7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228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 t="s">
        <v>228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 t="s">
        <v>228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95</v>
      </c>
      <c r="G81" s="36">
        <f>SUM(G69:G80)</f>
        <v>475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470</v>
      </c>
      <c r="G82" s="40">
        <f>G68+G81</f>
        <v>2350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2102950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66" activePane="bottomLeft" state="frozen"/>
      <selection pane="bottomLeft" activeCell="F76" sqref="F7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244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244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244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244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244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244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244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244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244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244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244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244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244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244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250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244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251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244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244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252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244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3.5111111064907163E-3</v>
      </c>
      <c r="N53" s="46" t="s">
        <v>253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0.14239999999537961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0.22712222221760192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245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244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244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244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244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244</v>
      </c>
      <c r="F75" s="27">
        <v>16</v>
      </c>
      <c r="G75" s="34">
        <f t="shared" si="15"/>
        <v>67.2</v>
      </c>
      <c r="H75" s="33"/>
      <c r="I75" s="33"/>
      <c r="J75" s="33"/>
      <c r="K75" s="29"/>
      <c r="L75" s="29"/>
      <c r="M75" s="30" t="str">
        <f t="shared" ca="1" si="17"/>
        <v/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244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244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244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30</v>
      </c>
      <c r="E79" s="62" t="s">
        <v>244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30</v>
      </c>
      <c r="E80" s="62" t="s">
        <v>244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90</v>
      </c>
      <c r="G81" s="36">
        <f>SUM(G69:G80)</f>
        <v>378</v>
      </c>
      <c r="H81" s="37"/>
      <c r="I81" s="37"/>
      <c r="J81" s="37"/>
      <c r="K81" s="37"/>
      <c r="L81" s="37"/>
      <c r="M81" s="38">
        <f ca="1">IFERROR(SUM(M69:M80),"")</f>
        <v>2.9166666666666896E-2</v>
      </c>
      <c r="N81" s="36" t="s">
        <v>230</v>
      </c>
      <c r="O81" s="54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226</v>
      </c>
      <c r="G82" s="40">
        <f>G68+G81</f>
        <v>949.2</v>
      </c>
      <c r="H82" s="41"/>
      <c r="I82" s="41"/>
      <c r="J82" s="41"/>
      <c r="K82" s="41"/>
      <c r="L82" s="41"/>
      <c r="M82" s="42">
        <f ca="1">IFERROR(M68+M81,"")</f>
        <v>0.14513888888888909</v>
      </c>
      <c r="N82" s="40" t="s">
        <v>234</v>
      </c>
      <c r="O82" s="82">
        <f>IFERROR(O68+O81,"")</f>
        <v>565230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1" zoomScale="50" zoomScaleNormal="50" workbookViewId="0">
      <selection activeCell="F76" sqref="F7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244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244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244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244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244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244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244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244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244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244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244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244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244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244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244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244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244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244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0</v>
      </c>
      <c r="G74" s="28">
        <f t="shared" si="15"/>
        <v>0</v>
      </c>
      <c r="H74" s="26"/>
      <c r="I74" s="26" t="s">
        <v>47</v>
      </c>
      <c r="J74" s="26"/>
      <c r="K74" s="29">
        <v>0.97430555555555554</v>
      </c>
      <c r="L74" s="29"/>
      <c r="M74" s="30">
        <f t="shared" ca="1" si="16"/>
        <v>0.15073333332838956</v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31</v>
      </c>
      <c r="G81" s="36">
        <f>SUM(G69:G80)</f>
        <v>130.20000000000002</v>
      </c>
      <c r="H81" s="37"/>
      <c r="I81" s="37"/>
      <c r="J81" s="37"/>
      <c r="K81" s="37"/>
      <c r="L81" s="37"/>
      <c r="M81" s="38">
        <f ca="1">IFERROR(SUM(M69:M80),"")</f>
        <v>0.18476111110616733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81</v>
      </c>
      <c r="G82" s="40">
        <f>G68+G81</f>
        <v>340.20000000000005</v>
      </c>
      <c r="H82" s="41"/>
      <c r="I82" s="41"/>
      <c r="J82" s="41"/>
      <c r="K82" s="41"/>
      <c r="L82" s="41"/>
      <c r="M82" s="42">
        <f ca="1">IFERROR(M68+M81,"")</f>
        <v>0.26809444443950076</v>
      </c>
      <c r="N82" s="40" t="s">
        <v>234</v>
      </c>
      <c r="O82" s="43">
        <f>IFERROR(O68+O81,"")</f>
        <v>221380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52" activePane="bottomLeft" state="frozen"/>
      <selection pane="bottomLeft" activeCell="L74" sqref="L7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244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244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244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244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244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244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244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244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244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244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244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244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244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244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244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244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244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244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244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14</v>
      </c>
      <c r="G74" s="28">
        <f t="shared" si="15"/>
        <v>58.800000000000004</v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 t="s">
        <v>244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81</v>
      </c>
      <c r="G81" s="36">
        <f>SUM(G69:G80)</f>
        <v>340.2</v>
      </c>
      <c r="H81" s="37"/>
      <c r="I81" s="37"/>
      <c r="J81" s="37"/>
      <c r="K81" s="61"/>
      <c r="L81" s="61"/>
      <c r="M81" s="38">
        <f ca="1">IFERROR(SUM(M69:M80),"")</f>
        <v>8.3333333333333398E-2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196</v>
      </c>
      <c r="G82" s="40">
        <f>G68+G81</f>
        <v>823.19999999999993</v>
      </c>
      <c r="H82" s="41"/>
      <c r="I82" s="41"/>
      <c r="J82" s="41"/>
      <c r="K82" s="63"/>
      <c r="L82" s="63"/>
      <c r="M82" s="42">
        <f ca="1">IFERROR(M68+M81,"")</f>
        <v>0.22847222222222238</v>
      </c>
      <c r="N82" s="40" t="s">
        <v>234</v>
      </c>
      <c r="O82" s="48">
        <f>IFERROR(O68+O81,"")</f>
        <v>477090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2026-08-04T07:00:33Z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