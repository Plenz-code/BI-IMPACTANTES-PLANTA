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886" documentId="8_{C51EB6CB-002B-4D6B-B68F-DDEBDB4460C0}" xr6:coauthVersionLast="47" xr6:coauthVersionMax="47" xr10:uidLastSave="{39E05E08-08FA-4884-B196-F696C75C59D8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<sst xmlns="http://schemas.openxmlformats.org/spreadsheetml/2006/main" count="2475" uniqueCount="262">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</sst>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7779405</v>
      </c>
      <c r="D35" s="13">
        <f>IFERROR(SUM(D4:D34),"")</f>
        <v>2894080</v>
      </c>
      <c r="E35" s="13">
        <f>IFERROR(SUM(E4:E34),"")</f>
        <v>1608880</v>
      </c>
      <c r="F35" s="13">
        <f>IFERROR(SUM(F4:F34),"")</f>
        <v>3261670</v>
      </c>
      <c r="G35" s="13">
        <f>IFERROR(SUM(G4:G34),"")</f>
        <v>7764630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63" activePane="bottomLeft" state="frozen"/>
      <selection pane="bottomLeft" activeCell="F89" sqref="F8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>
        <v>30</v>
      </c>
      <c r="G84" s="34">
        <f t="shared" si="18"/>
        <v>150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>
        <v>35</v>
      </c>
      <c r="G85" s="28">
        <f t="shared" si="18"/>
        <v>175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180</v>
      </c>
      <c r="G95" s="36">
        <f>SUM(G83:G94)</f>
        <v>900</v>
      </c>
      <c r="H95" s="37"/>
      <c r="I95" s="37"/>
      <c r="J95" s="37"/>
      <c r="K95" s="37"/>
      <c r="L95" s="37"/>
      <c r="M95" s="38">
        <f ca="1">IFERROR(SUM(M83:M94),"")</f>
        <v>2.7083333333333348E-2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180</v>
      </c>
      <c r="G109" s="40">
        <f>G95+G108</f>
        <v>900</v>
      </c>
      <c r="H109" s="41"/>
      <c r="I109" s="41"/>
      <c r="J109" s="41"/>
      <c r="K109" s="41"/>
      <c r="L109" s="41"/>
      <c r="M109" s="42">
        <f ca="1">IFERROR(M95+M108,"")</f>
        <v>2.7083333333333348E-2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66" activePane="bottomLeft" state="frozen"/>
      <selection pane="bottomLeft" activeCell="J90" sqref="J9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239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238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238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238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240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238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241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238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238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238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238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238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238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238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238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238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238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238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238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242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238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243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238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238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238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238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238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238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238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238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238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238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238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238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238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238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238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238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238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238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238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238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238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238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238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244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238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245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238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238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238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246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238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0.44658113425248303</v>
      </c>
      <c r="N53" s="46" t="s">
        <v>247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0.58547002314137186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0.67019224536359423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238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238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238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238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238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238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238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238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239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238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238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238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238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238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238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238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238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238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238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238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238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248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238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238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238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238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249</v>
      </c>
      <c r="E83" s="59" t="s">
        <v>238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238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238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238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238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/>
      <c r="M87" s="35">
        <f t="shared" ca="1" si="19"/>
        <v>1.4422453677980229E-3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238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238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238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238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238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238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238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78</v>
      </c>
      <c r="G95" s="36">
        <f>SUM(G83:G94)</f>
        <v>327.60000000000002</v>
      </c>
      <c r="H95" s="37"/>
      <c r="I95" s="37"/>
      <c r="J95" s="37"/>
      <c r="K95" s="37"/>
      <c r="L95" s="37"/>
      <c r="M95" s="38">
        <f ca="1">IFERROR(SUM(M83:M94),"")</f>
        <v>4.6581134256686918E-2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78</v>
      </c>
      <c r="G109" s="40">
        <f>G95+G108</f>
        <v>327.60000000000002</v>
      </c>
      <c r="H109" s="41"/>
      <c r="I109" s="41"/>
      <c r="J109" s="41"/>
      <c r="K109" s="41"/>
      <c r="L109" s="41"/>
      <c r="M109" s="42">
        <f ca="1">IFERROR(M95+M108,"")</f>
        <v>4.6581134256686918E-2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65" zoomScale="50" zoomScaleNormal="50" workbookViewId="0">
      <selection activeCell="J84" sqref="J8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238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238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238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238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238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238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238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238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238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238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238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250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238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238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238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242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238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251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238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238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238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238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238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238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238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238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238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238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238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238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238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238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238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238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238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238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238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248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238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250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238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238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238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238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238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238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238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250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238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238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238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238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238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238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238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238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238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238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252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238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238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238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238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238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238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253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238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238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238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238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238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238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238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254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238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/>
      <c r="M84" s="30">
        <f t="shared" ca="1" si="19"/>
        <v>1.4422453677980229E-3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238</v>
      </c>
      <c r="F85" s="27">
        <v>5</v>
      </c>
      <c r="G85" s="28">
        <f t="shared" si="18"/>
        <v>21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238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238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238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238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238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238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238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238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238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35</v>
      </c>
      <c r="G95" s="36">
        <f>SUM(G83:G94)</f>
        <v>147</v>
      </c>
      <c r="H95" s="37"/>
      <c r="I95" s="37"/>
      <c r="J95" s="37"/>
      <c r="K95" s="37"/>
      <c r="L95" s="37"/>
      <c r="M95" s="38">
        <f ca="1">IFERROR(SUM(M83:M94),"")</f>
        <v>3.3386689812242465E-2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35</v>
      </c>
      <c r="G109" s="40">
        <f>G95+G108</f>
        <v>147</v>
      </c>
      <c r="H109" s="41"/>
      <c r="I109" s="41"/>
      <c r="J109" s="41"/>
      <c r="K109" s="41"/>
      <c r="L109" s="41"/>
      <c r="M109" s="42">
        <f ca="1">IFERROR(M95+M108,"")</f>
        <v>3.3386689812242465E-2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65" activePane="bottomLeft" state="frozen"/>
      <selection pane="bottomLeft" activeCell="F89" sqref="F8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238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238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238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238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238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238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238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238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238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238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238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238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238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245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238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250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238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238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238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238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238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238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238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238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238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238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238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238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238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238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238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238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238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238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238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238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238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238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238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238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238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238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238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238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238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238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238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259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238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238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238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238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238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238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238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238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238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238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238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250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238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238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238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238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238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238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238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238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238</v>
      </c>
      <c r="F84" s="27">
        <v>20</v>
      </c>
      <c r="G84" s="34">
        <f t="shared" si="18"/>
        <v>84</v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238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238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238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238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238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238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238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238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238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238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94</v>
      </c>
      <c r="G95" s="36">
        <f>SUM(G83:G94)</f>
        <v>394.79999999999995</v>
      </c>
      <c r="H95" s="37"/>
      <c r="I95" s="37"/>
      <c r="J95" s="37"/>
      <c r="K95" s="61"/>
      <c r="L95" s="61"/>
      <c r="M95" s="38">
        <f ca="1">IFERROR(SUM(M83:M94),"")</f>
        <v>1.9444444444444431E-2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94</v>
      </c>
      <c r="G109" s="40">
        <f>G95+G108</f>
        <v>394.79999999999995</v>
      </c>
      <c r="H109" s="41"/>
      <c r="I109" s="41"/>
      <c r="J109" s="41"/>
      <c r="K109" s="63"/>
      <c r="L109" s="63"/>
      <c r="M109" s="42">
        <f ca="1">IFERROR(M95+M108,"")</f>
        <v>1.9444444444444431E-2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2026-08-04T17:38:12Z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