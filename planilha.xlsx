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4" documentId="13_ncr:1_{A6DBCFB4-28D9-4249-9038-216934055CA6}" xr6:coauthVersionLast="47" xr6:coauthVersionMax="47" xr10:uidLastSave="{4CC95F52-5D26-4153-8DF2-1963390C999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<sst xmlns="http://schemas.openxmlformats.org/spreadsheetml/2006/main" count="8659" uniqueCount="399">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</sst>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2369660</v>
      </c>
      <c r="H22" s="21">
        <f>IFERROR('Linha 1'!T514+'Linha 2'!T514+'Linha 3'!T514,0)</f>
        <v>376.52717999999999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11910920</v>
      </c>
      <c r="F35" s="30">
        <f t="shared" si="2"/>
        <v>28979710</v>
      </c>
      <c r="G35" s="30">
        <f t="shared" si="2"/>
        <v>64191160</v>
      </c>
      <c r="H35" s="31">
        <f t="shared" si="2"/>
        <v>5322.0213450601887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O514" sqref="O51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3.3196759257407393E-2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3.9446759257407399E-2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0.15125231481296306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00" activePane="bottomLeft" state="frozen"/>
      <selection pane="bottomLeft" activeCell="G513" sqref="G51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0.16791898147494067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0.30680787036382839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0.3915300925860512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11.046481967213113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6.4437811475409825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4.6027008196721306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9.2054016393442613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112.30589999999998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112.30589999999998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198.46686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198.46686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E512" sqref="E51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/>
      <c r="H512" s="92" t="str">
        <f>IFERROR(IF($G512="","",$G512*$S$513/$G$513/Cadastro!$E$33),"")</f>
        <v/>
      </c>
      <c r="I512" s="93">
        <f>IFERROR(IF($D512="","",VLOOKUP($D512,Cadastro!$C$4:$G$7,5,FALSE())),"")</f>
        <v>0.6</v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P507" sqref="P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2026-08-20T10:56:48Z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