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14" documentId="8_{AF585B22-221D-4780-BB9C-493D365A6A02}" xr6:coauthVersionLast="47" xr6:coauthVersionMax="47" xr10:uidLastSave="{4A4975AB-0C28-4095-9F55-F9750CE2508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<sst xmlns="http://schemas.openxmlformats.org/spreadsheetml/2006/main" count="6489" uniqueCount="327">
  <si>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</si>
  <si>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</si>
  <si>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</si>
  <si>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</si>
  <si>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</si>
  <si>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</si>
  <si>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</si>
  <si>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</si>
  <si>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</si>
  <si>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</si>
  <si>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</si>
  <si>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</si>
  <si>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</si>
  <si>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</si>
  <si>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</si>
  <si>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</si>
  <si>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</si>
  <si>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</si>
  <si>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</si>
  <si>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</si>
  <si>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</si>
  <si>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</si>
  <si>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</si>
  <si>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</si>
  <si>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</si>
  <si>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</si>
  <si>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</si>
  <si>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</si>
  <si>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</si>
  <si>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</si>
  <si>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</si>
  <si>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</si>
  <si>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</si>
  <si>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</si>
  <si>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</si>
  <si>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</si>
  <si>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</si>
  <si>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</si>
  <si>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</si>
  <si>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</si>
  <si>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</si>
  <si>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</si>
  <si>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</si>
  <si>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</si>
  <si>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</si>
  <si>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</si>
  <si>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</si>
  <si>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</si>
  <si>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</si>
  <si>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</si>
  <si>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</si>
  <si>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</si>
  <si>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</si>
  <si>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</si>
  <si>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</si>
  <si>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</si>
  <si>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</si>
  <si>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</si>
  <si>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</si>
  <si>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</si>
  <si>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</si>
  <si>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</si>
  <si>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</si>
  <si>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</si>
  <si>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</si>
  <si>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</si>
  <si>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</si>
  <si>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</si>
  <si>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</si>
  <si>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</si>
  <si>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</si>
  <si>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</si>
  <si>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</si>
  <si>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</si>
  <si>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</si>
  <si>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</si>
  <si>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</si>
  <si>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</si>
  <si>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</si>
  <si>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</si>
  <si>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</si>
  <si>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</si>
  <si>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</si>
  <si>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</si>
  <si>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</si>
  <si>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</si>
  <si>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</si>
  <si>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</si>
  <si>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</si>
  <si>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</si>
  <si>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</si>
  <si>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</si>
  <si>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</si>
  <si>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</si>
  <si>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</si>
  <si>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</si>
  <si>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</si>
  <si>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</si>
  <si>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</si>
  <si>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</si>
  <si>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</si>
  <si>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</si>
  <si>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</si>
  <si>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</si>
  <si>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</si>
  <si>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</si>
  <si>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</si>
  <si>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</si>
  <si>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</si>
  <si>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</si>
  <si>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</si>
  <si>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</si>
  <si>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</si>
  <si>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</si>
  <si>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</si>
  <si>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</si>
  <si>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</si>
  <si>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</si>
  <si>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</si>
  <si>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</si>
  <si>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</si>
  <si>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</si>
  <si>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</si>
  <si>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</si>
  <si>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</si>
  <si>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</si>
  <si>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</si>
  <si>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</si>
  <si>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</si>
  <si>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</si>
  <si>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</si>
  <si>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</si>
  <si>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</si>
  <si>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</si>
  <si>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</si>
  <si>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</si>
  <si>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</si>
  <si>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</si>
  <si>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</si>
  <si>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</si>
  <si>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</si>
  <si>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</si>
  <si>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</si>
  <si>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</si>
  <si>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</si>
  <si>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</si>
  <si>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</si>
  <si>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</si>
  <si>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</si>
  <si>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</si>
  <si>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</si>
  <si>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</si>
  <si>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</si>
  <si>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</si>
  <si>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</si>
  <si>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</si>
  <si>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</si>
  <si>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</si>
  <si>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</si>
  <si>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</si>
  <si>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</si>
  <si>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</si>
  <si>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</si>
  <si>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</si>
  <si>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</si>
  <si>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</si>
  <si>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</si>
  <si>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</si>
  <si>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</si>
  <si>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</si>
  <si>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</si>
  <si>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</si>
  <si>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</si>
  <si>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</si>
  <si>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</si>
  <si>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</si>
  <si>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</si>
  <si>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</si>
  <si>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</si>
  <si>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</si>
  <si>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</si>
  <si>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</si>
  <si>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</si>
  <si>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</si>
  <si>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</si>
  <si>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</si>
  <si>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</si>
  <si>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</si>
  <si>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</si>
  <si>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</si>
  <si>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</si>
  <si>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</si>
  <si>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</si>
  <si>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</si>
  <si>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</si>
  <si>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</si>
  <si>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</si>
  <si>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</si>
  <si>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</si>
  <si>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</si>
  <si>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</si>
  <si>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</si>
  <si>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</si>
  <si>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</si>
  <si>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</si>
  <si>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</si>
  <si>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</si>
  <si>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</si>
  <si>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</si>
  <si>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</si>
  <si>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</si>
  <si>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</si>
  <si>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</si>
  <si>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</si>
  <si>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</si>
  <si>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</si>
  <si>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</si>
  <si>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</si>
  <si>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</si>
  <si>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</si>
  <si>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</si>
  <si>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</si>
  <si>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</si>
  <si>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</si>
  <si>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</si>
  <si>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</si>
  <si>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</si>
  <si>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</si>
  <si>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</si>
  <si>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</si>
  <si>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</si>
  <si>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</si>
  <si>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</si>
  <si>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</si>
  <si>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</si>
  <si>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</si>
  <si>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</si>
  <si>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</si>
  <si>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</si>
  <si>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</si>
  <si>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</si>
  <si>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</si>
  <si>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21;50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</si>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</sst>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F396" sqref="F3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 t="s">
        <v>242</v>
      </c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52</v>
      </c>
      <c r="G405" s="36">
        <f>SUM(G393:G404)</f>
        <v>260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312</v>
      </c>
      <c r="G406" s="40">
        <f>G392+G405</f>
        <v>1560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D393" sqref="D393:D4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0.67483506943972316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0.83247395832861204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0.94219618055083421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/>
      <c r="G393" s="34" t="str">
        <f t="shared" ref="G393:G404" si="87">IF(F393="","",IF(E393="PC 17",F393*4.2,IF(E393="PC 19",F393*5,"")))</f>
        <v/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>
        <v>7</v>
      </c>
      <c r="G394" s="28" t="str">
        <f t="shared" si="87"/>
        <v/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/>
      <c r="M394" s="30">
        <f t="shared" ca="1" si="88"/>
        <v>4.2196180555038154E-2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0.10191840277726039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81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0.44219618055503812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9" zoomScale="50" zoomScaleNormal="50" workbookViewId="0">
      <selection activeCell="E395" sqref="E3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26</v>
      </c>
      <c r="G405" s="36">
        <f>SUM(G393:G404)</f>
        <v>118.8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121</v>
      </c>
      <c r="G406" s="40">
        <f>G392+G405</f>
        <v>517.80000000000007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2" activePane="bottomLeft" state="frozen"/>
      <selection pane="bottomLeft" activeCell="E394" sqref="E3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0.66511284722218988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0.86441840277774551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1.2317795138888565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43</v>
      </c>
      <c r="G405" s="36">
        <f>SUM(G393:G404)</f>
        <v>200.6</v>
      </c>
      <c r="H405" s="37"/>
      <c r="I405" s="37"/>
      <c r="J405" s="37"/>
      <c r="K405" s="61"/>
      <c r="L405" s="61"/>
      <c r="M405" s="38">
        <f ca="1">IFERROR(SUM(M393:M404),"")</f>
        <v>1.6666666666666718E-2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186</v>
      </c>
      <c r="G406" s="40">
        <f>G392+G405</f>
        <v>801.2</v>
      </c>
      <c r="H406" s="41"/>
      <c r="I406" s="41"/>
      <c r="J406" s="41"/>
      <c r="K406" s="63"/>
      <c r="L406" s="63"/>
      <c r="M406" s="42">
        <f ca="1">IFERROR(M392+M405,"")</f>
        <v>0.19930555555555568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2026-07-16T01:56:52Z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