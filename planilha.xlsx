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27" documentId="8_{1D11E9C4-FEA4-4128-910F-91CB6BBF9255}" xr6:coauthVersionLast="47" xr6:coauthVersionMax="47" xr10:uidLastSave="{48423A12-23BE-417C-8076-1D92406B4897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<sst xmlns="http://schemas.openxmlformats.org/spreadsheetml/2006/main" count="7932" uniqueCount="361">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</sst>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1086070</v>
      </c>
      <c r="E30" s="49">
        <f>IFERROR('Linha 2'!N730,"")</f>
        <v>619730</v>
      </c>
      <c r="F30" s="49">
        <f>IFERROR('Linha 3'!N730,"")</f>
        <v>1407530</v>
      </c>
      <c r="G30" s="50">
        <f t="shared" si="0"/>
        <v>3113330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23328490</v>
      </c>
      <c r="E34" s="55">
        <f t="shared" si="1"/>
        <v>9192330</v>
      </c>
      <c r="F34" s="55">
        <f t="shared" si="1"/>
        <v>26341455</v>
      </c>
      <c r="G34" s="55">
        <f t="shared" si="1"/>
        <v>58862275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9" sqref="E72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100</v>
      </c>
      <c r="F728" s="12">
        <f t="shared" si="160"/>
        <v>400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200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415910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203</v>
      </c>
      <c r="F730" s="22">
        <f>F716+F729</f>
        <v>1332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1086070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357990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619730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N729" sqref="N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