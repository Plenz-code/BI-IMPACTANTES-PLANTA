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72" documentId="13_ncr:1_{0A10D8D4-8450-4366-8075-B53B08E6B7EA}" xr6:coauthVersionLast="47" xr6:coauthVersionMax="47" xr10:uidLastSave="{5BC79913-8F31-4D23-90DE-B8537F41D6B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7" i="6" l="1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<sst xmlns="http://schemas.openxmlformats.org/spreadsheetml/2006/main" count="7267" uniqueCount="356">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</sst>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G439" sqref="G439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29</v>
      </c>
      <c r="E420" s="59" t="s">
        <v>243</v>
      </c>
      <c r="F420" s="27"/>
      <c r="G420" s="28" t="str">
        <f t="shared" ref="G420:G431" si="88">IF(F420="","",IF(E420="PC 17",F420*4.2,IF(E420="PC 19",F420*5,IF(E420="CB",F420*35,""))))</f>
        <v/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29</v>
      </c>
      <c r="E421" s="59" t="s">
        <v>243</v>
      </c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29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29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29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29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29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29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29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29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29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29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210</v>
      </c>
      <c r="G433" s="40">
        <f>G419+G432</f>
        <v>1050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E431" sqref="E43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0.70386863425665069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0.84275752314553953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0.9274797453677619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/>
      <c r="H420" s="140" t="str">
        <f>IFERROR(IF($G420="","",$G420*$S$432/$G$432/Cadastro!$E$33),"")</f>
        <v/>
      </c>
      <c r="I420" s="141">
        <f>IFERROR(IF($D420="","",VLOOKUP($D420,Cadastro!$C$4:$G$7,5,FALSE)),"")</f>
        <v>0.6</v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E431" sqref="E43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/>
      <c r="H420" s="140" t="str">
        <f>IFERROR(IF($G420="","",$G420*$S$432/$G$432/Cadastro!$E$33),"")</f>
        <v/>
      </c>
      <c r="I420" s="141">
        <f>IFERROR(IF($D420="","",VLOOKUP($D420,Cadastro!$C$4:$G$7,5,FALSE)),"")</f>
        <v>0.6</v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D421" sqref="D421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/>
      <c r="F420" s="140">
        <f>IFERROR(IF($D420="","",VLOOKUP($D420,Cadastro!$C$4:$E$7,3,FALSE)),"")</f>
        <v>0.24</v>
      </c>
      <c r="G420" s="105"/>
      <c r="H420" s="140" t="str">
        <f>IFERROR(IF($G420="","",$G420*$S$432/$G$432/Cadastro!$E$33),"")</f>
        <v/>
      </c>
      <c r="I420" s="141">
        <f>IFERROR(IF($D420="","",VLOOKUP($D420,Cadastro!$C$4:$G$7,5,FALSE)),"")</f>
        <v>0.6</v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/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596.40000000000009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2026-08-16T23:48:34Z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