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59" documentId="13_ncr:1_{A6DBCFB4-28D9-4249-9038-216934055CA6}" xr6:coauthVersionLast="47" xr6:coauthVersionMax="47" xr10:uidLastSave="{72DCE9DD-BB44-466A-8B0F-5321A0D72451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<sst xmlns="http://schemas.openxmlformats.org/spreadsheetml/2006/main" count="10672" uniqueCount="438">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</sst>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43" sqref="F643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307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231</v>
      </c>
      <c r="G648" s="2">
        <f>SUM(G636:G647)</f>
        <v>1155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637</v>
      </c>
      <c r="G649" s="1">
        <f>G635+G648</f>
        <v>3185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3" sqref="G643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0.99754756944457768</v>
      </c>
      <c r="R53" s="80" t="s">
        <v>318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1.1364364583334654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1.2211586805556882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320</v>
      </c>
      <c r="Q96" s="66" t="str">
        <f t="shared" ref="Q96:Q107" ca="1" si="22">IFERROR(IF(O96="","",IF(P96="",MOD(NOW()-O96,1),IF(P96&gt;=O96,P96-O96,P96+1-O96))),"")</f>
        <v/>
      </c>
      <c r="R96" s="80" t="s">
        <v>321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353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354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326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95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407.8</v>
      </c>
      <c r="L648" s="72"/>
      <c r="M648" s="72"/>
      <c r="N648" s="72"/>
      <c r="O648" s="72"/>
      <c r="P648" s="72"/>
      <c r="Q648" s="73">
        <f ca="1">IFERROR(SUM(Q636:Q647),"")</f>
        <v>5.4861111111111083E-2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257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1088.2</v>
      </c>
      <c r="L649" s="76"/>
      <c r="M649" s="76"/>
      <c r="N649" s="76"/>
      <c r="O649" s="76"/>
      <c r="P649" s="76"/>
      <c r="Q649" s="77">
        <f ca="1">IFERROR(Q635+Q648,"")</f>
        <v>0.12569444444444455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N641" sqref="N64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355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355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355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357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358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359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360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361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362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363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364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365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366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368</v>
      </c>
      <c r="Q222" s="66" t="str">
        <f t="shared" ca="1" si="49"/>
        <v/>
      </c>
      <c r="R222" s="63" t="s">
        <v>369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370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371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372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373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374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375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375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376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377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362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378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379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380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381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382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319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383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355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319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378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319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375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384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384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384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360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385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3"/>
        <v>0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51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223.8</v>
      </c>
      <c r="L648" s="72"/>
      <c r="M648" s="72"/>
      <c r="N648" s="72"/>
      <c r="O648" s="72"/>
      <c r="P648" s="72"/>
      <c r="Q648" s="73">
        <f ca="1">IFERROR(SUM(Q636:Q647),"")</f>
        <v>5.9722222222222246E-2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123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526.20000000000005</v>
      </c>
      <c r="L649" s="76"/>
      <c r="M649" s="76"/>
      <c r="N649" s="76"/>
      <c r="O649" s="76"/>
      <c r="P649" s="76"/>
      <c r="Q649" s="77">
        <f ca="1">IFERROR(Q635+Q648,"")</f>
        <v>0.11319444444444444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42" sqref="G642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355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355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355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355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377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377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433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377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412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434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429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435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436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437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109.2</v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84</v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120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516</v>
      </c>
      <c r="L648" s="72"/>
      <c r="M648" s="72"/>
      <c r="N648" s="72"/>
      <c r="O648" s="134"/>
      <c r="P648" s="134"/>
      <c r="Q648" s="73">
        <f ca="1">IFERROR(SUM(Q636:Q647),"")</f>
        <v>0.12152777777777776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361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1528.2</v>
      </c>
      <c r="L649" s="76"/>
      <c r="M649" s="76"/>
      <c r="N649" s="76"/>
      <c r="O649" s="135"/>
      <c r="P649" s="135"/>
      <c r="Q649" s="77">
        <f ca="1">IFERROR(Q635+Q648,"")</f>
        <v>0.19097222222222218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2026-08-25T06:51:35Z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