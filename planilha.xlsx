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83" documentId="8_{AF585B22-221D-4780-BB9C-493D365A6A02}" xr6:coauthVersionLast="47" xr6:coauthVersionMax="47" xr10:uidLastSave="{1992F635-D14F-4B6A-8098-3B68FDF1D375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<sst xmlns="http://schemas.openxmlformats.org/spreadsheetml/2006/main" count="8200" uniqueCount="359">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</sst>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 x14ac:dyDescent="0.3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3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 x14ac:dyDescent="0.3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3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3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3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3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 x14ac:dyDescent="0.3">
      <c r="H2" s="108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3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3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3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3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3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3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3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3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3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3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3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3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3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3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3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3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3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3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3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3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3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3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3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 x14ac:dyDescent="0.3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3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3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3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3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3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3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3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3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3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3">
      <c r="H56" s="108"/>
      <c r="I56" s="16"/>
      <c r="J56" s="16"/>
      <c r="K56" s="16" t="s">
        <v>202</v>
      </c>
      <c r="L56" s="16"/>
      <c r="M56" s="16"/>
    </row>
    <row r="57" spans="1:13" ht="15" customHeight="1" x14ac:dyDescent="0.3">
      <c r="H57" s="108"/>
      <c r="I57" s="17"/>
      <c r="J57" s="17"/>
      <c r="K57" s="17" t="s">
        <v>50</v>
      </c>
      <c r="L57" s="17"/>
      <c r="M57" s="17"/>
    </row>
    <row r="58" spans="1:13" ht="15" customHeight="1" x14ac:dyDescent="0.3">
      <c r="H58" s="108"/>
      <c r="I58" s="16"/>
      <c r="J58" s="16"/>
      <c r="K58" s="16" t="s">
        <v>203</v>
      </c>
      <c r="L58" s="16"/>
      <c r="M58" s="16"/>
    </row>
    <row r="59" spans="1:13" ht="15" customHeight="1" x14ac:dyDescent="0.3">
      <c r="H59" s="108"/>
      <c r="I59" s="17"/>
      <c r="J59" s="17"/>
      <c r="K59" s="17" t="s">
        <v>204</v>
      </c>
      <c r="L59" s="17"/>
      <c r="M59" s="17"/>
    </row>
    <row r="60" spans="1:13" ht="15" customHeight="1" x14ac:dyDescent="0.3">
      <c r="H60" s="108"/>
      <c r="I60" s="16"/>
      <c r="J60" s="16"/>
      <c r="K60" s="86" t="s">
        <v>105</v>
      </c>
      <c r="L60" s="16"/>
      <c r="M60" s="16"/>
    </row>
    <row r="61" spans="1:13" ht="15" customHeight="1" x14ac:dyDescent="0.3">
      <c r="H61" s="108"/>
      <c r="I61" s="17"/>
      <c r="J61" s="17"/>
      <c r="K61" s="17" t="s">
        <v>205</v>
      </c>
      <c r="L61" s="17"/>
      <c r="M61" s="17"/>
    </row>
    <row r="62" spans="1:13" ht="15" customHeight="1" x14ac:dyDescent="0.3">
      <c r="H62" s="108"/>
      <c r="I62" s="16"/>
      <c r="J62" s="16"/>
      <c r="K62" s="16" t="s">
        <v>206</v>
      </c>
      <c r="L62" s="16"/>
      <c r="M62" s="16"/>
    </row>
    <row r="63" spans="1:13" ht="15" customHeight="1" x14ac:dyDescent="0.3">
      <c r="H63" s="108"/>
      <c r="I63" s="17"/>
      <c r="J63" s="17"/>
      <c r="K63" s="17" t="s">
        <v>207</v>
      </c>
      <c r="L63" s="17"/>
      <c r="M63" s="17"/>
    </row>
    <row r="64" spans="1:13" ht="15" customHeight="1" x14ac:dyDescent="0.3">
      <c r="H64" s="108"/>
      <c r="I64" s="16"/>
      <c r="J64" s="16"/>
      <c r="K64" s="16" t="s">
        <v>208</v>
      </c>
      <c r="L64" s="16"/>
      <c r="M64" s="16"/>
    </row>
    <row r="65" spans="8:13" ht="15" customHeight="1" x14ac:dyDescent="0.3">
      <c r="H65" s="108"/>
      <c r="I65" s="17"/>
      <c r="J65" s="17"/>
      <c r="K65" s="17" t="s">
        <v>209</v>
      </c>
      <c r="L65" s="17"/>
      <c r="M65" s="17"/>
    </row>
    <row r="66" spans="8:13" ht="15" customHeight="1" x14ac:dyDescent="0.3">
      <c r="H66" s="108"/>
      <c r="I66" s="16"/>
      <c r="J66" s="16"/>
      <c r="K66" s="16" t="s">
        <v>210</v>
      </c>
      <c r="L66" s="16"/>
      <c r="M66" s="16"/>
    </row>
    <row r="67" spans="8:13" ht="15" customHeight="1" x14ac:dyDescent="0.3">
      <c r="H67" s="108"/>
      <c r="I67" s="17"/>
      <c r="J67" s="17"/>
      <c r="K67" s="17" t="s">
        <v>211</v>
      </c>
      <c r="L67" s="17"/>
      <c r="M67" s="17"/>
    </row>
    <row r="68" spans="8:13" ht="15" customHeight="1" x14ac:dyDescent="0.3">
      <c r="H68" s="108"/>
      <c r="I68" s="16"/>
      <c r="J68" s="16"/>
      <c r="K68" s="16" t="s">
        <v>212</v>
      </c>
      <c r="L68" s="16"/>
      <c r="M68" s="16"/>
    </row>
    <row r="69" spans="8:13" ht="15" customHeight="1" x14ac:dyDescent="0.3">
      <c r="H69" s="108"/>
      <c r="I69" s="17"/>
      <c r="J69" s="17"/>
      <c r="K69" s="17" t="s">
        <v>213</v>
      </c>
      <c r="L69" s="17"/>
      <c r="M69" s="17"/>
    </row>
    <row r="70" spans="8:13" ht="15" customHeight="1" x14ac:dyDescent="0.3">
      <c r="H70" s="108"/>
      <c r="I70" s="16"/>
      <c r="J70" s="16"/>
      <c r="K70" s="16" t="s">
        <v>214</v>
      </c>
      <c r="L70" s="16"/>
      <c r="M70" s="16"/>
    </row>
    <row r="71" spans="8:13" ht="15" customHeight="1" x14ac:dyDescent="0.3">
      <c r="H71" s="108"/>
      <c r="I71" s="17"/>
      <c r="J71" s="17"/>
      <c r="K71" s="17" t="s">
        <v>215</v>
      </c>
      <c r="L71" s="17"/>
      <c r="M71" s="17"/>
    </row>
    <row r="72" spans="8:13" ht="15" customHeight="1" x14ac:dyDescent="0.3">
      <c r="H72" s="108"/>
      <c r="I72" s="16"/>
      <c r="J72" s="16"/>
      <c r="K72" s="16" t="s">
        <v>216</v>
      </c>
      <c r="L72" s="16"/>
      <c r="M72" s="16"/>
    </row>
    <row r="73" spans="8:13" ht="15" customHeight="1" x14ac:dyDescent="0.3">
      <c r="H73" s="108"/>
      <c r="I73" s="17"/>
      <c r="J73" s="17"/>
      <c r="K73" s="17"/>
      <c r="L73" s="17"/>
      <c r="M73" s="17"/>
    </row>
    <row r="74" spans="8:13" ht="15" customHeight="1" x14ac:dyDescent="0.3">
      <c r="H74" s="108"/>
      <c r="I74" s="16"/>
      <c r="J74" s="16"/>
      <c r="K74" s="16"/>
      <c r="L74" s="16"/>
      <c r="M74" s="16"/>
    </row>
    <row r="75" spans="8:13" ht="15" customHeight="1" x14ac:dyDescent="0.3">
      <c r="H75" s="108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6" activePane="bottomLeft" state="frozen"/>
      <selection pane="bottomLeft" activeCell="F522" sqref="F522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8.332031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 x14ac:dyDescent="0.3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 x14ac:dyDescent="0.3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 x14ac:dyDescent="0.3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 x14ac:dyDescent="0.3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 x14ac:dyDescent="0.3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 x14ac:dyDescent="0.3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 x14ac:dyDescent="0.3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 x14ac:dyDescent="0.3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 x14ac:dyDescent="0.3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 x14ac:dyDescent="0.3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 x14ac:dyDescent="0.3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 x14ac:dyDescent="0.3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 x14ac:dyDescent="0.3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 x14ac:dyDescent="0.3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 x14ac:dyDescent="0.3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 x14ac:dyDescent="0.3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 x14ac:dyDescent="0.3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 x14ac:dyDescent="0.3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 x14ac:dyDescent="0.3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 x14ac:dyDescent="0.3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 x14ac:dyDescent="0.3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126</v>
      </c>
      <c r="G527" s="36">
        <f>SUM(G515:G526)</f>
        <v>630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 x14ac:dyDescent="0.3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 x14ac:dyDescent="0.3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126</v>
      </c>
      <c r="G541" s="40">
        <f>G527+G540</f>
        <v>630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 x14ac:dyDescent="0.3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 x14ac:dyDescent="0.3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3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3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3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3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3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3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3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3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3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3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3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3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3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3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3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B533" sqref="B533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59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 x14ac:dyDescent="0.3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 x14ac:dyDescent="0.3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 x14ac:dyDescent="0.3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 x14ac:dyDescent="0.3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 x14ac:dyDescent="0.3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 x14ac:dyDescent="0.3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 x14ac:dyDescent="0.3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 x14ac:dyDescent="0.3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 x14ac:dyDescent="0.3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 x14ac:dyDescent="0.3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 x14ac:dyDescent="0.3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 x14ac:dyDescent="0.3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 x14ac:dyDescent="0.3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 x14ac:dyDescent="0.3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0.35499456018442288</v>
      </c>
      <c r="N377" s="46"/>
      <c r="O377" s="47"/>
    </row>
    <row r="378" spans="1:15" ht="15.75" customHeight="1" x14ac:dyDescent="0.3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0.51263344907331176</v>
      </c>
      <c r="N378" s="36" t="s">
        <v>231</v>
      </c>
      <c r="O378" s="77">
        <v>511980</v>
      </c>
    </row>
    <row r="379" spans="1:15" ht="18" customHeight="1" x14ac:dyDescent="0.3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0.62235567129553393</v>
      </c>
      <c r="N379" s="40" t="s">
        <v>234</v>
      </c>
      <c r="O379" s="83">
        <f>IFERROR(O365+O378,"")</f>
        <v>1320530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 x14ac:dyDescent="0.3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0.33346678240923211</v>
      </c>
      <c r="N423" s="46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0.5043001157425655</v>
      </c>
      <c r="N432" s="36" t="s">
        <v>231</v>
      </c>
      <c r="O432" s="77">
        <v>484540</v>
      </c>
    </row>
    <row r="433" spans="1:15" ht="18" customHeight="1" x14ac:dyDescent="0.3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0.64943900463145443</v>
      </c>
      <c r="N433" s="40" t="s">
        <v>234</v>
      </c>
      <c r="O433" s="83">
        <f>IFERROR(O419+O432,"")</f>
        <v>1184540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 x14ac:dyDescent="0.3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 x14ac:dyDescent="0.3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 x14ac:dyDescent="0.3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110</v>
      </c>
      <c r="G527" s="36">
        <f>SUM(G515:G526)</f>
        <v>462.00000000000006</v>
      </c>
      <c r="H527" s="37"/>
      <c r="I527" s="37"/>
      <c r="J527" s="37"/>
      <c r="K527" s="37"/>
      <c r="L527" s="37"/>
      <c r="M527" s="38">
        <f ca="1">IFERROR(SUM(M515:M526),"")</f>
        <v>7.0138888888888917E-2</v>
      </c>
      <c r="N527" s="36" t="s">
        <v>231</v>
      </c>
      <c r="O527" s="77"/>
    </row>
    <row r="528" spans="1:15" ht="15" customHeight="1" x14ac:dyDescent="0.3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 x14ac:dyDescent="0.3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110</v>
      </c>
      <c r="G541" s="40">
        <f>G527+G540</f>
        <v>462.00000000000006</v>
      </c>
      <c r="H541" s="41"/>
      <c r="I541" s="41"/>
      <c r="J541" s="41"/>
      <c r="K541" s="41"/>
      <c r="L541" s="41"/>
      <c r="M541" s="42">
        <f ca="1">IFERROR(M527+M540,"")</f>
        <v>7.0138888888888917E-2</v>
      </c>
      <c r="N541" s="40" t="s">
        <v>234</v>
      </c>
      <c r="O541" s="83">
        <f>IFERROR(O527+O540,"")</f>
        <v>0</v>
      </c>
    </row>
    <row r="542" spans="1:15" ht="15" customHeight="1" x14ac:dyDescent="0.3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 x14ac:dyDescent="0.3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 x14ac:dyDescent="0.3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 x14ac:dyDescent="0.3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 x14ac:dyDescent="0.3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 x14ac:dyDescent="0.3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 x14ac:dyDescent="0.3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 x14ac:dyDescent="0.3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 x14ac:dyDescent="0.3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 x14ac:dyDescent="0.3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 x14ac:dyDescent="0.3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 x14ac:dyDescent="0.3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 x14ac:dyDescent="0.3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 x14ac:dyDescent="0.3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 x14ac:dyDescent="0.3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 x14ac:dyDescent="0.3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 x14ac:dyDescent="0.3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 x14ac:dyDescent="0.3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 x14ac:dyDescent="0.3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 x14ac:dyDescent="0.3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 x14ac:dyDescent="0.3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 x14ac:dyDescent="0.3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 x14ac:dyDescent="0.3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 x14ac:dyDescent="0.3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9" zoomScale="50" zoomScaleNormal="50" workbookViewId="0">
      <selection activeCell="R505" sqref="R505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27.886718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 x14ac:dyDescent="0.3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 x14ac:dyDescent="0.3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 x14ac:dyDescent="0.3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 x14ac:dyDescent="0.3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 x14ac:dyDescent="0.3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 x14ac:dyDescent="0.3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 x14ac:dyDescent="0.3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 x14ac:dyDescent="0.3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 x14ac:dyDescent="0.3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 x14ac:dyDescent="0.3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 x14ac:dyDescent="0.3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 x14ac:dyDescent="0.3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 x14ac:dyDescent="0.3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 x14ac:dyDescent="0.3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 x14ac:dyDescent="0.3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 x14ac:dyDescent="0.3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 x14ac:dyDescent="0.3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 x14ac:dyDescent="0.3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 x14ac:dyDescent="0.3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>
        <v>0.54722222222222228</v>
      </c>
      <c r="L518" s="29"/>
      <c r="M518" s="30">
        <f t="shared" ca="1" si="115"/>
        <v>4.7355671296827495E-2</v>
      </c>
      <c r="N518" s="27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40</v>
      </c>
      <c r="G527" s="36">
        <f>SUM(G515:G526)</f>
        <v>168.00000000000003</v>
      </c>
      <c r="H527" s="37"/>
      <c r="I527" s="37"/>
      <c r="J527" s="37"/>
      <c r="K527" s="37"/>
      <c r="L527" s="37"/>
      <c r="M527" s="38">
        <f ca="1">IFERROR(SUM(M515:M526),"")</f>
        <v>7.4439004630160788E-2</v>
      </c>
      <c r="N527" s="36" t="s">
        <v>231</v>
      </c>
      <c r="O527" s="39"/>
    </row>
    <row r="528" spans="1:15" ht="15" customHeight="1" x14ac:dyDescent="0.3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 x14ac:dyDescent="0.3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40</v>
      </c>
      <c r="G541" s="40">
        <f>G527+G540</f>
        <v>168.00000000000003</v>
      </c>
      <c r="H541" s="41"/>
      <c r="I541" s="41"/>
      <c r="J541" s="41"/>
      <c r="K541" s="41"/>
      <c r="L541" s="41"/>
      <c r="M541" s="42">
        <f ca="1">IFERROR(M527+M540,"")</f>
        <v>7.4439004630160788E-2</v>
      </c>
      <c r="N541" s="40" t="s">
        <v>234</v>
      </c>
      <c r="O541" s="48">
        <f>IFERROR(O527+O540,"")</f>
        <v>0</v>
      </c>
    </row>
    <row r="542" spans="1:15" ht="15" customHeight="1" x14ac:dyDescent="0.3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 x14ac:dyDescent="0.3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3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3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3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3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3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3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3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3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3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3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3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3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3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3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3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I516" sqref="I516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 x14ac:dyDescent="0.3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 x14ac:dyDescent="0.3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 x14ac:dyDescent="0.3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 x14ac:dyDescent="0.3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0.34527233796688961</v>
      </c>
      <c r="N128" s="27"/>
      <c r="O128" s="60"/>
    </row>
    <row r="129" spans="1:18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0.54457789352244523</v>
      </c>
      <c r="N135" s="36" t="s">
        <v>231</v>
      </c>
      <c r="O135" s="39">
        <v>729290</v>
      </c>
    </row>
    <row r="136" spans="1:18" ht="18" customHeight="1" x14ac:dyDescent="0.3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0.91193900463355626</v>
      </c>
      <c r="N136" s="40" t="s">
        <v>234</v>
      </c>
      <c r="O136" s="48">
        <f>IFERROR(O122+O135,"")</f>
        <v>1003740</v>
      </c>
    </row>
    <row r="137" spans="1:18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 x14ac:dyDescent="0.3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 x14ac:dyDescent="0.3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 x14ac:dyDescent="0.3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 x14ac:dyDescent="0.3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 x14ac:dyDescent="0.3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 x14ac:dyDescent="0.3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 x14ac:dyDescent="0.3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 x14ac:dyDescent="0.3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 x14ac:dyDescent="0.3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3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 x14ac:dyDescent="0.3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 x14ac:dyDescent="0.3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 x14ac:dyDescent="0.3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 x14ac:dyDescent="0.3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 x14ac:dyDescent="0.3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3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 x14ac:dyDescent="0.3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3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3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 x14ac:dyDescent="0.3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11</v>
      </c>
      <c r="G527" s="36">
        <f>SUM(G515:G526)</f>
        <v>46.2</v>
      </c>
      <c r="H527" s="37"/>
      <c r="I527" s="37"/>
      <c r="J527" s="37"/>
      <c r="K527" s="61"/>
      <c r="L527" s="61"/>
      <c r="M527" s="38">
        <f ca="1">IFERROR(SUM(M515:M526),"")</f>
        <v>0.28749999999999992</v>
      </c>
      <c r="N527" s="36" t="s">
        <v>231</v>
      </c>
      <c r="O527" s="39"/>
    </row>
    <row r="528" spans="1:15" ht="15" customHeight="1" x14ac:dyDescent="0.3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 x14ac:dyDescent="0.3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</v>
      </c>
      <c r="G541" s="40">
        <f>G527+G540</f>
        <v>46.2</v>
      </c>
      <c r="H541" s="41"/>
      <c r="I541" s="41"/>
      <c r="J541" s="41"/>
      <c r="K541" s="63"/>
      <c r="L541" s="63"/>
      <c r="M541" s="42">
        <f ca="1">IFERROR(M527+M540,"")</f>
        <v>0.28749999999999992</v>
      </c>
      <c r="N541" s="40" t="s">
        <v>234</v>
      </c>
      <c r="O541" s="48">
        <f>IFERROR(O527+O540,"")</f>
        <v>0</v>
      </c>
    </row>
    <row r="542" spans="1:15" ht="15" customHeight="1" x14ac:dyDescent="0.3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 x14ac:dyDescent="0.3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 x14ac:dyDescent="0.3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3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3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3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3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3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3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3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3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3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3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3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3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3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3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2026-07-20T18:16:29Z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