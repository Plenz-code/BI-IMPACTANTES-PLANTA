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297" documentId="8_{AF585B22-221D-4780-BB9C-493D365A6A02}" xr6:coauthVersionLast="47" xr6:coauthVersionMax="47" xr10:uidLastSave="{DA1D61E3-E15A-40B5-81C2-0B2E09D55815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<sst xmlns="http://schemas.openxmlformats.org/spreadsheetml/2006/main" count="8168" uniqueCount="357">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</sst>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7" sqref="G27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59982441</v>
      </c>
      <c r="D35" s="13">
        <f>IFERROR(SUM(D4:D34),"")</f>
        <v>22393340</v>
      </c>
      <c r="E35" s="13">
        <f>IFERROR(SUM(E4:E34),"")</f>
        <v>13410270</v>
      </c>
      <c r="F35" s="13">
        <f>IFERROR(SUM(F4:F34),"")</f>
        <v>26874360</v>
      </c>
      <c r="G35" s="13">
        <f>IFERROR(SUM(G4:G34),"")</f>
        <v>62677970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96" activePane="bottomLeft" state="frozen"/>
      <selection pane="bottomLeft" activeCell="F517" sqref="F51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8.5416666666666696E-2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8.5416666666666696E-2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12" activePane="bottomLeft" state="frozen"/>
      <selection pane="bottomLeft" activeCell="J516" sqref="J51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259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0.15540636573859956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0.31304525462748845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0.42276747684971061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0.13387858796340879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0.30471192129674218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0.44985081018563106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42</v>
      </c>
      <c r="G527" s="36">
        <f>SUM(G515:G526)</f>
        <v>176.40000000000003</v>
      </c>
      <c r="H527" s="37"/>
      <c r="I527" s="37"/>
      <c r="J527" s="37"/>
      <c r="K527" s="37"/>
      <c r="L527" s="37"/>
      <c r="M527" s="38">
        <f ca="1">IFERROR(SUM(M515:M526),"")</f>
        <v>1.3888888888888895E-2</v>
      </c>
      <c r="N527" s="36" t="s">
        <v>231</v>
      </c>
      <c r="O527" s="77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42</v>
      </c>
      <c r="G541" s="40">
        <f>G527+G540</f>
        <v>176.40000000000003</v>
      </c>
      <c r="H541" s="41"/>
      <c r="I541" s="41"/>
      <c r="J541" s="41"/>
      <c r="K541" s="41"/>
      <c r="L541" s="41"/>
      <c r="M541" s="42">
        <f ca="1">IFERROR(M527+M540,"")</f>
        <v>1.3888888888888895E-2</v>
      </c>
      <c r="N541" s="40" t="s">
        <v>234</v>
      </c>
      <c r="O541" s="83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 E513:E514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508" zoomScale="50" zoomScaleNormal="50" workbookViewId="0">
      <selection activeCell="H515" sqref="H51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270</v>
      </c>
      <c r="K141" s="29">
        <v>0.71597222222222223</v>
      </c>
      <c r="L141" s="29" t="s">
        <v>305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307</v>
      </c>
      <c r="N166" s="27" t="s">
        <v>308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319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16</v>
      </c>
      <c r="G527" s="36">
        <f>SUM(G515:G526)</f>
        <v>67.2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16</v>
      </c>
      <c r="G541" s="40">
        <f>G527+G540</f>
        <v>67.2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93" activePane="bottomLeft" state="frozen"/>
      <selection pane="bottomLeft" activeCell="J515" sqref="J51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324</v>
      </c>
      <c r="L58" s="29">
        <v>0.54097222222222219</v>
      </c>
      <c r="M58" s="30" t="str">
        <f t="shared" ca="1" si="13"/>
        <v/>
      </c>
      <c r="N58" s="27" t="s">
        <v>325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0.14568414352106629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0.34498969907662191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0.71235081018773294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329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356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/>
      <c r="M515" s="35">
        <f t="shared" ref="M515:M526" ca="1" si="115">IFERROR(IF(K515="","",IF(L515="",MOD(NOW()-K515,1),IF(L515&gt;=K515,L515-K515,L515+1-K515))),"")</f>
        <v>0.10332303241011687</v>
      </c>
      <c r="N515" s="27"/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0.10332303241011687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0.10332303241011687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2026-07-20T13:29:20Z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