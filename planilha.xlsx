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41" documentId="8_{C51EB6CB-002B-4D6B-B68F-DDEBDB4460C0}" xr6:coauthVersionLast="47" xr6:coauthVersionMax="47" xr10:uidLastSave="{17A78D05-6593-4CD2-BD00-4B7F576F7C9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<sst xmlns="http://schemas.openxmlformats.org/spreadsheetml/2006/main" count="3869" uniqueCount="294">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</sst>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9" sqref="F1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90</v>
      </c>
      <c r="G189" s="36">
        <f>SUM(G177:G188)</f>
        <v>450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492</v>
      </c>
      <c r="G190" s="40">
        <f>G176+G189</f>
        <v>2460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J178" sqref="J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0.79804097222222481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0.93692986111111365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1.021652083333336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/>
      <c r="M178" s="30">
        <f t="shared" ca="1" si="40"/>
        <v>2.9020833389949985E-3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</v>
      </c>
      <c r="G189" s="36">
        <f>SUM(G177:G188)</f>
        <v>37.800000000000004</v>
      </c>
      <c r="H189" s="37"/>
      <c r="I189" s="37"/>
      <c r="J189" s="37"/>
      <c r="K189" s="37"/>
      <c r="L189" s="37"/>
      <c r="M189" s="38">
        <f ca="1">IFERROR(SUM(M177:M188),"")</f>
        <v>4.8040972227883949E-2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78</v>
      </c>
      <c r="G190" s="40">
        <f>G176+G189</f>
        <v>327.60000000000002</v>
      </c>
      <c r="H190" s="41"/>
      <c r="I190" s="41"/>
      <c r="J190" s="41"/>
      <c r="K190" s="41"/>
      <c r="L190" s="41"/>
      <c r="M190" s="42">
        <f ca="1">IFERROR(M176+M189,"")</f>
        <v>0.13067986111677288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H178" sqref="H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0</v>
      </c>
      <c r="G178" s="28">
        <f t="shared" si="39"/>
        <v>0</v>
      </c>
      <c r="H178" s="26" t="s">
        <v>20</v>
      </c>
      <c r="I178" s="26"/>
      <c r="J178" s="26"/>
      <c r="K178" s="29">
        <v>0.91666666666666663</v>
      </c>
      <c r="L178" s="29"/>
      <c r="M178" s="30">
        <f t="shared" ca="1" si="40"/>
        <v>2.9020833389949985E-3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9.8735416672328324E-2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</v>
      </c>
      <c r="G190" s="40">
        <f>G176+G189</f>
        <v>281.39999999999998</v>
      </c>
      <c r="H190" s="41"/>
      <c r="I190" s="41"/>
      <c r="J190" s="41"/>
      <c r="K190" s="41"/>
      <c r="L190" s="41"/>
      <c r="M190" s="42">
        <f ca="1">IFERROR(M176+M189,"")</f>
        <v>0.18345763889455058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9" sqref="F1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8</v>
      </c>
      <c r="G178" s="28">
        <f t="shared" si="39"/>
        <v>33.6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20</v>
      </c>
      <c r="G189" s="36">
        <f>SUM(G177:G188)</f>
        <v>84</v>
      </c>
      <c r="H189" s="37"/>
      <c r="I189" s="37"/>
      <c r="J189" s="37"/>
      <c r="K189" s="61"/>
      <c r="L189" s="61"/>
      <c r="M189" s="38">
        <f ca="1">IFERROR(SUM(M177:M188),"")</f>
        <v>2.9166666666666674E-2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20</v>
      </c>
      <c r="G190" s="40">
        <f>G176+G189</f>
        <v>764.4</v>
      </c>
      <c r="H190" s="41"/>
      <c r="I190" s="41"/>
      <c r="J190" s="41"/>
      <c r="K190" s="63"/>
      <c r="L190" s="63"/>
      <c r="M190" s="42">
        <f ca="1">IFERROR(M176+M189,"")</f>
        <v>0.16180555555555565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2026-08-08T02:04:13Z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