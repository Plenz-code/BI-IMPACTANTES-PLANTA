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11" documentId="8_{C51EB6CB-002B-4D6B-B68F-DDEBDB4460C0}" xr6:coauthVersionLast="47" xr6:coauthVersionMax="47" xr10:uidLastSave="{99A1A511-F2DB-484D-911D-A8B6EDE9B79A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<sst xmlns="http://schemas.openxmlformats.org/spreadsheetml/2006/main" count="4105" uniqueCount="300">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</sst>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1" sqref="G11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5" activePane="bottomLeft" state="frozen"/>
      <selection pane="bottomLeft" activeCell="F194" sqref="F19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196</v>
      </c>
      <c r="G203" s="36">
        <f>SUM(G191:G202)</f>
        <v>980</v>
      </c>
      <c r="H203" s="37"/>
      <c r="I203" s="37"/>
      <c r="J203" s="37"/>
      <c r="K203" s="37"/>
      <c r="L203" s="37"/>
      <c r="M203" s="38">
        <f ca="1">IFERROR(SUM(M191:M202),"")</f>
        <v>5.1388888888888873E-2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196</v>
      </c>
      <c r="G217" s="40">
        <f>G203+G216</f>
        <v>980</v>
      </c>
      <c r="H217" s="41"/>
      <c r="I217" s="41"/>
      <c r="J217" s="41"/>
      <c r="K217" s="41"/>
      <c r="L217" s="41"/>
      <c r="M217" s="42">
        <f ca="1">IFERROR(M203+M216,"")</f>
        <v>5.1388888888888873E-2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3" activePane="bottomLeft" state="frozen"/>
      <selection pane="bottomLeft" activeCell="N194" sqref="N19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0.47636747684737202</v>
      </c>
      <c r="N53" s="46" t="s">
        <v>258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0.61525636573626086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0.69997858795848322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272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83</v>
      </c>
      <c r="G203" s="36">
        <f>SUM(G191:G202)</f>
        <v>348.6</v>
      </c>
      <c r="H203" s="37"/>
      <c r="I203" s="37"/>
      <c r="J203" s="37"/>
      <c r="K203" s="37"/>
      <c r="L203" s="37"/>
      <c r="M203" s="38">
        <f ca="1">IFERROR(SUM(M191:M202),"")</f>
        <v>8.6111111111111083E-2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83</v>
      </c>
      <c r="G217" s="40">
        <f>G203+G216</f>
        <v>348.6</v>
      </c>
      <c r="H217" s="41"/>
      <c r="I217" s="41"/>
      <c r="J217" s="41"/>
      <c r="K217" s="41"/>
      <c r="L217" s="41"/>
      <c r="M217" s="42">
        <f ca="1">IFERROR(M203+M216,"")</f>
        <v>8.6111111111111083E-2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0" zoomScale="50" zoomScaleNormal="50" workbookViewId="0">
      <selection activeCell="L197" sqref="L1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6</v>
      </c>
      <c r="G203" s="36">
        <f>SUM(G191:G202)</f>
        <v>25.200000000000003</v>
      </c>
      <c r="H203" s="37"/>
      <c r="I203" s="37"/>
      <c r="J203" s="37"/>
      <c r="K203" s="37"/>
      <c r="L203" s="37"/>
      <c r="M203" s="38">
        <f ca="1">IFERROR(SUM(M191:M202),"")</f>
        <v>0.12569444444444439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6</v>
      </c>
      <c r="G217" s="40">
        <f>G203+G216</f>
        <v>25.200000000000003</v>
      </c>
      <c r="H217" s="41"/>
      <c r="I217" s="41"/>
      <c r="J217" s="41"/>
      <c r="K217" s="41"/>
      <c r="L217" s="41"/>
      <c r="M217" s="42">
        <f ca="1">IFERROR(M203+M216,"")</f>
        <v>0.12569444444444439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73" activePane="bottomLeft" state="frozen"/>
      <selection pane="bottomLeft" activeCell="N193" sqref="N19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291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292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293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294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295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297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299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89</v>
      </c>
      <c r="G203" s="36">
        <f>SUM(G191:G202)</f>
        <v>373.80000000000007</v>
      </c>
      <c r="H203" s="37"/>
      <c r="I203" s="37"/>
      <c r="J203" s="37"/>
      <c r="K203" s="61"/>
      <c r="L203" s="61"/>
      <c r="M203" s="38">
        <f ca="1">IFERROR(SUM(M191:M202),"")</f>
        <v>5.5555555555555525E-2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89</v>
      </c>
      <c r="G217" s="40">
        <f>G203+G216</f>
        <v>373.80000000000007</v>
      </c>
      <c r="H217" s="41"/>
      <c r="I217" s="41"/>
      <c r="J217" s="41"/>
      <c r="K217" s="63"/>
      <c r="L217" s="63"/>
      <c r="M217" s="42">
        <f ca="1">IFERROR(M203+M216,"")</f>
        <v>5.5555555555555525E-2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2026-08-08T18:22:50Z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