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507" documentId="8_{AF585B22-221D-4780-BB9C-493D365A6A02}" xr6:coauthVersionLast="47" xr6:coauthVersionMax="47" xr10:uidLastSave="{775CED76-E73D-4EDF-A858-493E1655CDA3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<sst xmlns="http://schemas.openxmlformats.org/spreadsheetml/2006/main" count="7476" uniqueCount="347">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</sst>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L28" sqref="L2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52240442</v>
      </c>
      <c r="D35" s="13">
        <f>IFERROR(SUM(D4:D34),"")</f>
        <v>19245750</v>
      </c>
      <c r="E35" s="13">
        <f>IFERROR(SUM(E4:E34),"")</f>
        <v>12246740</v>
      </c>
      <c r="F35" s="13">
        <f>IFERROR(SUM(F4:F34),"")</f>
        <v>23531460</v>
      </c>
      <c r="G35" s="13">
        <f>IFERROR(SUM(G4:G34),"")</f>
        <v>55023950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8" zoomScale="85" zoomScaleNormal="85" workbookViewId="0">
      <selection activeCell="K72" sqref="K7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 t="s">
        <v>214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48" activePane="bottomLeft" state="frozen"/>
      <selection pane="bottomLeft" activeCell="H467" sqref="H46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225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>
        <v>1183060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229</v>
      </c>
      <c r="O54" s="39">
        <v>959290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229</v>
      </c>
      <c r="O81" s="39">
        <v>878050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>
        <v>1700000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229</v>
      </c>
      <c r="O135" s="39">
        <v>862330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229</v>
      </c>
      <c r="O162" s="44">
        <v>1546080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>
        <v>2355810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229</v>
      </c>
      <c r="O216" s="45">
        <v>2013260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229</v>
      </c>
      <c r="O243" s="39">
        <v>1545480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>
        <v>1182690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240</v>
      </c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229</v>
      </c>
      <c r="O297" s="39">
        <v>1843460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>
        <v>1940000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229</v>
      </c>
      <c r="O351" s="39">
        <v>701874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226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226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226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226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226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229</v>
      </c>
      <c r="O378" s="39">
        <v>1088710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232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226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226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246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226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247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226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226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226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226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226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226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226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226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229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226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226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248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226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226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226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226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226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226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226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226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226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229</v>
      </c>
      <c r="O405" s="39">
        <v>1202270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232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226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249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226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226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250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226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226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226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226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226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251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251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226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229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226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226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226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226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226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226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226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226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226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226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226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>
        <v>1801910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232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226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252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226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226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226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226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226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226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226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226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226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226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226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229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253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253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253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253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253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253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253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253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253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253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253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253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229</v>
      </c>
      <c r="O459" s="39">
        <v>2675000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232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59" t="s">
        <v>226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45" activePane="bottomLeft" state="frozen"/>
      <selection pane="bottomLeft" activeCell="N462" sqref="N46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229</v>
      </c>
      <c r="O27" s="78">
        <v>393200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253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85">
        <v>276360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229</v>
      </c>
      <c r="O81" s="54">
        <v>787860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229</v>
      </c>
      <c r="O108" s="54">
        <v>1087080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229</v>
      </c>
      <c r="O135" s="54">
        <v>794480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229</v>
      </c>
      <c r="O162" s="54">
        <v>882280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229</v>
      </c>
      <c r="O189" s="78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229</v>
      </c>
      <c r="O216" s="78">
        <v>648410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229</v>
      </c>
      <c r="O243" s="78">
        <v>849060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229</v>
      </c>
      <c r="O270" s="78">
        <v>625070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229</v>
      </c>
      <c r="O297" s="78">
        <v>761660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229</v>
      </c>
      <c r="O324" s="78">
        <v>524410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253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253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253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253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253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253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253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283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284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229</v>
      </c>
      <c r="O351" s="78">
        <v>598420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0.13031342592148576</v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0.28795231481037464</v>
      </c>
      <c r="N378" s="36" t="s">
        <v>229</v>
      </c>
      <c r="O378" s="78">
        <v>511980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0.39767453703259681</v>
      </c>
      <c r="N379" s="40" t="s">
        <v>232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268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285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229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253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286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244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229</v>
      </c>
      <c r="O405" s="78">
        <v>552440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232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253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229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0.10878564814629499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230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0.27961898147962838</v>
      </c>
      <c r="N432" s="36" t="s">
        <v>229</v>
      </c>
      <c r="O432" s="78">
        <v>484540</v>
      </c>
    </row>
    <row r="433" spans="1:15" ht="18" customHeight="1">
      <c r="A433" s="94" t="s">
        <v>231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0.42475787036851725</v>
      </c>
      <c r="N433" s="40" t="s">
        <v>232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288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289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229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290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229</v>
      </c>
      <c r="O459" s="78">
        <v>631190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232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291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20</v>
      </c>
      <c r="G473" s="36">
        <f>SUM(G461:G472)</f>
        <v>100</v>
      </c>
      <c r="H473" s="37"/>
      <c r="I473" s="37"/>
      <c r="J473" s="37"/>
      <c r="K473" s="37"/>
      <c r="L473" s="37"/>
      <c r="M473" s="38">
        <f ca="1">IFERROR(SUM(M461:M472),"")</f>
        <v>2.4305555555555525E-2</v>
      </c>
      <c r="N473" s="36" t="s">
        <v>229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8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20</v>
      </c>
      <c r="G487" s="40">
        <f>G473+G486</f>
        <v>100</v>
      </c>
      <c r="H487" s="41"/>
      <c r="I487" s="41"/>
      <c r="J487" s="41"/>
      <c r="K487" s="41"/>
      <c r="L487" s="41"/>
      <c r="M487" s="42">
        <f ca="1">IFERROR(M473+M486,"")</f>
        <v>2.4305555555555525E-2</v>
      </c>
      <c r="N487" s="40" t="s">
        <v>232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8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8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8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8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8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8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8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8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8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44" zoomScale="50" zoomScaleNormal="50" workbookViewId="0">
      <selection activeCell="J461" sqref="J46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229</v>
      </c>
      <c r="O27" s="39">
        <v>308500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39">
        <v>124290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229</v>
      </c>
      <c r="O81" s="39">
        <v>396340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229</v>
      </c>
      <c r="O108" s="39">
        <v>41230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229</v>
      </c>
      <c r="O135" s="39">
        <v>381250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267</v>
      </c>
      <c r="K141" s="29">
        <v>0.71597222222222223</v>
      </c>
      <c r="L141" s="29" t="s">
        <v>298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229</v>
      </c>
      <c r="O162" s="39">
        <v>337120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300</v>
      </c>
      <c r="N166" s="27" t="s">
        <v>301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229</v>
      </c>
      <c r="O189" s="39">
        <v>747210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229</v>
      </c>
      <c r="O216" s="39">
        <v>468430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229</v>
      </c>
      <c r="O243" s="39">
        <v>575930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229</v>
      </c>
      <c r="O270" s="39">
        <v>483510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229</v>
      </c>
      <c r="O297" s="39">
        <v>487980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308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229</v>
      </c>
      <c r="O324" s="39">
        <v>609460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310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253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253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253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253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253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253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229</v>
      </c>
      <c r="O351" s="39">
        <v>437940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253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253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229</v>
      </c>
      <c r="O378" s="39">
        <v>473310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232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253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253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253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253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253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253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253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253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253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229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229</v>
      </c>
      <c r="O405" s="39">
        <v>507450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232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253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253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253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253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253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253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253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226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226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253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253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229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229</v>
      </c>
      <c r="O432" s="39">
        <v>229150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232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311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229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229</v>
      </c>
      <c r="O459" s="39">
        <v>409980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232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/>
      <c r="G461" s="34" t="str">
        <f t="shared" ref="G461:G472" si="102">IF(F461="","",IF(E461="PC 17",F461*4.2,IF(E461="PC 19",F461*5,"")))</f>
        <v/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1.8749999999999989E-2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1.8749999999999989E-2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45" activePane="bottomLeft" state="frozen"/>
      <selection pane="bottomLeft" activeCell="N462" sqref="N46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229</v>
      </c>
      <c r="O27" s="39">
        <v>202230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229</v>
      </c>
      <c r="O54" s="39">
        <v>473910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316</v>
      </c>
      <c r="L58" s="29">
        <v>0.54097222222222219</v>
      </c>
      <c r="M58" s="30" t="str">
        <f t="shared" ca="1" si="13"/>
        <v/>
      </c>
      <c r="N58" s="27" t="s">
        <v>317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229</v>
      </c>
      <c r="O81" s="39">
        <v>565120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229</v>
      </c>
      <c r="O108" s="39">
        <v>558590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0.12059131944988621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0.31989687500544184</v>
      </c>
      <c r="N135" s="36" t="s">
        <v>229</v>
      </c>
      <c r="O135" s="39">
        <v>729290</v>
      </c>
    </row>
    <row r="136" spans="1:18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0.68725798611655287</v>
      </c>
      <c r="N136" s="40" t="s">
        <v>232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229</v>
      </c>
      <c r="O162" s="39">
        <v>697320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253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229</v>
      </c>
      <c r="O189" s="39">
        <v>973580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229</v>
      </c>
      <c r="O216" s="45">
        <v>1060630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333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335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229</v>
      </c>
      <c r="O243" s="39">
        <v>982340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336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229</v>
      </c>
      <c r="O270" s="39">
        <v>1208450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229</v>
      </c>
      <c r="O297" s="39">
        <v>1049090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337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229</v>
      </c>
      <c r="O324" s="39">
        <v>1063720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253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253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253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253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253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253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253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253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253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339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229</v>
      </c>
      <c r="O351" s="39">
        <v>696140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253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253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253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229</v>
      </c>
      <c r="O378" s="39">
        <v>704750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232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341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328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229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342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343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229</v>
      </c>
      <c r="O405" s="39">
        <v>958130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232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229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344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229</v>
      </c>
      <c r="O432" s="39">
        <v>605220</v>
      </c>
    </row>
    <row r="433" spans="1:17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232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229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214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229</v>
      </c>
      <c r="O459" s="39">
        <v>615330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232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/>
      <c r="M461" s="35">
        <f t="shared" ref="M461:M472" ca="1" si="103">IFERROR(IF(K461="","",IF(L461="",MOD(NOW()-K461,1),IF(L461&gt;=K461,L461-K461,L461+1-K461))),"")</f>
        <v>4.350798611267237E-2</v>
      </c>
      <c r="N461" s="27" t="s">
        <v>346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5</v>
      </c>
      <c r="G473" s="36">
        <f>SUM(G461:G472)</f>
        <v>25</v>
      </c>
      <c r="H473" s="37"/>
      <c r="I473" s="37"/>
      <c r="J473" s="37"/>
      <c r="K473" s="61"/>
      <c r="L473" s="61"/>
      <c r="M473" s="38">
        <f ca="1">IFERROR(SUM(M461:M472),"")</f>
        <v>4.350798611267237E-2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5</v>
      </c>
      <c r="G487" s="40">
        <f>G473+G486</f>
        <v>25</v>
      </c>
      <c r="H487" s="41"/>
      <c r="I487" s="41"/>
      <c r="J487" s="41"/>
      <c r="K487" s="63"/>
      <c r="L487" s="63"/>
      <c r="M487" s="42">
        <f ca="1">IFERROR(M473+M486,"")</f>
        <v>4.350798611267237E-2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2026-07-18T12:52:48Z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