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7" documentId="8_{AF585B22-221D-4780-BB9C-493D365A6A02}" xr6:coauthVersionLast="47" xr6:coauthVersionMax="47" xr10:uidLastSave="{C252402F-F9A7-488F-9419-7CA9D4E573F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" i="6" l="1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F19" i="1"/>
  <c r="E19" i="1"/>
  <c r="D19" i="1"/>
  <c r="G19" i="1" s="1"/>
  <c r="C19" i="1"/>
  <c r="E18" i="1"/>
  <c r="D18" i="1"/>
  <c r="G18" i="1" s="1"/>
  <c r="C18" i="1"/>
  <c r="D17" i="1"/>
  <c r="F16" i="1"/>
  <c r="C16" i="1"/>
  <c r="E15" i="1"/>
  <c r="D15" i="1"/>
  <c r="F14" i="1"/>
  <c r="E14" i="1"/>
  <c r="D14" i="1"/>
  <c r="F13" i="1"/>
  <c r="D13" i="1"/>
  <c r="G13" i="1" s="1"/>
  <c r="C13" i="1"/>
  <c r="G12" i="1"/>
  <c r="C12" i="1"/>
  <c r="G11" i="1"/>
  <c r="F11" i="1"/>
  <c r="E10" i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22" i="1" l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784" i="5" l="1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<sst xmlns="http://schemas.openxmlformats.org/spreadsheetml/2006/main" count="1530" uniqueCount="215">
  <si>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</si>
  <si>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</si>
  <si>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</si>
  <si>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</si>
  <si>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</si>
  <si>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</si>
  <si>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</si>
  <si>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</si>
  <si>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</si>
  <si>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</si>
  <si>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</si>
  <si>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</si>
  <si>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</si>
  <si>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</si>
  <si>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</si>
  <si>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</si>
  <si>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</si>
  <si>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</si>
  <si>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</si>
  <si>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</si>
  <si>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</si>
  <si>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</si>
  <si>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</si>
  <si>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</si>
  <si>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</si>
  <si>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</si>
  <si>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</si>
  <si>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</si>
  <si>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</si>
  <si>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</si>
  <si>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</si>
  <si>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</si>
  <si>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</si>
  <si>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</si>
  <si>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</si>
  <si>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</si>
  <si>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</si>
  <si>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</si>
  <si>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</si>
  <si>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</si>
  <si>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</si>
  <si>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</si>
  <si>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</si>
  <si>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</si>
  <si>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</si>
  <si>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</si>
  <si>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</si>
  <si>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</si>
  <si>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</si>
  <si>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</si>
  <si>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</si>
  <si>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</si>
  <si>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</si>
  <si>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</si>
  <si>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</si>
  <si>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</si>
  <si>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</si>
  <si>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</si>
  <si>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</si>
  <si>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</si>
  <si>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</si>
  <si>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</si>
  <si>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</si>
  <si>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</si>
  <si>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</si>
  <si>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</si>
  <si>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</si>
  <si>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</si>
  <si>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</si>
  <si>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</si>
  <si>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</si>
  <si>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</si>
  <si>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</si>
  <si>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</si>
  <si>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</si>
  <si>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</si>
  <si>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</si>
  <si>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</si>
  <si>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</si>
  <si>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</si>
  <si>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</si>
  <si>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</si>
  <si>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</si>
  <si>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</si>
  <si>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</si>
  <si>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</si>
  <si>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</si>
  <si>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</si>
  <si>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</si>
  <si>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</si>
  <si>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</si>
  <si>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</si>
  <si>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</si>
  <si>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</si>
  <si>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</si>
  <si>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</si>
  <si>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</si>
  <si>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</si>
  <si>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</si>
  <si>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</si>
  <si>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</si>
  <si>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</si>
  <si>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</si>
  <si>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</si>
  <si>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</si>
  <si>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</si>
  <si>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</si>
  <si>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</si>
  <si>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</si>
  <si>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</si>
  <si>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</si>
  <si>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</si>
  <si>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</si>
  <si>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</si>
  <si>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</si>
  <si>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</si>
  <si>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</si>
  <si>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</si>
  <si>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</si>
  <si>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</si>
  <si>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</si>
  <si>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</si>
  <si>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</si>
  <si>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</si>
  <si>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</si>
  <si>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</si>
  <si>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</si>
  <si>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</si>
  <si>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</si>
  <si>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</si>
  <si>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</si>
  <si>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</si>
  <si>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</si>
  <si>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</si>
  <si>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</si>
  <si>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</si>
  <si>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</si>
  <si>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</si>
  <si>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</si>
  <si>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</si>
  <si>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</si>
  <si>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</si>
  <si>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</si>
  <si>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</si>
  <si>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</si>
  <si>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</si>
  <si>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</si>
  <si>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</si>
  <si>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</si>
  <si>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</si>
  <si>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</si>
  <si>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</si>
  <si>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</si>
  <si>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</si>
  <si>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</si>
  <si>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</si>
  <si>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</si>
  <si>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</si>
  <si>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</si>
  <si>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</si>
  <si>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</si>
  <si>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</si>
  <si>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</si>
  <si>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</si>
  <si>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</si>
  <si>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</si>
  <si>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</si>
  <si>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</si>
  <si>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</si>
  <si>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</si>
  <si>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</si>
  <si>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</si>
  <si>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</si>
  <si>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</si>
  <si>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</si>
  <si>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</si>
  <si>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</si>
  <si>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</si>
  <si>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</si>
  <si>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</si>
  <si>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</si>
  <si>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</si>
  <si>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</si>
  <si>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</si>
  <si>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</si>
  <si>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</si>
  <si>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</si>
  <si>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</si>
  <si>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</si>
  <si>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</si>
  <si>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</si>
  <si>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</si>
  <si>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</si>
  <si>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</si>
  <si>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</si>
  <si>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</si>
  <si>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</si>
  <si>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</si>
  <si>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</si>
  <si>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</si>
  <si>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9;06</t>
  </si>
  <si>
    <t>martelo soltou, troca de martelo, aperto de parafuso do mancal, manutenção bomba de rejeito</t>
  </si>
  <si>
    <t>solda na grelha</t>
  </si>
  <si>
    <t>solda na tampa do moinho</t>
  </si>
  <si>
    <t>troca de grelha e martelo, manutenção bomba de rejeito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</si>
  <si>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</si>
  <si>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</si>
  <si>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</si>
  <si>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</si>
  <si>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</si>
  <si>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PC 24</t>
  </si>
  <si>
    <t>PC 25</t>
  </si>
  <si>
    <t>PC 26</t>
  </si>
  <si>
    <t>PC 27</t>
  </si>
  <si>
    <t>PC 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</si>
</sst>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108620</v>
      </c>
      <c r="D5" s="11">
        <f>IFERROR('Linha 1'!O55,"")</f>
        <v>351740</v>
      </c>
      <c r="E5" s="11">
        <f>IFERROR('Linha 2'!O55,"")</f>
        <v>205590</v>
      </c>
      <c r="F5" s="11">
        <f>IFERROR('Linha 3'!O55,"")</f>
        <v>304990</v>
      </c>
      <c r="G5" s="12">
        <f t="shared" si="0"/>
        <v>862320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2781100</v>
      </c>
      <c r="D35" s="13">
        <f>IFERROR(SUM(D4:D34),"")</f>
        <v>1372200</v>
      </c>
      <c r="E35" s="13">
        <f>IFERROR(SUM(E4:E34),"")</f>
        <v>806620</v>
      </c>
      <c r="F35" s="13">
        <f>IFERROR(SUM(F4:F34),"")</f>
        <v>834290</v>
      </c>
      <c r="G35" s="13">
        <f>IFERROR(SUM(G4:G34),"")</f>
        <v>3013110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2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174</v>
      </c>
      <c r="L48" s="16"/>
      <c r="M48" s="16"/>
    </row>
    <row r="49" spans="1:13" ht="18" customHeight="1">
      <c r="H49" s="87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177</v>
      </c>
      <c r="L50" s="16"/>
      <c r="M50" s="16"/>
    </row>
    <row r="51" spans="1:13" ht="24" customHeight="1">
      <c r="H51" s="87"/>
      <c r="I51" s="17"/>
      <c r="J51" s="17"/>
      <c r="K51" s="17" t="s">
        <v>178</v>
      </c>
      <c r="L51" s="17"/>
      <c r="M51" s="17"/>
    </row>
    <row r="52" spans="1:13" ht="24" customHeight="1">
      <c r="H52" s="87"/>
      <c r="I52" s="16"/>
      <c r="J52" s="16"/>
      <c r="K52" s="16" t="s">
        <v>179</v>
      </c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5" activePane="bottomLeft" state="frozen"/>
      <selection pane="bottomLeft" activeCell="F41" sqref="F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21</v>
      </c>
      <c r="G55" s="40">
        <f>G41+G54</f>
        <v>105</v>
      </c>
      <c r="H55" s="41"/>
      <c r="I55" s="41"/>
      <c r="J55" s="41"/>
      <c r="K55" s="41"/>
      <c r="L55" s="41"/>
      <c r="M55" s="42">
        <f ca="1">IFERROR(M41+M54,"")</f>
        <v>0.4597222222222222</v>
      </c>
      <c r="N55" s="40" t="s">
        <v>197</v>
      </c>
      <c r="O55" s="43">
        <f>IFERROR(O41+O54,"")</f>
        <v>108620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90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89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90">
        <v>393200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 t="s">
        <v>200</v>
      </c>
      <c r="M29" s="35" t="str">
        <f t="shared" ref="M29:M40" ca="1" si="7">IFERROR(IF(K29="","",IF(L29="",MOD(NOW()-K29,1),IF(L29&gt;=K29,L29-K29,L29+1-K29))),"")</f>
        <v/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0.57986111111111116</v>
      </c>
      <c r="M32" s="30">
        <f t="shared" ca="1" si="7"/>
        <v>2.8472222222222232E-2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7.9861111111111105E-2</v>
      </c>
      <c r="N41" s="36" t="s">
        <v>194</v>
      </c>
      <c r="O41" s="54">
        <v>351740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54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88</v>
      </c>
      <c r="G55" s="40">
        <f>G41+G54</f>
        <v>369.6</v>
      </c>
      <c r="H55" s="41"/>
      <c r="I55" s="41"/>
      <c r="J55" s="41"/>
      <c r="K55" s="41"/>
      <c r="L55" s="41"/>
      <c r="M55" s="42">
        <f ca="1">IFERROR(M41+M54,"")</f>
        <v>7.9861111111111105E-2</v>
      </c>
      <c r="N55" s="40" t="s">
        <v>197</v>
      </c>
      <c r="O55" s="43">
        <f>IFERROR(O41+O54,"")</f>
        <v>351740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6" activePane="bottomLeft" state="frozen"/>
      <selection pane="bottomLeft" activeCell="O42" sqref="O4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71</v>
      </c>
      <c r="G55" s="40">
        <f>G41+G54</f>
        <v>298.20000000000005</v>
      </c>
      <c r="H55" s="41"/>
      <c r="I55" s="41"/>
      <c r="J55" s="41"/>
      <c r="K55" s="41"/>
      <c r="L55" s="41"/>
      <c r="M55" s="42">
        <f ca="1">IFERROR(M41+M54,"")</f>
        <v>0.15486111111111106</v>
      </c>
      <c r="N55" s="40" t="s">
        <v>197</v>
      </c>
      <c r="O55" s="43">
        <f>IFERROR(O41+O54,"")</f>
        <v>205590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24" activePane="bottomLeft" state="frozen"/>
      <selection pane="bottomLeft" activeCell="E48" sqref="E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710937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193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91">
        <f ca="1">IFERROR(IF(K16="","",IF(L16="",MOD(NOW()-K16,1),IF(L16&gt;=K16,L16-K16,L16+1-K16))),"")</f>
        <v>4.1666666666666741E-2</v>
      </c>
      <c r="N16" s="27" t="s">
        <v>207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195</v>
      </c>
      <c r="B27" s="78"/>
      <c r="C27" s="78"/>
      <c r="D27" s="78"/>
      <c r="E27" s="7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0" t="s">
        <v>196</v>
      </c>
      <c r="B28" s="81"/>
      <c r="C28" s="81"/>
      <c r="D28" s="81"/>
      <c r="E28" s="8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208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209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193</v>
      </c>
      <c r="B41" s="78"/>
      <c r="C41" s="78"/>
      <c r="D41" s="78"/>
      <c r="E41" s="7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 t="s">
        <v>199</v>
      </c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 t="s">
        <v>199</v>
      </c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 t="s">
        <v>199</v>
      </c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 t="s">
        <v>199</v>
      </c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 t="s">
        <v>199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 t="s">
        <v>199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 t="s">
        <v>210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 t="s">
        <v>211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 t="s">
        <v>212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 t="s">
        <v>213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 t="s">
        <v>214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195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194</v>
      </c>
      <c r="O54" s="39"/>
    </row>
    <row r="55" spans="1:15" ht="18" customHeight="1">
      <c r="A55" s="80" t="s">
        <v>196</v>
      </c>
      <c r="B55" s="81"/>
      <c r="C55" s="81"/>
      <c r="D55" s="81"/>
      <c r="E55" s="82">
        <f>E41+E54</f>
        <v>0</v>
      </c>
      <c r="F55" s="40">
        <f>F41+F54</f>
        <v>85</v>
      </c>
      <c r="G55" s="40">
        <f>G41+G54</f>
        <v>357</v>
      </c>
      <c r="H55" s="41"/>
      <c r="I55" s="41"/>
      <c r="J55" s="41"/>
      <c r="K55" s="63"/>
      <c r="L55" s="63"/>
      <c r="M55" s="42">
        <f ca="1">IFERROR(M41+M54,"")</f>
        <v>0.22430555555555565</v>
      </c>
      <c r="N55" s="40" t="s">
        <v>197</v>
      </c>
      <c r="O55" s="48">
        <f>IFERROR(O41+O54,"")</f>
        <v>304990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193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194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195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0" t="s">
        <v>196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197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193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195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0" t="s">
        <v>196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193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195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0" t="s">
        <v>196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193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195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0" t="s">
        <v>196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193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195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0" t="s">
        <v>196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193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195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0" t="s">
        <v>196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193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195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0" t="s">
        <v>196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193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195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0" t="s">
        <v>196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193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195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0" t="s">
        <v>196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193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195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0" t="s">
        <v>196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193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195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0" t="s">
        <v>196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193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195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0" t="s">
        <v>196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193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195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0" t="s">
        <v>196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193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195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0" t="s">
        <v>196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193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195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0" t="s">
        <v>196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193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195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0" t="s">
        <v>196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193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195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0" t="s">
        <v>196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193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195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0" t="s">
        <v>196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193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195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0" t="s">
        <v>196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193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195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0" t="s">
        <v>196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193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195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0" t="s">
        <v>196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193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195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0" t="s">
        <v>196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193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195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0" t="s">
        <v>196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193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195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0" t="s">
        <v>196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193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195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0" t="s">
        <v>196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193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195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0" t="s">
        <v>196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193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195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0" t="s">
        <v>196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193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195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0" t="s">
        <v>196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2026-07-02T22:50:58Z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