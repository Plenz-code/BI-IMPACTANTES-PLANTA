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78" documentId="8_{AF585B22-221D-4780-BB9C-493D365A6A02}" xr6:coauthVersionLast="47" xr6:coauthVersionMax="47" xr10:uidLastSave="{AB817AE3-D0A7-4476-B236-5D3FB15A527D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<sst xmlns="http://schemas.openxmlformats.org/spreadsheetml/2006/main" count="4712" uniqueCount="289">
  <si>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</si>
  <si>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</si>
  <si>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</si>
  <si>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</si>
  <si>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</si>
  <si>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</si>
  <si>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</si>
  <si>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</si>
  <si>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</si>
  <si>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</si>
  <si>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</si>
  <si>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</si>
  <si>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</si>
  <si>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</si>
  <si>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</si>
  <si>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</si>
  <si>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</si>
  <si>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</si>
  <si>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</si>
  <si>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</si>
  <si>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</si>
  <si>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</si>
  <si>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</si>
  <si>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</si>
  <si>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</si>
  <si>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</si>
  <si>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</si>
  <si>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</si>
  <si>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</si>
  <si>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</si>
  <si>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</si>
  <si>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</si>
  <si>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</si>
  <si>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</si>
  <si>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</si>
  <si>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</si>
  <si>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</si>
  <si>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</si>
  <si>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</si>
  <si>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</si>
  <si>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</si>
  <si>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</si>
  <si>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</si>
  <si>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</si>
  <si>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</si>
  <si>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</si>
  <si>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</si>
  <si>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</si>
  <si>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</si>
  <si>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</si>
  <si>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</si>
  <si>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</si>
  <si>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</si>
  <si>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</si>
  <si>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</si>
  <si>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</si>
  <si>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</si>
  <si>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</si>
  <si>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</si>
  <si>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</si>
  <si>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</si>
  <si>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</si>
  <si>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</si>
  <si>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</si>
  <si>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</si>
  <si>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</si>
  <si>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</si>
  <si>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</si>
  <si>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</si>
  <si>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</si>
  <si>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</si>
  <si>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</si>
  <si>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</si>
  <si>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</si>
  <si>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</si>
  <si>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</si>
  <si>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</si>
  <si>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</si>
  <si>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</si>
  <si>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</si>
  <si>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</si>
  <si>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</si>
  <si>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</si>
  <si>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</si>
  <si>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</si>
  <si>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</si>
  <si>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</si>
  <si>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</si>
  <si>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</si>
  <si>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</si>
  <si>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</si>
  <si>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</si>
  <si>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</si>
  <si>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</si>
  <si>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</si>
  <si>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</si>
  <si>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</si>
  <si>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</si>
  <si>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</si>
  <si>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</si>
  <si>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</si>
  <si>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</si>
  <si>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</si>
  <si>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</si>
  <si>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</si>
  <si>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</si>
  <si>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</si>
  <si>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</si>
  <si>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</si>
  <si>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</si>
  <si>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</si>
  <si>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</si>
  <si>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</si>
  <si>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</si>
  <si>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</si>
  <si>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</si>
  <si>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</si>
  <si>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</si>
  <si>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</si>
  <si>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</si>
  <si>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</si>
  <si>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</si>
  <si>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</si>
  <si>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</si>
  <si>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</si>
  <si>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</si>
  <si>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</si>
  <si>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</si>
  <si>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</si>
  <si>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</si>
  <si>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</si>
  <si>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</si>
  <si>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</si>
  <si>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</si>
  <si>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</si>
  <si>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</si>
  <si>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</si>
  <si>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</si>
  <si>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</si>
  <si>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</si>
  <si>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</si>
  <si>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</si>
  <si>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</si>
  <si>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</si>
  <si>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</si>
  <si>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</si>
  <si>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</si>
  <si>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</si>
  <si>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</si>
  <si>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</si>
  <si>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</si>
  <si>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</si>
  <si>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</si>
  <si>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</si>
  <si>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</si>
  <si>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</si>
  <si>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</si>
  <si>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</si>
  <si>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</si>
  <si>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</si>
  <si>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</si>
  <si>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</si>
  <si>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</si>
  <si>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</si>
  <si>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</si>
  <si>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</si>
  <si>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</si>
  <si>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</si>
  <si>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</si>
  <si>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</si>
  <si>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</si>
  <si>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</si>
  <si>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</si>
  <si>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</si>
  <si>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</si>
  <si>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</si>
  <si>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</si>
  <si>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</si>
  <si>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</si>
  <si>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</si>
  <si>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</si>
  <si>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</si>
  <si>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</si>
  <si>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</si>
  <si>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</si>
  <si>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</si>
  <si>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</si>
  <si>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</si>
  <si>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</si>
  <si>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</si>
  <si>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</si>
  <si>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</si>
  <si>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</si>
  <si>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</si>
  <si>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</si>
  <si>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</si>
  <si>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</si>
  <si>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</si>
  <si>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</si>
  <si>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</si>
  <si>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</si>
  <si>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</si>
  <si>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</si>
  <si>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</si>
  <si>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</si>
  <si>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</si>
  <si>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</si>
  <si>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</si>
  <si>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</si>
  <si>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</si>
  <si>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</si>
  <si>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</si>
  <si>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</si>
  <si>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</si>
  <si>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</si>
  <si>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</si>
  <si>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</si>
  <si>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</si>
  <si>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</si>
  <si>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</si>
  <si>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</si>
  <si>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</si>
  <si>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</si>
  <si>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</si>
  <si>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</si>
  <si>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</si>
  <si>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</si>
  <si>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</si>
  <si>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</si>
  <si>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</si>
  <si>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</si>
  <si>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</si>
  <si>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</si>
  <si>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</si>
  <si>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</si>
  <si>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</si>
  <si>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</si>
  <si>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</si>
  <si>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</si>
  <si>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</si>
  <si>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</si>
  <si>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</si>
  <si>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</si>
  <si>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</si>
  <si>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</si>
  <si>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</si>
  <si>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</si>
  <si>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</si>
  <si>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</si>
  <si>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</si>
  <si>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 xml:space="preserve">e troca de grelhas no moinho 02 e teve que coloca outra balata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</si>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</sst>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76" sqref="F2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40</v>
      </c>
      <c r="G284" s="36">
        <f>SUM(G272:G283)</f>
        <v>200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40</v>
      </c>
      <c r="G298" s="40">
        <f>G284+G297</f>
        <v>200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76" sqref="F2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/>
      <c r="M273" s="35">
        <f t="shared" ca="1" si="61"/>
        <v>8.8470486109144986E-2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27</v>
      </c>
      <c r="G284" s="36">
        <f>SUM(G272:G283)</f>
        <v>113.4</v>
      </c>
      <c r="H284" s="37"/>
      <c r="I284" s="37"/>
      <c r="J284" s="37"/>
      <c r="K284" s="37"/>
      <c r="L284" s="37"/>
      <c r="M284" s="38">
        <f ca="1">IFERROR(SUM(M272:M283),"")</f>
        <v>0.13430381944247832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27</v>
      </c>
      <c r="G298" s="40">
        <f>G284+G297</f>
        <v>113.4</v>
      </c>
      <c r="H298" s="41"/>
      <c r="I298" s="41"/>
      <c r="J298" s="41"/>
      <c r="K298" s="41"/>
      <c r="L298" s="41"/>
      <c r="M298" s="42">
        <f ca="1">IFERROR(M284+M297,"")</f>
        <v>0.13430381944247832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42" zoomScale="50" zoomScaleNormal="50" workbookViewId="0">
      <selection activeCell="L273" sqref="L2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36</v>
      </c>
      <c r="G284" s="36">
        <f>SUM(G272:G283)</f>
        <v>151.19999999999999</v>
      </c>
      <c r="H284" s="37"/>
      <c r="I284" s="37"/>
      <c r="J284" s="37"/>
      <c r="K284" s="37"/>
      <c r="L284" s="37"/>
      <c r="M284" s="38">
        <f ca="1">IFERROR(SUM(M272:M283),"")</f>
        <v>1.2500000000000011E-2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36</v>
      </c>
      <c r="G298" s="40">
        <f>G284+G297</f>
        <v>151.19999999999999</v>
      </c>
      <c r="H298" s="41"/>
      <c r="I298" s="41"/>
      <c r="J298" s="41"/>
      <c r="K298" s="41"/>
      <c r="L298" s="41"/>
      <c r="M298" s="42">
        <f ca="1">IFERROR(M284+M297,"")</f>
        <v>1.2500000000000011E-2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6" sqref="F2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0.24333171296166256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0.44263726851721819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0.80999837962832921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306.60000000000002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73</v>
      </c>
      <c r="G298" s="40">
        <f>G284+G297</f>
        <v>306.60000000000002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2026-07-11T15:49:56Z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