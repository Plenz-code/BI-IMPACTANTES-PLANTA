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28" documentId="8_{AF585B22-221D-4780-BB9C-493D365A6A02}" xr6:coauthVersionLast="47" xr6:coauthVersionMax="47" xr10:uidLastSave="{C130521E-DE35-4401-AD38-4332A1F19DEB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<sst xmlns="http://schemas.openxmlformats.org/spreadsheetml/2006/main" count="11739" uniqueCount="426">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</sst>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2" activePane="bottomLeft" state="frozen"/>
      <selection pane="bottomLeft" activeCell="F773" sqref="F77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25</v>
      </c>
      <c r="G772" s="28">
        <f t="shared" si="171"/>
        <v>125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55</v>
      </c>
      <c r="G783" s="36">
        <f>SUM(G771:G782)</f>
        <v>275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405</v>
      </c>
      <c r="G784" s="40">
        <f>G770+G783</f>
        <v>2025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50" activePane="bottomLeft" state="frozen"/>
      <selection pane="bottomLeft" activeCell="F773" sqref="F7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0.62205937499675201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0.7796982638856409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0.88942048610786306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0.60053159722156124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0.77136493055489463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0.91650381944378356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3</v>
      </c>
      <c r="G772" s="28">
        <f t="shared" si="171"/>
        <v>15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26</v>
      </c>
      <c r="G783" s="36">
        <f>SUM(G771:G782)</f>
        <v>111.60000000000001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160</v>
      </c>
      <c r="G784" s="40">
        <f>G770+G783</f>
        <v>682.40000000000009</v>
      </c>
      <c r="H784" s="41"/>
      <c r="I784" s="41"/>
      <c r="J784" s="41"/>
      <c r="K784" s="41"/>
      <c r="L784" s="41"/>
      <c r="M784" s="42">
        <f ca="1">IFERROR(M770+M783,"")</f>
        <v>9.5138888888888828E-2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F773" sqref="F7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/>
      <c r="M771" s="35">
        <f t="shared" ref="M771:M782" ca="1" si="172">IFERROR(IF(K771="","",IF(L771="",MOD(NOW()-K771,1),IF(L771&gt;=K771,L771-K771,L771+1-K771))),"")</f>
        <v>4.4976041666814126E-2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</v>
      </c>
      <c r="G772" s="28">
        <f t="shared" si="171"/>
        <v>5</v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11</v>
      </c>
      <c r="G783" s="36">
        <f>SUM(G771:G782)</f>
        <v>47</v>
      </c>
      <c r="H783" s="37"/>
      <c r="I783" s="37"/>
      <c r="J783" s="37"/>
      <c r="K783" s="37"/>
      <c r="L783" s="37"/>
      <c r="M783" s="38">
        <f ca="1">IFERROR(SUM(M771:M782),"")</f>
        <v>4.4976041666814126E-2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52</v>
      </c>
      <c r="G784" s="40">
        <f>G770+G783</f>
        <v>223.2</v>
      </c>
      <c r="H784" s="41"/>
      <c r="I784" s="41"/>
      <c r="J784" s="41"/>
      <c r="K784" s="41"/>
      <c r="L784" s="41"/>
      <c r="M784" s="42">
        <f ca="1">IFERROR(M770+M783,"")</f>
        <v>0.15886493055570305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51" activePane="bottomLeft" state="frozen"/>
      <selection pane="bottomLeft" activeCell="F773" sqref="F77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0.61233715277921874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0.81164270833477437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1.1790038194458854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3</v>
      </c>
      <c r="G772" s="28">
        <f t="shared" si="171"/>
        <v>15</v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33</v>
      </c>
      <c r="G783" s="36">
        <f>SUM(G771:G782)</f>
        <v>141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41</v>
      </c>
      <c r="G784" s="40">
        <f>G770+G783</f>
        <v>174.6</v>
      </c>
      <c r="H784" s="41"/>
      <c r="I784" s="41"/>
      <c r="J784" s="41"/>
      <c r="K784" s="63"/>
      <c r="L784" s="63"/>
      <c r="M784" s="42">
        <f ca="1">IFERROR(M770+M783,"")</f>
        <v>0.46388888888888885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2026-07-30T00:41:18Z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