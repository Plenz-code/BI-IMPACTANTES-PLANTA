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3" documentId="13_ncr:1_{A6DBCFB4-28D9-4249-9038-216934055CA6}" xr6:coauthVersionLast="47" xr6:coauthVersionMax="47" xr10:uidLastSave="{BEF08FE9-DCB0-4130-B02D-0F89A7429A19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<sst xmlns="http://schemas.openxmlformats.org/spreadsheetml/2006/main" count="11021" uniqueCount="444">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</sst>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J663" sqref="J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/>
      <c r="M663" s="70">
        <f t="shared" ref="M663:M674" ca="1" si="144">IFERROR(IF(K663="","",IF(L663="",MOD(NOW()-K663,1),IF(L663&gt;=K663,L663-K663,L663+1-K663))),"")</f>
        <v>1.0291666694683954E-3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40</v>
      </c>
      <c r="G675" s="2">
        <f>SUM(G663:G674)</f>
        <v>200</v>
      </c>
      <c r="H675" s="71"/>
      <c r="I675" s="71"/>
      <c r="J675" s="71"/>
      <c r="K675" s="71"/>
      <c r="L675" s="71"/>
      <c r="M675" s="72">
        <f ca="1">IFERROR(SUM(M663:M674),"")</f>
        <v>1.0291666694683954E-3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367</v>
      </c>
      <c r="G676" s="1">
        <f>G662+G675</f>
        <v>1835</v>
      </c>
      <c r="H676" s="75"/>
      <c r="I676" s="75"/>
      <c r="J676" s="75"/>
      <c r="K676" s="75"/>
      <c r="L676" s="75"/>
      <c r="M676" s="76">
        <f ca="1">IFERROR(M662+M675,"")</f>
        <v>0.13644583333613503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4" sqref="G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0.72325138888845686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0.86214027777734459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0.9468624999995674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4.7556944446114358E-2</v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4.7556944446114358E-2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0.41214027777944767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4" sqref="G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4.0277777777777857E-2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0.4958333333333334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2026-08-26T00:17:34Z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