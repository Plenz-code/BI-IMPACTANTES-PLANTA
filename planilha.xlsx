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4" documentId="13_ncr:1_{A6DBCFB4-28D9-4249-9038-216934055CA6}" xr6:coauthVersionLast="47" xr6:coauthVersionMax="47" xr10:uidLastSave="{73809BE7-3654-46DD-9F56-0E241FD31623}"/>
  <bookViews>
    <workbookView xWindow="-110" yWindow="-110" windowWidth="25820" windowHeight="1550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9" i="6" l="1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<sst xmlns="http://schemas.openxmlformats.org/spreadsheetml/2006/main" count="8606" uniqueCount="398">
  <si>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</si>
  <si>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</si>
  <si>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</si>
  <si>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</si>
  <si>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</si>
  <si>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</si>
  <si>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</si>
  <si>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</si>
  <si>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</si>
  <si>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</si>
  <si>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</si>
  <si>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</si>
  <si>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</si>
  <si>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</si>
  <si>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</si>
  <si>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</si>
  <si>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</si>
  <si>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</si>
  <si>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</si>
  <si>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</si>
  <si>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</si>
  <si>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</si>
  <si>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</si>
  <si>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</si>
  <si>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</si>
  <si>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</si>
  <si>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</si>
  <si>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</si>
  <si>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</si>
  <si>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</si>
  <si>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</si>
  <si>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</si>
  <si>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</si>
  <si>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</si>
  <si>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</si>
  <si>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</si>
  <si>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</si>
  <si>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</si>
  <si>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</si>
  <si>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</si>
  <si>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</si>
  <si>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</si>
  <si>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</si>
  <si>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</si>
  <si>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</si>
  <si>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</si>
  <si>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</si>
  <si>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</si>
  <si>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</si>
  <si>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</si>
  <si>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</si>
  <si>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</si>
  <si>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</si>
  <si>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</si>
  <si>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</si>
  <si>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</si>
  <si>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</si>
  <si>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</si>
  <si>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</si>
  <si>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</si>
  <si>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</si>
  <si>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</si>
  <si>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</si>
  <si>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</si>
  <si>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</si>
  <si>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</si>
  <si>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</si>
  <si>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</si>
  <si>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</si>
  <si>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</si>
  <si>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</si>
  <si>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</si>
  <si>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</si>
  <si>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</si>
  <si>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</si>
  <si>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</si>
  <si>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</si>
  <si>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</si>
  <si>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</si>
  <si>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</si>
  <si>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</si>
  <si>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</si>
  <si>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</si>
  <si>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</si>
  <si>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</si>
  <si>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</si>
  <si>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</si>
  <si>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</si>
  <si>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</si>
  <si>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</si>
  <si>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</si>
  <si>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</si>
  <si>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</si>
  <si>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</si>
  <si>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</si>
  <si>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</si>
  <si>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</si>
  <si>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</si>
  <si>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</si>
  <si>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</si>
  <si>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</si>
  <si>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</si>
  <si>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</si>
  <si>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</si>
  <si>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</si>
  <si>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</si>
  <si>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</si>
  <si>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</si>
  <si>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</si>
  <si>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</si>
  <si>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</si>
  <si>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</si>
  <si>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</si>
  <si>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</si>
  <si>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</si>
  <si>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</si>
  <si>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</si>
  <si>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</si>
  <si>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</si>
  <si>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</si>
  <si>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</si>
  <si>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</si>
  <si>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</si>
  <si>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</si>
  <si>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</si>
  <si>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</si>
  <si>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</si>
  <si>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</si>
  <si>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</si>
  <si>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</si>
  <si>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</si>
  <si>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</si>
  <si>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</si>
  <si>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</si>
  <si>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</si>
  <si>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</si>
  <si>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</si>
  <si>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</si>
  <si>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</si>
  <si>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</si>
  <si>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</si>
  <si>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</si>
  <si>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</si>
  <si>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</si>
  <si>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</si>
  <si>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</si>
  <si>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</si>
  <si>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</si>
  <si>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</si>
  <si>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</si>
  <si>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</si>
  <si>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</si>
  <si>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</si>
  <si>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</si>
  <si>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</si>
  <si>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</si>
  <si>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</si>
  <si>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</si>
  <si>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</si>
  <si>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</si>
  <si>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</si>
  <si>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</si>
  <si>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</si>
  <si>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</si>
  <si>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</si>
  <si>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</si>
  <si>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</si>
  <si>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</si>
  <si>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</si>
  <si>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</si>
  <si>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</si>
  <si>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</si>
  <si>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</si>
  <si>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</si>
  <si>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</si>
  <si>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</si>
  <si>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</si>
  <si>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</si>
  <si>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</si>
  <si>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</si>
  <si>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</si>
  <si>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</si>
  <si>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</si>
  <si>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</si>
  <si>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</si>
  <si>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</si>
  <si>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</si>
  <si>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</si>
  <si>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</si>
  <si>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</si>
  <si>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</si>
  <si>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</si>
  <si>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</si>
  <si>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</si>
  <si>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</si>
  <si>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</si>
  <si>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</si>
  <si>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</si>
  <si>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</si>
  <si>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</si>
  <si>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</si>
  <si>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</si>
  <si>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</si>
  <si>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</si>
  <si>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</si>
  <si>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</si>
  <si>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</si>
  <si>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</si>
  <si>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</si>
  <si>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</si>
  <si>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</si>
  <si>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</si>
  <si>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</si>
  <si>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</si>
  <si>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</si>
  <si>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</si>
  <si>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</si>
  <si>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</si>
  <si>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</si>
  <si>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</si>
  <si>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</si>
  <si>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</si>
  <si>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</si>
  <si>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</si>
  <si>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</si>
  <si>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</si>
  <si>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</si>
  <si>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</si>
  <si>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</si>
  <si>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</si>
  <si>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</si>
  <si>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</si>
  <si>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</si>
  <si>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</si>
  <si>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</si>
  <si>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</si>
  <si>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</si>
  <si>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</si>
  <si>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</si>
  <si>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</si>
  <si>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</si>
  <si>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</si>
  <si>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</si>
  <si>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</si>
  <si>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</si>
  <si>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</si>
  <si>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</si>
  <si>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</si>
  <si>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</si>
  <si>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</si>
  <si>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</si>
  <si>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</si>
  <si>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</si>
  <si>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</si>
  <si>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</si>
  <si>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</si>
  <si>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</si>
  <si>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</si>
  <si>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</si>
  <si>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</si>
  <si>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</si>
  <si>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</si>
  <si>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</si>
  <si>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</si>
  <si>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</si>
  <si>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</si>
  <si>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</si>
  <si>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</si>
  <si>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</si>
  <si>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</si>
  <si>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</si>
  <si>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</si>
  <si>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</si>
  <si>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</si>
  <si>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</si>
  <si>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</si>
  <si>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</si>
  <si>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</si>
  <si>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</si>
  <si>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</si>
  <si>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</si>
  <si>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</si>
  <si>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</si>
  <si>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</si>
  <si>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</si>
  <si>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</si>
  <si>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</si>
  <si>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</si>
  <si>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</si>
  <si>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</si>
  <si>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</si>
  <si>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</si>
  <si>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</si>
  <si>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</si>
  <si>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</si>
  <si>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</si>
  <si>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</si>
  <si>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</si>
  <si>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</si>
  <si>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</si>
  <si>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</si>
  <si>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</si>
  <si>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</si>
  <si>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</si>
  <si>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</si>
  <si>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</si>
  <si>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</si>
  <si>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</si>
  <si>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</si>
  <si>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</si>
  <si>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</si>
  <si>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</si>
  <si>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</si>
  <si>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</si>
  <si>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</si>
  <si>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</si>
  <si>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</si>
  <si>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</si>
  <si>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</si>
  <si>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</si>
  <si>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</si>
  <si>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</si>
  <si>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</si>
  <si>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</si>
  <si>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</si>
  <si>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</si>
  <si>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</si>
  <si>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</si>
  <si>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</si>
  <si>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</si>
  <si>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</si>
  <si>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</si>
  <si>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</si>
  <si>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</si>
  <si>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</si>
  <si>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</si>
  <si>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</si>
  <si>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</si>
  <si>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</si>
  <si>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</si>
  <si>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</si>
  <si>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</si>
  <si>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</si>
  <si>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</si>
  <si>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</si>
  <si>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</si>
  <si>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</si>
  <si>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</si>
  <si>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</si>
  <si>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</si>
  <si>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</si>
  <si>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</si>
  <si>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</si>
  <si>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</si>
  <si>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</si>
  <si>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</si>
  <si>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</si>
  <si>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</si>
  <si>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</si>
  <si>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</si>
  <si>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</si>
  <si>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</si>
  <si>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</si>
  <si>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</si>
  <si>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</si>
  <si>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</si>
  <si>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</si>
  <si>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</si>
  <si>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</si>
  <si>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</si>
  <si>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</si>
  <si>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</si>
  <si>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</si>
  <si>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</si>
  <si>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</si>
  <si>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</si>
  <si>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</si>
  <si>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</si>
  <si>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</si>
  <si>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</si>
  <si>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</si>
  <si>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</si>
  <si>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</si>
  <si>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</si>
  <si>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</si>
  <si>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</si>
  <si>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</si>
  <si>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</si>
  <si>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</si>
  <si>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</si>
  <si>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</si>
  <si>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</si>
  <si>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</si>
  <si>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</si>
  <si>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</si>
  <si>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</si>
  <si>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</si>
  <si>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pc17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</si>
</sst>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9" sqref="D50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311</v>
      </c>
      <c r="G513" s="2">
        <f>SUM(G501:G512)</f>
        <v>1555</v>
      </c>
      <c r="H513" s="72"/>
      <c r="I513" s="72"/>
      <c r="J513" s="72"/>
      <c r="K513" s="72"/>
      <c r="L513" s="72"/>
      <c r="M513" s="73">
        <f ca="1">IFERROR(SUM(M501:M512),"")</f>
        <v>6.2500000000000056E-3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593</v>
      </c>
      <c r="G514" s="1">
        <f>G500+G513</f>
        <v>2965</v>
      </c>
      <c r="H514" s="76"/>
      <c r="I514" s="76"/>
      <c r="J514" s="76"/>
      <c r="K514" s="76"/>
      <c r="L514" s="76"/>
      <c r="M514" s="77">
        <f ca="1">IFERROR(M500+M513,"")</f>
        <v>0.11805555555555566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G509" sqref="G50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6.5066319439210929E-2</v>
      </c>
      <c r="R53" s="80" t="s">
        <v>304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0.20395520832809866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0.28867743055032147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25.200000000000003</v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>
        <v>20</v>
      </c>
      <c r="H509" s="88">
        <f>IFERROR(IF($G509="","",$G509*$S$513/$G$513/Cadastro!$E$33),"")</f>
        <v>0</v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97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323.40000000000003</v>
      </c>
      <c r="L513" s="72"/>
      <c r="M513" s="72"/>
      <c r="N513" s="72"/>
      <c r="O513" s="72"/>
      <c r="P513" s="72"/>
      <c r="Q513" s="73">
        <f ca="1">IFERROR(SUM(Q501:Q512),"")</f>
        <v>6.5277777777777643E-2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239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928.60000000000014</v>
      </c>
      <c r="L514" s="76"/>
      <c r="M514" s="76"/>
      <c r="N514" s="76"/>
      <c r="O514" s="76"/>
      <c r="P514" s="76"/>
      <c r="Q514" s="77">
        <f ca="1">IFERROR(Q500+Q513,"")</f>
        <v>0.15694444444444428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G509" sqref="G50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3"/>
        <v>0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>
        <v>10</v>
      </c>
      <c r="H509" s="88">
        <f>IFERROR(IF($G509="","",$G509*$S$513/$G$513/Cadastro!$E$33),"")</f>
        <v>0</v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62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218.4</v>
      </c>
      <c r="L513" s="72"/>
      <c r="M513" s="72"/>
      <c r="N513" s="72"/>
      <c r="O513" s="72"/>
      <c r="P513" s="72"/>
      <c r="Q513" s="73">
        <f ca="1">IFERROR(SUM(Q501:Q512),"")</f>
        <v>0.10277777777777766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134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524.79999999999995</v>
      </c>
      <c r="L514" s="76"/>
      <c r="M514" s="76"/>
      <c r="N514" s="76"/>
      <c r="O514" s="76"/>
      <c r="P514" s="76"/>
      <c r="Q514" s="77">
        <f ca="1">IFERROR(Q500+Q513,"")</f>
        <v>0.1986111111111111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9" activePane="bottomLeft" state="frozen"/>
      <selection pane="bottomLeft" activeCell="D509" sqref="D50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397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138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6.7361111111111233E-2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340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0.15208333333333277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2026-08-20T08:28:45Z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