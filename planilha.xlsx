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555" documentId="8_{AF585B22-221D-4780-BB9C-493D365A6A02}" xr6:coauthVersionLast="47" xr6:coauthVersionMax="47" xr10:uidLastSave="{BEFA87A6-3839-42C0-B4C0-B6A8D193F074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<sst xmlns="http://schemas.openxmlformats.org/spreadsheetml/2006/main" count="8385" uniqueCount="361">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</sst>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activeCellId="1" sqref="G24:G34 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1162570</v>
      </c>
      <c r="D23" s="11">
        <f>IFERROR('Linha 1'!O541,"")</f>
        <v>826410</v>
      </c>
      <c r="E23" s="11">
        <f>IFERROR('Linha 2'!O541,"")</f>
        <v>234850</v>
      </c>
      <c r="F23" s="11">
        <f>IFERROR('Linha 3'!O541,"")</f>
        <v>362510</v>
      </c>
      <c r="G23" s="12">
        <f t="shared" si="0"/>
        <v>1423770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61145011</v>
      </c>
      <c r="D35" s="13">
        <f>IFERROR(SUM(D4:D34),"")</f>
        <v>23219750</v>
      </c>
      <c r="E35" s="13">
        <f>IFERROR(SUM(E4:E34),"")</f>
        <v>13645120</v>
      </c>
      <c r="F35" s="13">
        <f>IFERROR(SUM(F4:F34),"")</f>
        <v>27236870</v>
      </c>
      <c r="G35" s="13">
        <f>IFERROR(SUM(G4:G34),"")</f>
        <v>64101740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96" activePane="bottomLeft" state="frozen"/>
      <selection pane="bottomLeft" activeCell="F530" sqref="F53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/>
      <c r="I529" s="33"/>
      <c r="J529" s="33"/>
      <c r="K529" s="29"/>
      <c r="L529" s="29"/>
      <c r="M529" s="35" t="str">
        <f t="shared" ref="M528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33</v>
      </c>
      <c r="G540" s="36">
        <f>SUM(G528:G539)</f>
        <v>165</v>
      </c>
      <c r="H540" s="37"/>
      <c r="I540" s="37"/>
      <c r="J540" s="37"/>
      <c r="K540" s="37"/>
      <c r="L540" s="37"/>
      <c r="M540" s="38">
        <f ca="1">IFERROR(SUM(M528:M539),"")</f>
        <v>3.3333333333333333E-2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207</v>
      </c>
      <c r="G541" s="40">
        <f>G527+G540</f>
        <v>1035</v>
      </c>
      <c r="H541" s="41"/>
      <c r="I541" s="41"/>
      <c r="J541" s="41"/>
      <c r="K541" s="41"/>
      <c r="L541" s="41"/>
      <c r="M541" s="42">
        <f ca="1">IFERROR(M527+M540,"")</f>
        <v>0.22986111111111107</v>
      </c>
      <c r="N541" s="40" t="s">
        <v>234</v>
      </c>
      <c r="O541" s="48">
        <f>IFERROR(O527+O540,"")</f>
        <v>1162570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02" activePane="bottomLeft" state="frozen"/>
      <selection pane="bottomLeft" activeCell="F530" sqref="F53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259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0.63730937500076834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0.79494826388965723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0.90467048611187939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0.61578159722557757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0.78661493055891096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0.93175381944779989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299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184</v>
      </c>
      <c r="G527" s="36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30</v>
      </c>
      <c r="G540" s="36">
        <f>SUM(G528:G539)</f>
        <v>126</v>
      </c>
      <c r="H540" s="37"/>
      <c r="I540" s="37"/>
      <c r="J540" s="37"/>
      <c r="K540" s="37"/>
      <c r="L540" s="37"/>
      <c r="M540" s="38">
        <f ca="1">IFERROR(SUM(M528:M539),"")</f>
        <v>6.2499999999999778E-3</v>
      </c>
      <c r="N540" s="36" t="s">
        <v>231</v>
      </c>
      <c r="O540" s="77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214</v>
      </c>
      <c r="G541" s="40">
        <f>G527+G540</f>
        <v>898.80000000000007</v>
      </c>
      <c r="H541" s="41"/>
      <c r="I541" s="41"/>
      <c r="J541" s="41"/>
      <c r="K541" s="41"/>
      <c r="L541" s="41"/>
      <c r="M541" s="42">
        <f ca="1">IFERROR(M527+M540,"")</f>
        <v>9.3750000000000056E-2</v>
      </c>
      <c r="N541" s="40" t="s">
        <v>234</v>
      </c>
      <c r="O541" s="83">
        <f>IFERROR(O527+O540,"")</f>
        <v>826410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00" zoomScale="50" zoomScaleNormal="50" workbookViewId="0">
      <selection activeCell="F530" sqref="F53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270</v>
      </c>
      <c r="K141" s="29">
        <v>0.71597222222222223</v>
      </c>
      <c r="L141" s="29" t="s">
        <v>306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308</v>
      </c>
      <c r="N166" s="27" t="s">
        <v>309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/>
      <c r="G530" s="28" t="str">
        <f t="shared" si="117"/>
        <v/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4</v>
      </c>
      <c r="G540" s="36">
        <f>SUM(G528:G539)</f>
        <v>16.8</v>
      </c>
      <c r="H540" s="37"/>
      <c r="I540" s="37"/>
      <c r="J540" s="37"/>
      <c r="K540" s="37"/>
      <c r="L540" s="37"/>
      <c r="M540" s="38">
        <f ca="1">IFERROR(SUM(M528:M539),"")</f>
        <v>2.9861111111111005E-2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55</v>
      </c>
      <c r="G541" s="40">
        <f>G527+G540</f>
        <v>231.00000000000006</v>
      </c>
      <c r="H541" s="41"/>
      <c r="I541" s="41"/>
      <c r="J541" s="41"/>
      <c r="K541" s="41"/>
      <c r="L541" s="41"/>
      <c r="M541" s="42">
        <f ca="1">IFERROR(M527+M540,"")</f>
        <v>0.13402777777777758</v>
      </c>
      <c r="N541" s="40" t="s">
        <v>234</v>
      </c>
      <c r="O541" s="48">
        <f>IFERROR(O527+O540,"")</f>
        <v>234850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505" activePane="bottomLeft" state="frozen"/>
      <selection pane="bottomLeft" activeCell="F530" sqref="F53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73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322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323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324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325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326</v>
      </c>
      <c r="L58" s="29">
        <v>0.54097222222222219</v>
      </c>
      <c r="M58" s="30" t="str">
        <f t="shared" ca="1" si="13"/>
        <v/>
      </c>
      <c r="N58" s="27" t="s">
        <v>327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328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329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330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331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332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333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334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335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0.62758715278323507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0.82689270833879069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1.1942538194499017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336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338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339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340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341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342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343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345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346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347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349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351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338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352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353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354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331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331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358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359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27</v>
      </c>
      <c r="G540" s="36">
        <f>SUM(G528:G539)</f>
        <v>113.4</v>
      </c>
      <c r="H540" s="37"/>
      <c r="I540" s="37"/>
      <c r="J540" s="37"/>
      <c r="K540" s="61"/>
      <c r="L540" s="61"/>
      <c r="M540" s="38">
        <f ca="1">IFERROR(SUM(M528:M539),"")</f>
        <v>4.8611111111110938E-3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107</v>
      </c>
      <c r="G541" s="40">
        <f>G527+G540</f>
        <v>449.40000000000009</v>
      </c>
      <c r="H541" s="41"/>
      <c r="I541" s="41"/>
      <c r="J541" s="41"/>
      <c r="K541" s="63"/>
      <c r="L541" s="63"/>
      <c r="M541" s="42">
        <f ca="1">IFERROR(M527+M540,"")</f>
        <v>0.3166666666666666</v>
      </c>
      <c r="N541" s="40" t="s">
        <v>234</v>
      </c>
      <c r="O541" s="48">
        <f>IFERROR(O527+O540,"")</f>
        <v>362510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2026-07-21T01:03:00Z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