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314" documentId="13_ncr:1_{0A10D8D4-8450-4366-8075-B53B08E6B7EA}" xr6:coauthVersionLast="47" xr6:coauthVersionMax="47" xr10:uidLastSave="{F6FCABC2-399E-46BA-8D70-A4C9635801DF}"/>
  <bookViews>
    <workbookView xWindow="-28920" yWindow="-60" windowWidth="29040" windowHeight="1572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71" i="6"/>
  <c r="J371" i="6" s="1"/>
  <c r="H372" i="6"/>
  <c r="J372" i="6" s="1"/>
  <c r="H373" i="6"/>
  <c r="J373" i="6" s="1"/>
  <c r="H374" i="6"/>
  <c r="J374" i="6" s="1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71" i="5"/>
  <c r="J371" i="5" s="1"/>
  <c r="H372" i="5"/>
  <c r="J372" i="5" s="1"/>
  <c r="H373" i="5"/>
  <c r="J373" i="5" s="1"/>
  <c r="H374" i="5"/>
  <c r="J374" i="5" s="1"/>
  <c r="H375" i="5"/>
  <c r="J375" i="5" s="1"/>
  <c r="H376" i="5"/>
  <c r="J376" i="5" s="1"/>
  <c r="H377" i="5"/>
  <c r="J37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71" i="4"/>
  <c r="J371" i="4" s="1"/>
  <c r="H372" i="4"/>
  <c r="J372" i="4" s="1"/>
  <c r="H373" i="4"/>
  <c r="J373" i="4" s="1"/>
  <c r="H374" i="4"/>
  <c r="J374" i="4" s="1"/>
  <c r="H375" i="4"/>
  <c r="J375" i="4" s="1"/>
  <c r="H376" i="4"/>
  <c r="J376" i="4" s="1"/>
  <c r="H377" i="4"/>
  <c r="J37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H370" i="6" s="1"/>
  <c r="J370" i="6" s="1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H370" i="5" s="1"/>
  <c r="J370" i="5" s="1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H370" i="4" s="1"/>
  <c r="J370" i="4" s="1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68" i="6" l="1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<sst xmlns="http://schemas.openxmlformats.org/spreadsheetml/2006/main" count="6544" uniqueCount="348">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</sst>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M25" sqref="M25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47" activePane="bottomLeft" state="frozen"/>
      <selection pane="bottomLeft" activeCell="F372" sqref="F372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200</v>
      </c>
      <c r="G378" s="36">
        <f>SUM(G366:G377)</f>
        <v>1000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600</v>
      </c>
      <c r="G379" s="40">
        <f>G365+G378</f>
        <v>2966.4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P369" sqref="P36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0.92856886574008968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1.0674577546289785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1.1521799768512009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88.2</v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6"/>
        <v>0</v>
      </c>
      <c r="K370" s="28">
        <f t="shared" si="87"/>
        <v>71.400000000000006</v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68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285.60000000000002</v>
      </c>
      <c r="L378" s="37"/>
      <c r="M378" s="37"/>
      <c r="N378" s="37"/>
      <c r="O378" s="37"/>
      <c r="P378" s="37"/>
      <c r="Q378" s="38">
        <f ca="1">IFERROR(SUM(Q366:Q377),"")</f>
        <v>7.5694444444444592E-2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176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739.2</v>
      </c>
      <c r="L379" s="41"/>
      <c r="M379" s="41"/>
      <c r="N379" s="41"/>
      <c r="O379" s="41"/>
      <c r="P379" s="41"/>
      <c r="Q379" s="42">
        <f ca="1">IFERROR(Q365+Q378,"")</f>
        <v>0.15902777777777785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G371" sqref="G37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4"/>
        <v>0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4"/>
        <v>0</v>
      </c>
      <c r="K369" s="34">
        <f t="shared" si="85"/>
        <v>16.8</v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4"/>
        <v>0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16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67.2</v>
      </c>
      <c r="L378" s="37"/>
      <c r="M378" s="37"/>
      <c r="N378" s="37"/>
      <c r="O378" s="37"/>
      <c r="P378" s="37"/>
      <c r="Q378" s="38">
        <f ca="1">IFERROR(SUM(Q366:Q377),"")</f>
        <v>0.10069444444444453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106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445.2000000000001</v>
      </c>
      <c r="L379" s="41"/>
      <c r="M379" s="41"/>
      <c r="N379" s="41"/>
      <c r="O379" s="41"/>
      <c r="P379" s="41"/>
      <c r="Q379" s="42">
        <f ca="1">IFERROR(Q365+Q378,"")</f>
        <v>0.29583333333333334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41" activePane="bottomLeft" state="frozen"/>
      <selection pane="bottomLeft" activeCell="N368" sqref="N36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71.400000000000006</v>
      </c>
      <c r="L369" s="33" t="s">
        <v>27</v>
      </c>
      <c r="M369" s="33" t="s">
        <v>60</v>
      </c>
      <c r="N369" s="33" t="s">
        <v>70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6"/>
        <v>0</v>
      </c>
      <c r="K370" s="28">
        <f t="shared" si="87"/>
        <v>88.2</v>
      </c>
      <c r="L370" s="26" t="s">
        <v>27</v>
      </c>
      <c r="M370" s="26" t="s">
        <v>65</v>
      </c>
      <c r="N370" s="26" t="s">
        <v>70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100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419.99999999999994</v>
      </c>
      <c r="L378" s="37"/>
      <c r="M378" s="37"/>
      <c r="N378" s="37"/>
      <c r="O378" s="61"/>
      <c r="P378" s="61"/>
      <c r="Q378" s="38">
        <f ca="1">IFERROR(SUM(Q366:Q377),"")</f>
        <v>5.763888888888892E-2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296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1243.2</v>
      </c>
      <c r="L379" s="41"/>
      <c r="M379" s="41"/>
      <c r="N379" s="41"/>
      <c r="O379" s="63"/>
      <c r="P379" s="63"/>
      <c r="Q379" s="42">
        <f ca="1">IFERROR(Q365+Q378,"")</f>
        <v>0.1756944444444446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2026-08-15T05:12:38Z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