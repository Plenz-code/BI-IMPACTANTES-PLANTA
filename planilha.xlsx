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05" documentId="8_{AF585B22-221D-4780-BB9C-493D365A6A02}" xr6:coauthVersionLast="47" xr6:coauthVersionMax="47" xr10:uidLastSave="{65083CAA-07A1-4E37-AEB0-11524D4E18B4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<sst xmlns="http://schemas.openxmlformats.org/spreadsheetml/2006/main" count="12499" uniqueCount="443">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</sst>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10" activePane="bottomLeft" state="frozen"/>
      <selection pane="bottomLeft" activeCell="E827" sqref="E8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</v>
      </c>
      <c r="G837" s="109">
        <f>SUM(G825:G836)</f>
        <v>130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159</v>
      </c>
      <c r="G838" s="111">
        <f>G824+G837</f>
        <v>130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04" activePane="bottomLeft" state="frozen"/>
      <selection pane="bottomLeft" activeCell="E826" sqref="E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0.63410543981444789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0.79174432870333677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0.90146655092555894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0.61257766203925712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0.78341099537259051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0.92854988426147944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35</v>
      </c>
      <c r="G837" s="109">
        <f>SUM(G825:G836)</f>
        <v>159.80000000000001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204</v>
      </c>
      <c r="G838" s="111">
        <f>G824+G837</f>
        <v>869.60000000000014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E826" sqref="E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18</v>
      </c>
      <c r="G837" s="109">
        <f>SUM(G825:G836)</f>
        <v>84.4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113</v>
      </c>
      <c r="G838" s="111">
        <f>G824+G837</f>
        <v>483.4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E826" sqref="E8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0.62438321759691462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0.82368877315247024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1.1910498842635813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/>
      <c r="G826" s="104" t="str">
        <f>IF(F826="","",IF(E826="PC 17",F826*4.2,IF(E826="PC 19",F826*5,"")))</f>
        <v/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/>
      <c r="M826" s="78">
        <f ca="1">IFERROR(IF(K826="","",IF(L826="",MOD(NOW()-K826,1),IF(L826&gt;=K826,L826-K826,L826+1-K826))),"")</f>
        <v>3.5498842626111582E-3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</v>
      </c>
      <c r="G837" s="109">
        <f>SUM(G825:G836)</f>
        <v>42</v>
      </c>
      <c r="H837" s="37"/>
      <c r="I837" s="37"/>
      <c r="J837" s="37"/>
      <c r="K837" s="37"/>
      <c r="L837" s="37"/>
      <c r="M837" s="110">
        <f ca="1">IFERROR(SUM(M825:M836),"")</f>
        <v>4.2443287070556002E-3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129</v>
      </c>
      <c r="G838" s="111">
        <f>G824+G837</f>
        <v>541.80000000000007</v>
      </c>
      <c r="H838" s="41"/>
      <c r="I838" s="41"/>
      <c r="J838" s="41"/>
      <c r="K838" s="41"/>
      <c r="L838" s="41"/>
      <c r="M838" s="112">
        <f ca="1">IFERROR(M824+M837,"")</f>
        <v>0.12021655092927774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2026-08-01T00:58:32Z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