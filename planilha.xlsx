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341" documentId="8_{AF585B22-221D-4780-BB9C-493D365A6A02}" xr6:coauthVersionLast="47" xr6:coauthVersionMax="47" xr10:uidLastSave="{687ED166-99D7-4DFA-92F7-EC400ECE6F04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<sst xmlns="http://schemas.openxmlformats.org/spreadsheetml/2006/main" count="8966" uniqueCount="375">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</sst>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5" sqref="G25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64593351</v>
      </c>
      <c r="D35" s="13">
        <f>IFERROR(SUM(D4:D34),"")</f>
        <v>25494250</v>
      </c>
      <c r="E35" s="13">
        <f>IFERROR(SUM(E4:E34),"")</f>
        <v>14327890</v>
      </c>
      <c r="F35" s="13">
        <f>IFERROR(SUM(F4:F34),"")</f>
        <v>28724440</v>
      </c>
      <c r="G35" s="13">
        <f>IFERROR(SUM(G4:G34),"")</f>
        <v>68546580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49" activePane="bottomLeft" state="frozen"/>
      <selection pane="bottomLeft" activeCell="E569" sqref="E56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228</v>
      </c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4.8611111111111105E-2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4.8611111111111105E-2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50" activePane="bottomLeft" state="frozen"/>
      <selection pane="bottomLeft" activeCell="F575" sqref="F5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0.31454918981035007</v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0.47218807869923896</v>
      </c>
      <c r="N378" s="36" t="s">
        <v>231</v>
      </c>
      <c r="O378" s="77">
        <v>511980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0.58191030092146112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0.2930214120351593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0.46385474536849269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0.60899363425738162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131</v>
      </c>
      <c r="G581" s="36">
        <f>SUM(G569:G580)</f>
        <v>550.20000000000005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131</v>
      </c>
      <c r="G595" s="40">
        <f>G581+G594</f>
        <v>550.20000000000005</v>
      </c>
      <c r="H595" s="41"/>
      <c r="I595" s="41"/>
      <c r="J595" s="41"/>
      <c r="K595" s="41"/>
      <c r="L595" s="41"/>
      <c r="M595" s="42">
        <f ca="1">IFERROR(M581+M594,"")</f>
        <v>2.2916666666666696E-2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63" zoomScale="50" zoomScaleNormal="50" workbookViewId="0">
      <selection activeCell="F575" sqref="F5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329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19</v>
      </c>
      <c r="G581" s="36">
        <f>SUM(G569:G580)</f>
        <v>79.800000000000011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19</v>
      </c>
      <c r="G595" s="40">
        <f>G581+G594</f>
        <v>79.800000000000011</v>
      </c>
      <c r="H595" s="41"/>
      <c r="I595" s="41"/>
      <c r="J595" s="41"/>
      <c r="K595" s="41"/>
      <c r="L595" s="41"/>
      <c r="M595" s="42">
        <f ca="1">IFERROR(M581+M594,"")</f>
        <v>4.3055555555555569E-2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49" activePane="bottomLeft" state="frozen"/>
      <selection pane="bottomLeft" activeCell="N570" sqref="N5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335</v>
      </c>
      <c r="L58" s="29">
        <v>0.54097222222222219</v>
      </c>
      <c r="M58" s="30" t="str">
        <f t="shared" ca="1" si="13"/>
        <v/>
      </c>
      <c r="N58" s="27" t="s">
        <v>336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0.3048269675928168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0.50413252314837242</v>
      </c>
      <c r="N135" s="36" t="s">
        <v>231</v>
      </c>
      <c r="O135" s="39">
        <v>729290</v>
      </c>
    </row>
    <row r="136" spans="1:18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0.87149363425948345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230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/>
      <c r="M569" s="35">
        <f t="shared" ref="M569:M574" ca="1" si="127">IFERROR(IF(K569="","",IF(L569="",MOD(NOW()-K569,1),IF(L569&gt;=K569,L569-K569,L569+1-K569))),"")</f>
        <v>0.26246585648186738</v>
      </c>
      <c r="N569" s="27" t="s">
        <v>374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0.26246585648186738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0.26246585648186738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2026-07-22T17:18:28Z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