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428" documentId="8_{AF585B22-221D-4780-BB9C-493D365A6A02}" xr6:coauthVersionLast="47" xr6:coauthVersionMax="47" xr10:uidLastSave="{32BD3B5E-7016-408C-8173-DEC9C7D11900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98" i="3" l="1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<sst xmlns="http://schemas.openxmlformats.org/spreadsheetml/2006/main" count="12145" uniqueCount="437">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</sst>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1" activePane="bottomLeft" state="frozen"/>
      <selection pane="bottomLeft" activeCell="F801" sqref="F8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0.1532657407442457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0.19632129629980122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15</v>
      </c>
      <c r="G800" s="28">
        <f t="shared" si="176"/>
        <v>75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/>
      <c r="G801" s="28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/>
      <c r="G802" s="28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76</v>
      </c>
      <c r="G810" s="36">
        <f>SUM(G798:G809)</f>
        <v>359.2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367</v>
      </c>
      <c r="G811" s="40">
        <f>G797+G810</f>
        <v>359.2</v>
      </c>
      <c r="H811" s="41"/>
      <c r="I811" s="41"/>
      <c r="J811" s="41"/>
      <c r="K811" s="41"/>
      <c r="L811" s="41"/>
      <c r="M811" s="42">
        <f ca="1">IFERROR(M797+M810,"")</f>
        <v>0.19632129629980122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 G797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71" activePane="bottomLeft" state="frozen"/>
      <selection pane="bottomLeft" activeCell="F801" sqref="F8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0.66715462962747552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0.8247935185163644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0.93451574073858656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0.64562685185228474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0.81646018518561814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0.96159907407450707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19</v>
      </c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50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204</v>
      </c>
      <c r="G811" s="40">
        <f>G797+G810</f>
        <v>652.4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F800" sqref="F8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28"/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/>
      <c r="M798" s="30">
        <f t="shared" ref="M798:M809" ca="1" si="177">IFERROR(IF(K798="","",IF(L798="",MOD(NOW()-K798,1),IF(L798&gt;=K798,L798-K798,L798+1-K798))),"")</f>
        <v>3.9601851822226308E-3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</v>
      </c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9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3.9601851822226308E-3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103</v>
      </c>
      <c r="G811" s="40">
        <f>G797+G810</f>
        <v>400.4</v>
      </c>
      <c r="H811" s="41"/>
      <c r="I811" s="41"/>
      <c r="J811" s="41"/>
      <c r="K811" s="41"/>
      <c r="L811" s="41"/>
      <c r="M811" s="42">
        <f ca="1">IFERROR(M797+M810,"")</f>
        <v>0.10673796296000032</v>
      </c>
      <c r="N811" s="40" t="s">
        <v>239</v>
      </c>
      <c r="O811" s="43">
        <f>IFERROR(O797+O810,"")</f>
        <v>419450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F801" sqref="F80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0.65743240740994224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0.85673796296549787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1.2240990740766089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28"/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11</v>
      </c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11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0.10416666666666674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33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0.55347222222222214</v>
      </c>
      <c r="N811" s="40" t="s">
        <v>239</v>
      </c>
      <c r="O811" s="43">
        <f>IFERROR(O797+O810,"")</f>
        <v>99040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2026-07-31T01:46:14Z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