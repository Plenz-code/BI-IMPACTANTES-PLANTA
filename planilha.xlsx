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701" documentId="8_{AF585B22-221D-4780-BB9C-493D365A6A02}" xr6:coauthVersionLast="47" xr6:coauthVersionMax="47" xr10:uidLastSave="{CDFF3C23-9B5C-46A6-AA9B-327EEB846BB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<sst xmlns="http://schemas.openxmlformats.org/spreadsheetml/2006/main" count="10894" uniqueCount="406">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</sst>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E728" sqref="E7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303</v>
      </c>
      <c r="G730" s="40">
        <f>G716+G729</f>
        <v>1515</v>
      </c>
      <c r="H730" s="41"/>
      <c r="I730" s="41"/>
      <c r="J730" s="41"/>
      <c r="K730" s="41"/>
      <c r="L730" s="41"/>
      <c r="M730" s="42">
        <f ca="1">IFERROR(M716+M729,"")</f>
        <v>8.9583333333333237E-2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03" activePane="bottomLeft" state="frozen"/>
      <selection pane="bottomLeft" activeCell="J717" sqref="J7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0.59130694444320397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0.74894583333209286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0.85866805555431502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0.5697791666680132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0.7406125000013466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0.88575138889023552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/>
      <c r="G717" s="34" t="str">
        <f t="shared" ref="G717:G728" si="159">IF(F717="","",IF(E717="PC 17",F717*4.2,IF(E717="PC 19",F717*5,"")))</f>
        <v/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/>
      <c r="M717" s="35">
        <f t="shared" ref="M717:M728" ca="1" si="160">IFERROR(IF(K717="","",IF(L717="",MOD(NOW()-K717,1),IF(L717&gt;=K717,L717-K717,L717+1-K717))),"")</f>
        <v>0.51144583333370974</v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0.51144583333370974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117</v>
      </c>
      <c r="G730" s="40">
        <f>G716+G729</f>
        <v>491.40000000000003</v>
      </c>
      <c r="H730" s="41"/>
      <c r="I730" s="41"/>
      <c r="J730" s="41"/>
      <c r="K730" s="41"/>
      <c r="L730" s="41"/>
      <c r="M730" s="42">
        <f ca="1">IFERROR(M716+M729,"")</f>
        <v>0.8051958333337097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02" zoomScale="50" zoomScaleNormal="50" workbookViewId="0">
      <selection activeCell="J717" sqref="J7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334</v>
      </c>
      <c r="N166" s="27" t="s">
        <v>335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/>
      <c r="G717" s="34" t="str">
        <f t="shared" ref="G717:G728" si="159">IF(F717="","",IF(E717="PC 17",F717*4.2,IF(E717="PC 19",F717*5,"")))</f>
        <v/>
      </c>
      <c r="H717" s="33" t="s">
        <v>20</v>
      </c>
      <c r="I717" s="33" t="s">
        <v>121</v>
      </c>
      <c r="J717" s="33" t="s">
        <v>113</v>
      </c>
      <c r="K717" s="29">
        <v>0.31944444444444442</v>
      </c>
      <c r="L717" s="29"/>
      <c r="M717" s="35">
        <f t="shared" ref="M717:M728" ca="1" si="160">IFERROR(IF(K717="","",IF(L717="",MOD(NOW()-K717,1),IF(L717&gt;=K717,L717-K717,L717+1-K717))),"")</f>
        <v>0.51144583333370974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258</v>
      </c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0.51144583333370974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76</v>
      </c>
      <c r="G730" s="40">
        <f>G716+G729</f>
        <v>319.2</v>
      </c>
      <c r="H730" s="41"/>
      <c r="I730" s="41"/>
      <c r="J730" s="41"/>
      <c r="K730" s="41"/>
      <c r="L730" s="41"/>
      <c r="M730" s="42">
        <f ca="1">IFERROR(M716+M729,"")</f>
        <v>0.61491805555593193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O717" sqref="O7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360</v>
      </c>
      <c r="L58" s="29">
        <v>0.54097222222222219</v>
      </c>
      <c r="M58" s="30" t="str">
        <f t="shared" ca="1" si="13"/>
        <v/>
      </c>
      <c r="N58" s="27" t="s">
        <v>361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0.5815847222256707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0.78089027778122633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1.1482513888923374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132</v>
      </c>
      <c r="G730" s="40">
        <f>G716+G729</f>
        <v>554.40000000000009</v>
      </c>
      <c r="H730" s="41"/>
      <c r="I730" s="41"/>
      <c r="J730" s="41"/>
      <c r="K730" s="63"/>
      <c r="L730" s="63"/>
      <c r="M730" s="42">
        <f ca="1">IFERROR(M716+M729,"")</f>
        <v>0.20624999999999999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2026-07-27T23:56:32Z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