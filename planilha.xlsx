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706" documentId="13_ncr:1_{0A10D8D4-8450-4366-8075-B53B08E6B7EA}" xr6:coauthVersionLast="47" xr6:coauthVersionMax="47" xr10:uidLastSave="{289EE112-BD8E-4717-8D43-CF208DD055B5}"/>
  <bookViews>
    <workbookView xWindow="-28920" yWindow="-6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T405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90" i="5" l="1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<sst xmlns="http://schemas.openxmlformats.org/spreadsheetml/2006/main" count="6753" uniqueCount="351">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</sst>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0</v>
      </c>
      <c r="G18" s="9">
        <f>IFERROR(D18+E18+F18,"")</f>
        <v>1299940</v>
      </c>
      <c r="H18" s="96">
        <f>IFERROR('Linha 1'!T406+'Linha 2'!T406+'Linha 3'!T406,0)</f>
        <v>263.52901156626501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21843810</v>
      </c>
      <c r="G35" s="13">
        <f t="shared" si="2"/>
        <v>48262600</v>
      </c>
      <c r="H35" s="97">
        <f t="shared" si="2"/>
        <v>2617.1470331065752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56" activePane="bottomLeft" state="frozen"/>
      <selection pane="bottomLeft" activeCell="O393" sqref="O393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243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6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0">
        <f>E392+E405</f>
        <v>0</v>
      </c>
      <c r="F406" s="40">
        <f>F392+F405</f>
        <v>280</v>
      </c>
      <c r="G406" s="40">
        <f>G392+G405</f>
        <v>1415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4" t="s">
        <v>247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55" activePane="bottomLeft" state="frozen"/>
      <selection pane="bottomLeft" activeCell="S393" sqref="S39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0.66369849536567926</v>
      </c>
      <c r="R53" s="46" t="s">
        <v>278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0.8025873842545681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0.88730960647679047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280</v>
      </c>
      <c r="Q96" s="30" t="str">
        <f t="shared" ref="Q96:Q107" ca="1" si="22">IFERROR(IF(O96="","",IF(P96="",MOD(NOW()-O96,1),IF(P96&gt;=O96,P96-O96,P96+1-O96))),"")</f>
        <v/>
      </c>
      <c r="R96" s="46" t="s">
        <v>281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243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279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166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697.20000000000016</v>
      </c>
      <c r="L406" s="41"/>
      <c r="M406" s="41"/>
      <c r="N406" s="41"/>
      <c r="O406" s="41"/>
      <c r="P406" s="41"/>
      <c r="Q406" s="42">
        <f ca="1">IFERROR(Q392+Q405,"")</f>
        <v>7.2222222222222188E-2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50" activePane="bottomLeft" state="frozen"/>
      <selection pane="bottomLeft" activeCell="S393" sqref="S39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279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319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92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357</v>
      </c>
      <c r="L406" s="41"/>
      <c r="M406" s="41"/>
      <c r="N406" s="41"/>
      <c r="O406" s="41"/>
      <c r="P406" s="41"/>
      <c r="Q406" s="42">
        <f ca="1">IFERROR(Q392+Q405,"")</f>
        <v>7.3611111111111183E-2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53" activePane="bottomLeft" state="frozen"/>
      <selection pane="bottomLeft" activeCell="G392" sqref="G392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279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343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90"/>
        <v>0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90"/>
        <v>0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90"/>
        <v>0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0.15744849536713446</v>
      </c>
      <c r="R385" s="27" t="s">
        <v>350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0</v>
      </c>
      <c r="I386" s="135">
        <f>IFERROR(IF($D386="","",VLOOKUP($D386,Cadastro!$C$4:$G$7,5,FALSE)),"")</f>
        <v>0.6</v>
      </c>
      <c r="J386" s="136">
        <f t="shared" si="90"/>
        <v>0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0</v>
      </c>
      <c r="I387" s="135">
        <f>IFERROR(IF($D387="","",VLOOKUP($D387,Cadastro!$C$4:$G$7,5,FALSE)),"")</f>
        <v>0.6</v>
      </c>
      <c r="J387" s="136">
        <f t="shared" si="90"/>
        <v>0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0</v>
      </c>
      <c r="I388" s="135">
        <f>IFERROR(IF($D388="","",VLOOKUP($D388,Cadastro!$C$4:$G$7,5,FALSE)),"")</f>
        <v>0.6</v>
      </c>
      <c r="J388" s="136">
        <f t="shared" si="90"/>
        <v>0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0</v>
      </c>
      <c r="I389" s="135">
        <f>IFERROR(IF($D389="","",VLOOKUP($D389,Cadastro!$C$4:$G$7,5,FALSE)),"")</f>
        <v>0.6</v>
      </c>
      <c r="J389" s="136">
        <f t="shared" si="90"/>
        <v>0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0</v>
      </c>
      <c r="I390" s="135">
        <f>IFERROR(IF($D390="","",VLOOKUP($D390,Cadastro!$C$4:$G$7,5,FALSE)),"")</f>
        <v>0.6</v>
      </c>
      <c r="J390" s="136">
        <f t="shared" si="90"/>
        <v>0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0</v>
      </c>
      <c r="I391" s="138">
        <f>IFERROR(IF($D391="","",VLOOKUP($D391,Cadastro!$C$4:$G$7,5,FALSE)),"")</f>
        <v>0.6</v>
      </c>
      <c r="J391" s="139">
        <f t="shared" si="90"/>
        <v>0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0.22203182870046773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140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588</v>
      </c>
      <c r="L406" s="41"/>
      <c r="M406" s="41"/>
      <c r="N406" s="41"/>
      <c r="O406" s="63"/>
      <c r="P406" s="63"/>
      <c r="Q406" s="42">
        <f ca="1">IFERROR(Q392+Q405,"")</f>
        <v>0.22203182870046773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2026-08-15T22:51:14Z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