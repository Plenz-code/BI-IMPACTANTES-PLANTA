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91" documentId="13_ncr:1_{0A10D8D4-8450-4366-8075-B53B08E6B7EA}" xr6:coauthVersionLast="47" xr6:coauthVersionMax="47" xr10:uidLastSave="{1DE5593F-31C0-4D62-A3DC-CD2063A71F68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7" i="6" l="1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<sst xmlns="http://schemas.openxmlformats.org/spreadsheetml/2006/main" count="6929" uniqueCount="352">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</sst>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7" activePane="bottomLeft" state="frozen"/>
      <selection pane="bottomLeft" activeCell="F399" sqref="F39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243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76">
        <f>SUM(E393:E404)</f>
        <v>0</v>
      </c>
      <c r="F405" s="36">
        <f>SUM(F393:F404)</f>
        <v>185</v>
      </c>
      <c r="G405" s="36">
        <f>SUM(G393:G404)</f>
        <v>925</v>
      </c>
      <c r="H405" s="37"/>
      <c r="I405" s="37"/>
      <c r="J405" s="37"/>
      <c r="K405" s="37"/>
      <c r="L405" s="37"/>
      <c r="M405" s="38">
        <f ca="1">IFERROR(SUM(M393:M404),"")</f>
        <v>4.4444444444444509E-2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5">
        <f>E392+E405</f>
        <v>0</v>
      </c>
      <c r="F406" s="40">
        <f>F392+F405</f>
        <v>465</v>
      </c>
      <c r="G406" s="40">
        <f>G392+G405</f>
        <v>2340</v>
      </c>
      <c r="H406" s="41"/>
      <c r="I406" s="41"/>
      <c r="J406" s="41"/>
      <c r="K406" s="41"/>
      <c r="L406" s="41"/>
      <c r="M406" s="42">
        <f ca="1">IFERROR(M392+M405,"")</f>
        <v>4.4444444444444509E-2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2" t="s">
        <v>247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75" activePane="bottomLeft" state="frozen"/>
      <selection pane="bottomLeft" activeCell="N397" sqref="N39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0.93830081017949851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1.0771896990683874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1.1619119212906097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243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/>
      <c r="Q397" s="35">
        <f t="shared" ca="1" si="96"/>
        <v>2.1896990729146637E-3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25.200000000000003</v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103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432.59999999999997</v>
      </c>
      <c r="L405" s="37"/>
      <c r="M405" s="37"/>
      <c r="N405" s="37"/>
      <c r="O405" s="37"/>
      <c r="P405" s="37"/>
      <c r="Q405" s="38">
        <f ca="1">IFERROR(SUM(Q393:Q404),"")</f>
        <v>7.718969907291473E-2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269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1129.8000000000002</v>
      </c>
      <c r="L406" s="41"/>
      <c r="M406" s="41"/>
      <c r="N406" s="41"/>
      <c r="O406" s="41"/>
      <c r="P406" s="41"/>
      <c r="Q406" s="42">
        <f ca="1">IFERROR(Q392+Q405,"")</f>
        <v>0.14941192129513692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9" sqref="G39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304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305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304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304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306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307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308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309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310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311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312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313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314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315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316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317</v>
      </c>
      <c r="Q222" s="30" t="str">
        <f t="shared" ca="1" si="49"/>
        <v/>
      </c>
      <c r="R222" s="27" t="s">
        <v>318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319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320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321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2"/>
        <v>0</v>
      </c>
      <c r="K395" s="34">
        <f t="shared" si="93"/>
        <v>25.200000000000003</v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2"/>
        <v>0</v>
      </c>
      <c r="K396" s="28">
        <f t="shared" si="93"/>
        <v>29.400000000000002</v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2"/>
        <v>0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2"/>
        <v>0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69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289.80000000000007</v>
      </c>
      <c r="L405" s="37"/>
      <c r="M405" s="37"/>
      <c r="N405" s="37"/>
      <c r="O405" s="37"/>
      <c r="P405" s="37"/>
      <c r="Q405" s="38">
        <f ca="1">IFERROR(SUM(Q393:Q404),"")</f>
        <v>2.0138888888888817E-2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161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646.80000000000007</v>
      </c>
      <c r="L406" s="41"/>
      <c r="M406" s="41"/>
      <c r="N406" s="41"/>
      <c r="O406" s="41"/>
      <c r="P406" s="41"/>
      <c r="Q406" s="42">
        <f ca="1">IFERROR(Q392+Q405,"")</f>
        <v>9.375E-2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66" activePane="bottomLeft" state="frozen"/>
      <selection pane="bottomLeft" activeCell="N394" sqref="N394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304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304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304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304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0.4320508101809537</v>
      </c>
      <c r="R385" s="27" t="s">
        <v>351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0.49663414351428697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/>
      <c r="Q394" s="30">
        <f t="shared" ca="1" si="96"/>
        <v>7.0508101853192784E-3</v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0</v>
      </c>
      <c r="I395" s="135">
        <f>IFERROR(IF($D395="","",VLOOKUP($D395,Cadastro!$C$4:$G$7,5,FALSE)),"")</f>
        <v>0.6</v>
      </c>
      <c r="J395" s="136">
        <f t="shared" si="94"/>
        <v>0</v>
      </c>
      <c r="K395" s="34">
        <f t="shared" si="95"/>
        <v>100.80000000000001</v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0</v>
      </c>
      <c r="I396" s="135">
        <f>IFERROR(IF($D396="","",VLOOKUP($D396,Cadastro!$C$4:$G$7,5,FALSE)),"")</f>
        <v>0.6</v>
      </c>
      <c r="J396" s="136">
        <f t="shared" si="94"/>
        <v>0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0</v>
      </c>
      <c r="I397" s="135">
        <f>IFERROR(IF($D397="","",VLOOKUP($D397,Cadastro!$C$4:$G$7,5,FALSE)),"")</f>
        <v>0.6</v>
      </c>
      <c r="J397" s="136">
        <f t="shared" si="94"/>
        <v>0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0</v>
      </c>
      <c r="I398" s="135">
        <f>IFERROR(IF($D398="","",VLOOKUP($D398,Cadastro!$C$4:$G$7,5,FALSE)),"")</f>
        <v>0.6</v>
      </c>
      <c r="J398" s="136">
        <f t="shared" si="94"/>
        <v>0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529.20000000000005</v>
      </c>
      <c r="L405" s="37"/>
      <c r="M405" s="37"/>
      <c r="N405" s="37"/>
      <c r="O405" s="61"/>
      <c r="P405" s="61"/>
      <c r="Q405" s="38">
        <f ca="1">IFERROR(SUM(Q393:Q404),"")</f>
        <v>2.7189699074208207E-2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266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1117.2</v>
      </c>
      <c r="L406" s="41"/>
      <c r="M406" s="41"/>
      <c r="N406" s="41"/>
      <c r="O406" s="63"/>
      <c r="P406" s="63"/>
      <c r="Q406" s="42">
        <f ca="1">IFERROR(Q392+Q405,"")</f>
        <v>0.52382384258849513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2026-08-16T05:26:42Z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