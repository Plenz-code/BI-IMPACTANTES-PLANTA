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94" documentId="8_{AF585B22-221D-4780-BB9C-493D365A6A02}" xr6:coauthVersionLast="47" xr6:coauthVersionMax="47" xr10:uidLastSave="{FB96BA95-8081-4EDC-BD1B-DE9EC580A13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<sst xmlns="http://schemas.openxmlformats.org/spreadsheetml/2006/main" count="12115" uniqueCount="437">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</sst>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0.13123472222650889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0.17429027778206441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284.2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352</v>
      </c>
      <c r="G811" s="40">
        <f>G797+G810</f>
        <v>284.2</v>
      </c>
      <c r="H811" s="41"/>
      <c r="I811" s="41"/>
      <c r="J811" s="41"/>
      <c r="K811" s="41"/>
      <c r="L811" s="41"/>
      <c r="M811" s="42">
        <f ca="1">IFERROR(M797+M810,"")</f>
        <v>0.17429027778206441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0.6451236111097387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0.80276249999862759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0.91248472222084975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0.62359583333454793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0.79442916666788133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0.93956805555677025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185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100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K799" sqref="K7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0.63540138889220543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0.83470694444776106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1.2020680555588721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/>
      <c r="E798" s="59"/>
      <c r="F798" s="27"/>
      <c r="G798" s="28"/>
      <c r="H798" s="26"/>
      <c r="I798" s="26"/>
      <c r="J798" s="26"/>
      <c r="K798" s="29">
        <v>0.79166666666666663</v>
      </c>
      <c r="L798" s="29"/>
      <c r="M798" s="30">
        <f t="shared" ref="M798:M809" ca="1" si="177">IFERROR(IF(K798="","",IF(L798="",MOD(NOW()-K798,1),IF(L798&gt;=K798,L798-K798,L798+1-K798))),"")</f>
        <v>9.3040277781256009E-2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9.3040277781256009E-2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0.54234583333681141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2026-07-31T01:14:01Z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