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08" documentId="8_{AF585B22-221D-4780-BB9C-493D365A6A02}" xr6:coauthVersionLast="47" xr6:coauthVersionMax="47" xr10:uidLastSave="{0C24C71D-9C59-4085-9376-2726E09A094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<sst xmlns="http://schemas.openxmlformats.org/spreadsheetml/2006/main" count="5728" uniqueCount="311">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</sst>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9" activePane="bottomLeft" state="frozen"/>
      <selection pane="bottomLeft" activeCell="L343" sqref="L3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50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355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100</v>
      </c>
      <c r="G351" s="36">
        <f>SUM(G339:G350)</f>
        <v>420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297</v>
      </c>
      <c r="G352" s="40">
        <f>G338+G351</f>
        <v>1257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83</v>
      </c>
      <c r="G351" s="36">
        <f>SUM(G339:G350)</f>
        <v>348.6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123</v>
      </c>
      <c r="G352" s="40">
        <f>G338+G351</f>
        <v>516.6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K347" sqref="K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0.95407928241183981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1.1533848379673954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1.5207459490785065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/>
      <c r="I346" s="26"/>
      <c r="J346" s="26"/>
      <c r="K346" s="29">
        <v>0.20277777777777778</v>
      </c>
      <c r="L346" s="29"/>
      <c r="M346" s="30">
        <f t="shared" ca="1" si="76"/>
        <v>6.0706018848577514E-4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135</v>
      </c>
      <c r="G351" s="36">
        <f>SUM(G339:G350)</f>
        <v>567</v>
      </c>
      <c r="H351" s="37"/>
      <c r="I351" s="37"/>
      <c r="J351" s="37"/>
      <c r="K351" s="61"/>
      <c r="L351" s="61"/>
      <c r="M351" s="38">
        <f ca="1">IFERROR(SUM(M339:M350),"")</f>
        <v>4.5745949077374615E-2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318</v>
      </c>
      <c r="G352" s="40">
        <f>G338+G351</f>
        <v>1347.6</v>
      </c>
      <c r="H352" s="41"/>
      <c r="I352" s="41"/>
      <c r="J352" s="41"/>
      <c r="K352" s="63"/>
      <c r="L352" s="63"/>
      <c r="M352" s="42">
        <f ca="1">IFERROR(M338+M351,"")</f>
        <v>0.15477372685515234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2026-07-14T08:53:25Z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