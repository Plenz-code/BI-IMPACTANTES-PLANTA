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54" documentId="13_ncr:1_{0A10D8D4-8450-4366-8075-B53B08E6B7EA}" xr6:coauthVersionLast="47" xr6:coauthVersionMax="47" xr10:uidLastSave="{1C0487D7-6290-44CC-A4E9-59D02D8BE504}"/>
  <bookViews>
    <workbookView xWindow="-120" yWindow="-12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3" i="6" s="1"/>
  <c r="J453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53" i="5" s="1"/>
  <c r="J453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53" i="4" s="1"/>
  <c r="J453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1" i="6" l="1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<sst xmlns="http://schemas.openxmlformats.org/spreadsheetml/2006/main" count="7744" uniqueCount="372">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</sst>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26" activePane="bottomLeft" state="frozen"/>
      <selection pane="bottomLeft" activeCell="F454" sqref="F45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222</v>
      </c>
      <c r="G459" s="36">
        <f>SUM(G447:G458)</f>
        <v>1110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390</v>
      </c>
      <c r="G460" s="40">
        <f>G446+G459</f>
        <v>1950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4" sqref="G454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0.96180335647659376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1.1006922453654826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1.185414467587705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/>
      <c r="Q452" s="30">
        <f t="shared" ca="1" si="112"/>
        <v>1.3886689812352415E-2</v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87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375.80000000000007</v>
      </c>
      <c r="L459" s="37"/>
      <c r="M459" s="37"/>
      <c r="N459" s="37"/>
      <c r="O459" s="37"/>
      <c r="P459" s="37"/>
      <c r="Q459" s="38">
        <f ca="1">IFERROR(SUM(Q447:Q458),"")</f>
        <v>4.6525578701241216E-2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199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846.2</v>
      </c>
      <c r="L460" s="41"/>
      <c r="M460" s="41"/>
      <c r="N460" s="41"/>
      <c r="O460" s="41"/>
      <c r="P460" s="41"/>
      <c r="Q460" s="42">
        <f ca="1">IFERROR(Q446+Q459,"")</f>
        <v>0.11388668981235242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4" sqref="G4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329</v>
      </c>
      <c r="Q222" s="30" t="str">
        <f t="shared" ca="1" si="49"/>
        <v/>
      </c>
      <c r="R222" s="27" t="s">
        <v>330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336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336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337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69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289.79999999999995</v>
      </c>
      <c r="L459" s="37"/>
      <c r="M459" s="37"/>
      <c r="N459" s="37"/>
      <c r="O459" s="37"/>
      <c r="P459" s="37"/>
      <c r="Q459" s="38">
        <f ca="1">IFERROR(SUM(Q447:Q458),"")</f>
        <v>3.9583333333333283E-2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154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646.79999999999995</v>
      </c>
      <c r="L460" s="41"/>
      <c r="M460" s="41"/>
      <c r="N460" s="41"/>
      <c r="O460" s="41"/>
      <c r="P460" s="41"/>
      <c r="Q460" s="42">
        <f ca="1">IFERROR(Q446+Q459,"")</f>
        <v>8.4722222222222171E-2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G454" sqref="G45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371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149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625.79999999999995</v>
      </c>
      <c r="L459" s="37"/>
      <c r="M459" s="37"/>
      <c r="N459" s="37"/>
      <c r="O459" s="61"/>
      <c r="P459" s="61"/>
      <c r="Q459" s="38">
        <f ca="1">IFERROR(SUM(Q447:Q458),"")</f>
        <v>6.1111111111111137E-2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332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1394.4</v>
      </c>
      <c r="L460" s="41"/>
      <c r="M460" s="41"/>
      <c r="N460" s="41"/>
      <c r="O460" s="63"/>
      <c r="P460" s="63"/>
      <c r="Q460" s="42">
        <f ca="1">IFERROR(Q446+Q459,"")</f>
        <v>9.7222222222222238E-2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2026-08-18T06:00:34Z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