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71" documentId="8_{AF585B22-221D-4780-BB9C-493D365A6A02}" xr6:coauthVersionLast="47" xr6:coauthVersionMax="47" xr10:uidLastSave="{E9154506-B85C-46C1-AE61-E721FB96A16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<sst xmlns="http://schemas.openxmlformats.org/spreadsheetml/2006/main" count="8767" uniqueCount="370">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</sst>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6" sqref="F5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23</v>
      </c>
      <c r="G567" s="36">
        <f>SUM(G555:G566)</f>
        <v>115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153</v>
      </c>
      <c r="G568" s="40">
        <f>G554+G567</f>
        <v>765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32" activePane="bottomLeft" state="frozen"/>
      <selection pane="bottomLeft" activeCell="F556" sqref="F5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0.59520104166585952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0.7528399305547484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0.86256215277697057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0.57367326389066875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0.74450659722400214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0.88964548611289107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15</v>
      </c>
      <c r="G555" s="34">
        <f t="shared" ref="G555:G566" si="123">IF(F555="","",IF(E555="PC 17",F555*4.2,IF(E555="PC 19",F555*5,"")))</f>
        <v>63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15</v>
      </c>
      <c r="G567" s="36">
        <f>SUM(G555:G566)</f>
        <v>63</v>
      </c>
      <c r="H567" s="37"/>
      <c r="I567" s="37"/>
      <c r="J567" s="37"/>
      <c r="K567" s="37"/>
      <c r="L567" s="37"/>
      <c r="M567" s="38">
        <f ca="1">IFERROR(SUM(M555:M566),"")</f>
        <v>1.6666666666666607E-2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253</v>
      </c>
      <c r="G568" s="40">
        <f>G554+G567</f>
        <v>1062.5999999999999</v>
      </c>
      <c r="H568" s="41"/>
      <c r="I568" s="41"/>
      <c r="J568" s="41"/>
      <c r="K568" s="41"/>
      <c r="L568" s="41"/>
      <c r="M568" s="42">
        <f ca="1">IFERROR(M554+M567,"")</f>
        <v>0.10138888888888886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6" sqref="F5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7</v>
      </c>
      <c r="G555" s="34">
        <f t="shared" ref="G555:G566" si="123">IF(F555="","",IF(E555="PC 17",F555*4.2,IF(E555="PC 19",F555*5,"")))</f>
        <v>29.400000000000002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</v>
      </c>
      <c r="G567" s="36">
        <f>SUM(G555:G566)</f>
        <v>29.400000000000002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40</v>
      </c>
      <c r="G568" s="40">
        <f>G554+G567</f>
        <v>168.00000000000003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56" sqref="F5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0.58547881944832625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0.78478437500388187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1.1521454861149929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0.54311770833737683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0.54311770833737683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0.72228437500404341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2026-07-22T00:02:06Z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