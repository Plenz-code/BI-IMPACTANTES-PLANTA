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03" documentId="8_{1D11E9C4-FEA4-4128-910F-91CB6BBF9255}" xr6:coauthVersionLast="47" xr6:coauthVersionMax="47" xr10:uidLastSave="{8D82CEA5-DC70-4E72-8A9F-223A5A096C2F}"/>
  <bookViews>
    <workbookView xWindow="-108" yWindow="-108" windowWidth="23256" windowHeight="12456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<sst xmlns="http://schemas.openxmlformats.org/spreadsheetml/2006/main" count="8583" uniqueCount="388">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</sst>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3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 x14ac:dyDescent="0.3">
      <c r="A34" s="101" t="s">
        <v>9</v>
      </c>
      <c r="B34" s="101"/>
      <c r="C34" s="55">
        <f t="shared" ref="C34:F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3">
      <c r="H2" s="103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3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3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3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3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3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3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3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3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3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3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3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3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3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3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3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3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3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3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3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3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3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3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3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3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3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3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3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 x14ac:dyDescent="0.3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 x14ac:dyDescent="0.3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 x14ac:dyDescent="0.3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 x14ac:dyDescent="0.3">
      <c r="H49" s="103"/>
      <c r="I49" s="4"/>
      <c r="J49" s="4"/>
      <c r="K49" s="4" t="s">
        <v>181</v>
      </c>
      <c r="L49" s="4"/>
      <c r="M49" s="4"/>
    </row>
    <row r="50" spans="1:13" ht="21" customHeight="1" x14ac:dyDescent="0.3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 x14ac:dyDescent="0.3">
      <c r="H51" s="103"/>
      <c r="I51" s="4"/>
      <c r="J51" s="4"/>
      <c r="K51" s="4" t="s">
        <v>184</v>
      </c>
      <c r="L51" s="4"/>
      <c r="M51" s="4"/>
    </row>
    <row r="52" spans="1:13" ht="24" customHeight="1" x14ac:dyDescent="0.3">
      <c r="H52" s="103"/>
      <c r="I52" s="3"/>
      <c r="J52" s="3"/>
      <c r="K52" s="3" t="s">
        <v>185</v>
      </c>
      <c r="L52" s="3"/>
      <c r="M52" s="3"/>
    </row>
    <row r="53" spans="1:13" ht="36" customHeight="1" x14ac:dyDescent="0.3">
      <c r="H53" s="103"/>
      <c r="I53" s="4"/>
      <c r="J53" s="4"/>
      <c r="K53" s="4" t="s">
        <v>186</v>
      </c>
      <c r="L53" s="4"/>
      <c r="M53" s="4"/>
    </row>
    <row r="54" spans="1:13" ht="15" customHeight="1" x14ac:dyDescent="0.3">
      <c r="H54" s="103"/>
      <c r="I54" s="3"/>
      <c r="J54" s="3"/>
      <c r="K54" s="3"/>
      <c r="L54" s="3"/>
      <c r="M54" s="3"/>
    </row>
    <row r="55" spans="1:13" ht="15" customHeight="1" x14ac:dyDescent="0.3">
      <c r="H55" s="103"/>
      <c r="I55" s="4"/>
      <c r="J55" s="4"/>
      <c r="K55" s="4"/>
      <c r="L55" s="4"/>
      <c r="M55" s="4"/>
    </row>
    <row r="56" spans="1:13" ht="15" customHeight="1" x14ac:dyDescent="0.3">
      <c r="H56" s="103"/>
      <c r="I56" s="3"/>
      <c r="J56" s="3"/>
      <c r="K56" s="3"/>
      <c r="L56" s="3"/>
      <c r="M56" s="3"/>
    </row>
    <row r="57" spans="1:13" ht="15" customHeight="1" x14ac:dyDescent="0.3">
      <c r="H57" s="103"/>
      <c r="I57" s="4"/>
      <c r="J57" s="4"/>
      <c r="K57" s="4"/>
      <c r="L57" s="4"/>
      <c r="M57" s="4"/>
    </row>
    <row r="58" spans="1:13" ht="15" customHeight="1" x14ac:dyDescent="0.3">
      <c r="H58" s="103"/>
      <c r="I58" s="3"/>
      <c r="J58" s="3"/>
      <c r="K58" s="3"/>
      <c r="L58" s="3"/>
      <c r="M58" s="3"/>
    </row>
    <row r="59" spans="1:13" ht="15" customHeight="1" x14ac:dyDescent="0.3">
      <c r="H59" s="103"/>
      <c r="I59" s="4"/>
      <c r="J59" s="4"/>
      <c r="K59" s="4"/>
      <c r="L59" s="4"/>
      <c r="M59" s="4"/>
    </row>
    <row r="60" spans="1:13" ht="15" customHeight="1" x14ac:dyDescent="0.3">
      <c r="H60" s="103"/>
      <c r="I60" s="3"/>
      <c r="J60" s="3"/>
      <c r="K60" s="3"/>
      <c r="L60" s="3"/>
      <c r="M60" s="3"/>
    </row>
    <row r="61" spans="1:13" ht="15" customHeight="1" x14ac:dyDescent="0.3">
      <c r="H61" s="103"/>
      <c r="I61" s="4"/>
      <c r="J61" s="4"/>
      <c r="K61" s="4"/>
      <c r="L61" s="4"/>
      <c r="M61" s="4"/>
    </row>
    <row r="62" spans="1:13" ht="15" customHeight="1" x14ac:dyDescent="0.3">
      <c r="H62" s="103"/>
      <c r="I62" s="3"/>
      <c r="J62" s="3"/>
      <c r="K62" s="3"/>
      <c r="L62" s="3"/>
      <c r="M62" s="3"/>
    </row>
    <row r="63" spans="1:13" ht="15" customHeight="1" x14ac:dyDescent="0.3">
      <c r="H63" s="103"/>
      <c r="I63" s="4"/>
      <c r="J63" s="4"/>
      <c r="K63" s="4"/>
      <c r="L63" s="4"/>
      <c r="M63" s="4"/>
    </row>
    <row r="64" spans="1:13" ht="15" customHeight="1" x14ac:dyDescent="0.3">
      <c r="H64" s="103"/>
      <c r="I64" s="3"/>
      <c r="J64" s="3"/>
      <c r="K64" s="3"/>
      <c r="L64" s="3"/>
      <c r="M64" s="3"/>
    </row>
    <row r="65" spans="8:13" ht="15" customHeight="1" x14ac:dyDescent="0.3">
      <c r="H65" s="103"/>
      <c r="I65" s="4"/>
      <c r="J65" s="4"/>
      <c r="K65" s="4"/>
      <c r="L65" s="4"/>
      <c r="M65" s="4"/>
    </row>
    <row r="66" spans="8:13" ht="15" customHeight="1" x14ac:dyDescent="0.3">
      <c r="H66" s="103"/>
      <c r="I66" s="3"/>
      <c r="J66" s="3"/>
      <c r="K66" s="3"/>
      <c r="L66" s="3"/>
      <c r="M66" s="3"/>
    </row>
    <row r="67" spans="8:13" ht="15" customHeight="1" x14ac:dyDescent="0.3">
      <c r="H67" s="103"/>
      <c r="I67" s="4"/>
      <c r="J67" s="4"/>
      <c r="K67" s="4"/>
      <c r="L67" s="4"/>
      <c r="M67" s="4"/>
    </row>
    <row r="68" spans="8:13" ht="15" customHeight="1" x14ac:dyDescent="0.3">
      <c r="H68" s="103"/>
      <c r="I68" s="3"/>
      <c r="J68" s="3"/>
      <c r="K68" s="3"/>
      <c r="L68" s="3"/>
      <c r="M68" s="3"/>
    </row>
    <row r="69" spans="8:13" ht="15" customHeight="1" x14ac:dyDescent="0.3">
      <c r="H69" s="103"/>
      <c r="I69" s="4"/>
      <c r="J69" s="4"/>
      <c r="K69" s="4"/>
      <c r="L69" s="4"/>
      <c r="M69" s="4"/>
    </row>
    <row r="70" spans="8:13" ht="15" customHeight="1" x14ac:dyDescent="0.3">
      <c r="H70" s="103"/>
      <c r="I70" s="3"/>
      <c r="J70" s="3"/>
      <c r="K70" s="3"/>
      <c r="L70" s="3"/>
      <c r="M70" s="3"/>
    </row>
    <row r="71" spans="8:13" ht="15" customHeight="1" x14ac:dyDescent="0.3">
      <c r="H71" s="103"/>
      <c r="I71" s="4"/>
      <c r="J71" s="4"/>
      <c r="K71" s="4"/>
      <c r="L71" s="4"/>
      <c r="M71" s="4"/>
    </row>
    <row r="72" spans="8:13" ht="15" customHeight="1" x14ac:dyDescent="0.3">
      <c r="H72" s="103"/>
      <c r="I72" s="3"/>
      <c r="J72" s="3"/>
      <c r="K72" s="3"/>
      <c r="L72" s="3"/>
      <c r="M72" s="3"/>
    </row>
    <row r="73" spans="8:13" ht="15" customHeight="1" x14ac:dyDescent="0.3">
      <c r="H73" s="103"/>
      <c r="I73" s="4"/>
      <c r="J73" s="4"/>
      <c r="K73" s="4"/>
      <c r="L73" s="4"/>
      <c r="M73" s="4"/>
    </row>
    <row r="74" spans="8:13" ht="15" customHeight="1" x14ac:dyDescent="0.3">
      <c r="H74" s="103"/>
      <c r="I74" s="3"/>
      <c r="J74" s="3"/>
      <c r="K74" s="3"/>
      <c r="L74" s="3"/>
      <c r="M74" s="3"/>
    </row>
    <row r="75" spans="8:13" ht="15" customHeight="1" x14ac:dyDescent="0.3">
      <c r="H75" s="103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90" zoomScaleNormal="90" workbookViewId="0">
      <pane ySplit="1" topLeftCell="A777" activePane="bottomLeft" state="frozen"/>
      <selection pane="bottomLeft" activeCell="J786" sqref="J786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98" t="s">
        <v>197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8" t="s">
        <v>199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197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199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98" t="s">
        <v>197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98" t="s">
        <v>199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98" t="s">
        <v>197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98" t="s">
        <v>199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98" t="s">
        <v>197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98" t="s">
        <v>199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98" t="s">
        <v>197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98" t="s">
        <v>199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98" t="s">
        <v>197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98" t="s">
        <v>199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98" t="s">
        <v>197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98" t="s">
        <v>199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98" t="s">
        <v>197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98" t="s">
        <v>199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98" t="s">
        <v>197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98" t="s">
        <v>199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98" t="s">
        <v>197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98" t="s">
        <v>199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98" t="s">
        <v>197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98" t="s">
        <v>199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98" t="s">
        <v>197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98" t="s">
        <v>199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98" t="s">
        <v>197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98" t="s">
        <v>199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98" t="s">
        <v>197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98" t="s">
        <v>199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98" t="s">
        <v>197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98" t="s">
        <v>199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 x14ac:dyDescent="0.3">
      <c r="A433" s="97" t="s">
        <v>200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98" t="s">
        <v>199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98" t="s">
        <v>197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98" t="s">
        <v>199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98" t="s">
        <v>197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98" t="s">
        <v>199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98" t="s">
        <v>197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98" t="s">
        <v>199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98" t="s">
        <v>197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98" t="s">
        <v>199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98" t="s">
        <v>197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98" t="s">
        <v>199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98" t="s">
        <v>197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98" t="s">
        <v>199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98" t="s">
        <v>197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98" t="s">
        <v>199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98" t="s">
        <v>197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98" t="s">
        <v>199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98" t="s">
        <v>197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98" t="s">
        <v>199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98" t="s">
        <v>197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 x14ac:dyDescent="0.3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98" t="s">
        <v>199</v>
      </c>
      <c r="B729" s="98"/>
      <c r="C729" s="98"/>
      <c r="D729" s="9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 x14ac:dyDescent="0.3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98" t="s">
        <v>197</v>
      </c>
      <c r="B743" s="98"/>
      <c r="C743" s="98"/>
      <c r="D743" s="9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 x14ac:dyDescent="0.3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 x14ac:dyDescent="0.3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 x14ac:dyDescent="0.3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98" t="s">
        <v>199</v>
      </c>
      <c r="B783" s="98"/>
      <c r="C783" s="98"/>
      <c r="D783" s="98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 x14ac:dyDescent="0.3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238</v>
      </c>
      <c r="K786" s="13">
        <v>0.7270833333333333</v>
      </c>
      <c r="L786" s="70" t="str">
        <f t="shared" si="178"/>
        <v/>
      </c>
      <c r="M786" s="29" t="s">
        <v>239</v>
      </c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98" t="s">
        <v>197</v>
      </c>
      <c r="B797" s="98"/>
      <c r="C797" s="98"/>
      <c r="D797" s="98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0.22708333333333336</v>
      </c>
      <c r="M797" s="19" t="s">
        <v>198</v>
      </c>
      <c r="N797" s="20">
        <v>930640</v>
      </c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98" t="s">
        <v>199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97" t="s">
        <v>200</v>
      </c>
      <c r="B811" s="97"/>
      <c r="C811" s="97"/>
      <c r="D811" s="97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0.22708333333333336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87" zoomScale="85" zoomScaleNormal="85" workbookViewId="0">
      <selection activeCell="N798" sqref="N798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240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247</v>
      </c>
      <c r="I139" s="16" t="s">
        <v>248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251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252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253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254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255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256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257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257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258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259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260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261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262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263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264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265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266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267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268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269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270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271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272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273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275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276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 x14ac:dyDescent="0.3">
      <c r="A433" s="97" t="s">
        <v>200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279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280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281</v>
      </c>
      <c r="J465" s="13">
        <v>0.70833333333333337</v>
      </c>
      <c r="K465" s="13" t="s">
        <v>282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283</v>
      </c>
      <c r="N472" s="30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284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285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286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287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288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289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290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291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291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292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293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294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295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296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297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298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299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300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301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302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303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304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305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306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307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308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310</v>
      </c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311</v>
      </c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 x14ac:dyDescent="0.3">
      <c r="A757" s="97" t="s">
        <v>200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312</v>
      </c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313</v>
      </c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 x14ac:dyDescent="0.3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 t="shared" ref="F785:F796" si="175"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6">IFERROR(IF(K785="","",IF(K785&gt;=J785,K785-J785,K785+1-J785)),"")</f>
        <v>4.5833333333333337E-2</v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 t="shared" si="175"/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6"/>
        <v>9.9305555555555536E-2</v>
      </c>
      <c r="M786" s="29" t="s">
        <v>314</v>
      </c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7" t="s">
        <v>21</v>
      </c>
      <c r="D787" s="67" t="s">
        <v>30</v>
      </c>
      <c r="E787" s="11">
        <v>11</v>
      </c>
      <c r="F787" s="93">
        <f t="shared" si="175"/>
        <v>44</v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7" t="s">
        <v>21</v>
      </c>
      <c r="D788" s="67" t="s">
        <v>30</v>
      </c>
      <c r="E788" s="11">
        <v>4</v>
      </c>
      <c r="F788" s="80">
        <f t="shared" si="175"/>
        <v>16</v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7" t="s">
        <v>21</v>
      </c>
      <c r="D789" s="67" t="s">
        <v>30</v>
      </c>
      <c r="E789" s="11">
        <v>2</v>
      </c>
      <c r="F789" s="93">
        <f t="shared" si="175"/>
        <v>8</v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7" t="s">
        <v>21</v>
      </c>
      <c r="D790" s="67" t="s">
        <v>30</v>
      </c>
      <c r="E790" s="11">
        <v>7</v>
      </c>
      <c r="F790" s="80">
        <f t="shared" si="175"/>
        <v>28</v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7" t="s">
        <v>21</v>
      </c>
      <c r="D791" s="67" t="s">
        <v>30</v>
      </c>
      <c r="E791" s="11">
        <v>5</v>
      </c>
      <c r="F791" s="93">
        <f t="shared" si="175"/>
        <v>20</v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7" t="s">
        <v>21</v>
      </c>
      <c r="D792" s="67" t="s">
        <v>30</v>
      </c>
      <c r="E792" s="11">
        <v>7</v>
      </c>
      <c r="F792" s="80">
        <f t="shared" si="175"/>
        <v>28</v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7" t="s">
        <v>21</v>
      </c>
      <c r="D793" s="67" t="s">
        <v>30</v>
      </c>
      <c r="E793" s="11">
        <v>11</v>
      </c>
      <c r="F793" s="93">
        <f t="shared" si="175"/>
        <v>44</v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7" t="s">
        <v>21</v>
      </c>
      <c r="D794" s="67" t="s">
        <v>30</v>
      </c>
      <c r="E794" s="11">
        <v>0</v>
      </c>
      <c r="F794" s="80">
        <f t="shared" si="175"/>
        <v>0</v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7" t="s">
        <v>21</v>
      </c>
      <c r="D795" s="67" t="s">
        <v>30</v>
      </c>
      <c r="E795" s="11">
        <v>21</v>
      </c>
      <c r="F795" s="93">
        <f t="shared" si="175"/>
        <v>84</v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7" t="s">
        <v>21</v>
      </c>
      <c r="D796" s="67" t="s">
        <v>30</v>
      </c>
      <c r="E796" s="11">
        <v>8</v>
      </c>
      <c r="F796" s="80">
        <f t="shared" si="175"/>
        <v>32</v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97" t="s">
        <v>200</v>
      </c>
      <c r="B811" s="97"/>
      <c r="C811" s="97"/>
      <c r="D811" s="97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8" activePane="bottomLeft" state="frozen"/>
      <selection pane="bottomLeft" activeCell="M793" sqref="M793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316</v>
      </c>
      <c r="I80" s="10" t="s">
        <v>243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317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317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254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318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319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320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261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266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269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321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 x14ac:dyDescent="0.3">
      <c r="A433" s="97" t="s">
        <v>200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322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279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323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283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283</v>
      </c>
      <c r="N472" s="30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324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289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277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325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326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261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327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328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329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330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310</v>
      </c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331</v>
      </c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311</v>
      </c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 x14ac:dyDescent="0.3">
      <c r="A757" s="97" t="s">
        <v>200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332</v>
      </c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314</v>
      </c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 x14ac:dyDescent="0.3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 t="shared" ref="F785:F796" si="174"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5">IFERROR(IF(K785="","",IF(K785&gt;=J785,K785-J785,K785+1-J785)),"")</f>
        <v>2.1527777777777812E-2</v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 t="shared" si="174"/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5"/>
        <v>2.2222222222222143E-2</v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67" t="s">
        <v>21</v>
      </c>
      <c r="D787" s="67" t="s">
        <v>38</v>
      </c>
      <c r="E787" s="11">
        <v>4</v>
      </c>
      <c r="F787" s="93">
        <f t="shared" si="174"/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5"/>
        <v>1.8055555555555491E-2</v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76" t="s">
        <v>21</v>
      </c>
      <c r="D788" s="67" t="s">
        <v>38</v>
      </c>
      <c r="E788" s="11">
        <v>10</v>
      </c>
      <c r="F788" s="80">
        <f t="shared" si="174"/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5"/>
        <v>3.4722222222222099E-3</v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67" t="s">
        <v>21</v>
      </c>
      <c r="D789" s="67" t="s">
        <v>38</v>
      </c>
      <c r="E789" s="11">
        <v>3</v>
      </c>
      <c r="F789" s="93">
        <f t="shared" si="174"/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5"/>
        <v>4.8611111111110938E-3</v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76" t="s">
        <v>21</v>
      </c>
      <c r="D790" s="67" t="s">
        <v>38</v>
      </c>
      <c r="E790" s="11">
        <v>9</v>
      </c>
      <c r="F790" s="80">
        <f t="shared" si="174"/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5"/>
        <v>4.9305555555555602E-2</v>
      </c>
      <c r="M790" s="11" t="s">
        <v>333</v>
      </c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67" t="s">
        <v>21</v>
      </c>
      <c r="D791" s="67" t="s">
        <v>38</v>
      </c>
      <c r="E791" s="11">
        <v>1</v>
      </c>
      <c r="F791" s="93">
        <f t="shared" si="174"/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5"/>
        <v>2.0138888888888928E-2</v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76" t="s">
        <v>21</v>
      </c>
      <c r="D792" s="67" t="s">
        <v>38</v>
      </c>
      <c r="E792" s="11">
        <v>4</v>
      </c>
      <c r="F792" s="80">
        <f t="shared" si="174"/>
        <v>16</v>
      </c>
      <c r="G792" s="76" t="s">
        <v>20</v>
      </c>
      <c r="H792" s="76" t="s">
        <v>47</v>
      </c>
      <c r="I792" s="76" t="s">
        <v>51</v>
      </c>
      <c r="J792" s="13" t="s">
        <v>334</v>
      </c>
      <c r="K792" s="13">
        <v>0.76666666666666672</v>
      </c>
      <c r="L792" s="86" t="str">
        <f t="shared" si="175"/>
        <v/>
      </c>
      <c r="M792" s="11" t="s">
        <v>314</v>
      </c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67" t="s">
        <v>21</v>
      </c>
      <c r="D793" s="67" t="s">
        <v>38</v>
      </c>
      <c r="E793" s="11">
        <v>0</v>
      </c>
      <c r="F793" s="93">
        <f t="shared" si="174"/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76" t="s">
        <v>21</v>
      </c>
      <c r="D794" s="67" t="s">
        <v>38</v>
      </c>
      <c r="E794" s="11">
        <v>3</v>
      </c>
      <c r="F794" s="80">
        <f t="shared" si="174"/>
        <v>12</v>
      </c>
      <c r="G794" s="76"/>
      <c r="H794" s="76"/>
      <c r="I794" s="76"/>
      <c r="J794" s="13"/>
      <c r="K794" s="13"/>
      <c r="L794" s="86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67" t="s">
        <v>21</v>
      </c>
      <c r="D795" s="67" t="s">
        <v>38</v>
      </c>
      <c r="E795" s="11">
        <v>0</v>
      </c>
      <c r="F795" s="93">
        <f t="shared" si="174"/>
        <v>0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76" t="s">
        <v>21</v>
      </c>
      <c r="D796" s="67" t="s">
        <v>38</v>
      </c>
      <c r="E796" s="11">
        <v>0</v>
      </c>
      <c r="F796" s="80">
        <f t="shared" si="174"/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97" t="s">
        <v>200</v>
      </c>
      <c r="B811" s="97"/>
      <c r="C811" s="97"/>
      <c r="D811" s="97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activeCell="D1" sqref="D1"/>
      <selection pane="bottomLeft" activeCell="N798" sqref="N798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336</v>
      </c>
      <c r="I2" s="10" t="s">
        <v>337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336</v>
      </c>
      <c r="I3" s="16" t="s">
        <v>337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336</v>
      </c>
      <c r="I4" s="10" t="s">
        <v>337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336</v>
      </c>
      <c r="I5" s="16" t="s">
        <v>337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336</v>
      </c>
      <c r="I6" s="10" t="s">
        <v>337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336</v>
      </c>
      <c r="I7" s="16" t="s">
        <v>337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336</v>
      </c>
      <c r="I8" s="10" t="s">
        <v>337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336</v>
      </c>
      <c r="I9" s="16" t="s">
        <v>337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336</v>
      </c>
      <c r="I10" s="10" t="s">
        <v>337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336</v>
      </c>
      <c r="I11" s="16" t="s">
        <v>337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336</v>
      </c>
      <c r="I12" s="10" t="s">
        <v>337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336</v>
      </c>
      <c r="I13" s="16" t="s">
        <v>337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 x14ac:dyDescent="0.3">
      <c r="A28" s="97" t="s">
        <v>200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340</v>
      </c>
      <c r="I33" s="16" t="s">
        <v>341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243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 x14ac:dyDescent="0.3">
      <c r="A55" s="97" t="s">
        <v>200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 x14ac:dyDescent="0.3">
      <c r="A82" s="97" t="s">
        <v>200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 x14ac:dyDescent="0.3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 x14ac:dyDescent="0.3">
      <c r="A136" s="97" t="s">
        <v>200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 x14ac:dyDescent="0.3">
      <c r="A163" s="97" t="s">
        <v>200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 x14ac:dyDescent="0.3">
      <c r="A190" s="97" t="s">
        <v>200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 x14ac:dyDescent="0.3">
      <c r="A217" s="97" t="s">
        <v>200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261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 x14ac:dyDescent="0.3">
      <c r="A244" s="97" t="s">
        <v>200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346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 x14ac:dyDescent="0.3">
      <c r="A271" s="97" t="s">
        <v>200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347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350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 x14ac:dyDescent="0.3">
      <c r="A298" s="97" t="s">
        <v>200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351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319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352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352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352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353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 x14ac:dyDescent="0.3">
      <c r="A325" s="97" t="s">
        <v>200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354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266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 x14ac:dyDescent="0.3">
      <c r="A352" s="97" t="s">
        <v>200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355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356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321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 x14ac:dyDescent="0.3">
      <c r="A379" s="97" t="s">
        <v>200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 x14ac:dyDescent="0.3">
      <c r="A406" s="97" t="s">
        <v>200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 x14ac:dyDescent="0.3">
      <c r="A433" s="97" t="s">
        <v>200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 x14ac:dyDescent="0.3">
      <c r="A460" s="97" t="s">
        <v>200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283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283</v>
      </c>
      <c r="N472" s="41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314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 x14ac:dyDescent="0.3">
      <c r="A487" s="97" t="s">
        <v>200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 x14ac:dyDescent="0.3">
      <c r="A514" s="97" t="s">
        <v>200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261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 x14ac:dyDescent="0.3">
      <c r="A541" s="97" t="s">
        <v>200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 x14ac:dyDescent="0.3">
      <c r="A568" s="97" t="s">
        <v>200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287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261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 x14ac:dyDescent="0.3">
      <c r="A595" s="97" t="s">
        <v>200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 x14ac:dyDescent="0.3">
      <c r="A622" s="97" t="s">
        <v>200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314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 x14ac:dyDescent="0.3">
      <c r="A649" s="97" t="s">
        <v>200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 x14ac:dyDescent="0.3">
      <c r="A676" s="97" t="s">
        <v>200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 x14ac:dyDescent="0.3">
      <c r="A703" s="97" t="s">
        <v>200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 x14ac:dyDescent="0.3">
      <c r="A730" s="97" t="s">
        <v>200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310</v>
      </c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331</v>
      </c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311</v>
      </c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 x14ac:dyDescent="0.3">
      <c r="A757" s="97" t="s">
        <v>200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332</v>
      </c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 x14ac:dyDescent="0.3">
      <c r="A784" s="97" t="s">
        <v>200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 x14ac:dyDescent="0.3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 t="shared" ref="F785:F796" si="175"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6">IFERROR(IF(K785="","",IF(K785&gt;=J785,K785-J785,K785+1-J785)),"")</f>
        <v>1.9444444444444431E-2</v>
      </c>
      <c r="M785" s="11"/>
      <c r="N785" s="41"/>
    </row>
    <row r="786" spans="1:14" ht="15" customHeight="1" x14ac:dyDescent="0.3">
      <c r="A786" s="94">
        <v>46203</v>
      </c>
      <c r="B786" s="95">
        <f t="shared" ref="B786:B796" si="177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 t="shared" si="175"/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6"/>
        <v/>
      </c>
      <c r="M786" s="11" t="s">
        <v>386</v>
      </c>
      <c r="N786" s="41"/>
    </row>
    <row r="787" spans="1:14" ht="15" customHeight="1" x14ac:dyDescent="0.3">
      <c r="A787" s="90">
        <v>46203</v>
      </c>
      <c r="B787" s="91">
        <f t="shared" si="177"/>
        <v>0.41666666666666635</v>
      </c>
      <c r="C787" s="67" t="s">
        <v>21</v>
      </c>
      <c r="D787" s="92" t="s">
        <v>30</v>
      </c>
      <c r="E787" s="11">
        <v>15</v>
      </c>
      <c r="F787" s="93">
        <f t="shared" si="175"/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6"/>
        <v>4.2361111111111072E-2</v>
      </c>
      <c r="M787" s="11"/>
      <c r="N787" s="41"/>
    </row>
    <row r="788" spans="1:14" ht="15" customHeight="1" x14ac:dyDescent="0.3">
      <c r="A788" s="94">
        <v>46203</v>
      </c>
      <c r="B788" s="95">
        <f t="shared" si="177"/>
        <v>0.45833333333333304</v>
      </c>
      <c r="C788" s="67" t="s">
        <v>21</v>
      </c>
      <c r="D788" s="92" t="s">
        <v>30</v>
      </c>
      <c r="E788" s="11">
        <v>5</v>
      </c>
      <c r="F788" s="80">
        <f t="shared" si="175"/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6"/>
        <v/>
      </c>
      <c r="M788" s="11"/>
      <c r="N788" s="41"/>
    </row>
    <row r="789" spans="1:14" ht="15" customHeight="1" x14ac:dyDescent="0.3">
      <c r="A789" s="90">
        <v>46203</v>
      </c>
      <c r="B789" s="91">
        <f t="shared" si="177"/>
        <v>0.49999999999999972</v>
      </c>
      <c r="C789" s="67" t="s">
        <v>21</v>
      </c>
      <c r="D789" s="92" t="s">
        <v>30</v>
      </c>
      <c r="E789" s="11">
        <v>18</v>
      </c>
      <c r="F789" s="93">
        <f t="shared" si="175"/>
        <v>72</v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">
      <c r="A790" s="94">
        <v>46203</v>
      </c>
      <c r="B790" s="95">
        <f t="shared" si="177"/>
        <v>0.54166666666666641</v>
      </c>
      <c r="C790" s="67" t="s">
        <v>21</v>
      </c>
      <c r="D790" s="92" t="s">
        <v>30</v>
      </c>
      <c r="E790" s="11">
        <v>4</v>
      </c>
      <c r="F790" s="80">
        <f t="shared" si="175"/>
        <v>16</v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">
      <c r="A791" s="90">
        <v>46203</v>
      </c>
      <c r="B791" s="91">
        <f t="shared" si="177"/>
        <v>0.58333333333333304</v>
      </c>
      <c r="C791" s="67" t="s">
        <v>21</v>
      </c>
      <c r="D791" s="92" t="s">
        <v>30</v>
      </c>
      <c r="E791" s="11">
        <v>12</v>
      </c>
      <c r="F791" s="93">
        <f t="shared" si="175"/>
        <v>48</v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">
      <c r="A792" s="94">
        <v>46203</v>
      </c>
      <c r="B792" s="95">
        <f t="shared" si="177"/>
        <v>0.62499999999999967</v>
      </c>
      <c r="C792" s="67" t="s">
        <v>21</v>
      </c>
      <c r="D792" s="92" t="s">
        <v>30</v>
      </c>
      <c r="E792" s="11">
        <v>5</v>
      </c>
      <c r="F792" s="80">
        <f t="shared" si="175"/>
        <v>20</v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">
      <c r="A793" s="90">
        <v>46203</v>
      </c>
      <c r="B793" s="91">
        <f t="shared" si="177"/>
        <v>0.6666666666666663</v>
      </c>
      <c r="C793" s="67" t="s">
        <v>21</v>
      </c>
      <c r="D793" s="92" t="s">
        <v>30</v>
      </c>
      <c r="E793" s="11">
        <v>0</v>
      </c>
      <c r="F793" s="93">
        <f t="shared" si="175"/>
        <v>0</v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">
      <c r="A794" s="94">
        <v>46203</v>
      </c>
      <c r="B794" s="95">
        <f t="shared" si="177"/>
        <v>0.70833333333333293</v>
      </c>
      <c r="C794" s="67" t="s">
        <v>21</v>
      </c>
      <c r="D794" s="92" t="s">
        <v>30</v>
      </c>
      <c r="E794" s="11">
        <v>11</v>
      </c>
      <c r="F794" s="80">
        <f t="shared" si="175"/>
        <v>44</v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">
      <c r="A795" s="90">
        <v>46203</v>
      </c>
      <c r="B795" s="91">
        <f t="shared" si="177"/>
        <v>0.74999999999999956</v>
      </c>
      <c r="C795" s="67" t="s">
        <v>21</v>
      </c>
      <c r="D795" s="92" t="s">
        <v>30</v>
      </c>
      <c r="E795" s="11">
        <v>8</v>
      </c>
      <c r="F795" s="93">
        <f t="shared" si="175"/>
        <v>32</v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">
      <c r="A796" s="94">
        <v>46203</v>
      </c>
      <c r="B796" s="95">
        <f t="shared" si="177"/>
        <v>0.79166666666666619</v>
      </c>
      <c r="C796" s="67" t="s">
        <v>21</v>
      </c>
      <c r="D796" s="92" t="s">
        <v>30</v>
      </c>
      <c r="E796" s="11">
        <v>0</v>
      </c>
      <c r="F796" s="80">
        <f t="shared" si="175"/>
        <v>0</v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 x14ac:dyDescent="0.3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 x14ac:dyDescent="0.3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2026-06-30T23:06:37Z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