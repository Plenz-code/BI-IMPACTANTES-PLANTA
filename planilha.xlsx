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154" documentId="8_{AF585B22-221D-4780-BB9C-493D365A6A02}" xr6:coauthVersionLast="47" xr6:coauthVersionMax="47" xr10:uidLastSave="{D89FFAE6-0939-4820-882E-FFA4294C0592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<sst xmlns="http://schemas.openxmlformats.org/spreadsheetml/2006/main" count="8003" uniqueCount="354">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</sst>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2098690</v>
      </c>
      <c r="D22" s="8">
        <f>IFERROR('Linha 1'!O514,"")</f>
        <v>751110</v>
      </c>
      <c r="E22" s="8">
        <f>IFERROR('Linha 2'!O514,"")</f>
        <v>316430</v>
      </c>
      <c r="F22" s="8">
        <f>IFERROR('Linha 3'!O514,"")</f>
        <v>1031150</v>
      </c>
      <c r="G22" s="9">
        <f t="shared" si="0"/>
        <v>2098690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58684012</v>
      </c>
      <c r="D35" s="13">
        <f>IFERROR(SUM(D4:D34),"")</f>
        <v>21837300</v>
      </c>
      <c r="E35" s="13">
        <f>IFERROR(SUM(E4:E34),"")</f>
        <v>13133660</v>
      </c>
      <c r="F35" s="13">
        <f>IFERROR(SUM(F4:F34),"")</f>
        <v>26457640</v>
      </c>
      <c r="G35" s="13">
        <f>IFERROR(SUM(G4:G34),"")</f>
        <v>61428600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72" activePane="bottomLeft" state="frozen"/>
      <selection pane="bottomLeft" activeCell="F506" sqref="F50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>
        <v>2098690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227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227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227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227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227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227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227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227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227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227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227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109</v>
      </c>
      <c r="G513" s="36">
        <f>SUM(G501:G512)</f>
        <v>545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340</v>
      </c>
      <c r="G514" s="40">
        <f>G500+G513</f>
        <v>1627.2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2098690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82" activePane="bottomLeft" state="frozen"/>
      <selection pane="bottomLeft" activeCell="F506" sqref="F50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0.77817974536446854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0.93581863425335743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1.0455408564755797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0.75665196758927777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0.92748530092261117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1.0726241898115001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296</v>
      </c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230</v>
      </c>
      <c r="O500" s="78">
        <v>751110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56</v>
      </c>
      <c r="G513" s="36">
        <f>SUM(G501:G512)</f>
        <v>244.8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186</v>
      </c>
      <c r="G514" s="40">
        <f>G500+G513</f>
        <v>835.59999999999991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233</v>
      </c>
      <c r="O514" s="84">
        <f>IFERROR(O500+O513,"")</f>
        <v>751110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74" zoomScale="50" zoomScaleNormal="50" workbookViewId="0">
      <selection activeCell="F506" sqref="F50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305</v>
      </c>
      <c r="N166" s="27" t="s">
        <v>306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317</v>
      </c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230</v>
      </c>
      <c r="O500" s="39">
        <v>316430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30</v>
      </c>
      <c r="G513" s="36">
        <f>SUM(G501:G512)</f>
        <v>130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84</v>
      </c>
      <c r="G514" s="40">
        <f>G500+G513</f>
        <v>378.40000000000003</v>
      </c>
      <c r="H514" s="41"/>
      <c r="I514" s="41"/>
      <c r="J514" s="41"/>
      <c r="K514" s="41"/>
      <c r="L514" s="41"/>
      <c r="M514" s="42">
        <f ca="1">IFERROR(M500+M513,"")</f>
        <v>1.736111111111116E-2</v>
      </c>
      <c r="N514" s="40" t="s">
        <v>233</v>
      </c>
      <c r="O514" s="48">
        <f>IFERROR(O500+O513,"")</f>
        <v>316430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87" activePane="bottomLeft" state="frozen"/>
      <selection pane="bottomLeft" activeCell="F506" sqref="F50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322</v>
      </c>
      <c r="L58" s="29">
        <v>0.54097222222222219</v>
      </c>
      <c r="M58" s="30" t="str">
        <f t="shared" ca="1" si="13"/>
        <v/>
      </c>
      <c r="N58" s="27" t="s">
        <v>323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0.76845752314693527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0.9677630787024909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1.3351241898136019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352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353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327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327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254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254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254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254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254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230</v>
      </c>
      <c r="O500" s="39">
        <v>1031150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10</v>
      </c>
      <c r="G503" s="34">
        <f t="shared" si="111"/>
        <v>42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48</v>
      </c>
      <c r="G513" s="36">
        <f>SUM(G501:G512)</f>
        <v>206.4</v>
      </c>
      <c r="H513" s="37"/>
      <c r="I513" s="37"/>
      <c r="J513" s="37"/>
      <c r="K513" s="61"/>
      <c r="L513" s="61"/>
      <c r="M513" s="38">
        <f ca="1">IFERROR(SUM(M501:M512),"")</f>
        <v>5.8333333333333348E-2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203</v>
      </c>
      <c r="G514" s="40">
        <f>G500+G513</f>
        <v>920.60000000000014</v>
      </c>
      <c r="H514" s="41"/>
      <c r="I514" s="41"/>
      <c r="J514" s="41"/>
      <c r="K514" s="63"/>
      <c r="L514" s="63"/>
      <c r="M514" s="42">
        <f ca="1">IFERROR(M500+M513,"")</f>
        <v>0.10763888888888878</v>
      </c>
      <c r="N514" s="40" t="s">
        <v>233</v>
      </c>
      <c r="O514" s="48">
        <f>IFERROR(O500+O513,"")</f>
        <v>1031150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2026-07-20T04:25:59Z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