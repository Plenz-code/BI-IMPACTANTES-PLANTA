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28" documentId="8_{C51EB6CB-002B-4D6B-B68F-DDEBDB4460C0}" xr6:coauthVersionLast="47" xr6:coauthVersionMax="47" xr10:uidLastSave="{57C759FA-9D98-49A5-A568-7C347D8E1408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<sst xmlns="http://schemas.openxmlformats.org/spreadsheetml/2006/main" count="4475" uniqueCount="305">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</sst>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23" sqref="F2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175</v>
      </c>
      <c r="G230" s="36">
        <f>SUM(G218:G229)</f>
        <v>875</v>
      </c>
      <c r="H230" s="37"/>
      <c r="I230" s="37"/>
      <c r="J230" s="37"/>
      <c r="K230" s="37"/>
      <c r="L230" s="37"/>
      <c r="M230" s="38">
        <f ca="1">IFERROR(SUM(M218:M229),"")</f>
        <v>1.0416666666666685E-2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175</v>
      </c>
      <c r="G244" s="40">
        <f>G230+G243</f>
        <v>875</v>
      </c>
      <c r="H244" s="41"/>
      <c r="I244" s="41"/>
      <c r="J244" s="41"/>
      <c r="K244" s="41"/>
      <c r="L244" s="41"/>
      <c r="M244" s="42">
        <f ca="1">IFERROR(M230+M243,"")</f>
        <v>1.0416666666666685E-2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G226" sqref="G2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0.39589999999589054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0.53478888888477938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0.61951111110700174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/>
      <c r="M220" s="30">
        <f t="shared" ca="1" si="49"/>
        <v>9.0944444455089979E-3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18</v>
      </c>
      <c r="G222" s="28">
        <f t="shared" si="48"/>
        <v>90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68</v>
      </c>
      <c r="G230" s="36">
        <f>SUM(G218:G229)</f>
        <v>300</v>
      </c>
      <c r="H230" s="37"/>
      <c r="I230" s="37"/>
      <c r="J230" s="37"/>
      <c r="K230" s="37"/>
      <c r="L230" s="37"/>
      <c r="M230" s="38">
        <f ca="1">IFERROR(SUM(M218:M229),"")</f>
        <v>7.8538888889953418E-2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68</v>
      </c>
      <c r="G244" s="40">
        <f>G230+G243</f>
        <v>300</v>
      </c>
      <c r="H244" s="41"/>
      <c r="I244" s="41"/>
      <c r="J244" s="41"/>
      <c r="K244" s="41"/>
      <c r="L244" s="41"/>
      <c r="M244" s="42">
        <f ca="1">IFERROR(M230+M243,"")</f>
        <v>7.8538888889953418E-2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09" zoomScale="50" zoomScaleNormal="50" workbookViewId="0">
      <selection activeCell="L220" sqref="L2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0.51666666666666672</v>
      </c>
      <c r="M219" s="35">
        <f t="shared" ca="1" si="49"/>
        <v>9.7222222222222987E-3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12</v>
      </c>
      <c r="G222" s="28">
        <f t="shared" si="48"/>
        <v>60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41</v>
      </c>
      <c r="G230" s="36">
        <f>SUM(G218:G229)</f>
        <v>181.8</v>
      </c>
      <c r="H230" s="37"/>
      <c r="I230" s="37"/>
      <c r="J230" s="37"/>
      <c r="K230" s="37"/>
      <c r="L230" s="37"/>
      <c r="M230" s="38">
        <f ca="1">IFERROR(SUM(M218:M229),"")</f>
        <v>4.1666666666666741E-2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41</v>
      </c>
      <c r="G244" s="40">
        <f>G230+G243</f>
        <v>181.8</v>
      </c>
      <c r="H244" s="41"/>
      <c r="I244" s="41"/>
      <c r="J244" s="41"/>
      <c r="K244" s="41"/>
      <c r="L244" s="41"/>
      <c r="M244" s="42">
        <f ca="1">IFERROR(M230+M243,"")</f>
        <v>4.1666666666666741E-2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3" sqref="F2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78</v>
      </c>
      <c r="G230" s="36">
        <f>SUM(G218:G229)</f>
        <v>343.6</v>
      </c>
      <c r="H230" s="37"/>
      <c r="I230" s="37"/>
      <c r="J230" s="37"/>
      <c r="K230" s="61"/>
      <c r="L230" s="61"/>
      <c r="M230" s="38">
        <f ca="1">IFERROR(SUM(M218:M229),"")</f>
        <v>1.8749999999999989E-2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78</v>
      </c>
      <c r="G244" s="40">
        <f>G230+G243</f>
        <v>343.6</v>
      </c>
      <c r="H244" s="41"/>
      <c r="I244" s="41"/>
      <c r="J244" s="41"/>
      <c r="K244" s="63"/>
      <c r="L244" s="63"/>
      <c r="M244" s="42">
        <f ca="1">IFERROR(M230+M243,"")</f>
        <v>1.8749999999999989E-2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2026-08-09T16:25:39Z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