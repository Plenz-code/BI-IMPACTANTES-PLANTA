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04" documentId="8_{1D11E9C4-FEA4-4128-910F-91CB6BBF9255}" xr6:coauthVersionLast="47" xr6:coauthVersionMax="47" xr10:uidLastSave="{09694A3B-0043-4595-8CF3-B3A0F5000891}"/>
  <bookViews>
    <workbookView xWindow="-108" yWindow="-108" windowWidth="23256" windowHeight="12456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<sst xmlns="http://schemas.openxmlformats.org/spreadsheetml/2006/main" count="8582" uniqueCount="387">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</sst>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C33" sqref="C33"/>
    </sheetView>
  </sheetViews>
  <sheetFormatPr defaultColWidth="8.5546875" defaultRowHeight="14.4" x14ac:dyDescent="0.3"/>
  <cols>
    <col min="1" max="1" width="8.5546875" customWidth="1"/>
    <col min="2" max="2" width="17.44140625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9" t="s">
        <v>0</v>
      </c>
      <c r="B1" s="99"/>
      <c r="C1" s="99"/>
      <c r="D1" s="99"/>
      <c r="E1" s="99"/>
      <c r="F1" s="99"/>
      <c r="G1" s="99"/>
    </row>
    <row r="2" spans="1:7" ht="25.35" customHeight="1" x14ac:dyDescent="0.3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 x14ac:dyDescent="0.3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 x14ac:dyDescent="0.3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 x14ac:dyDescent="0.3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 x14ac:dyDescent="0.3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 x14ac:dyDescent="0.3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 x14ac:dyDescent="0.3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 x14ac:dyDescent="0.3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 x14ac:dyDescent="0.3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 x14ac:dyDescent="0.3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 x14ac:dyDescent="0.3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 x14ac:dyDescent="0.3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 x14ac:dyDescent="0.3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 x14ac:dyDescent="0.3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 x14ac:dyDescent="0.3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 x14ac:dyDescent="0.3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 x14ac:dyDescent="0.3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 x14ac:dyDescent="0.3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 x14ac:dyDescent="0.3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 x14ac:dyDescent="0.3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 x14ac:dyDescent="0.3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 x14ac:dyDescent="0.3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 x14ac:dyDescent="0.3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 x14ac:dyDescent="0.3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 x14ac:dyDescent="0.3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 x14ac:dyDescent="0.3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 x14ac:dyDescent="0.3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 x14ac:dyDescent="0.3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 x14ac:dyDescent="0.3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 x14ac:dyDescent="0.3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 x14ac:dyDescent="0.3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 x14ac:dyDescent="0.3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 x14ac:dyDescent="0.3">
      <c r="A34" s="101" t="s">
        <v>9</v>
      </c>
      <c r="B34" s="101"/>
      <c r="C34" s="55">
        <f t="shared" ref="C34:F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332031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 x14ac:dyDescent="0.3">
      <c r="H2" s="103"/>
    </row>
    <row r="3" spans="1:13" ht="21.75" customHeight="1" x14ac:dyDescent="0.3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 x14ac:dyDescent="0.3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 x14ac:dyDescent="0.3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 x14ac:dyDescent="0.3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 x14ac:dyDescent="0.3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 x14ac:dyDescent="0.3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 x14ac:dyDescent="0.3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 x14ac:dyDescent="0.3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 x14ac:dyDescent="0.3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 x14ac:dyDescent="0.3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 x14ac:dyDescent="0.3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 x14ac:dyDescent="0.3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 x14ac:dyDescent="0.3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 x14ac:dyDescent="0.3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 x14ac:dyDescent="0.3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 x14ac:dyDescent="0.3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 x14ac:dyDescent="0.3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 x14ac:dyDescent="0.3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 x14ac:dyDescent="0.3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 x14ac:dyDescent="0.3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 x14ac:dyDescent="0.3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 x14ac:dyDescent="0.3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 x14ac:dyDescent="0.3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 x14ac:dyDescent="0.3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 x14ac:dyDescent="0.3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 x14ac:dyDescent="0.3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 x14ac:dyDescent="0.3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 x14ac:dyDescent="0.3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 x14ac:dyDescent="0.3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 x14ac:dyDescent="0.3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 x14ac:dyDescent="0.3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 x14ac:dyDescent="0.3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 x14ac:dyDescent="0.3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 x14ac:dyDescent="0.3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 x14ac:dyDescent="0.3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 x14ac:dyDescent="0.3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 x14ac:dyDescent="0.3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 x14ac:dyDescent="0.3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 x14ac:dyDescent="0.3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 x14ac:dyDescent="0.3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 x14ac:dyDescent="0.3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 x14ac:dyDescent="0.3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 x14ac:dyDescent="0.3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 x14ac:dyDescent="0.3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 x14ac:dyDescent="0.3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 x14ac:dyDescent="0.3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 x14ac:dyDescent="0.3">
      <c r="H49" s="103"/>
      <c r="I49" s="4"/>
      <c r="J49" s="4"/>
      <c r="K49" s="4" t="s">
        <v>181</v>
      </c>
      <c r="L49" s="4"/>
      <c r="M49" s="4"/>
    </row>
    <row r="50" spans="1:13" ht="21" customHeight="1" x14ac:dyDescent="0.3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 x14ac:dyDescent="0.3">
      <c r="H51" s="103"/>
      <c r="I51" s="4"/>
      <c r="J51" s="4"/>
      <c r="K51" s="4" t="s">
        <v>184</v>
      </c>
      <c r="L51" s="4"/>
      <c r="M51" s="4"/>
    </row>
    <row r="52" spans="1:13" ht="24" customHeight="1" x14ac:dyDescent="0.3">
      <c r="H52" s="103"/>
      <c r="I52" s="3"/>
      <c r="J52" s="3"/>
      <c r="K52" s="3" t="s">
        <v>185</v>
      </c>
      <c r="L52" s="3"/>
      <c r="M52" s="3"/>
    </row>
    <row r="53" spans="1:13" ht="36" customHeight="1" x14ac:dyDescent="0.3">
      <c r="H53" s="103"/>
      <c r="I53" s="4"/>
      <c r="J53" s="4"/>
      <c r="K53" s="4" t="s">
        <v>186</v>
      </c>
      <c r="L53" s="4"/>
      <c r="M53" s="4"/>
    </row>
    <row r="54" spans="1:13" ht="15" customHeight="1" x14ac:dyDescent="0.3">
      <c r="H54" s="103"/>
      <c r="I54" s="3"/>
      <c r="J54" s="3"/>
      <c r="K54" s="3"/>
      <c r="L54" s="3"/>
      <c r="M54" s="3"/>
    </row>
    <row r="55" spans="1:13" ht="15" customHeight="1" x14ac:dyDescent="0.3">
      <c r="H55" s="103"/>
      <c r="I55" s="4"/>
      <c r="J55" s="4"/>
      <c r="K55" s="4"/>
      <c r="L55" s="4"/>
      <c r="M55" s="4"/>
    </row>
    <row r="56" spans="1:13" ht="15" customHeight="1" x14ac:dyDescent="0.3">
      <c r="H56" s="103"/>
      <c r="I56" s="3"/>
      <c r="J56" s="3"/>
      <c r="K56" s="3"/>
      <c r="L56" s="3"/>
      <c r="M56" s="3"/>
    </row>
    <row r="57" spans="1:13" ht="15" customHeight="1" x14ac:dyDescent="0.3">
      <c r="H57" s="103"/>
      <c r="I57" s="4"/>
      <c r="J57" s="4"/>
      <c r="K57" s="4"/>
      <c r="L57" s="4"/>
      <c r="M57" s="4"/>
    </row>
    <row r="58" spans="1:13" ht="15" customHeight="1" x14ac:dyDescent="0.3">
      <c r="H58" s="103"/>
      <c r="I58" s="3"/>
      <c r="J58" s="3"/>
      <c r="K58" s="3"/>
      <c r="L58" s="3"/>
      <c r="M58" s="3"/>
    </row>
    <row r="59" spans="1:13" ht="15" customHeight="1" x14ac:dyDescent="0.3">
      <c r="H59" s="103"/>
      <c r="I59" s="4"/>
      <c r="J59" s="4"/>
      <c r="K59" s="4"/>
      <c r="L59" s="4"/>
      <c r="M59" s="4"/>
    </row>
    <row r="60" spans="1:13" ht="15" customHeight="1" x14ac:dyDescent="0.3">
      <c r="H60" s="103"/>
      <c r="I60" s="3"/>
      <c r="J60" s="3"/>
      <c r="K60" s="3"/>
      <c r="L60" s="3"/>
      <c r="M60" s="3"/>
    </row>
    <row r="61" spans="1:13" ht="15" customHeight="1" x14ac:dyDescent="0.3">
      <c r="H61" s="103"/>
      <c r="I61" s="4"/>
      <c r="J61" s="4"/>
      <c r="K61" s="4"/>
      <c r="L61" s="4"/>
      <c r="M61" s="4"/>
    </row>
    <row r="62" spans="1:13" ht="15" customHeight="1" x14ac:dyDescent="0.3">
      <c r="H62" s="103"/>
      <c r="I62" s="3"/>
      <c r="J62" s="3"/>
      <c r="K62" s="3"/>
      <c r="L62" s="3"/>
      <c r="M62" s="3"/>
    </row>
    <row r="63" spans="1:13" ht="15" customHeight="1" x14ac:dyDescent="0.3">
      <c r="H63" s="103"/>
      <c r="I63" s="4"/>
      <c r="J63" s="4"/>
      <c r="K63" s="4"/>
      <c r="L63" s="4"/>
      <c r="M63" s="4"/>
    </row>
    <row r="64" spans="1:13" ht="15" customHeight="1" x14ac:dyDescent="0.3">
      <c r="H64" s="103"/>
      <c r="I64" s="3"/>
      <c r="J64" s="3"/>
      <c r="K64" s="3"/>
      <c r="L64" s="3"/>
      <c r="M64" s="3"/>
    </row>
    <row r="65" spans="8:13" ht="15" customHeight="1" x14ac:dyDescent="0.3">
      <c r="H65" s="103"/>
      <c r="I65" s="4"/>
      <c r="J65" s="4"/>
      <c r="K65" s="4"/>
      <c r="L65" s="4"/>
      <c r="M65" s="4"/>
    </row>
    <row r="66" spans="8:13" ht="15" customHeight="1" x14ac:dyDescent="0.3">
      <c r="H66" s="103"/>
      <c r="I66" s="3"/>
      <c r="J66" s="3"/>
      <c r="K66" s="3"/>
      <c r="L66" s="3"/>
      <c r="M66" s="3"/>
    </row>
    <row r="67" spans="8:13" ht="15" customHeight="1" x14ac:dyDescent="0.3">
      <c r="H67" s="103"/>
      <c r="I67" s="4"/>
      <c r="J67" s="4"/>
      <c r="K67" s="4"/>
      <c r="L67" s="4"/>
      <c r="M67" s="4"/>
    </row>
    <row r="68" spans="8:13" ht="15" customHeight="1" x14ac:dyDescent="0.3">
      <c r="H68" s="103"/>
      <c r="I68" s="3"/>
      <c r="J68" s="3"/>
      <c r="K68" s="3"/>
      <c r="L68" s="3"/>
      <c r="M68" s="3"/>
    </row>
    <row r="69" spans="8:13" ht="15" customHeight="1" x14ac:dyDescent="0.3">
      <c r="H69" s="103"/>
      <c r="I69" s="4"/>
      <c r="J69" s="4"/>
      <c r="K69" s="4"/>
      <c r="L69" s="4"/>
      <c r="M69" s="4"/>
    </row>
    <row r="70" spans="8:13" ht="15" customHeight="1" x14ac:dyDescent="0.3">
      <c r="H70" s="103"/>
      <c r="I70" s="3"/>
      <c r="J70" s="3"/>
      <c r="K70" s="3"/>
      <c r="L70" s="3"/>
      <c r="M70" s="3"/>
    </row>
    <row r="71" spans="8:13" ht="15" customHeight="1" x14ac:dyDescent="0.3">
      <c r="H71" s="103"/>
      <c r="I71" s="4"/>
      <c r="J71" s="4"/>
      <c r="K71" s="4"/>
      <c r="L71" s="4"/>
      <c r="M71" s="4"/>
    </row>
    <row r="72" spans="8:13" ht="15" customHeight="1" x14ac:dyDescent="0.3">
      <c r="H72" s="103"/>
      <c r="I72" s="3"/>
      <c r="J72" s="3"/>
      <c r="K72" s="3"/>
      <c r="L72" s="3"/>
      <c r="M72" s="3"/>
    </row>
    <row r="73" spans="8:13" ht="15" customHeight="1" x14ac:dyDescent="0.3">
      <c r="H73" s="103"/>
      <c r="I73" s="4"/>
      <c r="J73" s="4"/>
      <c r="K73" s="4"/>
      <c r="L73" s="4"/>
      <c r="M73" s="4"/>
    </row>
    <row r="74" spans="8:13" ht="15" customHeight="1" x14ac:dyDescent="0.3">
      <c r="H74" s="103"/>
      <c r="I74" s="3"/>
      <c r="J74" s="3"/>
      <c r="K74" s="3"/>
      <c r="L74" s="3"/>
      <c r="M74" s="3"/>
    </row>
    <row r="75" spans="8:13" ht="15" customHeight="1" x14ac:dyDescent="0.3">
      <c r="H75" s="103"/>
      <c r="I75" s="4"/>
      <c r="J75" s="4"/>
      <c r="K75" s="4"/>
      <c r="L75" s="4"/>
      <c r="M75" s="4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topLeftCell="E1" zoomScale="90" zoomScaleNormal="90" workbookViewId="0">
      <pane ySplit="1" topLeftCell="A777" activePane="bottomLeft" state="frozen"/>
      <selection pane="bottomLeft" activeCell="I792" sqref="I792"/>
    </sheetView>
  </sheetViews>
  <sheetFormatPr defaultColWidth="8.5546875" defaultRowHeight="14.4" x14ac:dyDescent="0.3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09375" style="7" customWidth="1"/>
    <col min="8" max="8" width="23.44140625" style="7" customWidth="1"/>
    <col min="9" max="9" width="43.109375" style="7" customWidth="1"/>
    <col min="10" max="10" width="14" style="7" customWidth="1"/>
    <col min="11" max="11" width="13.109375" style="7" customWidth="1"/>
    <col min="12" max="12" width="14" style="74" customWidth="1"/>
    <col min="13" max="13" width="50.44140625" style="7" customWidth="1"/>
    <col min="14" max="14" width="14" style="7" customWidth="1"/>
  </cols>
  <sheetData>
    <row r="1" spans="1:14" ht="37.5" customHeight="1" x14ac:dyDescent="0.3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 x14ac:dyDescent="0.3">
      <c r="A14" s="98" t="s">
        <v>197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98" t="s">
        <v>199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 x14ac:dyDescent="0.3">
      <c r="A28" s="97" t="s">
        <v>200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98" t="s">
        <v>197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98" t="s">
        <v>199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 x14ac:dyDescent="0.3">
      <c r="A55" s="97" t="s">
        <v>200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 x14ac:dyDescent="0.3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 x14ac:dyDescent="0.3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 x14ac:dyDescent="0.3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 x14ac:dyDescent="0.3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 x14ac:dyDescent="0.3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 x14ac:dyDescent="0.3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 x14ac:dyDescent="0.3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 x14ac:dyDescent="0.3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 x14ac:dyDescent="0.3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 x14ac:dyDescent="0.3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 x14ac:dyDescent="0.3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 x14ac:dyDescent="0.3">
      <c r="A68" s="98" t="s">
        <v>197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 x14ac:dyDescent="0.3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 x14ac:dyDescent="0.3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 x14ac:dyDescent="0.3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 x14ac:dyDescent="0.3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 x14ac:dyDescent="0.3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 x14ac:dyDescent="0.3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 x14ac:dyDescent="0.3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 x14ac:dyDescent="0.3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 x14ac:dyDescent="0.3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 x14ac:dyDescent="0.3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 x14ac:dyDescent="0.3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 x14ac:dyDescent="0.3">
      <c r="A81" s="98" t="s">
        <v>199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 x14ac:dyDescent="0.3">
      <c r="A82" s="97" t="s">
        <v>200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 x14ac:dyDescent="0.3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 x14ac:dyDescent="0.3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 x14ac:dyDescent="0.3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 x14ac:dyDescent="0.3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 x14ac:dyDescent="0.3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 x14ac:dyDescent="0.3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 x14ac:dyDescent="0.3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 x14ac:dyDescent="0.3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 x14ac:dyDescent="0.3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 x14ac:dyDescent="0.3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 x14ac:dyDescent="0.3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 x14ac:dyDescent="0.3">
      <c r="A95" s="98" t="s">
        <v>197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 x14ac:dyDescent="0.3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 x14ac:dyDescent="0.3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 x14ac:dyDescent="0.3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 x14ac:dyDescent="0.3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 x14ac:dyDescent="0.3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 x14ac:dyDescent="0.3">
      <c r="A108" s="98" t="s">
        <v>199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 x14ac:dyDescent="0.3">
      <c r="A109" s="97" t="s">
        <v>200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 x14ac:dyDescent="0.3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 x14ac:dyDescent="0.3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 x14ac:dyDescent="0.3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 x14ac:dyDescent="0.3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 x14ac:dyDescent="0.3">
      <c r="A122" s="98" t="s">
        <v>197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 x14ac:dyDescent="0.3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 x14ac:dyDescent="0.3">
      <c r="A135" s="98" t="s">
        <v>199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 x14ac:dyDescent="0.3">
      <c r="A136" s="97" t="s">
        <v>200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 x14ac:dyDescent="0.3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 x14ac:dyDescent="0.3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 x14ac:dyDescent="0.3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 x14ac:dyDescent="0.3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 x14ac:dyDescent="0.3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 x14ac:dyDescent="0.35">
      <c r="A149" s="98" t="s">
        <v>197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 x14ac:dyDescent="0.35">
      <c r="A162" s="98" t="s">
        <v>199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 x14ac:dyDescent="0.3">
      <c r="A163" s="97" t="s">
        <v>200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 x14ac:dyDescent="0.3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 x14ac:dyDescent="0.3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 x14ac:dyDescent="0.3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 x14ac:dyDescent="0.3">
      <c r="A176" s="98" t="s">
        <v>197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 x14ac:dyDescent="0.3">
      <c r="A189" s="98" t="s">
        <v>199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 x14ac:dyDescent="0.3">
      <c r="A190" s="97" t="s">
        <v>200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 x14ac:dyDescent="0.3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 x14ac:dyDescent="0.3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 x14ac:dyDescent="0.3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 x14ac:dyDescent="0.3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 x14ac:dyDescent="0.3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 x14ac:dyDescent="0.3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 x14ac:dyDescent="0.3">
      <c r="A203" s="98" t="s">
        <v>197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 x14ac:dyDescent="0.3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 x14ac:dyDescent="0.3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 x14ac:dyDescent="0.3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 x14ac:dyDescent="0.3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 x14ac:dyDescent="0.3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 x14ac:dyDescent="0.3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 x14ac:dyDescent="0.3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 x14ac:dyDescent="0.3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 x14ac:dyDescent="0.3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 x14ac:dyDescent="0.3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 x14ac:dyDescent="0.3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 x14ac:dyDescent="0.3">
      <c r="A216" s="98" t="s">
        <v>199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 x14ac:dyDescent="0.3">
      <c r="A217" s="97" t="s">
        <v>200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 x14ac:dyDescent="0.3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 x14ac:dyDescent="0.3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 x14ac:dyDescent="0.3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 x14ac:dyDescent="0.3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 x14ac:dyDescent="0.3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 x14ac:dyDescent="0.3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 x14ac:dyDescent="0.3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 x14ac:dyDescent="0.3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 x14ac:dyDescent="0.3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 x14ac:dyDescent="0.3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 x14ac:dyDescent="0.3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 x14ac:dyDescent="0.3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 x14ac:dyDescent="0.3">
      <c r="A230" s="98" t="s">
        <v>197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 x14ac:dyDescent="0.3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 x14ac:dyDescent="0.3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 x14ac:dyDescent="0.3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 x14ac:dyDescent="0.3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 x14ac:dyDescent="0.3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 x14ac:dyDescent="0.3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 x14ac:dyDescent="0.3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 x14ac:dyDescent="0.3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 x14ac:dyDescent="0.3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 x14ac:dyDescent="0.3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 x14ac:dyDescent="0.3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 x14ac:dyDescent="0.3">
      <c r="A243" s="98" t="s">
        <v>199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 x14ac:dyDescent="0.3">
      <c r="A244" s="97" t="s">
        <v>200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 x14ac:dyDescent="0.3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 x14ac:dyDescent="0.3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 x14ac:dyDescent="0.3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 x14ac:dyDescent="0.3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 x14ac:dyDescent="0.3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 x14ac:dyDescent="0.3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 x14ac:dyDescent="0.3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 x14ac:dyDescent="0.3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 x14ac:dyDescent="0.3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 x14ac:dyDescent="0.3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 x14ac:dyDescent="0.3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 x14ac:dyDescent="0.3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 x14ac:dyDescent="0.3">
      <c r="A257" s="98" t="s">
        <v>197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 x14ac:dyDescent="0.3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 x14ac:dyDescent="0.3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 x14ac:dyDescent="0.3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 x14ac:dyDescent="0.3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 x14ac:dyDescent="0.3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 x14ac:dyDescent="0.3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 x14ac:dyDescent="0.3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 x14ac:dyDescent="0.3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 x14ac:dyDescent="0.3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 x14ac:dyDescent="0.3">
      <c r="A270" s="98" t="s">
        <v>199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 x14ac:dyDescent="0.3">
      <c r="A271" s="97" t="s">
        <v>200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 x14ac:dyDescent="0.3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 x14ac:dyDescent="0.3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 x14ac:dyDescent="0.3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 x14ac:dyDescent="0.3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 x14ac:dyDescent="0.3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 x14ac:dyDescent="0.3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 x14ac:dyDescent="0.3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 x14ac:dyDescent="0.3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 x14ac:dyDescent="0.3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 x14ac:dyDescent="0.3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 x14ac:dyDescent="0.3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 x14ac:dyDescent="0.3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 x14ac:dyDescent="0.3">
      <c r="A284" s="98" t="s">
        <v>197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 x14ac:dyDescent="0.3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 x14ac:dyDescent="0.3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 x14ac:dyDescent="0.3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 x14ac:dyDescent="0.3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 x14ac:dyDescent="0.3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 x14ac:dyDescent="0.3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 x14ac:dyDescent="0.3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 x14ac:dyDescent="0.3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 x14ac:dyDescent="0.3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 x14ac:dyDescent="0.3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 x14ac:dyDescent="0.3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 x14ac:dyDescent="0.3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 x14ac:dyDescent="0.3">
      <c r="A297" s="98" t="s">
        <v>199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 x14ac:dyDescent="0.3">
      <c r="A298" s="97" t="s">
        <v>200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 x14ac:dyDescent="0.3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 x14ac:dyDescent="0.3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 x14ac:dyDescent="0.3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 x14ac:dyDescent="0.3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 x14ac:dyDescent="0.3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 x14ac:dyDescent="0.3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 x14ac:dyDescent="0.3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 x14ac:dyDescent="0.3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 x14ac:dyDescent="0.3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 x14ac:dyDescent="0.3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 x14ac:dyDescent="0.3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 x14ac:dyDescent="0.3">
      <c r="A311" s="98" t="s">
        <v>197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 x14ac:dyDescent="0.3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 x14ac:dyDescent="0.3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 x14ac:dyDescent="0.3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 x14ac:dyDescent="0.3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 x14ac:dyDescent="0.3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 x14ac:dyDescent="0.3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 x14ac:dyDescent="0.3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 x14ac:dyDescent="0.3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 x14ac:dyDescent="0.3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 x14ac:dyDescent="0.3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 x14ac:dyDescent="0.3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 x14ac:dyDescent="0.3">
      <c r="A324" s="98" t="s">
        <v>199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 x14ac:dyDescent="0.3">
      <c r="A325" s="97" t="s">
        <v>200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 x14ac:dyDescent="0.3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 x14ac:dyDescent="0.3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 x14ac:dyDescent="0.3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 x14ac:dyDescent="0.3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 x14ac:dyDescent="0.3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 x14ac:dyDescent="0.3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 x14ac:dyDescent="0.3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 x14ac:dyDescent="0.3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 x14ac:dyDescent="0.3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 x14ac:dyDescent="0.3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 x14ac:dyDescent="0.3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 x14ac:dyDescent="0.3">
      <c r="A338" s="98" t="s">
        <v>197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 x14ac:dyDescent="0.3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 x14ac:dyDescent="0.3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 x14ac:dyDescent="0.3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 x14ac:dyDescent="0.3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 x14ac:dyDescent="0.3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 x14ac:dyDescent="0.3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 x14ac:dyDescent="0.3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 x14ac:dyDescent="0.3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 x14ac:dyDescent="0.3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 x14ac:dyDescent="0.3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 x14ac:dyDescent="0.3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 x14ac:dyDescent="0.3">
      <c r="A351" s="98" t="s">
        <v>199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 x14ac:dyDescent="0.3">
      <c r="A352" s="97" t="s">
        <v>200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 x14ac:dyDescent="0.3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 x14ac:dyDescent="0.3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 x14ac:dyDescent="0.3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 x14ac:dyDescent="0.3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 x14ac:dyDescent="0.3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 x14ac:dyDescent="0.3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 x14ac:dyDescent="0.3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 x14ac:dyDescent="0.3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 x14ac:dyDescent="0.3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 x14ac:dyDescent="0.3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 x14ac:dyDescent="0.3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 x14ac:dyDescent="0.3">
      <c r="A365" s="98" t="s">
        <v>197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 x14ac:dyDescent="0.3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 x14ac:dyDescent="0.3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 x14ac:dyDescent="0.3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 x14ac:dyDescent="0.3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 x14ac:dyDescent="0.3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 x14ac:dyDescent="0.3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 x14ac:dyDescent="0.3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 x14ac:dyDescent="0.3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 x14ac:dyDescent="0.3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 x14ac:dyDescent="0.3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 x14ac:dyDescent="0.3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 x14ac:dyDescent="0.3">
      <c r="A378" s="98" t="s">
        <v>199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 x14ac:dyDescent="0.3">
      <c r="A379" s="97" t="s">
        <v>200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 x14ac:dyDescent="0.3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 x14ac:dyDescent="0.3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 x14ac:dyDescent="0.3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 x14ac:dyDescent="0.3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 x14ac:dyDescent="0.3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 x14ac:dyDescent="0.3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 x14ac:dyDescent="0.3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 x14ac:dyDescent="0.3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 x14ac:dyDescent="0.3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 x14ac:dyDescent="0.3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 x14ac:dyDescent="0.3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 x14ac:dyDescent="0.3">
      <c r="A392" s="98" t="s">
        <v>197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 x14ac:dyDescent="0.3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 x14ac:dyDescent="0.3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 x14ac:dyDescent="0.3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 x14ac:dyDescent="0.3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 x14ac:dyDescent="0.3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 x14ac:dyDescent="0.3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 x14ac:dyDescent="0.3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 x14ac:dyDescent="0.3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 x14ac:dyDescent="0.3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 x14ac:dyDescent="0.3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 x14ac:dyDescent="0.3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 x14ac:dyDescent="0.3">
      <c r="A405" s="98" t="s">
        <v>199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 x14ac:dyDescent="0.3">
      <c r="A406" s="97" t="s">
        <v>200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 x14ac:dyDescent="0.3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 x14ac:dyDescent="0.3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 x14ac:dyDescent="0.3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 x14ac:dyDescent="0.3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 x14ac:dyDescent="0.3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 x14ac:dyDescent="0.3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 x14ac:dyDescent="0.3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 x14ac:dyDescent="0.3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 x14ac:dyDescent="0.3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 x14ac:dyDescent="0.3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 x14ac:dyDescent="0.3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 x14ac:dyDescent="0.3">
      <c r="A419" s="98" t="s">
        <v>197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 x14ac:dyDescent="0.3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 x14ac:dyDescent="0.3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 x14ac:dyDescent="0.3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 x14ac:dyDescent="0.3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 x14ac:dyDescent="0.3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 x14ac:dyDescent="0.3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 x14ac:dyDescent="0.3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 x14ac:dyDescent="0.3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 x14ac:dyDescent="0.3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 x14ac:dyDescent="0.3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 x14ac:dyDescent="0.3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 x14ac:dyDescent="0.3">
      <c r="A432" s="98" t="s">
        <v>199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 x14ac:dyDescent="0.3">
      <c r="A433" s="97" t="s">
        <v>200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 x14ac:dyDescent="0.3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 x14ac:dyDescent="0.3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 x14ac:dyDescent="0.3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 x14ac:dyDescent="0.3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 x14ac:dyDescent="0.3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 x14ac:dyDescent="0.3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 x14ac:dyDescent="0.3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 x14ac:dyDescent="0.3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 x14ac:dyDescent="0.3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 x14ac:dyDescent="0.3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 x14ac:dyDescent="0.3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 x14ac:dyDescent="0.3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 x14ac:dyDescent="0.3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 x14ac:dyDescent="0.3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 x14ac:dyDescent="0.3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 x14ac:dyDescent="0.3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 x14ac:dyDescent="0.3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 x14ac:dyDescent="0.3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 x14ac:dyDescent="0.3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 x14ac:dyDescent="0.3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 x14ac:dyDescent="0.3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 x14ac:dyDescent="0.3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 x14ac:dyDescent="0.3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 x14ac:dyDescent="0.3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 x14ac:dyDescent="0.3">
      <c r="A459" s="98" t="s">
        <v>199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 x14ac:dyDescent="0.3">
      <c r="A460" s="97" t="s">
        <v>200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 x14ac:dyDescent="0.3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 x14ac:dyDescent="0.3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 x14ac:dyDescent="0.3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 x14ac:dyDescent="0.3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 x14ac:dyDescent="0.3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 x14ac:dyDescent="0.3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 x14ac:dyDescent="0.3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 x14ac:dyDescent="0.3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 x14ac:dyDescent="0.3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 x14ac:dyDescent="0.3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 x14ac:dyDescent="0.3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 x14ac:dyDescent="0.3">
      <c r="A473" s="98" t="s">
        <v>197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 x14ac:dyDescent="0.3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 x14ac:dyDescent="0.3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 x14ac:dyDescent="0.3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 x14ac:dyDescent="0.3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 x14ac:dyDescent="0.3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 x14ac:dyDescent="0.3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 x14ac:dyDescent="0.3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 x14ac:dyDescent="0.3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 x14ac:dyDescent="0.3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 x14ac:dyDescent="0.3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 x14ac:dyDescent="0.3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 x14ac:dyDescent="0.3">
      <c r="A486" s="98" t="s">
        <v>199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 x14ac:dyDescent="0.3">
      <c r="A487" s="97" t="s">
        <v>200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 x14ac:dyDescent="0.3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 x14ac:dyDescent="0.3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 x14ac:dyDescent="0.3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 x14ac:dyDescent="0.3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 x14ac:dyDescent="0.3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 x14ac:dyDescent="0.3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 x14ac:dyDescent="0.3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 x14ac:dyDescent="0.3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 x14ac:dyDescent="0.3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 x14ac:dyDescent="0.3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 x14ac:dyDescent="0.3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 x14ac:dyDescent="0.3">
      <c r="A500" s="98" t="s">
        <v>197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 x14ac:dyDescent="0.3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 x14ac:dyDescent="0.3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 x14ac:dyDescent="0.3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 x14ac:dyDescent="0.3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 x14ac:dyDescent="0.3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 x14ac:dyDescent="0.3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 x14ac:dyDescent="0.3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 x14ac:dyDescent="0.3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 x14ac:dyDescent="0.3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 x14ac:dyDescent="0.3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 x14ac:dyDescent="0.3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 x14ac:dyDescent="0.3">
      <c r="A513" s="98" t="s">
        <v>199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 x14ac:dyDescent="0.3">
      <c r="A514" s="97" t="s">
        <v>200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 x14ac:dyDescent="0.3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 x14ac:dyDescent="0.3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 x14ac:dyDescent="0.3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 x14ac:dyDescent="0.3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 x14ac:dyDescent="0.3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 x14ac:dyDescent="0.3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 x14ac:dyDescent="0.3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 x14ac:dyDescent="0.3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 x14ac:dyDescent="0.3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 x14ac:dyDescent="0.3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 x14ac:dyDescent="0.3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 x14ac:dyDescent="0.3">
      <c r="A527" s="98" t="s">
        <v>197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 x14ac:dyDescent="0.3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 x14ac:dyDescent="0.3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 x14ac:dyDescent="0.3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 x14ac:dyDescent="0.3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 x14ac:dyDescent="0.3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 x14ac:dyDescent="0.3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 x14ac:dyDescent="0.3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 x14ac:dyDescent="0.3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 x14ac:dyDescent="0.3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 x14ac:dyDescent="0.3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 x14ac:dyDescent="0.3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 x14ac:dyDescent="0.3">
      <c r="A540" s="98" t="s">
        <v>199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 x14ac:dyDescent="0.3">
      <c r="A541" s="97" t="s">
        <v>200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 x14ac:dyDescent="0.3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 x14ac:dyDescent="0.3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 x14ac:dyDescent="0.3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 x14ac:dyDescent="0.3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 x14ac:dyDescent="0.3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 x14ac:dyDescent="0.3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 x14ac:dyDescent="0.3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 x14ac:dyDescent="0.3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 x14ac:dyDescent="0.3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 x14ac:dyDescent="0.3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 x14ac:dyDescent="0.3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 x14ac:dyDescent="0.3">
      <c r="A554" s="98" t="s">
        <v>197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 x14ac:dyDescent="0.3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 x14ac:dyDescent="0.3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 x14ac:dyDescent="0.3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 x14ac:dyDescent="0.3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 x14ac:dyDescent="0.3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 x14ac:dyDescent="0.3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 x14ac:dyDescent="0.3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 x14ac:dyDescent="0.3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 x14ac:dyDescent="0.3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 x14ac:dyDescent="0.3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 x14ac:dyDescent="0.3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 x14ac:dyDescent="0.3">
      <c r="A567" s="98" t="s">
        <v>199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 x14ac:dyDescent="0.3">
      <c r="A568" s="97" t="s">
        <v>200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 x14ac:dyDescent="0.3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 x14ac:dyDescent="0.3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 x14ac:dyDescent="0.3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 x14ac:dyDescent="0.3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 x14ac:dyDescent="0.3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 x14ac:dyDescent="0.3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 x14ac:dyDescent="0.3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 x14ac:dyDescent="0.3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 x14ac:dyDescent="0.3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 x14ac:dyDescent="0.3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 x14ac:dyDescent="0.3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 x14ac:dyDescent="0.3">
      <c r="A581" s="98" t="s">
        <v>197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 x14ac:dyDescent="0.3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 x14ac:dyDescent="0.3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 x14ac:dyDescent="0.3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 x14ac:dyDescent="0.3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 x14ac:dyDescent="0.3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 x14ac:dyDescent="0.3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 x14ac:dyDescent="0.3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 x14ac:dyDescent="0.3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 x14ac:dyDescent="0.3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 x14ac:dyDescent="0.3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 x14ac:dyDescent="0.3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 x14ac:dyDescent="0.3">
      <c r="A594" s="98" t="s">
        <v>199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 x14ac:dyDescent="0.3">
      <c r="A595" s="97" t="s">
        <v>200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 x14ac:dyDescent="0.3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 x14ac:dyDescent="0.3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 x14ac:dyDescent="0.3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 x14ac:dyDescent="0.3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 x14ac:dyDescent="0.3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 x14ac:dyDescent="0.3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 x14ac:dyDescent="0.3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 x14ac:dyDescent="0.3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 x14ac:dyDescent="0.3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 x14ac:dyDescent="0.3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 x14ac:dyDescent="0.3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 x14ac:dyDescent="0.3">
      <c r="A608" s="98" t="s">
        <v>197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 x14ac:dyDescent="0.3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 x14ac:dyDescent="0.3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 x14ac:dyDescent="0.3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 x14ac:dyDescent="0.3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 x14ac:dyDescent="0.3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 x14ac:dyDescent="0.3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 x14ac:dyDescent="0.3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 x14ac:dyDescent="0.3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 x14ac:dyDescent="0.3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 x14ac:dyDescent="0.3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 x14ac:dyDescent="0.3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 x14ac:dyDescent="0.3">
      <c r="A621" s="98" t="s">
        <v>199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 x14ac:dyDescent="0.3">
      <c r="A622" s="97" t="s">
        <v>200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 x14ac:dyDescent="0.3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 x14ac:dyDescent="0.3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 x14ac:dyDescent="0.3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 x14ac:dyDescent="0.3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 x14ac:dyDescent="0.3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 x14ac:dyDescent="0.3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 x14ac:dyDescent="0.3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 x14ac:dyDescent="0.3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 x14ac:dyDescent="0.3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 x14ac:dyDescent="0.3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 x14ac:dyDescent="0.3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 x14ac:dyDescent="0.3">
      <c r="A635" s="98" t="s">
        <v>197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 x14ac:dyDescent="0.3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 x14ac:dyDescent="0.3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 x14ac:dyDescent="0.3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 x14ac:dyDescent="0.3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 x14ac:dyDescent="0.3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 x14ac:dyDescent="0.3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 x14ac:dyDescent="0.3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 x14ac:dyDescent="0.3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 x14ac:dyDescent="0.3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 x14ac:dyDescent="0.3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 x14ac:dyDescent="0.3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 x14ac:dyDescent="0.3">
      <c r="A648" s="98" t="s">
        <v>199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 x14ac:dyDescent="0.3">
      <c r="A649" s="97" t="s">
        <v>200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 x14ac:dyDescent="0.3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 x14ac:dyDescent="0.3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 x14ac:dyDescent="0.3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 x14ac:dyDescent="0.3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 x14ac:dyDescent="0.3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 x14ac:dyDescent="0.3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 x14ac:dyDescent="0.3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 x14ac:dyDescent="0.3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 x14ac:dyDescent="0.3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 x14ac:dyDescent="0.3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 x14ac:dyDescent="0.3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 x14ac:dyDescent="0.3">
      <c r="A662" s="98" t="s">
        <v>197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 x14ac:dyDescent="0.3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 x14ac:dyDescent="0.3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 x14ac:dyDescent="0.3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 x14ac:dyDescent="0.3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 x14ac:dyDescent="0.3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 x14ac:dyDescent="0.3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 x14ac:dyDescent="0.3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 x14ac:dyDescent="0.3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 x14ac:dyDescent="0.3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 x14ac:dyDescent="0.3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 x14ac:dyDescent="0.3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 x14ac:dyDescent="0.3">
      <c r="A675" s="98" t="s">
        <v>199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 x14ac:dyDescent="0.3">
      <c r="A676" s="97" t="s">
        <v>200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 x14ac:dyDescent="0.3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 x14ac:dyDescent="0.3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 x14ac:dyDescent="0.3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 x14ac:dyDescent="0.3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 x14ac:dyDescent="0.3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 x14ac:dyDescent="0.3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 x14ac:dyDescent="0.3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 x14ac:dyDescent="0.3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 x14ac:dyDescent="0.3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 x14ac:dyDescent="0.3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 x14ac:dyDescent="0.3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 x14ac:dyDescent="0.3">
      <c r="A689" s="98" t="s">
        <v>197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 x14ac:dyDescent="0.3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 x14ac:dyDescent="0.3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 x14ac:dyDescent="0.3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 x14ac:dyDescent="0.3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 x14ac:dyDescent="0.3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 x14ac:dyDescent="0.3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 x14ac:dyDescent="0.3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 x14ac:dyDescent="0.3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 x14ac:dyDescent="0.3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 x14ac:dyDescent="0.3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 x14ac:dyDescent="0.3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 x14ac:dyDescent="0.3">
      <c r="A702" s="98" t="s">
        <v>199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 x14ac:dyDescent="0.3">
      <c r="A703" s="97" t="s">
        <v>200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 x14ac:dyDescent="0.3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 x14ac:dyDescent="0.3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 x14ac:dyDescent="0.3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 x14ac:dyDescent="0.3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 x14ac:dyDescent="0.3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 x14ac:dyDescent="0.3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 x14ac:dyDescent="0.3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 x14ac:dyDescent="0.3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 x14ac:dyDescent="0.3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 x14ac:dyDescent="0.3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 x14ac:dyDescent="0.3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 x14ac:dyDescent="0.3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 x14ac:dyDescent="0.3">
      <c r="A716" s="98" t="s">
        <v>197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 x14ac:dyDescent="0.3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 x14ac:dyDescent="0.3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 x14ac:dyDescent="0.3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 x14ac:dyDescent="0.3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 x14ac:dyDescent="0.3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 x14ac:dyDescent="0.3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 x14ac:dyDescent="0.3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 x14ac:dyDescent="0.3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 x14ac:dyDescent="0.3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 x14ac:dyDescent="0.3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 x14ac:dyDescent="0.3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 x14ac:dyDescent="0.3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 x14ac:dyDescent="0.3">
      <c r="A729" s="98" t="s">
        <v>199</v>
      </c>
      <c r="B729" s="98"/>
      <c r="C729" s="98"/>
      <c r="D729" s="9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 x14ac:dyDescent="0.3">
      <c r="A730" s="97" t="s">
        <v>200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 x14ac:dyDescent="0.3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 x14ac:dyDescent="0.3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 x14ac:dyDescent="0.3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 x14ac:dyDescent="0.3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 x14ac:dyDescent="0.3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 x14ac:dyDescent="0.3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 x14ac:dyDescent="0.3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 x14ac:dyDescent="0.3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 x14ac:dyDescent="0.3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 x14ac:dyDescent="0.3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 x14ac:dyDescent="0.3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 x14ac:dyDescent="0.3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 x14ac:dyDescent="0.3">
      <c r="A743" s="98" t="s">
        <v>197</v>
      </c>
      <c r="B743" s="98"/>
      <c r="C743" s="98"/>
      <c r="D743" s="9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 x14ac:dyDescent="0.3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 x14ac:dyDescent="0.3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 x14ac:dyDescent="0.3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 x14ac:dyDescent="0.3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 x14ac:dyDescent="0.3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 x14ac:dyDescent="0.3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 x14ac:dyDescent="0.3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 x14ac:dyDescent="0.3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 x14ac:dyDescent="0.3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 x14ac:dyDescent="0.3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 x14ac:dyDescent="0.3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 x14ac:dyDescent="0.3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 x14ac:dyDescent="0.3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 x14ac:dyDescent="0.3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 x14ac:dyDescent="0.3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 x14ac:dyDescent="0.3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 x14ac:dyDescent="0.3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 x14ac:dyDescent="0.3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 x14ac:dyDescent="0.3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 x14ac:dyDescent="0.3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 x14ac:dyDescent="0.3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 x14ac:dyDescent="0.3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 x14ac:dyDescent="0.3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 x14ac:dyDescent="0.3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 x14ac:dyDescent="0.3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 x14ac:dyDescent="0.3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 x14ac:dyDescent="0.3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 x14ac:dyDescent="0.3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 x14ac:dyDescent="0.3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 x14ac:dyDescent="0.3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 x14ac:dyDescent="0.3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 x14ac:dyDescent="0.3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 x14ac:dyDescent="0.3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 x14ac:dyDescent="0.3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 x14ac:dyDescent="0.3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 x14ac:dyDescent="0.3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 x14ac:dyDescent="0.3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 x14ac:dyDescent="0.3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 x14ac:dyDescent="0.3">
      <c r="A783" s="98" t="s">
        <v>199</v>
      </c>
      <c r="B783" s="98"/>
      <c r="C783" s="98"/>
      <c r="D783" s="98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 x14ac:dyDescent="0.3">
      <c r="A784" s="97" t="s">
        <v>200</v>
      </c>
      <c r="B784" s="97"/>
      <c r="C784" s="97"/>
      <c r="D784" s="97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 x14ac:dyDescent="0.3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 x14ac:dyDescent="0.3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 x14ac:dyDescent="0.3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 x14ac:dyDescent="0.3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 x14ac:dyDescent="0.3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 x14ac:dyDescent="0.3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 x14ac:dyDescent="0.3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 x14ac:dyDescent="0.3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 x14ac:dyDescent="0.3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 x14ac:dyDescent="0.3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 x14ac:dyDescent="0.3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 x14ac:dyDescent="0.3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 x14ac:dyDescent="0.3">
      <c r="A797" s="98" t="s">
        <v>197</v>
      </c>
      <c r="B797" s="98"/>
      <c r="C797" s="98"/>
      <c r="D797" s="98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 x14ac:dyDescent="0.3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 x14ac:dyDescent="0.3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 x14ac:dyDescent="0.3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 x14ac:dyDescent="0.3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 x14ac:dyDescent="0.3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 x14ac:dyDescent="0.3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 x14ac:dyDescent="0.3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 x14ac:dyDescent="0.3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 x14ac:dyDescent="0.3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 x14ac:dyDescent="0.3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 x14ac:dyDescent="0.3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 x14ac:dyDescent="0.3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 x14ac:dyDescent="0.3">
      <c r="A810" s="98" t="s">
        <v>199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 x14ac:dyDescent="0.3">
      <c r="A811" s="97" t="s">
        <v>200</v>
      </c>
      <c r="B811" s="97"/>
      <c r="C811" s="97"/>
      <c r="D811" s="97"/>
      <c r="E811" s="22">
        <f>E797+E810</f>
        <v>206</v>
      </c>
      <c r="F811" s="22">
        <f>F797+F810</f>
        <v>1030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87" zoomScale="85" zoomScaleNormal="85" workbookViewId="0">
      <selection activeCell="N798" sqref="N798"/>
    </sheetView>
  </sheetViews>
  <sheetFormatPr defaultColWidth="8.5546875" defaultRowHeight="14.4" x14ac:dyDescent="0.3"/>
  <cols>
    <col min="1" max="1" width="13" style="61" customWidth="1"/>
    <col min="2" max="2" width="9" style="7" customWidth="1"/>
    <col min="3" max="3" width="14" style="7" customWidth="1"/>
    <col min="4" max="4" width="16.109375" style="7" customWidth="1"/>
    <col min="5" max="5" width="13" style="7" customWidth="1"/>
    <col min="6" max="6" width="14" style="7" customWidth="1"/>
    <col min="7" max="7" width="29.44140625" style="7" customWidth="1"/>
    <col min="8" max="8" width="25" style="7" customWidth="1"/>
    <col min="9" max="9" width="48.5546875" style="7" customWidth="1"/>
    <col min="10" max="10" width="15.44140625" style="7" customWidth="1"/>
    <col min="11" max="11" width="12" style="7" customWidth="1"/>
    <col min="12" max="12" width="14" style="74" customWidth="1"/>
    <col min="13" max="13" width="99.44140625" style="7" customWidth="1"/>
    <col min="14" max="14" width="20" style="7" customWidth="1"/>
  </cols>
  <sheetData>
    <row r="1" spans="1:14" ht="37.5" customHeight="1" x14ac:dyDescent="0.3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 x14ac:dyDescent="0.3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 x14ac:dyDescent="0.3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 x14ac:dyDescent="0.3">
      <c r="A28" s="97" t="s">
        <v>200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 x14ac:dyDescent="0.3">
      <c r="A55" s="97" t="s">
        <v>200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 x14ac:dyDescent="0.3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 x14ac:dyDescent="0.3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 x14ac:dyDescent="0.3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 x14ac:dyDescent="0.3">
      <c r="A82" s="97" t="s">
        <v>200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 x14ac:dyDescent="0.3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 x14ac:dyDescent="0.3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 x14ac:dyDescent="0.3">
      <c r="A109" s="97" t="s">
        <v>200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 x14ac:dyDescent="0.3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 x14ac:dyDescent="0.3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 x14ac:dyDescent="0.3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 x14ac:dyDescent="0.3">
      <c r="A136" s="97" t="s">
        <v>200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 x14ac:dyDescent="0.3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 x14ac:dyDescent="0.4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 x14ac:dyDescent="0.4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 x14ac:dyDescent="0.3">
      <c r="A163" s="97" t="s">
        <v>200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 x14ac:dyDescent="0.3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 x14ac:dyDescent="0.3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 x14ac:dyDescent="0.3">
      <c r="A190" s="97" t="s">
        <v>200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 x14ac:dyDescent="0.3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 x14ac:dyDescent="0.3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 x14ac:dyDescent="0.3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 x14ac:dyDescent="0.3">
      <c r="A217" s="97" t="s">
        <v>200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 x14ac:dyDescent="0.3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 x14ac:dyDescent="0.3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 x14ac:dyDescent="0.3">
      <c r="A244" s="97" t="s">
        <v>200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 x14ac:dyDescent="0.3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 x14ac:dyDescent="0.3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 x14ac:dyDescent="0.3">
      <c r="A271" s="97" t="s">
        <v>200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 x14ac:dyDescent="0.3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 x14ac:dyDescent="0.3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 x14ac:dyDescent="0.3">
      <c r="A298" s="97" t="s">
        <v>200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 x14ac:dyDescent="0.3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 x14ac:dyDescent="0.3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 x14ac:dyDescent="0.3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 x14ac:dyDescent="0.3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 x14ac:dyDescent="0.3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 x14ac:dyDescent="0.3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 x14ac:dyDescent="0.3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 x14ac:dyDescent="0.3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 x14ac:dyDescent="0.3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 x14ac:dyDescent="0.3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 x14ac:dyDescent="0.3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 x14ac:dyDescent="0.3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 x14ac:dyDescent="0.3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 x14ac:dyDescent="0.3">
      <c r="A325" s="97" t="s">
        <v>200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 x14ac:dyDescent="0.3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 x14ac:dyDescent="0.3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 x14ac:dyDescent="0.3">
      <c r="A352" s="97" t="s">
        <v>200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 x14ac:dyDescent="0.3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 x14ac:dyDescent="0.3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 x14ac:dyDescent="0.3">
      <c r="A379" s="97" t="s">
        <v>200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 x14ac:dyDescent="0.3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 x14ac:dyDescent="0.3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 x14ac:dyDescent="0.3">
      <c r="A406" s="97" t="s">
        <v>200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 x14ac:dyDescent="0.3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 x14ac:dyDescent="0.3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 x14ac:dyDescent="0.3">
      <c r="A433" s="97" t="s">
        <v>200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 x14ac:dyDescent="0.3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 x14ac:dyDescent="0.3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 x14ac:dyDescent="0.3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 x14ac:dyDescent="0.3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 x14ac:dyDescent="0.3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 x14ac:dyDescent="0.3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 x14ac:dyDescent="0.3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 x14ac:dyDescent="0.3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 x14ac:dyDescent="0.3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 x14ac:dyDescent="0.3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 x14ac:dyDescent="0.3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 x14ac:dyDescent="0.3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 x14ac:dyDescent="0.3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 x14ac:dyDescent="0.3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 x14ac:dyDescent="0.3">
      <c r="A460" s="97" t="s">
        <v>200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 x14ac:dyDescent="0.3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 x14ac:dyDescent="0.3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 x14ac:dyDescent="0.3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 x14ac:dyDescent="0.3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 x14ac:dyDescent="0.3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 x14ac:dyDescent="0.3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 x14ac:dyDescent="0.3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 x14ac:dyDescent="0.3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 x14ac:dyDescent="0.3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 x14ac:dyDescent="0.3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 x14ac:dyDescent="0.3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 x14ac:dyDescent="0.3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 x14ac:dyDescent="0.3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 x14ac:dyDescent="0.3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 x14ac:dyDescent="0.3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 x14ac:dyDescent="0.3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 x14ac:dyDescent="0.3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 x14ac:dyDescent="0.3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 x14ac:dyDescent="0.3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 x14ac:dyDescent="0.3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 x14ac:dyDescent="0.3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 x14ac:dyDescent="0.3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 x14ac:dyDescent="0.3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 x14ac:dyDescent="0.3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 x14ac:dyDescent="0.3">
      <c r="A487" s="97" t="s">
        <v>200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 x14ac:dyDescent="0.3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 x14ac:dyDescent="0.3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 x14ac:dyDescent="0.3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 x14ac:dyDescent="0.3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 x14ac:dyDescent="0.3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 x14ac:dyDescent="0.3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 x14ac:dyDescent="0.3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 x14ac:dyDescent="0.3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 x14ac:dyDescent="0.3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 x14ac:dyDescent="0.3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 x14ac:dyDescent="0.3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 x14ac:dyDescent="0.3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 x14ac:dyDescent="0.3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 x14ac:dyDescent="0.3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 x14ac:dyDescent="0.3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 x14ac:dyDescent="0.3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 x14ac:dyDescent="0.3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 x14ac:dyDescent="0.3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 x14ac:dyDescent="0.3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 x14ac:dyDescent="0.3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 x14ac:dyDescent="0.3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 x14ac:dyDescent="0.3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 x14ac:dyDescent="0.3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 x14ac:dyDescent="0.3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 x14ac:dyDescent="0.3">
      <c r="A514" s="97" t="s">
        <v>200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 x14ac:dyDescent="0.3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 x14ac:dyDescent="0.3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 x14ac:dyDescent="0.3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 x14ac:dyDescent="0.3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 x14ac:dyDescent="0.3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 x14ac:dyDescent="0.3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 x14ac:dyDescent="0.3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 x14ac:dyDescent="0.3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 x14ac:dyDescent="0.3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 x14ac:dyDescent="0.3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 x14ac:dyDescent="0.3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 x14ac:dyDescent="0.3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 x14ac:dyDescent="0.3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 x14ac:dyDescent="0.3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 x14ac:dyDescent="0.3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 x14ac:dyDescent="0.3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 x14ac:dyDescent="0.3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 x14ac:dyDescent="0.3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 x14ac:dyDescent="0.3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 x14ac:dyDescent="0.3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 x14ac:dyDescent="0.3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 x14ac:dyDescent="0.3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 x14ac:dyDescent="0.3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 x14ac:dyDescent="0.3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 x14ac:dyDescent="0.3">
      <c r="A541" s="97" t="s">
        <v>200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 x14ac:dyDescent="0.3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 x14ac:dyDescent="0.3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 x14ac:dyDescent="0.3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 x14ac:dyDescent="0.3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 x14ac:dyDescent="0.3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 x14ac:dyDescent="0.3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 x14ac:dyDescent="0.3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 x14ac:dyDescent="0.3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 x14ac:dyDescent="0.3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 x14ac:dyDescent="0.3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 x14ac:dyDescent="0.3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 x14ac:dyDescent="0.3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 x14ac:dyDescent="0.3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 x14ac:dyDescent="0.3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 x14ac:dyDescent="0.3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 x14ac:dyDescent="0.3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 x14ac:dyDescent="0.3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 x14ac:dyDescent="0.3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 x14ac:dyDescent="0.3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 x14ac:dyDescent="0.3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 x14ac:dyDescent="0.3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 x14ac:dyDescent="0.3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 x14ac:dyDescent="0.3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 x14ac:dyDescent="0.3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 x14ac:dyDescent="0.3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 x14ac:dyDescent="0.3">
      <c r="A568" s="97" t="s">
        <v>200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 x14ac:dyDescent="0.3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 x14ac:dyDescent="0.3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 x14ac:dyDescent="0.3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 x14ac:dyDescent="0.3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 x14ac:dyDescent="0.3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 x14ac:dyDescent="0.3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 x14ac:dyDescent="0.3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 x14ac:dyDescent="0.3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 x14ac:dyDescent="0.3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 x14ac:dyDescent="0.3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 x14ac:dyDescent="0.3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 x14ac:dyDescent="0.3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 x14ac:dyDescent="0.3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 x14ac:dyDescent="0.3">
      <c r="A595" s="97" t="s">
        <v>200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 x14ac:dyDescent="0.3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 x14ac:dyDescent="0.3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 x14ac:dyDescent="0.3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 x14ac:dyDescent="0.3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 x14ac:dyDescent="0.3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 x14ac:dyDescent="0.3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 x14ac:dyDescent="0.3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 x14ac:dyDescent="0.3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 x14ac:dyDescent="0.3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 x14ac:dyDescent="0.3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 x14ac:dyDescent="0.3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 x14ac:dyDescent="0.3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 x14ac:dyDescent="0.3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10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 x14ac:dyDescent="0.3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 x14ac:dyDescent="0.3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 x14ac:dyDescent="0.3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 x14ac:dyDescent="0.3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 x14ac:dyDescent="0.3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 x14ac:dyDescent="0.3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 x14ac:dyDescent="0.3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 x14ac:dyDescent="0.3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 x14ac:dyDescent="0.3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 x14ac:dyDescent="0.3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 x14ac:dyDescent="0.3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 x14ac:dyDescent="0.3">
      <c r="A622" s="97" t="s">
        <v>200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 x14ac:dyDescent="0.3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 x14ac:dyDescent="0.3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 x14ac:dyDescent="0.3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 x14ac:dyDescent="0.3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 x14ac:dyDescent="0.3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 x14ac:dyDescent="0.3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 x14ac:dyDescent="0.3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 x14ac:dyDescent="0.3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 x14ac:dyDescent="0.3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 x14ac:dyDescent="0.3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 x14ac:dyDescent="0.3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 x14ac:dyDescent="0.3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 x14ac:dyDescent="0.3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 x14ac:dyDescent="0.3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 x14ac:dyDescent="0.3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 x14ac:dyDescent="0.3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 x14ac:dyDescent="0.3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 x14ac:dyDescent="0.3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 x14ac:dyDescent="0.3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 x14ac:dyDescent="0.3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 x14ac:dyDescent="0.3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 x14ac:dyDescent="0.3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 x14ac:dyDescent="0.3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 x14ac:dyDescent="0.3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 x14ac:dyDescent="0.3">
      <c r="A649" s="97" t="s">
        <v>200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 x14ac:dyDescent="0.3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 x14ac:dyDescent="0.3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 x14ac:dyDescent="0.3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 x14ac:dyDescent="0.3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 x14ac:dyDescent="0.3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 x14ac:dyDescent="0.3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 x14ac:dyDescent="0.3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 x14ac:dyDescent="0.3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 x14ac:dyDescent="0.3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 x14ac:dyDescent="0.3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 x14ac:dyDescent="0.3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 x14ac:dyDescent="0.3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 x14ac:dyDescent="0.3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 x14ac:dyDescent="0.3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 x14ac:dyDescent="0.3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 x14ac:dyDescent="0.3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 x14ac:dyDescent="0.3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 x14ac:dyDescent="0.3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 x14ac:dyDescent="0.3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 x14ac:dyDescent="0.3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 x14ac:dyDescent="0.3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 x14ac:dyDescent="0.3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 x14ac:dyDescent="0.3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 x14ac:dyDescent="0.3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 x14ac:dyDescent="0.3">
      <c r="A676" s="97" t="s">
        <v>200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 x14ac:dyDescent="0.3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 x14ac:dyDescent="0.3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 x14ac:dyDescent="0.3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 x14ac:dyDescent="0.3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 x14ac:dyDescent="0.3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 x14ac:dyDescent="0.3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 x14ac:dyDescent="0.3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 x14ac:dyDescent="0.3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 x14ac:dyDescent="0.3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 x14ac:dyDescent="0.3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 x14ac:dyDescent="0.3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 x14ac:dyDescent="0.3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 x14ac:dyDescent="0.3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 x14ac:dyDescent="0.3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 x14ac:dyDescent="0.3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 x14ac:dyDescent="0.3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 x14ac:dyDescent="0.3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 x14ac:dyDescent="0.3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 x14ac:dyDescent="0.3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 x14ac:dyDescent="0.3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 x14ac:dyDescent="0.3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 x14ac:dyDescent="0.3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 x14ac:dyDescent="0.3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 x14ac:dyDescent="0.3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 x14ac:dyDescent="0.3">
      <c r="A703" s="97" t="s">
        <v>200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 x14ac:dyDescent="0.3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 x14ac:dyDescent="0.3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 x14ac:dyDescent="0.3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 x14ac:dyDescent="0.3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 x14ac:dyDescent="0.3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 x14ac:dyDescent="0.3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 x14ac:dyDescent="0.3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 x14ac:dyDescent="0.3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 x14ac:dyDescent="0.3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 x14ac:dyDescent="0.3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 x14ac:dyDescent="0.3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 x14ac:dyDescent="0.3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 x14ac:dyDescent="0.3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 x14ac:dyDescent="0.3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 x14ac:dyDescent="0.3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 x14ac:dyDescent="0.3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 x14ac:dyDescent="0.3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 x14ac:dyDescent="0.3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 x14ac:dyDescent="0.3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 x14ac:dyDescent="0.3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 x14ac:dyDescent="0.3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 x14ac:dyDescent="0.3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 x14ac:dyDescent="0.3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 x14ac:dyDescent="0.3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 x14ac:dyDescent="0.3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 x14ac:dyDescent="0.3">
      <c r="A730" s="97" t="s">
        <v>200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 x14ac:dyDescent="0.3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 x14ac:dyDescent="0.3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 x14ac:dyDescent="0.3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 x14ac:dyDescent="0.3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 x14ac:dyDescent="0.3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 x14ac:dyDescent="0.3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 x14ac:dyDescent="0.3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 x14ac:dyDescent="0.3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 x14ac:dyDescent="0.3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 x14ac:dyDescent="0.3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 x14ac:dyDescent="0.3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 x14ac:dyDescent="0.3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 x14ac:dyDescent="0.3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 x14ac:dyDescent="0.3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 x14ac:dyDescent="0.3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 x14ac:dyDescent="0.3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 x14ac:dyDescent="0.3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 x14ac:dyDescent="0.3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 x14ac:dyDescent="0.3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 x14ac:dyDescent="0.3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 x14ac:dyDescent="0.3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 x14ac:dyDescent="0.3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 x14ac:dyDescent="0.3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 x14ac:dyDescent="0.3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 x14ac:dyDescent="0.3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 x14ac:dyDescent="0.3">
      <c r="A757" s="97" t="s">
        <v>200</v>
      </c>
      <c r="B757" s="97"/>
      <c r="C757" s="97"/>
      <c r="D757" s="97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 x14ac:dyDescent="0.3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 x14ac:dyDescent="0.3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 x14ac:dyDescent="0.3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 x14ac:dyDescent="0.3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 x14ac:dyDescent="0.3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 x14ac:dyDescent="0.3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 x14ac:dyDescent="0.3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 x14ac:dyDescent="0.3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 x14ac:dyDescent="0.3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 x14ac:dyDescent="0.3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 x14ac:dyDescent="0.3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 x14ac:dyDescent="0.3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 x14ac:dyDescent="0.3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 x14ac:dyDescent="0.3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 x14ac:dyDescent="0.3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 x14ac:dyDescent="0.3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 x14ac:dyDescent="0.3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 x14ac:dyDescent="0.3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 x14ac:dyDescent="0.3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 x14ac:dyDescent="0.3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 x14ac:dyDescent="0.3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 x14ac:dyDescent="0.3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 x14ac:dyDescent="0.3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 x14ac:dyDescent="0.3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 x14ac:dyDescent="0.3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 x14ac:dyDescent="0.3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 x14ac:dyDescent="0.3">
      <c r="A784" s="97" t="s">
        <v>200</v>
      </c>
      <c r="B784" s="97"/>
      <c r="C784" s="97"/>
      <c r="D784" s="97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 x14ac:dyDescent="0.3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 t="shared" ref="F785:F796" si="175"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6">IFERROR(IF(K785="","",IF(K785&gt;=J785,K785-J785,K785+1-J785)),"")</f>
        <v>4.5833333333333337E-2</v>
      </c>
      <c r="M785" s="29"/>
      <c r="N785" s="30"/>
    </row>
    <row r="786" spans="1:14" ht="15" customHeight="1" x14ac:dyDescent="0.3">
      <c r="A786" s="58">
        <v>46203</v>
      </c>
      <c r="B786" s="9">
        <f t="shared" ref="B786:B796" si="177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 t="shared" si="175"/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6"/>
        <v>9.9305555555555536E-2</v>
      </c>
      <c r="M786" s="29" t="s">
        <v>313</v>
      </c>
      <c r="N786" s="30"/>
    </row>
    <row r="787" spans="1:14" ht="15" customHeight="1" x14ac:dyDescent="0.3">
      <c r="A787" s="59">
        <v>46203</v>
      </c>
      <c r="B787" s="15">
        <f t="shared" si="177"/>
        <v>0.41666666666666635</v>
      </c>
      <c r="C787" s="7" t="s">
        <v>21</v>
      </c>
      <c r="D787" s="67" t="s">
        <v>30</v>
      </c>
      <c r="E787" s="11">
        <v>11</v>
      </c>
      <c r="F787" s="93">
        <f t="shared" si="175"/>
        <v>44</v>
      </c>
      <c r="G787" s="67"/>
      <c r="H787" s="67"/>
      <c r="I787" s="67"/>
      <c r="J787" s="13"/>
      <c r="K787" s="13"/>
      <c r="L787" s="86" t="str">
        <f t="shared" si="176"/>
        <v/>
      </c>
      <c r="M787" s="29"/>
      <c r="N787" s="30"/>
    </row>
    <row r="788" spans="1:14" ht="15" customHeight="1" x14ac:dyDescent="0.3">
      <c r="A788" s="58">
        <v>46203</v>
      </c>
      <c r="B788" s="9">
        <f t="shared" si="177"/>
        <v>0.45833333333333304</v>
      </c>
      <c r="C788" s="7" t="s">
        <v>21</v>
      </c>
      <c r="D788" s="67" t="s">
        <v>30</v>
      </c>
      <c r="E788" s="11">
        <v>4</v>
      </c>
      <c r="F788" s="80">
        <f t="shared" si="175"/>
        <v>16</v>
      </c>
      <c r="G788" s="76"/>
      <c r="H788" s="76"/>
      <c r="I788" s="76"/>
      <c r="J788" s="13"/>
      <c r="K788" s="13"/>
      <c r="L788" s="77" t="str">
        <f t="shared" si="176"/>
        <v/>
      </c>
      <c r="M788" s="29"/>
      <c r="N788" s="30"/>
    </row>
    <row r="789" spans="1:14" ht="15" customHeight="1" x14ac:dyDescent="0.3">
      <c r="A789" s="59">
        <v>46203</v>
      </c>
      <c r="B789" s="15">
        <f t="shared" si="177"/>
        <v>0.49999999999999972</v>
      </c>
      <c r="C789" s="7" t="s">
        <v>21</v>
      </c>
      <c r="D789" s="67" t="s">
        <v>30</v>
      </c>
      <c r="E789" s="11">
        <v>2</v>
      </c>
      <c r="F789" s="93">
        <f t="shared" si="175"/>
        <v>8</v>
      </c>
      <c r="G789" s="67"/>
      <c r="H789" s="67"/>
      <c r="I789" s="67"/>
      <c r="J789" s="13"/>
      <c r="K789" s="13"/>
      <c r="L789" s="86" t="str">
        <f t="shared" si="176"/>
        <v/>
      </c>
      <c r="M789" s="29"/>
      <c r="N789" s="30"/>
    </row>
    <row r="790" spans="1:14" ht="15" customHeight="1" x14ac:dyDescent="0.3">
      <c r="A790" s="58">
        <v>46203</v>
      </c>
      <c r="B790" s="9">
        <f t="shared" si="177"/>
        <v>0.54166666666666641</v>
      </c>
      <c r="C790" s="7" t="s">
        <v>21</v>
      </c>
      <c r="D790" s="67" t="s">
        <v>30</v>
      </c>
      <c r="E790" s="11">
        <v>7</v>
      </c>
      <c r="F790" s="80">
        <f t="shared" si="175"/>
        <v>28</v>
      </c>
      <c r="G790" s="76"/>
      <c r="H790" s="76"/>
      <c r="I790" s="76"/>
      <c r="J790" s="13"/>
      <c r="K790" s="13"/>
      <c r="L790" s="77" t="str">
        <f t="shared" si="176"/>
        <v/>
      </c>
      <c r="M790" s="29"/>
      <c r="N790" s="30"/>
    </row>
    <row r="791" spans="1:14" ht="15" customHeight="1" x14ac:dyDescent="0.3">
      <c r="A791" s="59">
        <v>46203</v>
      </c>
      <c r="B791" s="15">
        <f t="shared" si="177"/>
        <v>0.58333333333333304</v>
      </c>
      <c r="C791" s="7" t="s">
        <v>21</v>
      </c>
      <c r="D791" s="67" t="s">
        <v>30</v>
      </c>
      <c r="E791" s="11">
        <v>5</v>
      </c>
      <c r="F791" s="93">
        <f t="shared" si="175"/>
        <v>20</v>
      </c>
      <c r="G791" s="67"/>
      <c r="H791" s="67"/>
      <c r="I791" s="67"/>
      <c r="J791" s="13"/>
      <c r="K791" s="13"/>
      <c r="L791" s="86" t="str">
        <f t="shared" si="176"/>
        <v/>
      </c>
      <c r="M791" s="29"/>
      <c r="N791" s="30"/>
    </row>
    <row r="792" spans="1:14" ht="15" customHeight="1" x14ac:dyDescent="0.3">
      <c r="A792" s="58">
        <v>46203</v>
      </c>
      <c r="B792" s="9">
        <f t="shared" si="177"/>
        <v>0.62499999999999967</v>
      </c>
      <c r="C792" s="7" t="s">
        <v>21</v>
      </c>
      <c r="D792" s="67" t="s">
        <v>30</v>
      </c>
      <c r="E792" s="11">
        <v>7</v>
      </c>
      <c r="F792" s="80">
        <f t="shared" si="175"/>
        <v>28</v>
      </c>
      <c r="G792" s="76"/>
      <c r="H792" s="76"/>
      <c r="I792" s="76"/>
      <c r="J792" s="13"/>
      <c r="K792" s="13"/>
      <c r="L792" s="77" t="str">
        <f t="shared" si="176"/>
        <v/>
      </c>
      <c r="M792" s="29"/>
      <c r="N792" s="30"/>
    </row>
    <row r="793" spans="1:14" ht="15" customHeight="1" x14ac:dyDescent="0.3">
      <c r="A793" s="59">
        <v>46203</v>
      </c>
      <c r="B793" s="15">
        <f t="shared" si="177"/>
        <v>0.6666666666666663</v>
      </c>
      <c r="C793" s="7" t="s">
        <v>21</v>
      </c>
      <c r="D793" s="67" t="s">
        <v>30</v>
      </c>
      <c r="E793" s="11">
        <v>11</v>
      </c>
      <c r="F793" s="93">
        <f t="shared" si="175"/>
        <v>44</v>
      </c>
      <c r="G793" s="67"/>
      <c r="H793" s="67"/>
      <c r="I793" s="67"/>
      <c r="J793" s="13"/>
      <c r="K793" s="13"/>
      <c r="L793" s="86" t="str">
        <f t="shared" si="176"/>
        <v/>
      </c>
      <c r="M793" s="29"/>
      <c r="N793" s="30"/>
    </row>
    <row r="794" spans="1:14" ht="15" customHeight="1" x14ac:dyDescent="0.3">
      <c r="A794" s="58">
        <v>46203</v>
      </c>
      <c r="B794" s="9">
        <f t="shared" si="177"/>
        <v>0.70833333333333293</v>
      </c>
      <c r="C794" s="7" t="s">
        <v>21</v>
      </c>
      <c r="D794" s="67" t="s">
        <v>30</v>
      </c>
      <c r="E794" s="11">
        <v>0</v>
      </c>
      <c r="F794" s="80">
        <f t="shared" si="175"/>
        <v>0</v>
      </c>
      <c r="G794" s="76"/>
      <c r="H794" s="76"/>
      <c r="I794" s="76"/>
      <c r="J794" s="13"/>
      <c r="K794" s="13"/>
      <c r="L794" s="77" t="str">
        <f t="shared" si="176"/>
        <v/>
      </c>
      <c r="M794" s="29"/>
      <c r="N794" s="30"/>
    </row>
    <row r="795" spans="1:14" ht="15" customHeight="1" x14ac:dyDescent="0.3">
      <c r="A795" s="59">
        <v>46203</v>
      </c>
      <c r="B795" s="15">
        <f t="shared" si="177"/>
        <v>0.74999999999999956</v>
      </c>
      <c r="C795" s="7" t="s">
        <v>21</v>
      </c>
      <c r="D795" s="67" t="s">
        <v>30</v>
      </c>
      <c r="E795" s="11">
        <v>21</v>
      </c>
      <c r="F795" s="93">
        <f t="shared" si="175"/>
        <v>84</v>
      </c>
      <c r="G795" s="67"/>
      <c r="H795" s="67"/>
      <c r="I795" s="67"/>
      <c r="J795" s="13"/>
      <c r="K795" s="13"/>
      <c r="L795" s="86" t="str">
        <f t="shared" si="176"/>
        <v/>
      </c>
      <c r="M795" s="29"/>
      <c r="N795" s="30"/>
    </row>
    <row r="796" spans="1:14" ht="15" customHeight="1" x14ac:dyDescent="0.3">
      <c r="A796" s="58">
        <v>46203</v>
      </c>
      <c r="B796" s="9">
        <f t="shared" si="177"/>
        <v>0.79166666666666619</v>
      </c>
      <c r="C796" s="7" t="s">
        <v>21</v>
      </c>
      <c r="D796" s="67" t="s">
        <v>30</v>
      </c>
      <c r="E796" s="11">
        <v>8</v>
      </c>
      <c r="F796" s="80">
        <f t="shared" si="175"/>
        <v>32</v>
      </c>
      <c r="G796" s="76"/>
      <c r="H796" s="76"/>
      <c r="I796" s="76"/>
      <c r="J796" s="13"/>
      <c r="K796" s="13"/>
      <c r="L796" s="77" t="str">
        <f t="shared" si="176"/>
        <v/>
      </c>
      <c r="M796" s="29"/>
      <c r="N796" s="30"/>
    </row>
    <row r="797" spans="1:14" ht="15.75" customHeight="1" x14ac:dyDescent="0.3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 x14ac:dyDescent="0.3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8">IFERROR(IF(K798="","",IF(K798&gt;=J798,K798-J798,K798+1-J798)),"")</f>
        <v/>
      </c>
      <c r="M798" s="29"/>
      <c r="N798" s="30"/>
    </row>
    <row r="799" spans="1:14" ht="15" customHeight="1" x14ac:dyDescent="0.3">
      <c r="A799" s="59">
        <v>46203</v>
      </c>
      <c r="B799" s="15">
        <f t="shared" ref="B799:B809" si="179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8"/>
        <v/>
      </c>
      <c r="M799" s="29"/>
      <c r="N799" s="30"/>
    </row>
    <row r="800" spans="1:14" ht="15" customHeight="1" x14ac:dyDescent="0.3">
      <c r="A800" s="58">
        <v>46203</v>
      </c>
      <c r="B800" s="9">
        <f t="shared" si="179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8"/>
        <v/>
      </c>
      <c r="M800" s="29"/>
      <c r="N800" s="30"/>
    </row>
    <row r="801" spans="1:14" ht="15" customHeight="1" x14ac:dyDescent="0.3">
      <c r="A801" s="59">
        <v>46203</v>
      </c>
      <c r="B801" s="15">
        <f t="shared" si="179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8"/>
        <v/>
      </c>
      <c r="M801" s="29"/>
      <c r="N801" s="30"/>
    </row>
    <row r="802" spans="1:14" ht="15" customHeight="1" x14ac:dyDescent="0.3">
      <c r="A802" s="58">
        <v>46203</v>
      </c>
      <c r="B802" s="9">
        <f t="shared" si="179"/>
        <v>0.99999999999999956</v>
      </c>
      <c r="C802" s="76"/>
      <c r="D802" s="76"/>
      <c r="E802" s="11"/>
      <c r="F802" s="80" t="str">
        <f t="shared" ref="F802:F809" si="180">IF(E802="","",E802*4)</f>
        <v/>
      </c>
      <c r="G802" s="76"/>
      <c r="H802" s="76"/>
      <c r="I802" s="76"/>
      <c r="J802" s="13"/>
      <c r="K802" s="13"/>
      <c r="L802" s="77" t="str">
        <f t="shared" si="178"/>
        <v/>
      </c>
      <c r="M802" s="29"/>
      <c r="N802" s="30"/>
    </row>
    <row r="803" spans="1:14" ht="15" customHeight="1" x14ac:dyDescent="0.3">
      <c r="A803" s="59">
        <v>46203</v>
      </c>
      <c r="B803" s="15">
        <f t="shared" si="179"/>
        <v>1.0416666666666663</v>
      </c>
      <c r="C803" s="67"/>
      <c r="D803" s="67"/>
      <c r="E803" s="11"/>
      <c r="F803" s="93" t="str">
        <f t="shared" si="180"/>
        <v/>
      </c>
      <c r="G803" s="67"/>
      <c r="H803" s="67"/>
      <c r="I803" s="67"/>
      <c r="J803" s="13"/>
      <c r="K803" s="13"/>
      <c r="L803" s="86" t="str">
        <f t="shared" si="178"/>
        <v/>
      </c>
      <c r="M803" s="29"/>
      <c r="N803" s="30"/>
    </row>
    <row r="804" spans="1:14" ht="15" customHeight="1" x14ac:dyDescent="0.3">
      <c r="A804" s="58">
        <v>46203</v>
      </c>
      <c r="B804" s="9">
        <f t="shared" si="179"/>
        <v>1.083333333333333</v>
      </c>
      <c r="C804" s="76"/>
      <c r="D804" s="76"/>
      <c r="E804" s="11"/>
      <c r="F804" s="80" t="str">
        <f t="shared" si="180"/>
        <v/>
      </c>
      <c r="G804" s="76"/>
      <c r="H804" s="76"/>
      <c r="I804" s="76"/>
      <c r="J804" s="13"/>
      <c r="K804" s="13"/>
      <c r="L804" s="77" t="str">
        <f t="shared" si="178"/>
        <v/>
      </c>
      <c r="M804" s="29"/>
      <c r="N804" s="30"/>
    </row>
    <row r="805" spans="1:14" ht="15" customHeight="1" x14ac:dyDescent="0.3">
      <c r="A805" s="59">
        <v>46203</v>
      </c>
      <c r="B805" s="15">
        <f t="shared" si="179"/>
        <v>1.1249999999999998</v>
      </c>
      <c r="C805" s="67"/>
      <c r="D805" s="67"/>
      <c r="E805" s="11"/>
      <c r="F805" s="93" t="str">
        <f t="shared" si="180"/>
        <v/>
      </c>
      <c r="G805" s="67"/>
      <c r="H805" s="67"/>
      <c r="I805" s="67"/>
      <c r="J805" s="13"/>
      <c r="K805" s="13"/>
      <c r="L805" s="86" t="str">
        <f t="shared" si="178"/>
        <v/>
      </c>
      <c r="M805" s="29"/>
      <c r="N805" s="30"/>
    </row>
    <row r="806" spans="1:14" ht="15" customHeight="1" x14ac:dyDescent="0.3">
      <c r="A806" s="58">
        <v>46203</v>
      </c>
      <c r="B806" s="9">
        <f t="shared" si="179"/>
        <v>1.1666666666666665</v>
      </c>
      <c r="C806" s="76"/>
      <c r="D806" s="76"/>
      <c r="E806" s="11"/>
      <c r="F806" s="80" t="str">
        <f t="shared" si="180"/>
        <v/>
      </c>
      <c r="G806" s="76"/>
      <c r="H806" s="76"/>
      <c r="I806" s="76"/>
      <c r="J806" s="13"/>
      <c r="K806" s="13"/>
      <c r="L806" s="77" t="str">
        <f t="shared" si="178"/>
        <v/>
      </c>
      <c r="M806" s="29"/>
      <c r="N806" s="30"/>
    </row>
    <row r="807" spans="1:14" ht="15" customHeight="1" x14ac:dyDescent="0.3">
      <c r="A807" s="59">
        <v>46203</v>
      </c>
      <c r="B807" s="15">
        <f t="shared" si="179"/>
        <v>1.2083333333333333</v>
      </c>
      <c r="C807" s="67"/>
      <c r="D807" s="67"/>
      <c r="E807" s="11"/>
      <c r="F807" s="93" t="str">
        <f t="shared" si="180"/>
        <v/>
      </c>
      <c r="G807" s="67"/>
      <c r="H807" s="67"/>
      <c r="I807" s="67"/>
      <c r="J807" s="13"/>
      <c r="K807" s="13"/>
      <c r="L807" s="86" t="str">
        <f t="shared" si="178"/>
        <v/>
      </c>
      <c r="M807" s="29"/>
      <c r="N807" s="30"/>
    </row>
    <row r="808" spans="1:14" ht="15" customHeight="1" x14ac:dyDescent="0.3">
      <c r="A808" s="58">
        <v>46203</v>
      </c>
      <c r="B808" s="9">
        <f t="shared" si="179"/>
        <v>1.25</v>
      </c>
      <c r="C808" s="76"/>
      <c r="D808" s="76"/>
      <c r="E808" s="11"/>
      <c r="F808" s="80" t="str">
        <f t="shared" si="180"/>
        <v/>
      </c>
      <c r="G808" s="76"/>
      <c r="H808" s="76"/>
      <c r="I808" s="76"/>
      <c r="J808" s="13"/>
      <c r="K808" s="13"/>
      <c r="L808" s="77" t="str">
        <f t="shared" si="178"/>
        <v/>
      </c>
      <c r="M808" s="29"/>
      <c r="N808" s="30"/>
    </row>
    <row r="809" spans="1:14" ht="15" customHeight="1" x14ac:dyDescent="0.3">
      <c r="A809" s="59">
        <v>46203</v>
      </c>
      <c r="B809" s="15">
        <f t="shared" si="179"/>
        <v>1.2916666666666667</v>
      </c>
      <c r="C809" s="67"/>
      <c r="D809" s="67"/>
      <c r="E809" s="11"/>
      <c r="F809" s="93" t="str">
        <f t="shared" si="180"/>
        <v/>
      </c>
      <c r="G809" s="67"/>
      <c r="H809" s="67"/>
      <c r="I809" s="67"/>
      <c r="J809" s="13"/>
      <c r="K809" s="13"/>
      <c r="L809" s="86" t="str">
        <f t="shared" si="178"/>
        <v/>
      </c>
      <c r="M809" s="29"/>
      <c r="N809" s="30"/>
    </row>
    <row r="810" spans="1:14" ht="15.75" customHeight="1" x14ac:dyDescent="0.3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 x14ac:dyDescent="0.3">
      <c r="A811" s="97" t="s">
        <v>200</v>
      </c>
      <c r="B811" s="97"/>
      <c r="C811" s="97"/>
      <c r="D811" s="97"/>
      <c r="E811" s="22">
        <f>E797+E810</f>
        <v>100</v>
      </c>
      <c r="F811" s="22">
        <f>F797+F810</f>
        <v>400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78" activePane="bottomLeft" state="frozen"/>
      <selection pane="bottomLeft" activeCell="M793" sqref="M793"/>
    </sheetView>
  </sheetViews>
  <sheetFormatPr defaultColWidth="8.5546875" defaultRowHeight="14.4" x14ac:dyDescent="0.3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6640625" style="7" customWidth="1"/>
    <col min="8" max="8" width="30.44140625" style="7" customWidth="1"/>
    <col min="9" max="9" width="46.44140625" style="7" customWidth="1"/>
    <col min="10" max="10" width="12" style="7" customWidth="1"/>
    <col min="11" max="11" width="16.44140625" style="7" customWidth="1"/>
    <col min="12" max="12" width="14" style="74" customWidth="1"/>
    <col min="13" max="13" width="43.6640625" style="7" customWidth="1"/>
    <col min="14" max="14" width="14" style="7" customWidth="1"/>
  </cols>
  <sheetData>
    <row r="1" spans="1:14" ht="37.5" customHeight="1" x14ac:dyDescent="0.3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 x14ac:dyDescent="0.3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3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 x14ac:dyDescent="0.3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 x14ac:dyDescent="0.3">
      <c r="A28" s="97" t="s">
        <v>200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 x14ac:dyDescent="0.3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 x14ac:dyDescent="0.3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 x14ac:dyDescent="0.3">
      <c r="A55" s="97" t="s">
        <v>200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 x14ac:dyDescent="0.3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3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 x14ac:dyDescent="0.3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 x14ac:dyDescent="0.3">
      <c r="A82" s="97" t="s">
        <v>200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 x14ac:dyDescent="0.3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3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 x14ac:dyDescent="0.3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3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 x14ac:dyDescent="0.3">
      <c r="A109" s="97" t="s">
        <v>200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 x14ac:dyDescent="0.3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3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 x14ac:dyDescent="0.3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3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 x14ac:dyDescent="0.3">
      <c r="A136" s="97" t="s">
        <v>200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 x14ac:dyDescent="0.3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3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 x14ac:dyDescent="0.3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3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 x14ac:dyDescent="0.3">
      <c r="A163" s="97" t="s">
        <v>200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3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3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 x14ac:dyDescent="0.3">
      <c r="A190" s="97" t="s">
        <v>200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 x14ac:dyDescent="0.3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3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 x14ac:dyDescent="0.3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 x14ac:dyDescent="0.3">
      <c r="A217" s="97" t="s">
        <v>200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 x14ac:dyDescent="0.3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 x14ac:dyDescent="0.3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 x14ac:dyDescent="0.3">
      <c r="A244" s="97" t="s">
        <v>200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 x14ac:dyDescent="0.3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 x14ac:dyDescent="0.3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 x14ac:dyDescent="0.3">
      <c r="A271" s="97" t="s">
        <v>200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 x14ac:dyDescent="0.3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 x14ac:dyDescent="0.3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 x14ac:dyDescent="0.3">
      <c r="A298" s="97" t="s">
        <v>200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 x14ac:dyDescent="0.3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 x14ac:dyDescent="0.3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 x14ac:dyDescent="0.3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 x14ac:dyDescent="0.3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 x14ac:dyDescent="0.3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 x14ac:dyDescent="0.3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 x14ac:dyDescent="0.3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 x14ac:dyDescent="0.3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 x14ac:dyDescent="0.3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 x14ac:dyDescent="0.3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 x14ac:dyDescent="0.3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 x14ac:dyDescent="0.3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 x14ac:dyDescent="0.3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 x14ac:dyDescent="0.3">
      <c r="A325" s="97" t="s">
        <v>200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 x14ac:dyDescent="0.3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 x14ac:dyDescent="0.3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 x14ac:dyDescent="0.3">
      <c r="A352" s="97" t="s">
        <v>200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 x14ac:dyDescent="0.3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 x14ac:dyDescent="0.3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 x14ac:dyDescent="0.3">
      <c r="A379" s="97" t="s">
        <v>200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 x14ac:dyDescent="0.3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 x14ac:dyDescent="0.3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 x14ac:dyDescent="0.3">
      <c r="A406" s="97" t="s">
        <v>200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 x14ac:dyDescent="0.3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 x14ac:dyDescent="0.3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 x14ac:dyDescent="0.3">
      <c r="A433" s="97" t="s">
        <v>200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 x14ac:dyDescent="0.3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 x14ac:dyDescent="0.3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 x14ac:dyDescent="0.3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 x14ac:dyDescent="0.3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 x14ac:dyDescent="0.3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 x14ac:dyDescent="0.3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 x14ac:dyDescent="0.3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 x14ac:dyDescent="0.3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 x14ac:dyDescent="0.3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 x14ac:dyDescent="0.3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 x14ac:dyDescent="0.3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 x14ac:dyDescent="0.3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 x14ac:dyDescent="0.3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 x14ac:dyDescent="0.3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 x14ac:dyDescent="0.3">
      <c r="A460" s="97" t="s">
        <v>200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 x14ac:dyDescent="0.3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 x14ac:dyDescent="0.3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 x14ac:dyDescent="0.3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 x14ac:dyDescent="0.3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 x14ac:dyDescent="0.3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 x14ac:dyDescent="0.3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 x14ac:dyDescent="0.3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 x14ac:dyDescent="0.3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 x14ac:dyDescent="0.3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 x14ac:dyDescent="0.3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 x14ac:dyDescent="0.3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 x14ac:dyDescent="0.3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 x14ac:dyDescent="0.3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 x14ac:dyDescent="0.3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 x14ac:dyDescent="0.3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 x14ac:dyDescent="0.3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 x14ac:dyDescent="0.3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 x14ac:dyDescent="0.3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 x14ac:dyDescent="0.3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 x14ac:dyDescent="0.3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 x14ac:dyDescent="0.3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 x14ac:dyDescent="0.3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 x14ac:dyDescent="0.3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 x14ac:dyDescent="0.3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 x14ac:dyDescent="0.3">
      <c r="A487" s="97" t="s">
        <v>200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 x14ac:dyDescent="0.3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 x14ac:dyDescent="0.3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 x14ac:dyDescent="0.3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 x14ac:dyDescent="0.3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 x14ac:dyDescent="0.3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 x14ac:dyDescent="0.3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 x14ac:dyDescent="0.3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 x14ac:dyDescent="0.3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 x14ac:dyDescent="0.3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 x14ac:dyDescent="0.3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 x14ac:dyDescent="0.3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 x14ac:dyDescent="0.3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 x14ac:dyDescent="0.3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 x14ac:dyDescent="0.3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 x14ac:dyDescent="0.3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 x14ac:dyDescent="0.3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 x14ac:dyDescent="0.3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 x14ac:dyDescent="0.3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 x14ac:dyDescent="0.3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 x14ac:dyDescent="0.3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 x14ac:dyDescent="0.3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 x14ac:dyDescent="0.3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 x14ac:dyDescent="0.3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 x14ac:dyDescent="0.3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 x14ac:dyDescent="0.3">
      <c r="A514" s="97" t="s">
        <v>200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 x14ac:dyDescent="0.3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 x14ac:dyDescent="0.3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 x14ac:dyDescent="0.3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 x14ac:dyDescent="0.3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 x14ac:dyDescent="0.3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 x14ac:dyDescent="0.3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 x14ac:dyDescent="0.3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 x14ac:dyDescent="0.3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 x14ac:dyDescent="0.3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 x14ac:dyDescent="0.3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 x14ac:dyDescent="0.3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 x14ac:dyDescent="0.3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 x14ac:dyDescent="0.3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 x14ac:dyDescent="0.3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 x14ac:dyDescent="0.3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 x14ac:dyDescent="0.3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 x14ac:dyDescent="0.3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 x14ac:dyDescent="0.3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 x14ac:dyDescent="0.3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 x14ac:dyDescent="0.3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 x14ac:dyDescent="0.3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 x14ac:dyDescent="0.3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 x14ac:dyDescent="0.3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 x14ac:dyDescent="0.3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 x14ac:dyDescent="0.3">
      <c r="A541" s="97" t="s">
        <v>200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 x14ac:dyDescent="0.3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 x14ac:dyDescent="0.3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 x14ac:dyDescent="0.3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 x14ac:dyDescent="0.3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 x14ac:dyDescent="0.3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 x14ac:dyDescent="0.3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 x14ac:dyDescent="0.3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 x14ac:dyDescent="0.3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 x14ac:dyDescent="0.3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 x14ac:dyDescent="0.3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 x14ac:dyDescent="0.3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 x14ac:dyDescent="0.3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 x14ac:dyDescent="0.3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 x14ac:dyDescent="0.3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 x14ac:dyDescent="0.3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 x14ac:dyDescent="0.3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 x14ac:dyDescent="0.3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 x14ac:dyDescent="0.3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 x14ac:dyDescent="0.3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 x14ac:dyDescent="0.3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 x14ac:dyDescent="0.3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 x14ac:dyDescent="0.3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 x14ac:dyDescent="0.3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 x14ac:dyDescent="0.3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 x14ac:dyDescent="0.3">
      <c r="A568" s="97" t="s">
        <v>200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 x14ac:dyDescent="0.3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 x14ac:dyDescent="0.3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 x14ac:dyDescent="0.3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 x14ac:dyDescent="0.3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 x14ac:dyDescent="0.3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 x14ac:dyDescent="0.3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 x14ac:dyDescent="0.3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 x14ac:dyDescent="0.3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 x14ac:dyDescent="0.3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 x14ac:dyDescent="0.3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 x14ac:dyDescent="0.3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 x14ac:dyDescent="0.3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 x14ac:dyDescent="0.3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 x14ac:dyDescent="0.3">
      <c r="A595" s="97" t="s">
        <v>200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 x14ac:dyDescent="0.3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 x14ac:dyDescent="0.3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 x14ac:dyDescent="0.3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 x14ac:dyDescent="0.3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 x14ac:dyDescent="0.3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 x14ac:dyDescent="0.3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 x14ac:dyDescent="0.3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 x14ac:dyDescent="0.3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 x14ac:dyDescent="0.3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 x14ac:dyDescent="0.3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 x14ac:dyDescent="0.3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 x14ac:dyDescent="0.3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 x14ac:dyDescent="0.3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 x14ac:dyDescent="0.3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 x14ac:dyDescent="0.3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 x14ac:dyDescent="0.3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 x14ac:dyDescent="0.3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 x14ac:dyDescent="0.3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 x14ac:dyDescent="0.3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 x14ac:dyDescent="0.3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 x14ac:dyDescent="0.3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 x14ac:dyDescent="0.3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 x14ac:dyDescent="0.3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 x14ac:dyDescent="0.3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 x14ac:dyDescent="0.3">
      <c r="A622" s="97" t="s">
        <v>200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 x14ac:dyDescent="0.3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 x14ac:dyDescent="0.3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 x14ac:dyDescent="0.3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 x14ac:dyDescent="0.3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 x14ac:dyDescent="0.3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 x14ac:dyDescent="0.3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 x14ac:dyDescent="0.3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 x14ac:dyDescent="0.3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 x14ac:dyDescent="0.3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 x14ac:dyDescent="0.3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 x14ac:dyDescent="0.3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 x14ac:dyDescent="0.3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 x14ac:dyDescent="0.3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 x14ac:dyDescent="0.3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 x14ac:dyDescent="0.3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 x14ac:dyDescent="0.3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 x14ac:dyDescent="0.3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 x14ac:dyDescent="0.3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 x14ac:dyDescent="0.3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 x14ac:dyDescent="0.3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 x14ac:dyDescent="0.3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 x14ac:dyDescent="0.3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 x14ac:dyDescent="0.3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 x14ac:dyDescent="0.3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 x14ac:dyDescent="0.3">
      <c r="A649" s="97" t="s">
        <v>200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 x14ac:dyDescent="0.3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 x14ac:dyDescent="0.3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 x14ac:dyDescent="0.3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 x14ac:dyDescent="0.3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 x14ac:dyDescent="0.3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 x14ac:dyDescent="0.3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 x14ac:dyDescent="0.3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 x14ac:dyDescent="0.3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 x14ac:dyDescent="0.3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 x14ac:dyDescent="0.3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 x14ac:dyDescent="0.3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 x14ac:dyDescent="0.3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 x14ac:dyDescent="0.3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 x14ac:dyDescent="0.3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 x14ac:dyDescent="0.3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 x14ac:dyDescent="0.3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 x14ac:dyDescent="0.3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 x14ac:dyDescent="0.3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 x14ac:dyDescent="0.3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 x14ac:dyDescent="0.3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 x14ac:dyDescent="0.3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 x14ac:dyDescent="0.3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 x14ac:dyDescent="0.3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 x14ac:dyDescent="0.3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 x14ac:dyDescent="0.3">
      <c r="A676" s="97" t="s">
        <v>200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 x14ac:dyDescent="0.3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 x14ac:dyDescent="0.3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 x14ac:dyDescent="0.3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 x14ac:dyDescent="0.3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 x14ac:dyDescent="0.3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 x14ac:dyDescent="0.3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 x14ac:dyDescent="0.3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 x14ac:dyDescent="0.3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 x14ac:dyDescent="0.3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 x14ac:dyDescent="0.3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 x14ac:dyDescent="0.3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 x14ac:dyDescent="0.3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 x14ac:dyDescent="0.3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 x14ac:dyDescent="0.3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 x14ac:dyDescent="0.3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 x14ac:dyDescent="0.3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 x14ac:dyDescent="0.3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 x14ac:dyDescent="0.3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 x14ac:dyDescent="0.3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 x14ac:dyDescent="0.3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 x14ac:dyDescent="0.3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 x14ac:dyDescent="0.3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 x14ac:dyDescent="0.3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 x14ac:dyDescent="0.3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 x14ac:dyDescent="0.3">
      <c r="A703" s="97" t="s">
        <v>200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 x14ac:dyDescent="0.3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 x14ac:dyDescent="0.3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 x14ac:dyDescent="0.3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 x14ac:dyDescent="0.3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 x14ac:dyDescent="0.3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 x14ac:dyDescent="0.3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 x14ac:dyDescent="0.3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 x14ac:dyDescent="0.3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 x14ac:dyDescent="0.3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 x14ac:dyDescent="0.3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 x14ac:dyDescent="0.3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 x14ac:dyDescent="0.3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 x14ac:dyDescent="0.3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 x14ac:dyDescent="0.3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 x14ac:dyDescent="0.3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 x14ac:dyDescent="0.3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 x14ac:dyDescent="0.3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 x14ac:dyDescent="0.3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 x14ac:dyDescent="0.3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 x14ac:dyDescent="0.3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 x14ac:dyDescent="0.3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 x14ac:dyDescent="0.3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 x14ac:dyDescent="0.3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 x14ac:dyDescent="0.3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 x14ac:dyDescent="0.3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 x14ac:dyDescent="0.3">
      <c r="A730" s="97" t="s">
        <v>200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 x14ac:dyDescent="0.3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 x14ac:dyDescent="0.3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 x14ac:dyDescent="0.3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 x14ac:dyDescent="0.3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 x14ac:dyDescent="0.3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 x14ac:dyDescent="0.3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 x14ac:dyDescent="0.3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 x14ac:dyDescent="0.3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 x14ac:dyDescent="0.3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 x14ac:dyDescent="0.3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 x14ac:dyDescent="0.3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 x14ac:dyDescent="0.3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 x14ac:dyDescent="0.3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 x14ac:dyDescent="0.3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 x14ac:dyDescent="0.3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 x14ac:dyDescent="0.3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 x14ac:dyDescent="0.3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 x14ac:dyDescent="0.3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 x14ac:dyDescent="0.3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 x14ac:dyDescent="0.3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 x14ac:dyDescent="0.3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 x14ac:dyDescent="0.3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 x14ac:dyDescent="0.3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 x14ac:dyDescent="0.3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 x14ac:dyDescent="0.3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 x14ac:dyDescent="0.3">
      <c r="A757" s="97" t="s">
        <v>200</v>
      </c>
      <c r="B757" s="97"/>
      <c r="C757" s="97"/>
      <c r="D757" s="97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 x14ac:dyDescent="0.3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 x14ac:dyDescent="0.3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 x14ac:dyDescent="0.3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 x14ac:dyDescent="0.3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 x14ac:dyDescent="0.3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 x14ac:dyDescent="0.3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 x14ac:dyDescent="0.3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 x14ac:dyDescent="0.3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 x14ac:dyDescent="0.3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 x14ac:dyDescent="0.3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 x14ac:dyDescent="0.3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 x14ac:dyDescent="0.3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 x14ac:dyDescent="0.3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 x14ac:dyDescent="0.3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 x14ac:dyDescent="0.3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 x14ac:dyDescent="0.3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 x14ac:dyDescent="0.3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 x14ac:dyDescent="0.3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 x14ac:dyDescent="0.3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 x14ac:dyDescent="0.3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 x14ac:dyDescent="0.3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 x14ac:dyDescent="0.3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 x14ac:dyDescent="0.3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 x14ac:dyDescent="0.3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 x14ac:dyDescent="0.3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 x14ac:dyDescent="0.3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 x14ac:dyDescent="0.3">
      <c r="A784" s="97" t="s">
        <v>200</v>
      </c>
      <c r="B784" s="97"/>
      <c r="C784" s="97"/>
      <c r="D784" s="97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 x14ac:dyDescent="0.3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 t="shared" ref="F785:F796" si="174"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5">IFERROR(IF(K785="","",IF(K785&gt;=J785,K785-J785,K785+1-J785)),"")</f>
        <v>2.1527777777777812E-2</v>
      </c>
      <c r="M785" s="11"/>
      <c r="N785" s="30"/>
    </row>
    <row r="786" spans="1:14" ht="15" customHeight="1" x14ac:dyDescent="0.3">
      <c r="A786" s="58">
        <v>46203</v>
      </c>
      <c r="B786" s="9">
        <f t="shared" ref="B786:B796" si="176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 t="shared" si="174"/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5"/>
        <v>2.2222222222222143E-2</v>
      </c>
      <c r="M786" s="11"/>
      <c r="N786" s="30"/>
    </row>
    <row r="787" spans="1:14" ht="15" customHeight="1" x14ac:dyDescent="0.3">
      <c r="A787" s="59">
        <v>46203</v>
      </c>
      <c r="B787" s="15">
        <f t="shared" si="176"/>
        <v>0.41666666666666635</v>
      </c>
      <c r="C787" s="67" t="s">
        <v>21</v>
      </c>
      <c r="D787" s="67" t="s">
        <v>38</v>
      </c>
      <c r="E787" s="11">
        <v>4</v>
      </c>
      <c r="F787" s="93">
        <f t="shared" si="174"/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5"/>
        <v>1.8055555555555491E-2</v>
      </c>
      <c r="M787" s="11"/>
      <c r="N787" s="30"/>
    </row>
    <row r="788" spans="1:14" ht="15" customHeight="1" x14ac:dyDescent="0.3">
      <c r="A788" s="58">
        <v>46203</v>
      </c>
      <c r="B788" s="9">
        <f t="shared" si="176"/>
        <v>0.45833333333333304</v>
      </c>
      <c r="C788" s="76" t="s">
        <v>21</v>
      </c>
      <c r="D788" s="67" t="s">
        <v>38</v>
      </c>
      <c r="E788" s="11">
        <v>10</v>
      </c>
      <c r="F788" s="80">
        <f t="shared" si="174"/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5"/>
        <v>3.4722222222222099E-3</v>
      </c>
      <c r="M788" s="11"/>
      <c r="N788" s="30"/>
    </row>
    <row r="789" spans="1:14" ht="15" customHeight="1" x14ac:dyDescent="0.3">
      <c r="A789" s="59">
        <v>46203</v>
      </c>
      <c r="B789" s="15">
        <f t="shared" si="176"/>
        <v>0.49999999999999972</v>
      </c>
      <c r="C789" s="67" t="s">
        <v>21</v>
      </c>
      <c r="D789" s="67" t="s">
        <v>38</v>
      </c>
      <c r="E789" s="11">
        <v>3</v>
      </c>
      <c r="F789" s="93">
        <f t="shared" si="174"/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5"/>
        <v>4.8611111111110938E-3</v>
      </c>
      <c r="M789" s="11"/>
      <c r="N789" s="30"/>
    </row>
    <row r="790" spans="1:14" ht="15" customHeight="1" x14ac:dyDescent="0.3">
      <c r="A790" s="58">
        <v>46203</v>
      </c>
      <c r="B790" s="9">
        <f t="shared" si="176"/>
        <v>0.54166666666666641</v>
      </c>
      <c r="C790" s="76" t="s">
        <v>21</v>
      </c>
      <c r="D790" s="67" t="s">
        <v>38</v>
      </c>
      <c r="E790" s="11">
        <v>9</v>
      </c>
      <c r="F790" s="80">
        <f t="shared" si="174"/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5"/>
        <v>4.9305555555555602E-2</v>
      </c>
      <c r="M790" s="11" t="s">
        <v>332</v>
      </c>
      <c r="N790" s="30"/>
    </row>
    <row r="791" spans="1:14" ht="15" customHeight="1" x14ac:dyDescent="0.3">
      <c r="A791" s="59">
        <v>46203</v>
      </c>
      <c r="B791" s="15">
        <f t="shared" si="176"/>
        <v>0.58333333333333304</v>
      </c>
      <c r="C791" s="67" t="s">
        <v>21</v>
      </c>
      <c r="D791" s="67" t="s">
        <v>38</v>
      </c>
      <c r="E791" s="11">
        <v>1</v>
      </c>
      <c r="F791" s="93">
        <f t="shared" si="174"/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5"/>
        <v>2.0138888888888928E-2</v>
      </c>
      <c r="M791" s="11"/>
      <c r="N791" s="30"/>
    </row>
    <row r="792" spans="1:14" ht="15" customHeight="1" x14ac:dyDescent="0.3">
      <c r="A792" s="58">
        <v>46203</v>
      </c>
      <c r="B792" s="9">
        <f t="shared" si="176"/>
        <v>0.62499999999999967</v>
      </c>
      <c r="C792" s="76" t="s">
        <v>21</v>
      </c>
      <c r="D792" s="67" t="s">
        <v>38</v>
      </c>
      <c r="E792" s="11">
        <v>4</v>
      </c>
      <c r="F792" s="80">
        <f t="shared" si="174"/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5"/>
        <v/>
      </c>
      <c r="M792" s="11" t="s">
        <v>313</v>
      </c>
      <c r="N792" s="30"/>
    </row>
    <row r="793" spans="1:14" ht="15" customHeight="1" x14ac:dyDescent="0.3">
      <c r="A793" s="59">
        <v>46203</v>
      </c>
      <c r="B793" s="15">
        <f t="shared" si="176"/>
        <v>0.6666666666666663</v>
      </c>
      <c r="C793" s="67" t="s">
        <v>21</v>
      </c>
      <c r="D793" s="67" t="s">
        <v>38</v>
      </c>
      <c r="E793" s="11">
        <v>0</v>
      </c>
      <c r="F793" s="93">
        <f t="shared" si="174"/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30"/>
    </row>
    <row r="794" spans="1:14" ht="15" customHeight="1" x14ac:dyDescent="0.3">
      <c r="A794" s="58">
        <v>46203</v>
      </c>
      <c r="B794" s="9">
        <f t="shared" si="176"/>
        <v>0.70833333333333293</v>
      </c>
      <c r="C794" s="76" t="s">
        <v>21</v>
      </c>
      <c r="D794" s="67" t="s">
        <v>38</v>
      </c>
      <c r="E794" s="11">
        <v>3</v>
      </c>
      <c r="F794" s="80">
        <f t="shared" si="174"/>
        <v>12</v>
      </c>
      <c r="G794" s="76"/>
      <c r="H794" s="76"/>
      <c r="I794" s="76"/>
      <c r="J794" s="13"/>
      <c r="K794" s="13"/>
      <c r="L794" s="86" t="str">
        <f t="shared" si="175"/>
        <v/>
      </c>
      <c r="M794" s="11"/>
      <c r="N794" s="30"/>
    </row>
    <row r="795" spans="1:14" ht="15" customHeight="1" x14ac:dyDescent="0.3">
      <c r="A795" s="59">
        <v>46203</v>
      </c>
      <c r="B795" s="15">
        <f t="shared" si="176"/>
        <v>0.74999999999999956</v>
      </c>
      <c r="C795" s="67" t="s">
        <v>21</v>
      </c>
      <c r="D795" s="67" t="s">
        <v>38</v>
      </c>
      <c r="E795" s="11">
        <v>0</v>
      </c>
      <c r="F795" s="93">
        <f t="shared" si="174"/>
        <v>0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30"/>
    </row>
    <row r="796" spans="1:14" ht="15" customHeight="1" x14ac:dyDescent="0.3">
      <c r="A796" s="58">
        <v>46203</v>
      </c>
      <c r="B796" s="9">
        <f t="shared" si="176"/>
        <v>0.79166666666666619</v>
      </c>
      <c r="C796" s="76" t="s">
        <v>21</v>
      </c>
      <c r="D796" s="67" t="s">
        <v>38</v>
      </c>
      <c r="E796" s="11">
        <v>0</v>
      </c>
      <c r="F796" s="80">
        <f t="shared" si="174"/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30"/>
    </row>
    <row r="797" spans="1:14" ht="15.75" customHeight="1" x14ac:dyDescent="0.3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 x14ac:dyDescent="0.3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30"/>
    </row>
    <row r="799" spans="1:14" ht="15" customHeight="1" x14ac:dyDescent="0.3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30"/>
    </row>
    <row r="800" spans="1:14" ht="15" customHeight="1" x14ac:dyDescent="0.3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30"/>
    </row>
    <row r="801" spans="1:14" ht="15" customHeight="1" x14ac:dyDescent="0.3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 t="shared" ref="F801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30"/>
    </row>
    <row r="802" spans="1:14" ht="15" customHeight="1" x14ac:dyDescent="0.3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30"/>
    </row>
    <row r="803" spans="1:14" ht="15" customHeight="1" x14ac:dyDescent="0.3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30"/>
    </row>
    <row r="804" spans="1:14" ht="15" customHeight="1" x14ac:dyDescent="0.3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30"/>
    </row>
    <row r="805" spans="1:14" ht="15" customHeight="1" x14ac:dyDescent="0.3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30"/>
    </row>
    <row r="806" spans="1:14" ht="15" customHeight="1" x14ac:dyDescent="0.3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30"/>
    </row>
    <row r="807" spans="1:14" ht="15" customHeight="1" x14ac:dyDescent="0.3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30"/>
    </row>
    <row r="808" spans="1:14" ht="15" customHeight="1" x14ac:dyDescent="0.3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30"/>
    </row>
    <row r="809" spans="1:14" ht="15" customHeight="1" x14ac:dyDescent="0.3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30"/>
    </row>
    <row r="810" spans="1:14" ht="15.75" customHeight="1" x14ac:dyDescent="0.3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 x14ac:dyDescent="0.3">
      <c r="A811" s="97" t="s">
        <v>200</v>
      </c>
      <c r="B811" s="97"/>
      <c r="C811" s="97"/>
      <c r="D811" s="97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activeCell="D1" sqref="D1"/>
      <selection pane="bottomLeft" activeCell="N798" sqref="N798"/>
    </sheetView>
  </sheetViews>
  <sheetFormatPr defaultColWidth="8.5546875" defaultRowHeight="14.4" x14ac:dyDescent="0.3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09375" style="37" customWidth="1"/>
    <col min="9" max="9" width="52.109375" style="37" customWidth="1"/>
    <col min="10" max="11" width="12" style="37" customWidth="1"/>
    <col min="12" max="12" width="14" style="75" customWidth="1"/>
    <col min="13" max="13" width="126.33203125" style="37" customWidth="1"/>
    <col min="14" max="14" width="14" style="37" customWidth="1"/>
  </cols>
  <sheetData>
    <row r="1" spans="1:14" ht="37.5" customHeight="1" x14ac:dyDescent="0.3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3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 x14ac:dyDescent="0.3">
      <c r="A28" s="97" t="s">
        <v>200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 x14ac:dyDescent="0.3">
      <c r="A55" s="97" t="s">
        <v>200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3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 x14ac:dyDescent="0.3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 x14ac:dyDescent="0.3">
      <c r="A82" s="97" t="s">
        <v>200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3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3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 x14ac:dyDescent="0.3">
      <c r="A109" s="97" t="s">
        <v>200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 x14ac:dyDescent="0.3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3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3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 x14ac:dyDescent="0.3">
      <c r="A136" s="97" t="s">
        <v>200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 x14ac:dyDescent="0.3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3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3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 x14ac:dyDescent="0.3">
      <c r="A163" s="97" t="s">
        <v>200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3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3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 x14ac:dyDescent="0.3">
      <c r="A190" s="97" t="s">
        <v>200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 x14ac:dyDescent="0.3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3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 x14ac:dyDescent="0.3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 x14ac:dyDescent="0.3">
      <c r="A217" s="97" t="s">
        <v>200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 x14ac:dyDescent="0.3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 x14ac:dyDescent="0.3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 x14ac:dyDescent="0.3">
      <c r="A244" s="97" t="s">
        <v>200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 x14ac:dyDescent="0.3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 x14ac:dyDescent="0.3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 x14ac:dyDescent="0.3">
      <c r="A271" s="97" t="s">
        <v>200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 x14ac:dyDescent="0.3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 x14ac:dyDescent="0.3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 x14ac:dyDescent="0.3">
      <c r="A298" s="97" t="s">
        <v>200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 x14ac:dyDescent="0.3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 x14ac:dyDescent="0.3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 x14ac:dyDescent="0.3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 x14ac:dyDescent="0.3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 x14ac:dyDescent="0.3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 x14ac:dyDescent="0.3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 x14ac:dyDescent="0.3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 x14ac:dyDescent="0.3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 x14ac:dyDescent="0.3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 x14ac:dyDescent="0.3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 x14ac:dyDescent="0.3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 x14ac:dyDescent="0.3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 x14ac:dyDescent="0.3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 x14ac:dyDescent="0.3">
      <c r="A325" s="97" t="s">
        <v>200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 x14ac:dyDescent="0.3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 x14ac:dyDescent="0.3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 x14ac:dyDescent="0.3">
      <c r="A352" s="97" t="s">
        <v>200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 x14ac:dyDescent="0.3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 x14ac:dyDescent="0.3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 x14ac:dyDescent="0.3">
      <c r="A379" s="97" t="s">
        <v>200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 x14ac:dyDescent="0.3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 x14ac:dyDescent="0.3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 x14ac:dyDescent="0.3">
      <c r="A406" s="97" t="s">
        <v>200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 x14ac:dyDescent="0.3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 x14ac:dyDescent="0.3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 x14ac:dyDescent="0.3">
      <c r="A433" s="97" t="s">
        <v>200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 x14ac:dyDescent="0.3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 x14ac:dyDescent="0.3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 x14ac:dyDescent="0.3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 x14ac:dyDescent="0.3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 x14ac:dyDescent="0.3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 x14ac:dyDescent="0.3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 x14ac:dyDescent="0.3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 x14ac:dyDescent="0.3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 x14ac:dyDescent="0.3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 x14ac:dyDescent="0.3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 x14ac:dyDescent="0.3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 x14ac:dyDescent="0.3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 x14ac:dyDescent="0.3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 x14ac:dyDescent="0.3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 x14ac:dyDescent="0.3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 x14ac:dyDescent="0.3">
      <c r="A460" s="97" t="s">
        <v>200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 x14ac:dyDescent="0.3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 x14ac:dyDescent="0.3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 x14ac:dyDescent="0.3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 x14ac:dyDescent="0.3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 x14ac:dyDescent="0.3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 x14ac:dyDescent="0.3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 x14ac:dyDescent="0.3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 x14ac:dyDescent="0.3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 x14ac:dyDescent="0.3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 x14ac:dyDescent="0.3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 x14ac:dyDescent="0.3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 x14ac:dyDescent="0.3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 x14ac:dyDescent="0.3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 x14ac:dyDescent="0.3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 x14ac:dyDescent="0.3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 x14ac:dyDescent="0.3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 x14ac:dyDescent="0.3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 x14ac:dyDescent="0.3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 x14ac:dyDescent="0.3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 x14ac:dyDescent="0.3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 x14ac:dyDescent="0.3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 x14ac:dyDescent="0.3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 x14ac:dyDescent="0.3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 x14ac:dyDescent="0.3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 x14ac:dyDescent="0.3">
      <c r="A487" s="97" t="s">
        <v>200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 x14ac:dyDescent="0.3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 x14ac:dyDescent="0.3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 x14ac:dyDescent="0.3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 x14ac:dyDescent="0.3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 x14ac:dyDescent="0.3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 x14ac:dyDescent="0.3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 x14ac:dyDescent="0.3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 x14ac:dyDescent="0.3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 x14ac:dyDescent="0.3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 x14ac:dyDescent="0.3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 x14ac:dyDescent="0.3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 x14ac:dyDescent="0.3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 x14ac:dyDescent="0.3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 x14ac:dyDescent="0.3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 x14ac:dyDescent="0.3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 x14ac:dyDescent="0.3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 x14ac:dyDescent="0.3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 x14ac:dyDescent="0.3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 x14ac:dyDescent="0.3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 x14ac:dyDescent="0.3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 x14ac:dyDescent="0.3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 x14ac:dyDescent="0.3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 x14ac:dyDescent="0.3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 x14ac:dyDescent="0.3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 x14ac:dyDescent="0.3">
      <c r="A514" s="97" t="s">
        <v>200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 x14ac:dyDescent="0.3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 x14ac:dyDescent="0.3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 x14ac:dyDescent="0.3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 x14ac:dyDescent="0.3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 x14ac:dyDescent="0.3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 x14ac:dyDescent="0.3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 x14ac:dyDescent="0.3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 x14ac:dyDescent="0.3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 x14ac:dyDescent="0.3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 x14ac:dyDescent="0.3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 x14ac:dyDescent="0.3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 x14ac:dyDescent="0.3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 x14ac:dyDescent="0.3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 x14ac:dyDescent="0.3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 x14ac:dyDescent="0.3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 x14ac:dyDescent="0.3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 x14ac:dyDescent="0.3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 x14ac:dyDescent="0.3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 x14ac:dyDescent="0.3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 x14ac:dyDescent="0.3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 x14ac:dyDescent="0.3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 x14ac:dyDescent="0.3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 x14ac:dyDescent="0.3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 x14ac:dyDescent="0.3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 x14ac:dyDescent="0.3">
      <c r="A541" s="97" t="s">
        <v>200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 x14ac:dyDescent="0.3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 x14ac:dyDescent="0.3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 x14ac:dyDescent="0.3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 x14ac:dyDescent="0.3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 x14ac:dyDescent="0.3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 x14ac:dyDescent="0.3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 x14ac:dyDescent="0.3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 x14ac:dyDescent="0.3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 x14ac:dyDescent="0.3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 x14ac:dyDescent="0.3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 x14ac:dyDescent="0.3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 x14ac:dyDescent="0.3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 x14ac:dyDescent="0.3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 x14ac:dyDescent="0.3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 x14ac:dyDescent="0.3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 x14ac:dyDescent="0.3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 x14ac:dyDescent="0.3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 x14ac:dyDescent="0.3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 x14ac:dyDescent="0.3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 x14ac:dyDescent="0.3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 x14ac:dyDescent="0.3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 x14ac:dyDescent="0.3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 x14ac:dyDescent="0.3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 x14ac:dyDescent="0.3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 x14ac:dyDescent="0.3">
      <c r="A568" s="97" t="s">
        <v>200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 x14ac:dyDescent="0.3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 x14ac:dyDescent="0.3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 x14ac:dyDescent="0.3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 x14ac:dyDescent="0.3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 x14ac:dyDescent="0.3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 x14ac:dyDescent="0.3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 x14ac:dyDescent="0.3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 x14ac:dyDescent="0.3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 x14ac:dyDescent="0.3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 x14ac:dyDescent="0.3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 x14ac:dyDescent="0.3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 x14ac:dyDescent="0.3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 x14ac:dyDescent="0.3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 x14ac:dyDescent="0.3">
      <c r="A595" s="97" t="s">
        <v>200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 x14ac:dyDescent="0.3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 x14ac:dyDescent="0.3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 x14ac:dyDescent="0.3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 x14ac:dyDescent="0.3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 x14ac:dyDescent="0.3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 x14ac:dyDescent="0.3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 x14ac:dyDescent="0.3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 x14ac:dyDescent="0.3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 x14ac:dyDescent="0.3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 x14ac:dyDescent="0.3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 x14ac:dyDescent="0.3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 x14ac:dyDescent="0.3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 x14ac:dyDescent="0.3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 x14ac:dyDescent="0.3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 x14ac:dyDescent="0.3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 x14ac:dyDescent="0.3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 x14ac:dyDescent="0.3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 x14ac:dyDescent="0.3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 x14ac:dyDescent="0.3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 x14ac:dyDescent="0.3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 x14ac:dyDescent="0.3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 x14ac:dyDescent="0.3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 x14ac:dyDescent="0.3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 x14ac:dyDescent="0.3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 x14ac:dyDescent="0.3">
      <c r="A622" s="97" t="s">
        <v>200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 x14ac:dyDescent="0.3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 x14ac:dyDescent="0.3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 x14ac:dyDescent="0.3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 x14ac:dyDescent="0.3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 x14ac:dyDescent="0.3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 x14ac:dyDescent="0.3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 x14ac:dyDescent="0.3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 x14ac:dyDescent="0.3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 x14ac:dyDescent="0.3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 x14ac:dyDescent="0.3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 x14ac:dyDescent="0.3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 x14ac:dyDescent="0.3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 x14ac:dyDescent="0.3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 x14ac:dyDescent="0.3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 x14ac:dyDescent="0.3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 x14ac:dyDescent="0.3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 x14ac:dyDescent="0.3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 x14ac:dyDescent="0.3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 x14ac:dyDescent="0.3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 x14ac:dyDescent="0.3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 x14ac:dyDescent="0.3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 x14ac:dyDescent="0.3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 x14ac:dyDescent="0.3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 x14ac:dyDescent="0.3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 x14ac:dyDescent="0.3">
      <c r="A649" s="97" t="s">
        <v>200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 x14ac:dyDescent="0.3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 x14ac:dyDescent="0.3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 x14ac:dyDescent="0.3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 x14ac:dyDescent="0.3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 x14ac:dyDescent="0.3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 x14ac:dyDescent="0.3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 x14ac:dyDescent="0.3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 x14ac:dyDescent="0.3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 x14ac:dyDescent="0.3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 x14ac:dyDescent="0.3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 x14ac:dyDescent="0.3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 x14ac:dyDescent="0.3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 x14ac:dyDescent="0.3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 x14ac:dyDescent="0.3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 x14ac:dyDescent="0.3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 x14ac:dyDescent="0.3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 x14ac:dyDescent="0.3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 x14ac:dyDescent="0.3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 x14ac:dyDescent="0.3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 x14ac:dyDescent="0.3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 x14ac:dyDescent="0.3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 x14ac:dyDescent="0.3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 x14ac:dyDescent="0.3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 x14ac:dyDescent="0.3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 x14ac:dyDescent="0.3">
      <c r="A676" s="97" t="s">
        <v>200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 x14ac:dyDescent="0.3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 x14ac:dyDescent="0.3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 x14ac:dyDescent="0.3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 x14ac:dyDescent="0.3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 x14ac:dyDescent="0.3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 x14ac:dyDescent="0.3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 x14ac:dyDescent="0.3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 x14ac:dyDescent="0.3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 x14ac:dyDescent="0.3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 x14ac:dyDescent="0.3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 x14ac:dyDescent="0.3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 x14ac:dyDescent="0.3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 x14ac:dyDescent="0.3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 x14ac:dyDescent="0.3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 x14ac:dyDescent="0.3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 x14ac:dyDescent="0.3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 x14ac:dyDescent="0.3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 x14ac:dyDescent="0.3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 x14ac:dyDescent="0.3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 x14ac:dyDescent="0.3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 x14ac:dyDescent="0.3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 x14ac:dyDescent="0.3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 x14ac:dyDescent="0.3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 x14ac:dyDescent="0.3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 x14ac:dyDescent="0.3">
      <c r="A703" s="97" t="s">
        <v>200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 x14ac:dyDescent="0.3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 x14ac:dyDescent="0.3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 x14ac:dyDescent="0.3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 x14ac:dyDescent="0.3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 x14ac:dyDescent="0.3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 x14ac:dyDescent="0.3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 x14ac:dyDescent="0.3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 x14ac:dyDescent="0.3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 x14ac:dyDescent="0.3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 x14ac:dyDescent="0.3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 x14ac:dyDescent="0.3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 x14ac:dyDescent="0.3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 x14ac:dyDescent="0.3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 x14ac:dyDescent="0.3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 x14ac:dyDescent="0.3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 x14ac:dyDescent="0.3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 x14ac:dyDescent="0.3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 x14ac:dyDescent="0.3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 x14ac:dyDescent="0.3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 x14ac:dyDescent="0.3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 x14ac:dyDescent="0.3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 x14ac:dyDescent="0.3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 x14ac:dyDescent="0.3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 x14ac:dyDescent="0.3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 x14ac:dyDescent="0.3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 x14ac:dyDescent="0.3">
      <c r="A730" s="97" t="s">
        <v>200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 x14ac:dyDescent="0.3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 x14ac:dyDescent="0.3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 x14ac:dyDescent="0.3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 x14ac:dyDescent="0.3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 x14ac:dyDescent="0.3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 x14ac:dyDescent="0.3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 x14ac:dyDescent="0.3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 x14ac:dyDescent="0.3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 x14ac:dyDescent="0.3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 x14ac:dyDescent="0.3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 x14ac:dyDescent="0.3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 x14ac:dyDescent="0.3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 x14ac:dyDescent="0.3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 x14ac:dyDescent="0.3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 x14ac:dyDescent="0.3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 x14ac:dyDescent="0.3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 x14ac:dyDescent="0.3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 x14ac:dyDescent="0.3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 x14ac:dyDescent="0.3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 x14ac:dyDescent="0.3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 x14ac:dyDescent="0.3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 x14ac:dyDescent="0.3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 x14ac:dyDescent="0.3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 x14ac:dyDescent="0.3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 x14ac:dyDescent="0.3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 x14ac:dyDescent="0.3">
      <c r="A757" s="97" t="s">
        <v>200</v>
      </c>
      <c r="B757" s="97"/>
      <c r="C757" s="97"/>
      <c r="D757" s="97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 x14ac:dyDescent="0.3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 x14ac:dyDescent="0.3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 x14ac:dyDescent="0.3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 x14ac:dyDescent="0.3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 x14ac:dyDescent="0.3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 x14ac:dyDescent="0.3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 x14ac:dyDescent="0.3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 x14ac:dyDescent="0.3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 x14ac:dyDescent="0.3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 x14ac:dyDescent="0.3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 x14ac:dyDescent="0.3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 x14ac:dyDescent="0.3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 x14ac:dyDescent="0.3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 x14ac:dyDescent="0.3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 x14ac:dyDescent="0.3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 x14ac:dyDescent="0.3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 x14ac:dyDescent="0.3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 x14ac:dyDescent="0.3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 x14ac:dyDescent="0.3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 x14ac:dyDescent="0.3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 x14ac:dyDescent="0.3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 x14ac:dyDescent="0.3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 x14ac:dyDescent="0.3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 x14ac:dyDescent="0.3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 x14ac:dyDescent="0.3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 x14ac:dyDescent="0.3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 x14ac:dyDescent="0.3">
      <c r="A784" s="97" t="s">
        <v>200</v>
      </c>
      <c r="B784" s="97"/>
      <c r="C784" s="97"/>
      <c r="D784" s="97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 x14ac:dyDescent="0.3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 t="shared" ref="F785:F796" si="175"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6">IFERROR(IF(K785="","",IF(K785&gt;=J785,K785-J785,K785+1-J785)),"")</f>
        <v>1.9444444444444431E-2</v>
      </c>
      <c r="M785" s="11"/>
      <c r="N785" s="41"/>
    </row>
    <row r="786" spans="1:14" ht="15" customHeight="1" x14ac:dyDescent="0.3">
      <c r="A786" s="94">
        <v>46203</v>
      </c>
      <c r="B786" s="95">
        <f t="shared" ref="B786:B796" si="177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 t="shared" si="175"/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6"/>
        <v/>
      </c>
      <c r="M786" s="11" t="s">
        <v>385</v>
      </c>
      <c r="N786" s="41"/>
    </row>
    <row r="787" spans="1:14" ht="15" customHeight="1" x14ac:dyDescent="0.3">
      <c r="A787" s="90">
        <v>46203</v>
      </c>
      <c r="B787" s="91">
        <f t="shared" si="177"/>
        <v>0.41666666666666635</v>
      </c>
      <c r="C787" s="67" t="s">
        <v>21</v>
      </c>
      <c r="D787" s="92" t="s">
        <v>30</v>
      </c>
      <c r="E787" s="11">
        <v>15</v>
      </c>
      <c r="F787" s="93">
        <f t="shared" si="175"/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6"/>
        <v>4.2361111111111072E-2</v>
      </c>
      <c r="M787" s="11"/>
      <c r="N787" s="41"/>
    </row>
    <row r="788" spans="1:14" ht="15" customHeight="1" x14ac:dyDescent="0.3">
      <c r="A788" s="94">
        <v>46203</v>
      </c>
      <c r="B788" s="95">
        <f t="shared" si="177"/>
        <v>0.45833333333333304</v>
      </c>
      <c r="C788" s="67" t="s">
        <v>21</v>
      </c>
      <c r="D788" s="92" t="s">
        <v>30</v>
      </c>
      <c r="E788" s="11">
        <v>5</v>
      </c>
      <c r="F788" s="80">
        <f t="shared" si="175"/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6"/>
        <v/>
      </c>
      <c r="M788" s="11"/>
      <c r="N788" s="41"/>
    </row>
    <row r="789" spans="1:14" ht="15" customHeight="1" x14ac:dyDescent="0.3">
      <c r="A789" s="90">
        <v>46203</v>
      </c>
      <c r="B789" s="91">
        <f t="shared" si="177"/>
        <v>0.49999999999999972</v>
      </c>
      <c r="C789" s="67" t="s">
        <v>21</v>
      </c>
      <c r="D789" s="92" t="s">
        <v>30</v>
      </c>
      <c r="E789" s="11">
        <v>18</v>
      </c>
      <c r="F789" s="93">
        <f t="shared" si="175"/>
        <v>72</v>
      </c>
      <c r="G789" s="67"/>
      <c r="H789" s="67"/>
      <c r="I789" s="67"/>
      <c r="J789" s="13"/>
      <c r="K789" s="13"/>
      <c r="L789" s="86" t="str">
        <f t="shared" si="176"/>
        <v/>
      </c>
      <c r="M789" s="11"/>
      <c r="N789" s="41"/>
    </row>
    <row r="790" spans="1:14" ht="15" customHeight="1" x14ac:dyDescent="0.3">
      <c r="A790" s="94">
        <v>46203</v>
      </c>
      <c r="B790" s="95">
        <f t="shared" si="177"/>
        <v>0.54166666666666641</v>
      </c>
      <c r="C790" s="67" t="s">
        <v>21</v>
      </c>
      <c r="D790" s="92" t="s">
        <v>30</v>
      </c>
      <c r="E790" s="11">
        <v>4</v>
      </c>
      <c r="F790" s="80">
        <f t="shared" si="175"/>
        <v>16</v>
      </c>
      <c r="G790" s="76"/>
      <c r="H790" s="76"/>
      <c r="I790" s="76"/>
      <c r="J790" s="13"/>
      <c r="K790" s="13"/>
      <c r="L790" s="77" t="str">
        <f t="shared" si="176"/>
        <v/>
      </c>
      <c r="M790" s="11"/>
      <c r="N790" s="41"/>
    </row>
    <row r="791" spans="1:14" ht="15" customHeight="1" x14ac:dyDescent="0.3">
      <c r="A791" s="90">
        <v>46203</v>
      </c>
      <c r="B791" s="91">
        <f t="shared" si="177"/>
        <v>0.58333333333333304</v>
      </c>
      <c r="C791" s="67" t="s">
        <v>21</v>
      </c>
      <c r="D791" s="92" t="s">
        <v>30</v>
      </c>
      <c r="E791" s="11">
        <v>12</v>
      </c>
      <c r="F791" s="93">
        <f t="shared" si="175"/>
        <v>48</v>
      </c>
      <c r="G791" s="67"/>
      <c r="H791" s="67"/>
      <c r="I791" s="67"/>
      <c r="J791" s="13"/>
      <c r="K791" s="13"/>
      <c r="L791" s="86" t="str">
        <f t="shared" si="176"/>
        <v/>
      </c>
      <c r="M791" s="11"/>
      <c r="N791" s="41"/>
    </row>
    <row r="792" spans="1:14" ht="15" customHeight="1" x14ac:dyDescent="0.3">
      <c r="A792" s="94">
        <v>46203</v>
      </c>
      <c r="B792" s="95">
        <f t="shared" si="177"/>
        <v>0.62499999999999967</v>
      </c>
      <c r="C792" s="67" t="s">
        <v>21</v>
      </c>
      <c r="D792" s="92" t="s">
        <v>30</v>
      </c>
      <c r="E792" s="11">
        <v>5</v>
      </c>
      <c r="F792" s="80">
        <f t="shared" si="175"/>
        <v>20</v>
      </c>
      <c r="G792" s="76"/>
      <c r="H792" s="76"/>
      <c r="I792" s="76"/>
      <c r="J792" s="13"/>
      <c r="K792" s="13"/>
      <c r="L792" s="77" t="str">
        <f t="shared" si="176"/>
        <v/>
      </c>
      <c r="M792" s="11"/>
      <c r="N792" s="41"/>
    </row>
    <row r="793" spans="1:14" ht="15" customHeight="1" x14ac:dyDescent="0.3">
      <c r="A793" s="90">
        <v>46203</v>
      </c>
      <c r="B793" s="91">
        <f t="shared" si="177"/>
        <v>0.6666666666666663</v>
      </c>
      <c r="C793" s="67" t="s">
        <v>21</v>
      </c>
      <c r="D793" s="92" t="s">
        <v>30</v>
      </c>
      <c r="E793" s="11">
        <v>0</v>
      </c>
      <c r="F793" s="93">
        <f t="shared" si="175"/>
        <v>0</v>
      </c>
      <c r="G793" s="67"/>
      <c r="H793" s="67"/>
      <c r="I793" s="67"/>
      <c r="J793" s="13"/>
      <c r="K793" s="13"/>
      <c r="L793" s="86" t="str">
        <f t="shared" si="176"/>
        <v/>
      </c>
      <c r="M793" s="11"/>
      <c r="N793" s="41"/>
    </row>
    <row r="794" spans="1:14" ht="15" customHeight="1" x14ac:dyDescent="0.3">
      <c r="A794" s="94">
        <v>46203</v>
      </c>
      <c r="B794" s="95">
        <f t="shared" si="177"/>
        <v>0.70833333333333293</v>
      </c>
      <c r="C794" s="67" t="s">
        <v>21</v>
      </c>
      <c r="D794" s="92" t="s">
        <v>30</v>
      </c>
      <c r="E794" s="11">
        <v>11</v>
      </c>
      <c r="F794" s="80">
        <f t="shared" si="175"/>
        <v>44</v>
      </c>
      <c r="G794" s="76"/>
      <c r="H794" s="76"/>
      <c r="I794" s="76"/>
      <c r="J794" s="13"/>
      <c r="K794" s="13"/>
      <c r="L794" s="77" t="str">
        <f t="shared" si="176"/>
        <v/>
      </c>
      <c r="M794" s="11"/>
      <c r="N794" s="41"/>
    </row>
    <row r="795" spans="1:14" ht="15" customHeight="1" x14ac:dyDescent="0.3">
      <c r="A795" s="90">
        <v>46203</v>
      </c>
      <c r="B795" s="91">
        <f t="shared" si="177"/>
        <v>0.74999999999999956</v>
      </c>
      <c r="C795" s="67" t="s">
        <v>21</v>
      </c>
      <c r="D795" s="92" t="s">
        <v>30</v>
      </c>
      <c r="E795" s="11">
        <v>8</v>
      </c>
      <c r="F795" s="93">
        <f t="shared" si="175"/>
        <v>32</v>
      </c>
      <c r="G795" s="67"/>
      <c r="H795" s="67"/>
      <c r="I795" s="67"/>
      <c r="J795" s="13"/>
      <c r="K795" s="13"/>
      <c r="L795" s="86" t="str">
        <f t="shared" si="176"/>
        <v/>
      </c>
      <c r="M795" s="11"/>
      <c r="N795" s="41"/>
    </row>
    <row r="796" spans="1:14" ht="15" customHeight="1" x14ac:dyDescent="0.3">
      <c r="A796" s="94">
        <v>46203</v>
      </c>
      <c r="B796" s="95">
        <f t="shared" si="177"/>
        <v>0.79166666666666619</v>
      </c>
      <c r="C796" s="67" t="s">
        <v>21</v>
      </c>
      <c r="D796" s="92" t="s">
        <v>30</v>
      </c>
      <c r="E796" s="11">
        <v>0</v>
      </c>
      <c r="F796" s="80">
        <f t="shared" si="175"/>
        <v>0</v>
      </c>
      <c r="G796" s="76"/>
      <c r="H796" s="76"/>
      <c r="I796" s="76"/>
      <c r="J796" s="13"/>
      <c r="K796" s="13"/>
      <c r="L796" s="77" t="str">
        <f t="shared" si="176"/>
        <v/>
      </c>
      <c r="M796" s="11"/>
      <c r="N796" s="41"/>
    </row>
    <row r="797" spans="1:14" ht="15.75" customHeight="1" x14ac:dyDescent="0.3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 x14ac:dyDescent="0.3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8">IFERROR(IF(K798="","",IF(K798&gt;=J798,K798-J798,K798+1-J798)),"")</f>
        <v/>
      </c>
      <c r="M798" s="11"/>
      <c r="N798" s="41"/>
    </row>
    <row r="799" spans="1:14" ht="15" customHeight="1" x14ac:dyDescent="0.3">
      <c r="A799" s="90">
        <v>46203</v>
      </c>
      <c r="B799" s="91">
        <f t="shared" ref="B799:B809" si="179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8"/>
        <v/>
      </c>
      <c r="M799" s="11"/>
      <c r="N799" s="41"/>
    </row>
    <row r="800" spans="1:14" ht="15" customHeight="1" x14ac:dyDescent="0.3">
      <c r="A800" s="94">
        <v>46203</v>
      </c>
      <c r="B800" s="95">
        <f t="shared" si="179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8"/>
        <v/>
      </c>
      <c r="M800" s="11"/>
      <c r="N800" s="41"/>
    </row>
    <row r="801" spans="1:14" ht="15" customHeight="1" x14ac:dyDescent="0.3">
      <c r="A801" s="90">
        <v>46203</v>
      </c>
      <c r="B801" s="91">
        <f t="shared" si="179"/>
        <v>0.95833333333333293</v>
      </c>
      <c r="C801" s="67"/>
      <c r="D801" s="92"/>
      <c r="E801" s="11"/>
      <c r="F801" s="93" t="str">
        <f t="shared" ref="F801:F809" si="180">IF(E801="","",E801*4)</f>
        <v/>
      </c>
      <c r="G801" s="67"/>
      <c r="H801" s="67"/>
      <c r="I801" s="67"/>
      <c r="J801" s="13"/>
      <c r="K801" s="13"/>
      <c r="L801" s="86" t="str">
        <f t="shared" si="178"/>
        <v/>
      </c>
      <c r="M801" s="11"/>
      <c r="N801" s="41"/>
    </row>
    <row r="802" spans="1:14" ht="15" customHeight="1" x14ac:dyDescent="0.3">
      <c r="A802" s="94">
        <v>46203</v>
      </c>
      <c r="B802" s="95">
        <f t="shared" si="179"/>
        <v>0.99999999999999956</v>
      </c>
      <c r="C802" s="76"/>
      <c r="D802" s="87"/>
      <c r="E802" s="11"/>
      <c r="F802" s="80" t="str">
        <f t="shared" si="180"/>
        <v/>
      </c>
      <c r="G802" s="76"/>
      <c r="H802" s="76"/>
      <c r="I802" s="76"/>
      <c r="J802" s="13"/>
      <c r="K802" s="13"/>
      <c r="L802" s="77" t="str">
        <f t="shared" si="178"/>
        <v/>
      </c>
      <c r="M802" s="11"/>
      <c r="N802" s="41"/>
    </row>
    <row r="803" spans="1:14" ht="15" customHeight="1" x14ac:dyDescent="0.3">
      <c r="A803" s="90">
        <v>46203</v>
      </c>
      <c r="B803" s="91">
        <f t="shared" si="179"/>
        <v>1.0416666666666663</v>
      </c>
      <c r="C803" s="67"/>
      <c r="D803" s="92"/>
      <c r="E803" s="11"/>
      <c r="F803" s="93" t="str">
        <f t="shared" si="180"/>
        <v/>
      </c>
      <c r="G803" s="67"/>
      <c r="H803" s="67"/>
      <c r="I803" s="67"/>
      <c r="J803" s="13"/>
      <c r="K803" s="13"/>
      <c r="L803" s="86" t="str">
        <f t="shared" si="178"/>
        <v/>
      </c>
      <c r="M803" s="11"/>
      <c r="N803" s="41"/>
    </row>
    <row r="804" spans="1:14" ht="15" customHeight="1" x14ac:dyDescent="0.3">
      <c r="A804" s="94">
        <v>46203</v>
      </c>
      <c r="B804" s="95">
        <f t="shared" si="179"/>
        <v>1.083333333333333</v>
      </c>
      <c r="C804" s="76"/>
      <c r="D804" s="87"/>
      <c r="E804" s="11"/>
      <c r="F804" s="80" t="str">
        <f t="shared" si="180"/>
        <v/>
      </c>
      <c r="G804" s="76"/>
      <c r="H804" s="76"/>
      <c r="I804" s="76"/>
      <c r="J804" s="13"/>
      <c r="K804" s="13"/>
      <c r="L804" s="77" t="str">
        <f t="shared" si="178"/>
        <v/>
      </c>
      <c r="M804" s="11"/>
      <c r="N804" s="41"/>
    </row>
    <row r="805" spans="1:14" ht="15" customHeight="1" x14ac:dyDescent="0.3">
      <c r="A805" s="90">
        <v>46203</v>
      </c>
      <c r="B805" s="91">
        <f t="shared" si="179"/>
        <v>1.1249999999999998</v>
      </c>
      <c r="C805" s="67"/>
      <c r="D805" s="92"/>
      <c r="E805" s="11"/>
      <c r="F805" s="93" t="str">
        <f t="shared" si="180"/>
        <v/>
      </c>
      <c r="G805" s="67"/>
      <c r="H805" s="67"/>
      <c r="I805" s="67"/>
      <c r="J805" s="13"/>
      <c r="K805" s="13"/>
      <c r="L805" s="86" t="str">
        <f t="shared" si="178"/>
        <v/>
      </c>
      <c r="M805" s="11"/>
      <c r="N805" s="41"/>
    </row>
    <row r="806" spans="1:14" ht="15" customHeight="1" x14ac:dyDescent="0.3">
      <c r="A806" s="94">
        <v>46203</v>
      </c>
      <c r="B806" s="95">
        <f t="shared" si="179"/>
        <v>1.1666666666666665</v>
      </c>
      <c r="C806" s="76"/>
      <c r="D806" s="87"/>
      <c r="E806" s="11"/>
      <c r="F806" s="80" t="str">
        <f t="shared" si="180"/>
        <v/>
      </c>
      <c r="G806" s="76"/>
      <c r="H806" s="76"/>
      <c r="I806" s="76"/>
      <c r="J806" s="13"/>
      <c r="K806" s="13"/>
      <c r="L806" s="77" t="str">
        <f t="shared" si="178"/>
        <v/>
      </c>
      <c r="M806" s="11"/>
      <c r="N806" s="41"/>
    </row>
    <row r="807" spans="1:14" ht="15" customHeight="1" x14ac:dyDescent="0.3">
      <c r="A807" s="90">
        <v>46203</v>
      </c>
      <c r="B807" s="91">
        <f t="shared" si="179"/>
        <v>1.2083333333333333</v>
      </c>
      <c r="C807" s="67"/>
      <c r="D807" s="92"/>
      <c r="E807" s="11"/>
      <c r="F807" s="93" t="str">
        <f t="shared" si="180"/>
        <v/>
      </c>
      <c r="G807" s="67"/>
      <c r="H807" s="67"/>
      <c r="I807" s="67"/>
      <c r="J807" s="13"/>
      <c r="K807" s="13"/>
      <c r="L807" s="86" t="str">
        <f t="shared" si="178"/>
        <v/>
      </c>
      <c r="M807" s="11"/>
      <c r="N807" s="41"/>
    </row>
    <row r="808" spans="1:14" ht="15" customHeight="1" x14ac:dyDescent="0.3">
      <c r="A808" s="94">
        <v>46203</v>
      </c>
      <c r="B808" s="95">
        <f t="shared" si="179"/>
        <v>1.25</v>
      </c>
      <c r="C808" s="76"/>
      <c r="D808" s="87"/>
      <c r="E808" s="11"/>
      <c r="F808" s="80" t="str">
        <f t="shared" si="180"/>
        <v/>
      </c>
      <c r="G808" s="76"/>
      <c r="H808" s="76"/>
      <c r="I808" s="76"/>
      <c r="J808" s="13"/>
      <c r="K808" s="13"/>
      <c r="L808" s="77" t="str">
        <f t="shared" si="178"/>
        <v/>
      </c>
      <c r="M808" s="11"/>
      <c r="N808" s="41"/>
    </row>
    <row r="809" spans="1:14" ht="15" customHeight="1" x14ac:dyDescent="0.3">
      <c r="A809" s="90">
        <v>46203</v>
      </c>
      <c r="B809" s="91">
        <f t="shared" si="179"/>
        <v>1.2916666666666667</v>
      </c>
      <c r="C809" s="67"/>
      <c r="D809" s="92"/>
      <c r="E809" s="11"/>
      <c r="F809" s="93" t="str">
        <f t="shared" si="180"/>
        <v/>
      </c>
      <c r="G809" s="67"/>
      <c r="H809" s="67"/>
      <c r="I809" s="67"/>
      <c r="J809" s="13"/>
      <c r="K809" s="13"/>
      <c r="L809" s="86" t="str">
        <f t="shared" si="178"/>
        <v/>
      </c>
      <c r="M809" s="11"/>
      <c r="N809" s="41"/>
    </row>
    <row r="810" spans="1:14" ht="15.75" customHeight="1" x14ac:dyDescent="0.3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 x14ac:dyDescent="0.3">
      <c r="A811" s="110" t="s">
        <v>200</v>
      </c>
      <c r="B811" s="110"/>
      <c r="C811" s="110"/>
      <c r="D811" s="110"/>
      <c r="E811" s="22">
        <f>E797+E810</f>
        <v>104</v>
      </c>
      <c r="F811" s="22">
        <f>F797+F810</f>
        <v>416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AD78A7-70F4-47FD-AA51-B85539CA803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1E8D77-88C5-466C-9E71-B0518BBFB65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2026-06-30T23:08:04Z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