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430" documentId="8_{AF585B22-221D-4780-BB9C-493D365A6A02}" xr6:coauthVersionLast="47" xr6:coauthVersionMax="47" xr10:uidLastSave="{2C4635D9-BFEA-4B7F-A33B-83081A82317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<sst xmlns="http://schemas.openxmlformats.org/spreadsheetml/2006/main" count="9090" uniqueCount="376">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</sst>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2" activePane="bottomLeft" state="frozen"/>
      <selection pane="bottomLeft" activeCell="E582" sqref="E5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231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186</v>
      </c>
      <c r="G595" s="40">
        <f>G581+G594</f>
        <v>930</v>
      </c>
      <c r="H595" s="41"/>
      <c r="I595" s="41"/>
      <c r="J595" s="41"/>
      <c r="K595" s="41"/>
      <c r="L595" s="41"/>
      <c r="M595" s="42">
        <f ca="1">IFERROR(M581+M594,"")</f>
        <v>5.8333333333333293E-2</v>
      </c>
      <c r="N595" s="40" t="s">
        <v>234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5" activePane="bottomLeft" state="frozen"/>
      <selection pane="bottomLeft" activeCell="F582" sqref="F5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0.55211249999410938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0.70975138888299827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0.81947361110522043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0.53058472221891861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0.70141805555225201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0.84655694444114093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230</v>
      </c>
      <c r="G595" s="40">
        <f>G581+G594</f>
        <v>966.00000000000011</v>
      </c>
      <c r="H595" s="41"/>
      <c r="I595" s="41"/>
      <c r="J595" s="41"/>
      <c r="K595" s="41"/>
      <c r="L595" s="41"/>
      <c r="M595" s="42">
        <f ca="1">IFERROR(M581+M594,"")</f>
        <v>2.2916666666666696E-2</v>
      </c>
      <c r="N595" s="40" t="s">
        <v>234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9" zoomScale="50" zoomScaleNormal="50" workbookViewId="0">
      <selection activeCell="F582" sqref="F5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313</v>
      </c>
      <c r="N166" s="27" t="s">
        <v>314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53</v>
      </c>
      <c r="G595" s="40">
        <f>G581+G594</f>
        <v>222.60000000000002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62" activePane="bottomLeft" state="frozen"/>
      <selection pane="bottomLeft" activeCell="E588" sqref="E58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336</v>
      </c>
      <c r="L58" s="29">
        <v>0.54097222222222219</v>
      </c>
      <c r="M58" s="30" t="str">
        <f t="shared" ca="1" si="13"/>
        <v/>
      </c>
      <c r="N58" s="27" t="s">
        <v>337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0.54239027777657611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0.74169583333213174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1.1090569444432428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231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F587" s="27"/>
      <c r="G587" s="34" t="str">
        <f>IF(F587="","",IF(E588="PC 17",F587*4.2,IF(E588="PC 19",F587*5,"")))</f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>IF(F588="","",IF(#REF!="PC 17",F588*4.2,IF(#REF!="PC 19",F588*5,"")))</f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0.49999999999999994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2026-07-22T23:00:04Z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