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299" documentId="8_{AF585B22-221D-4780-BB9C-493D365A6A02}" xr6:coauthVersionLast="47" xr6:coauthVersionMax="47" xr10:uidLastSave="{D7F51238-9F6E-46E0-9FD5-AB5BE6E05861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<sst xmlns="http://schemas.openxmlformats.org/spreadsheetml/2006/main" count="3280" uniqueCount="257">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</sst>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41" activePane="bottomLeft" state="frozen"/>
      <selection pane="bottomLeft" activeCell="F168" sqref="F16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76</v>
      </c>
      <c r="G176" s="36">
        <f>SUM(G164:G175)</f>
        <v>380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76</v>
      </c>
      <c r="G190" s="40">
        <f>G176+G189</f>
        <v>380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72" sqref="F1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0.17067199074517703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0.17067199074517703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0.17067199074517703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68" sqref="F16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/>
      <c r="I166" s="26"/>
      <c r="J166" s="26"/>
      <c r="K166" s="29">
        <v>0.45694444444444443</v>
      </c>
      <c r="L166" s="29"/>
      <c r="M166" s="30"/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216</v>
      </c>
      <c r="F167" s="27">
        <v>6</v>
      </c>
      <c r="G167" s="34">
        <f t="shared" si="36"/>
        <v>25.200000000000003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25</v>
      </c>
      <c r="G176" s="36">
        <f>SUM(G164:G175)</f>
        <v>107.4</v>
      </c>
      <c r="H176" s="37"/>
      <c r="I176" s="37"/>
      <c r="J176" s="37"/>
      <c r="K176" s="37"/>
      <c r="L176" s="37"/>
      <c r="M176" s="38">
        <f ca="1">IFERROR(SUM(M164:M175),"")</f>
        <v>7.6388888888889173E-3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25</v>
      </c>
      <c r="G190" s="40">
        <f>G176+G189</f>
        <v>107.4</v>
      </c>
      <c r="H190" s="41"/>
      <c r="I190" s="41"/>
      <c r="J190" s="41"/>
      <c r="K190" s="41"/>
      <c r="L190" s="41"/>
      <c r="M190" s="42">
        <f ca="1">IFERROR(M176+M189,"")</f>
        <v>7.6388888888889173E-3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2" activePane="bottomLeft" state="frozen"/>
      <selection pane="bottomLeft" activeCell="F168" sqref="F16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245</v>
      </c>
      <c r="L58" s="29">
        <v>0.54097222222222219</v>
      </c>
      <c r="M58" s="30" t="str">
        <f t="shared" ca="1" si="13"/>
        <v/>
      </c>
      <c r="N58" s="27" t="s">
        <v>246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0.21303333333344199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0.41233888888899761</v>
      </c>
      <c r="N135" s="36" t="s">
        <v>208</v>
      </c>
      <c r="O135" s="39">
        <v>729290</v>
      </c>
    </row>
    <row r="136" spans="1:18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0.77970000000010864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216</v>
      </c>
      <c r="F165" s="27">
        <v>20</v>
      </c>
      <c r="G165" s="34">
        <f t="shared" si="36"/>
        <v>84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10</v>
      </c>
      <c r="G167" s="34">
        <f t="shared" si="36"/>
        <v>42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53</v>
      </c>
      <c r="G176" s="36">
        <f>SUM(G164:G175)</f>
        <v>233</v>
      </c>
      <c r="H176" s="37"/>
      <c r="I176" s="37"/>
      <c r="J176" s="37"/>
      <c r="K176" s="61"/>
      <c r="L176" s="61"/>
      <c r="M176" s="38">
        <f ca="1">IFERROR(SUM(M164:M175),"")</f>
        <v>1.2499999999999956E-2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53</v>
      </c>
      <c r="G190" s="40">
        <f>G176+G189</f>
        <v>233</v>
      </c>
      <c r="H190" s="41"/>
      <c r="I190" s="41"/>
      <c r="J190" s="41"/>
      <c r="K190" s="63"/>
      <c r="L190" s="63"/>
      <c r="M190" s="42">
        <f ca="1">IFERROR(M176+M189,"")</f>
        <v>1.2499999999999956E-2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2026-07-07T15:06:16Z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