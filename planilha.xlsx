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46" documentId="8_{AF585B22-221D-4780-BB9C-493D365A6A02}" xr6:coauthVersionLast="47" xr6:coauthVersionMax="47" xr10:uidLastSave="{394F3365-966D-4FCB-8941-EF1D705EC6C2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<sst xmlns="http://schemas.openxmlformats.org/spreadsheetml/2006/main" count="6888" uniqueCount="332">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</sst>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5" sqref="F4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220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159</v>
      </c>
      <c r="G432" s="36">
        <f>SUM(G420:G431)</f>
        <v>795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380</v>
      </c>
      <c r="G433" s="40">
        <f>G419+G432</f>
        <v>1900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7" activePane="bottomLeft" state="frozen"/>
      <selection pane="bottomLeft" activeCell="H420" sqref="H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0.77620150462462334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0.93384039351351222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1.0435626157357345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24</v>
      </c>
      <c r="G432" s="36">
        <f>SUM(G420:G431)</f>
        <v>100.8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163</v>
      </c>
      <c r="G433" s="40">
        <f>G419+G432</f>
        <v>697.40000000000009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4" sqref="F4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13</v>
      </c>
      <c r="G432" s="36">
        <f>SUM(G420:G431)</f>
        <v>57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74</v>
      </c>
      <c r="G433" s="40">
        <f>G419+G432</f>
        <v>317.2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24" sqref="F4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0.76647928240709007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0.96578483796264569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1.3331459490737567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0</v>
      </c>
      <c r="G420" s="28">
        <f t="shared" ref="G420:G431" si="93">IF(F420="","",IF(E420="PC 17",F420*4.2,IF(E420="PC 19",F420*5,"")))</f>
        <v>0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/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14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0.14444444444444449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128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0.37847222222222227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2026-07-17T04:23:14Z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