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75" documentId="13_ncr:1_{A6DBCFB4-28D9-4249-9038-216934055CA6}" xr6:coauthVersionLast="47" xr6:coauthVersionMax="47" xr10:uidLastSave="{78463D37-20D8-4752-A402-AD3011EC43DE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0" i="4" l="1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<sst xmlns="http://schemas.openxmlformats.org/spreadsheetml/2006/main" count="9411" uniqueCount="414">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</sst>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J557" sqref="J55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/>
      <c r="K557" s="65">
        <v>2.5694444444444443E-2</v>
      </c>
      <c r="L557" s="65"/>
      <c r="M557" s="71">
        <f t="shared" ca="1" si="120"/>
        <v>2.6611689820128959E-2</v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7" t="s">
        <v>264</v>
      </c>
      <c r="B567" s="157"/>
      <c r="C567" s="157"/>
      <c r="D567" s="157"/>
      <c r="E567" s="157"/>
      <c r="F567" s="2">
        <f>SUM(F555:F566)</f>
        <v>28</v>
      </c>
      <c r="G567" s="2">
        <f>SUM(G555:G566)</f>
        <v>140</v>
      </c>
      <c r="H567" s="72"/>
      <c r="I567" s="72"/>
      <c r="J567" s="72"/>
      <c r="K567" s="72"/>
      <c r="L567" s="72"/>
      <c r="M567" s="73">
        <f ca="1">IFERROR(SUM(M555:M566),"")</f>
        <v>0.18702835648679572</v>
      </c>
      <c r="N567" s="2" t="s">
        <v>262</v>
      </c>
      <c r="O567" s="74"/>
    </row>
    <row r="568" spans="1:15" ht="18" customHeight="1">
      <c r="A568" s="158" t="s">
        <v>250</v>
      </c>
      <c r="B568" s="158"/>
      <c r="C568" s="158"/>
      <c r="D568" s="158"/>
      <c r="E568" s="158"/>
      <c r="F568" s="1">
        <f>F554+F567</f>
        <v>28</v>
      </c>
      <c r="G568" s="1">
        <f>G554+G567</f>
        <v>140</v>
      </c>
      <c r="H568" s="76"/>
      <c r="I568" s="76"/>
      <c r="J568" s="76"/>
      <c r="K568" s="76"/>
      <c r="L568" s="76"/>
      <c r="M568" s="77">
        <f ca="1">IFERROR(M554+M567,"")</f>
        <v>0.68702835648679561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7" t="s">
        <v>261</v>
      </c>
      <c r="B581" s="157"/>
      <c r="C581" s="157"/>
      <c r="D581" s="157"/>
      <c r="E581" s="157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58" t="s">
        <v>250</v>
      </c>
      <c r="B595" s="158"/>
      <c r="C595" s="158"/>
      <c r="D595" s="158"/>
      <c r="E595" s="158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34" activePane="bottomLeft" state="frozen"/>
      <selection pane="bottomLeft" activeCell="D560" sqref="D56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0.93077835648000473</v>
      </c>
      <c r="R53" s="80" t="s">
        <v>308</v>
      </c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1.0696672453688925</v>
      </c>
      <c r="R54" s="2" t="s">
        <v>262</v>
      </c>
      <c r="S54" s="113">
        <v>352430</v>
      </c>
      <c r="T54" s="114"/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1.1543894675911153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0.26063946759677492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/>
      <c r="F560" s="88">
        <f>IFERROR(IF($D560="","",VLOOKUP($D560,Cadastro!$C$4:$E$7,3,FALSE())),"")</f>
        <v>0.24</v>
      </c>
      <c r="G560" s="89">
        <v>13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13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0.26063946759677492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58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0.58216724537455256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D560" sqref="D56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69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305</v>
      </c>
      <c r="L567" s="72"/>
      <c r="M567" s="72"/>
      <c r="N567" s="72"/>
      <c r="O567" s="72"/>
      <c r="P567" s="72"/>
      <c r="Q567" s="73">
        <f ca="1">IFERROR(SUM(Q555:Q566),"")</f>
        <v>2.7083333333333459E-2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78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342.8</v>
      </c>
      <c r="L568" s="76"/>
      <c r="M568" s="76"/>
      <c r="N568" s="76"/>
      <c r="O568" s="76"/>
      <c r="P568" s="76"/>
      <c r="Q568" s="77">
        <f ca="1">IFERROR(Q554+Q567,"")</f>
        <v>0.43750000000000017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2" activePane="bottomLeft" state="frozen"/>
      <selection pane="bottomLeft" activeCell="P563" sqref="P56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411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412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413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208.20000000000002</v>
      </c>
      <c r="L567" s="72"/>
      <c r="M567" s="72"/>
      <c r="N567" s="72"/>
      <c r="O567" s="134"/>
      <c r="P567" s="134"/>
      <c r="Q567" s="73">
        <f ca="1">IFERROR(SUM(Q555:Q566),"")</f>
        <v>9.7916666666666541E-2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180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758.40000000000009</v>
      </c>
      <c r="L568" s="76"/>
      <c r="M568" s="76"/>
      <c r="N568" s="76"/>
      <c r="O568" s="135"/>
      <c r="P568" s="135"/>
      <c r="Q568" s="77">
        <f ca="1">IFERROR(Q554+Q567,"")</f>
        <v>0.2541666666666666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2026-08-22T05:15:41Z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