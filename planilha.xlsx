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03" documentId="13_ncr:1_{0A10D8D4-8450-4366-8075-B53B08E6B7EA}" xr6:coauthVersionLast="47" xr6:coauthVersionMax="47" xr10:uidLastSave="{C051D492-D8FB-4C0A-AE6F-0DC488ACB580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40" i="5"/>
  <c r="J440" i="5" s="1"/>
  <c r="H441" i="5"/>
  <c r="J441" i="5" s="1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40" i="4"/>
  <c r="J440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38" i="6" l="1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<sst xmlns="http://schemas.openxmlformats.org/spreadsheetml/2006/main" count="7524" uniqueCount="364">
  <si>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</si>
  <si>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</si>
  <si>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</si>
  <si>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</si>
  <si>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</si>
  <si>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</si>
  <si>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</si>
  <si>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</si>
  <si>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</si>
  <si>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</si>
  <si>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</si>
  <si>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</si>
  <si>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</si>
  <si>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</si>
  <si>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</si>
  <si>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</si>
  <si>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</si>
  <si>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</si>
  <si>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</si>
  <si>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</si>
  <si>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</si>
  <si>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</si>
  <si>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</si>
  <si>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</si>
  <si>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</si>
  <si>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</si>
  <si>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</si>
  <si>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</si>
  <si>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</si>
  <si>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</si>
  <si>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</si>
  <si>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</si>
  <si>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</si>
  <si>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</si>
  <si>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</si>
  <si>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</si>
  <si>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</si>
  <si>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</si>
  <si>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</si>
  <si>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</si>
  <si>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</si>
  <si>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</si>
  <si>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</si>
  <si>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</si>
  <si>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</si>
  <si>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</si>
  <si>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</si>
  <si>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</si>
  <si>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</si>
  <si>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</si>
  <si>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</si>
  <si>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</si>
  <si>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</si>
  <si>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</si>
  <si>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</si>
  <si>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</si>
  <si>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</si>
  <si>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</si>
  <si>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</si>
  <si>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</si>
  <si>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</si>
  <si>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</si>
  <si>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</si>
  <si>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</si>
  <si>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</si>
  <si>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</si>
  <si>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</si>
  <si>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</si>
  <si>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</si>
  <si>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</si>
  <si>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</si>
  <si>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</si>
  <si>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</si>
  <si>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</si>
  <si>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</si>
  <si>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</si>
  <si>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</si>
  <si>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</si>
  <si>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</si>
  <si>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</si>
  <si>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</si>
  <si>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</si>
  <si>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</si>
  <si>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</si>
  <si>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</si>
  <si>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</si>
  <si>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</si>
  <si>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</si>
  <si>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</si>
  <si>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</si>
  <si>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</si>
  <si>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</si>
  <si>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</si>
  <si>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</si>
  <si>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</si>
  <si>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</si>
  <si>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</si>
  <si>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</si>
  <si>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</si>
  <si>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</si>
  <si>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</si>
  <si>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</si>
  <si>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</si>
  <si>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</si>
  <si>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</si>
  <si>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</si>
  <si>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</si>
  <si>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</si>
  <si>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</si>
  <si>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</si>
  <si>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</si>
  <si>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</si>
  <si>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</si>
  <si>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</si>
  <si>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</si>
  <si>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</si>
  <si>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</si>
  <si>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</si>
  <si>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</si>
  <si>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</si>
  <si>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</si>
  <si>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</si>
  <si>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</si>
  <si>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</si>
  <si>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</si>
  <si>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</si>
  <si>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</si>
  <si>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</si>
  <si>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</si>
  <si>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</si>
  <si>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</si>
  <si>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</si>
  <si>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</si>
  <si>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</si>
  <si>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</si>
  <si>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</si>
  <si>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</si>
  <si>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</si>
  <si>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</si>
  <si>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</si>
  <si>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</si>
  <si>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</si>
  <si>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</si>
  <si>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</si>
  <si>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</si>
  <si>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</si>
  <si>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</si>
  <si>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</si>
  <si>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</si>
  <si>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</si>
  <si>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</si>
  <si>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</si>
  <si>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</si>
  <si>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</si>
  <si>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</si>
  <si>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</si>
  <si>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</si>
  <si>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</si>
  <si>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</si>
  <si>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</si>
  <si>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</si>
  <si>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</si>
  <si>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</si>
  <si>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</si>
  <si>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</si>
  <si>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</si>
  <si>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</si>
  <si>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</si>
  <si>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</si>
  <si>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</si>
  <si>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</si>
  <si>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</si>
  <si>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</si>
  <si>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</si>
  <si>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</si>
  <si>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</si>
  <si>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</si>
  <si>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</si>
  <si>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</si>
  <si>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</si>
  <si>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</si>
  <si>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</si>
  <si>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</si>
  <si>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</si>
  <si>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</si>
  <si>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</si>
  <si>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</si>
  <si>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</si>
  <si>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</si>
  <si>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</si>
  <si>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</si>
  <si>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</si>
  <si>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</si>
  <si>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</si>
  <si>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</si>
  <si>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</si>
  <si>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</si>
  <si>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</si>
  <si>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</si>
  <si>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</si>
  <si>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</si>
  <si>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</si>
  <si>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</si>
  <si>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</si>
  <si>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</si>
  <si>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</si>
  <si>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</si>
  <si>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</si>
  <si>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</si>
  <si>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</si>
  <si>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</si>
  <si>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</si>
  <si>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</si>
  <si>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</si>
  <si>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</si>
  <si>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</si>
  <si>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</si>
  <si>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</si>
  <si>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</si>
  <si>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</si>
  <si>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</si>
  <si>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</si>
  <si>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</si>
  <si>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</si>
  <si>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</si>
  <si>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</si>
  <si>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</si>
  <si>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</si>
  <si>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</si>
  <si>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</si>
  <si>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</si>
  <si>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</si>
  <si>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</si>
  <si>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</si>
  <si>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</si>
  <si>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</si>
  <si>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</si>
  <si>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</si>
  <si>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</si>
  <si>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</si>
  <si>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</si>
  <si>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</si>
  <si>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</si>
  <si>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</si>
  <si>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</si>
  <si>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</si>
  <si>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</si>
  <si>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</si>
  <si>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</si>
  <si>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</si>
  <si>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</si>
  <si>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</si>
  <si>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</si>
  <si>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</si>
  <si>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</si>
  <si>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</si>
  <si>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</si>
  <si>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</si>
  <si>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</si>
  <si>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</si>
  <si>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</si>
  <si>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</si>
  <si>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</si>
  <si>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</si>
  <si>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</si>
  <si>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</si>
  <si>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</si>
  <si>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</si>
  <si>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</si>
  <si>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</si>
  <si>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</si>
  <si>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 xml:space="preserve">manutenção na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</si>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</sst>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3895.4599999999996</v>
      </c>
      <c r="J35" s="130">
        <f>IFERROR(AVERAGE(J4:J34),"-")</f>
        <v>0.93662764247245955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04" activePane="bottomLeft" state="frozen"/>
      <selection pane="bottomLeft" activeCell="J434" sqref="J434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27</v>
      </c>
      <c r="I434" s="26" t="s">
        <v>30</v>
      </c>
      <c r="J434" s="26" t="s">
        <v>27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 t="s">
        <v>271</v>
      </c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I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102</v>
      </c>
      <c r="G446" s="36">
        <f>SUM(G434:G445)</f>
        <v>510</v>
      </c>
      <c r="H446" s="37"/>
      <c r="I446" s="37"/>
      <c r="J446" s="37"/>
      <c r="K446" s="37"/>
      <c r="L446" s="37"/>
      <c r="M446" s="38">
        <f ca="1">IFERROR(SUM(M434:M445),"")</f>
        <v>2.1527777777777812E-2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102</v>
      </c>
      <c r="G460" s="40">
        <f>G446+G459</f>
        <v>510</v>
      </c>
      <c r="H460" s="41"/>
      <c r="I460" s="41"/>
      <c r="J460" s="41"/>
      <c r="K460" s="41"/>
      <c r="L460" s="41"/>
      <c r="M460" s="42">
        <f ca="1">IFERROR(M446+M459,"")</f>
        <v>2.1527777777777812E-2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454:E838 E29:E229 E231:E310 E312:E381 E383:E452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11" activePane="bottomLeft" state="frozen"/>
      <selection pane="bottomLeft" activeCell="G440" sqref="G440:G441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274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275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276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277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278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279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280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281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0.45492395832843613</v>
      </c>
      <c r="R53" s="46" t="s">
        <v>282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0.59381284721732497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0.67853506943954733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274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283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284</v>
      </c>
      <c r="Q96" s="30" t="str">
        <f t="shared" ref="Q96:Q107" ca="1" si="22">IFERROR(IF(O96="","",IF(P96="",MOD(NOW()-O96,1),IF(P96&gt;=O96,P96-O96,P96+1-O96))),"")</f>
        <v/>
      </c>
      <c r="R96" s="46" t="s">
        <v>285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286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287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288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289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290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291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293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294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295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288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283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297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298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299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300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301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302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303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295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290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283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304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305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306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307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308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>IF(G440="","",IF(E445="PC 17",G440*4.2,IF(E445="PC 19",G440*5,IF(E445="CB",G440*24,""))))</f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59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247.8</v>
      </c>
      <c r="L446" s="37"/>
      <c r="M446" s="37"/>
      <c r="N446" s="37"/>
      <c r="O446" s="37"/>
      <c r="P446" s="37"/>
      <c r="Q446" s="38">
        <f ca="1">IFERROR(SUM(Q434:Q445),"")</f>
        <v>3.6805555555555536E-2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59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247.8</v>
      </c>
      <c r="L460" s="41"/>
      <c r="M460" s="41"/>
      <c r="N460" s="41"/>
      <c r="O460" s="41"/>
      <c r="P460" s="41"/>
      <c r="Q460" s="42">
        <f ca="1">IFERROR(Q446+Q459,"")</f>
        <v>3.6805555555555536E-2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93" activePane="bottomLeft" state="frozen"/>
      <selection pane="bottomLeft" activeCell="M435" sqref="M435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277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283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291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283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294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323</v>
      </c>
      <c r="Q222" s="30" t="str">
        <f t="shared" ca="1" si="49"/>
        <v/>
      </c>
      <c r="R222" s="27" t="s">
        <v>324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301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302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283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305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 t="s">
        <v>27</v>
      </c>
      <c r="M435" s="33" t="s">
        <v>54</v>
      </c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4"/>
        <v>0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42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176.4</v>
      </c>
      <c r="L446" s="37"/>
      <c r="M446" s="37"/>
      <c r="N446" s="37"/>
      <c r="O446" s="37"/>
      <c r="P446" s="37"/>
      <c r="Q446" s="38">
        <f ca="1">IFERROR(SUM(Q434:Q445),"")</f>
        <v>9.7222222222222432E-3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42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176.4</v>
      </c>
      <c r="L460" s="41"/>
      <c r="M460" s="41"/>
      <c r="N460" s="41"/>
      <c r="O460" s="41"/>
      <c r="P460" s="41"/>
      <c r="Q460" s="42">
        <f ca="1">IFERROR(Q446+Q459,"")</f>
        <v>9.7222222222222432E-3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3" activePane="bottomLeft" state="frozen"/>
      <selection pane="bottomLeft" activeCell="G440" sqref="G440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280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283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291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305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361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362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363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132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554.40000000000009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132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554.40000000000009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2026-08-17T17:51:59Z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