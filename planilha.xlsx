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39" documentId="13_ncr:1_{0A10D8D4-8450-4366-8075-B53B08E6B7EA}" xr6:coauthVersionLast="47" xr6:coauthVersionMax="47" xr10:uidLastSave="{DF64FA7A-4F7A-4676-A184-B832656EE261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<sst xmlns="http://schemas.openxmlformats.org/spreadsheetml/2006/main" count="6153" uniqueCount="342">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</sst>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50" sqref="F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290</v>
      </c>
      <c r="G351" s="36">
        <f>SUM(G339:G350)</f>
        <v>1450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522</v>
      </c>
      <c r="G352" s="40">
        <f>G338+G351</f>
        <v>2610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51" sqref="G3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0.16175173610827187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0.30064062499716077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0.38536284721938308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8"/>
        <v>0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0</v>
      </c>
      <c r="I350" s="138">
        <f>IFERROR(IF($D350="","",VLOOKUP($D350,Cadastro!$C$4:$G$7,5,FALSE)),"")</f>
        <v>0.6</v>
      </c>
      <c r="J350" s="139">
        <f t="shared" si="78"/>
        <v>0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51" sqref="G3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6"/>
        <v>0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0</v>
      </c>
      <c r="I350" s="138">
        <f>IFERROR(IF($D350="","",VLOOKUP($D350,Cadastro!$C$4:$G$7,5,FALSE)),"")</f>
        <v>0.6</v>
      </c>
      <c r="J350" s="139">
        <f t="shared" si="76"/>
        <v>0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G351" sqref="G3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8"/>
        <v>0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0</v>
      </c>
      <c r="I350" s="138">
        <f>IFERROR(IF($D350="","",VLOOKUP($D350,Cadastro!$C$4:$G$7,5,FALSE)),"")</f>
        <v>0.6</v>
      </c>
      <c r="J350" s="139">
        <f t="shared" si="78"/>
        <v>0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2026-08-14T10:48:14Z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