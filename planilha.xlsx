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376" documentId="13_ncr:1_{0A10D8D4-8450-4366-8075-B53B08E6B7EA}" xr6:coauthVersionLast="47" xr6:coauthVersionMax="47" xr10:uidLastSave="{02F775E8-BFB5-42D6-A718-2A00EB6C7BDA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4" l="1"/>
  <c r="K406" i="5"/>
  <c r="K406" i="6"/>
  <c r="G406" i="6"/>
  <c r="G406" i="5"/>
  <c r="G406" i="4"/>
  <c r="F406" i="3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432" i="4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87" i="5"/>
  <c r="H676" i="5"/>
  <c r="H460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17" i="6" l="1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419" i="4" l="1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<sst xmlns="http://schemas.openxmlformats.org/spreadsheetml/2006/main" count="7154" uniqueCount="356">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</sst>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/>
    </sheetView>
  </sheetViews>
  <sheetFormatPr defaultColWidth="8.5703125" defaultRowHeight="14.4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1195500</v>
      </c>
      <c r="D19" s="11">
        <f>IFERROR('Linha 1'!S433,"")</f>
        <v>590830</v>
      </c>
      <c r="E19" s="11">
        <f>IFERROR('Linha 2'!S433,"")</f>
        <v>447620</v>
      </c>
      <c r="F19" s="11">
        <f>IFERROR('Linha 3'!S433,"")</f>
        <v>627410</v>
      </c>
      <c r="G19" s="12">
        <f t="shared" si="0"/>
        <v>1665860</v>
      </c>
      <c r="H19" s="96">
        <f>IFERROR('Linha 1'!T433+'Linha 2'!T433+'Linha 3'!T433,0)</f>
        <v>239.88383999999999</v>
      </c>
      <c r="I19" s="96"/>
      <c r="J19" s="129">
        <f t="shared" si="1"/>
        <v>0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57588020</v>
      </c>
      <c r="D35" s="13">
        <f t="shared" si="2"/>
        <v>18838850</v>
      </c>
      <c r="E35" s="13">
        <f t="shared" si="2"/>
        <v>9882290</v>
      </c>
      <c r="F35" s="13">
        <f t="shared" si="2"/>
        <v>24136340</v>
      </c>
      <c r="G35" s="13">
        <f t="shared" si="2"/>
        <v>52857480</v>
      </c>
      <c r="H35" s="97">
        <f t="shared" si="2"/>
        <v>3450.1791327907322</v>
      </c>
      <c r="I35" s="97">
        <f>IFERROR(SUM(I4:I34),"")</f>
        <v>2403.2399999999998</v>
      </c>
      <c r="J35" s="130">
        <f>IFERROR(AVERAGE(J4:J34),"-")</f>
        <v>0.5749422174907689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/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385" activePane="bottomLeft" state="frozen"/>
      <selection pane="bottomLeft" activeCell="K421" sqref="K421"/>
      <selection sqref="A1:G409"/>
    </sheetView>
  </sheetViews>
  <sheetFormatPr defaultColWidth="8.5703125" defaultRowHeight="14.4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29</v>
      </c>
      <c r="E417" s="62" t="s">
        <v>243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29</v>
      </c>
      <c r="E418" s="62" t="s">
        <v>243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245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>
        <v>0.79166666666666663</v>
      </c>
      <c r="L420" s="29"/>
      <c r="M420" s="30">
        <f t="shared" ref="M420:M431" ca="1" si="89">IFERROR(IF(K420="","",IF(L420="",MOD(NOW()-K420,1),IF(L420&gt;=K420,L420-K420,L420+1-K420))),"")</f>
        <v>0.99927256944647525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0.99927256944647525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210</v>
      </c>
      <c r="G433" s="40">
        <f>G419+G432</f>
        <v>1050</v>
      </c>
      <c r="H433" s="41"/>
      <c r="I433" s="41"/>
      <c r="J433" s="41"/>
      <c r="K433" s="41"/>
      <c r="L433" s="41"/>
      <c r="M433" s="42">
        <f ca="1">IFERROR(M419+M432,"")</f>
        <v>1.2319114583353641</v>
      </c>
      <c r="N433" s="40" t="s">
        <v>249</v>
      </c>
      <c r="O433" s="48">
        <f>IFERROR(O419+O432,"")</f>
        <v>1195500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94" activePane="bottomLeft" state="frozen"/>
      <selection pane="bottomLeft" activeCell="L415" sqref="L415"/>
      <selection sqref="A1:G409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272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273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274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275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276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277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278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279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0.66941145832970506</v>
      </c>
      <c r="R53" s="46" t="s">
        <v>280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0.8083003472185939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0.89302256944081626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272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281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282</v>
      </c>
      <c r="Q96" s="30" t="str">
        <f t="shared" ref="Q96:Q107" ca="1" si="22">IFERROR(IF(O96="","",IF(P96="",MOD(NOW()-O96,1),IF(P96&gt;=O96,P96-O96,P96+1-O96))),"")</f>
        <v/>
      </c>
      <c r="R96" s="46" t="s">
        <v>283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284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285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286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287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288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289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291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292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293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286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281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295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296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297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298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299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300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301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293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288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281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302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303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304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245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147</v>
      </c>
      <c r="H433" s="112">
        <f>IFERROR(H419+H432,"")</f>
        <v>590.82999999999993</v>
      </c>
      <c r="I433" s="116"/>
      <c r="J433" s="125">
        <f>IFERROR(J419+J432,"")</f>
        <v>85.079520000000002</v>
      </c>
      <c r="K433" s="40">
        <f>K419+K432</f>
        <v>617.40000000000009</v>
      </c>
      <c r="L433" s="41"/>
      <c r="M433" s="41"/>
      <c r="N433" s="41"/>
      <c r="O433" s="41"/>
      <c r="P433" s="41"/>
      <c r="Q433" s="42">
        <f ca="1">IFERROR(Q419+Q432,"")</f>
        <v>9.0972222222222232E-2</v>
      </c>
      <c r="R433" s="40" t="s">
        <v>249</v>
      </c>
      <c r="S433" s="143">
        <f>IFERROR(S419+S432,"")</f>
        <v>590830</v>
      </c>
      <c r="T433" s="144">
        <f>IFERROR(J433,"")</f>
        <v>85.079520000000002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88" activePane="bottomLeft" state="frozen"/>
      <selection pane="bottomLeft" activeCell="S420" sqref="S420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305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275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306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281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305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305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307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308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309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310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311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312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313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289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281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314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315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292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292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316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317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318</v>
      </c>
      <c r="Q222" s="30" t="str">
        <f t="shared" ca="1" si="49"/>
        <v/>
      </c>
      <c r="R222" s="27" t="s">
        <v>319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320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299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321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300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281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322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303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323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245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121</v>
      </c>
      <c r="H433" s="112">
        <f>IFERROR(H419+H432,"")</f>
        <v>447.62</v>
      </c>
      <c r="I433" s="116"/>
      <c r="J433" s="125">
        <f>IFERROR(J419+J432,"")</f>
        <v>64.457279999999997</v>
      </c>
      <c r="K433" s="40">
        <f>K419+K432</f>
        <v>508.20000000000005</v>
      </c>
      <c r="L433" s="41"/>
      <c r="M433" s="41"/>
      <c r="N433" s="41"/>
      <c r="O433" s="41"/>
      <c r="P433" s="41"/>
      <c r="Q433" s="42">
        <f ca="1">IFERROR(Q419+Q432,"")</f>
        <v>7.2916666666666741E-2</v>
      </c>
      <c r="R433" s="40" t="s">
        <v>249</v>
      </c>
      <c r="S433" s="48">
        <f>IFERROR(S419+S432,"")</f>
        <v>447620</v>
      </c>
      <c r="T433" s="121">
        <f>IFERROR(J433,"")</f>
        <v>64.457279999999997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76" activePane="bottomLeft" state="frozen"/>
      <selection pane="bottomLeft" activeCell="S420" sqref="S420"/>
    </sheetView>
  </sheetViews>
  <sheetFormatPr defaultColWidth="8.5703125" defaultRowHeight="14.4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324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278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305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325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326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327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328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329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330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305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305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331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332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281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305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333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334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289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335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336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337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338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339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340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341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342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343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344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345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346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347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348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349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350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351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352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303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353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354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355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245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142</v>
      </c>
      <c r="H433" s="112">
        <f>IFERROR(H419+H432,"")</f>
        <v>627.40999999999985</v>
      </c>
      <c r="I433" s="116"/>
      <c r="J433" s="125">
        <f>IFERROR(J419+J432,"")</f>
        <v>90.347039999999993</v>
      </c>
      <c r="K433" s="40">
        <f>K419+K432</f>
        <v>596.40000000000009</v>
      </c>
      <c r="L433" s="41"/>
      <c r="M433" s="41"/>
      <c r="N433" s="41"/>
      <c r="O433" s="63"/>
      <c r="P433" s="63"/>
      <c r="Q433" s="42">
        <f ca="1">IFERROR(Q419+Q432,"")</f>
        <v>0.11527777777777781</v>
      </c>
      <c r="R433" s="40" t="s">
        <v>249</v>
      </c>
      <c r="S433" s="48">
        <f>IFERROR(S419+S432,"")</f>
        <v>627410</v>
      </c>
      <c r="T433" s="121">
        <f>IFERROR(J433,"")</f>
        <v>90.347039999999993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2026-08-16T22:59:31Z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