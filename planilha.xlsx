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96" documentId="8_{AF585B22-221D-4780-BB9C-493D365A6A02}" xr6:coauthVersionLast="47" xr6:coauthVersionMax="47" xr10:uidLastSave="{41147A61-EE92-444C-93D5-CD5555CD20B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<sst xmlns="http://schemas.openxmlformats.org/spreadsheetml/2006/main" count="12597" uniqueCount="445">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</sst>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5" sqref="F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269</v>
      </c>
      <c r="G837" s="109">
        <f>SUM(G825:G836)</f>
        <v>1345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402</v>
      </c>
      <c r="G838" s="111">
        <f>G824+G837</f>
        <v>1345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L835" sqref="L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0.9982042824049131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1.155843171293802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1.2655653935160243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0.97667650462972233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1.1475098379630557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1.2926487268519447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177</v>
      </c>
      <c r="G837" s="109">
        <f>SUM(G825:G836)</f>
        <v>756.2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346</v>
      </c>
      <c r="G838" s="111">
        <f>G824+G837</f>
        <v>1466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801" zoomScale="50" zoomScaleNormal="50" workbookViewId="0">
      <selection activeCell="J827" sqref="J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 t="s">
        <v>74</v>
      </c>
      <c r="K827" s="98">
        <v>0.22569444444444445</v>
      </c>
      <c r="L827" s="98">
        <v>0.23472222222222222</v>
      </c>
      <c r="M827" s="79">
        <f ca="1">IFERROR(IF(K827="","",IF(L827="",MOD(NOW()-K827,1),IF(L827&gt;=K827,L827-K827,L827+1-K827))),"")</f>
        <v>9.0277777777777735E-3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521.19999999999993</v>
      </c>
      <c r="H837" s="37"/>
      <c r="I837" s="37"/>
      <c r="J837" s="37"/>
      <c r="K837" s="37"/>
      <c r="L837" s="37"/>
      <c r="M837" s="110">
        <f ca="1">IFERROR(SUM(M825:M836),"")</f>
        <v>2.361111111111111E-2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217</v>
      </c>
      <c r="G838" s="111">
        <f>G824+G837</f>
        <v>920.19999999999982</v>
      </c>
      <c r="H838" s="41"/>
      <c r="I838" s="41"/>
      <c r="J838" s="41"/>
      <c r="K838" s="41"/>
      <c r="L838" s="41"/>
      <c r="M838" s="112">
        <f ca="1">IFERROR(M824+M837,"")</f>
        <v>8.1250000000000017E-2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812" activePane="bottomLeft" state="frozen"/>
      <selection pane="bottomLeft" activeCell="I831" sqref="I8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0.98848206018737983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1.1877876157429355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1.5551487268540465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 t="s">
        <v>20</v>
      </c>
      <c r="I831" s="81" t="s">
        <v>57</v>
      </c>
      <c r="J831" s="81" t="s">
        <v>28</v>
      </c>
      <c r="K831" s="98">
        <v>0.23749999999999999</v>
      </c>
      <c r="L831" s="98"/>
      <c r="M831" s="79">
        <f ca="1">IFERROR(IF(K831="","",IF(L831="",MOD(NOW()-K831,1),IF(L831&gt;=K831,L831-K831,L831+1-K831))),"")</f>
        <v>2.8761573776137084E-4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125</v>
      </c>
      <c r="G837" s="109">
        <f>SUM(G825:G836)</f>
        <v>525</v>
      </c>
      <c r="H837" s="37"/>
      <c r="I837" s="37"/>
      <c r="J837" s="37"/>
      <c r="K837" s="37"/>
      <c r="L837" s="37"/>
      <c r="M837" s="110">
        <f ca="1">IFERROR(SUM(M825:M836),"")</f>
        <v>4.889872684887249E-2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244</v>
      </c>
      <c r="G838" s="111">
        <f>G824+G837</f>
        <v>1024.8000000000002</v>
      </c>
      <c r="H838" s="41"/>
      <c r="I838" s="41"/>
      <c r="J838" s="41"/>
      <c r="K838" s="41"/>
      <c r="L838" s="41"/>
      <c r="M838" s="112">
        <f ca="1">IFERROR(M824+M837,"")</f>
        <v>0.16487094907109462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2026-08-01T09:42:40Z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