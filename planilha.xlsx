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63" documentId="13_ncr:1_{0A10D8D4-8450-4366-8075-B53B08E6B7EA}" xr6:coauthVersionLast="47" xr6:coauthVersionMax="47" xr10:uidLastSave="{37C8F6E9-5F51-4C30-AE70-A95A05F86F90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0" i="6"/>
  <c r="J450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0" i="5"/>
  <c r="J450" i="5" s="1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49" i="6" s="1"/>
  <c r="J449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49" i="5" s="1"/>
  <c r="J449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49" i="4" s="1"/>
  <c r="J449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7" i="6" l="1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<sst xmlns="http://schemas.openxmlformats.org/spreadsheetml/2006/main" count="7708" uniqueCount="368">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</sst>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26" activePane="bottomLeft" state="frozen"/>
      <selection pane="bottomLeft" activeCell="F451" sqref="F45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141</v>
      </c>
      <c r="K447" s="29">
        <v>0.92013888888888884</v>
      </c>
      <c r="L447" s="29"/>
      <c r="M447" s="35">
        <f t="shared" ref="M447:M458" ca="1" si="95">IFERROR(IF(K447="","",IF(L447="",MOD(NOW()-K447,1),IF(L447&gt;=K447,L447-K447,L447+1-K447))),"")</f>
        <v>7.0384259233833291E-3</v>
      </c>
      <c r="N447" s="46" t="s">
        <v>272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>
        <v>7</v>
      </c>
      <c r="G450" s="28">
        <f t="shared" si="94"/>
        <v>35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/>
      <c r="G451" s="34" t="str">
        <f>IF(F451="","",IF(E451="PC 17",F451*4.2,IF(E451="PC 19",F451*5,IF(E451="CB",F451*35,""))))</f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273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274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275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">
        <v>270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142</v>
      </c>
      <c r="G459" s="36">
        <f>SUM(G447:G458)</f>
        <v>710</v>
      </c>
      <c r="H459" s="37"/>
      <c r="I459" s="37"/>
      <c r="J459" s="37"/>
      <c r="K459" s="37"/>
      <c r="L459" s="37"/>
      <c r="M459" s="38">
        <f ca="1">IFERROR(SUM(M447:M458),"")</f>
        <v>7.0384259233833291E-3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310</v>
      </c>
      <c r="G460" s="40">
        <f>G446+G459</f>
        <v>1550</v>
      </c>
      <c r="H460" s="41"/>
      <c r="I460" s="41"/>
      <c r="J460" s="41"/>
      <c r="K460" s="41"/>
      <c r="L460" s="41"/>
      <c r="M460" s="42">
        <f ca="1">IFERROR(M446+M459,"")</f>
        <v>0.13551064814560565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50" sqref="G45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276</v>
      </c>
      <c r="I1" s="133" t="s">
        <v>20</v>
      </c>
      <c r="J1" s="133" t="s">
        <v>277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277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0.80564953703287756</v>
      </c>
      <c r="R53" s="46" t="s">
        <v>286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0.9445384259217664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1.0292606481439888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288</v>
      </c>
      <c r="Q96" s="30" t="str">
        <f t="shared" ref="Q96:Q107" ca="1" si="22">IFERROR(IF(O96="","",IF(P96="",MOD(NOW()-O96,1),IF(P96&gt;=O96,P96-O96,P96+1-O96))),"")</f>
        <v/>
      </c>
      <c r="R96" s="46" t="s">
        <v>289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287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308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309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310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311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312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313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172.2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153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642.6</v>
      </c>
      <c r="L460" s="41"/>
      <c r="M460" s="41"/>
      <c r="N460" s="41"/>
      <c r="O460" s="41"/>
      <c r="P460" s="41"/>
      <c r="Q460" s="42">
        <f ca="1">IFERROR(Q446+Q459,"")</f>
        <v>7.4305555555555625E-2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0" sqref="G4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276</v>
      </c>
      <c r="I1" s="133" t="s">
        <v>20</v>
      </c>
      <c r="J1" s="133" t="s">
        <v>277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277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327</v>
      </c>
      <c r="Q222" s="30" t="str">
        <f t="shared" ca="1" si="49"/>
        <v/>
      </c>
      <c r="R222" s="27" t="s">
        <v>328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287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309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 t="s">
        <v>217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37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155.39999999999998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122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512.40000000000009</v>
      </c>
      <c r="L460" s="41"/>
      <c r="M460" s="41"/>
      <c r="N460" s="41"/>
      <c r="O460" s="41"/>
      <c r="P460" s="41"/>
      <c r="Q460" s="42">
        <f ca="1">IFERROR(Q446+Q459,"")</f>
        <v>5.2083333333333315E-2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G450" sqref="G45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276</v>
      </c>
      <c r="I1" s="133" t="s">
        <v>20</v>
      </c>
      <c r="J1" s="133" t="s">
        <v>277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277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352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358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359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360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361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362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363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309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364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365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366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367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93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390.59999999999997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276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1159.2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2026-08-18T02:15:17Z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