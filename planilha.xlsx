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5035" documentId="8_{AF585B22-221D-4780-BB9C-493D365A6A02}" xr6:coauthVersionLast="47" xr6:coauthVersionMax="47" xr10:uidLastSave="{0D6369EC-188B-47BA-9BFD-D9CAD0BC2433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<sst xmlns="http://schemas.openxmlformats.org/spreadsheetml/2006/main" count="12571" uniqueCount="445">
  <si>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</si>
  <si>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</si>
  <si>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</si>
  <si>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</si>
  <si>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</si>
  <si>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</si>
  <si>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</si>
  <si>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</si>
  <si>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</si>
  <si>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</si>
  <si>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</si>
  <si>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</si>
  <si>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</si>
  <si>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</si>
  <si>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</si>
  <si>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</si>
  <si>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</si>
  <si>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</si>
  <si>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</si>
  <si>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</si>
  <si>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</si>
  <si>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</si>
  <si>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</si>
  <si>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</si>
  <si>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</si>
  <si>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</si>
  <si>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</si>
  <si>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</si>
  <si>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</si>
  <si>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</si>
  <si>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</si>
  <si>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</si>
  <si>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</si>
  <si>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</si>
  <si>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</si>
  <si>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</si>
  <si>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</si>
  <si>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</si>
  <si>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</si>
  <si>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</si>
  <si>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</si>
  <si>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</si>
  <si>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</si>
  <si>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</si>
  <si>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</si>
  <si>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</si>
  <si>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</si>
  <si>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</si>
  <si>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</si>
  <si>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</si>
  <si>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</si>
  <si>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</si>
  <si>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</si>
  <si>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</si>
  <si>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</si>
  <si>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</si>
  <si>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</si>
  <si>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</si>
  <si>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</si>
  <si>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</si>
  <si>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</si>
  <si>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</si>
  <si>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</si>
  <si>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</si>
  <si>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</si>
  <si>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</si>
  <si>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</si>
  <si>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</si>
  <si>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</si>
  <si>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</si>
  <si>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</si>
  <si>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</si>
  <si>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</si>
  <si>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</si>
  <si>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</si>
  <si>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</si>
  <si>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</si>
  <si>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</si>
  <si>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</si>
  <si>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</si>
  <si>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</si>
  <si>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</si>
  <si>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</si>
  <si>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</si>
  <si>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</si>
  <si>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</si>
  <si>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</si>
  <si>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</si>
  <si>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</si>
  <si>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</si>
  <si>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</si>
  <si>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</si>
  <si>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</si>
  <si>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</si>
  <si>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</si>
  <si>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</si>
  <si>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</si>
  <si>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</si>
  <si>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</si>
  <si>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</si>
  <si>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</si>
  <si>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</si>
  <si>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</si>
  <si>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</si>
  <si>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</si>
  <si>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</si>
  <si>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</si>
  <si>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</si>
  <si>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</si>
  <si>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</si>
  <si>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</si>
  <si>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</si>
  <si>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</si>
  <si>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</si>
  <si>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</si>
  <si>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</si>
  <si>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</si>
  <si>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</si>
  <si>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</si>
  <si>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</si>
  <si>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</si>
  <si>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</si>
  <si>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</si>
  <si>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</si>
  <si>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</si>
  <si>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</si>
  <si>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</si>
  <si>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</si>
  <si>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</si>
  <si>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</si>
  <si>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</si>
  <si>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</si>
  <si>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</si>
  <si>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</si>
  <si>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</si>
  <si>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</si>
  <si>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</si>
  <si>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</si>
  <si>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</si>
  <si>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</si>
  <si>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</si>
  <si>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</si>
  <si>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</si>
  <si>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</si>
  <si>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</si>
  <si>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</si>
  <si>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</si>
  <si>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</si>
  <si>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</si>
  <si>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</si>
  <si>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</si>
  <si>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</si>
  <si>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</si>
  <si>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</si>
  <si>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</si>
  <si>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</si>
  <si>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</si>
  <si>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</si>
  <si>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</si>
  <si>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</si>
  <si>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</si>
  <si>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</si>
  <si>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</si>
  <si>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</si>
  <si>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</si>
  <si>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</si>
  <si>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</si>
  <si>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</si>
  <si>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</si>
  <si>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</si>
  <si>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</si>
  <si>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</si>
  <si>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</si>
  <si>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</si>
  <si>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</si>
  <si>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</si>
  <si>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</si>
  <si>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</si>
  <si>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</si>
  <si>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</si>
  <si>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</si>
  <si>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</si>
  <si>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</si>
  <si>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</si>
  <si>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</si>
  <si>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</si>
  <si>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</si>
  <si>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</si>
  <si>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</si>
  <si>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</si>
  <si>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</si>
  <si>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</si>
  <si>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</si>
  <si>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</si>
  <si>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</si>
  <si>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</si>
  <si>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</si>
  <si>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</si>
  <si>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</si>
  <si>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</si>
  <si>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</si>
  <si>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</si>
  <si>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</si>
  <si>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</si>
  <si>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</si>
  <si>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</si>
  <si>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</si>
  <si>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</si>
  <si>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</si>
  <si>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</si>
  <si>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</si>
  <si>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</si>
  <si>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</si>
  <si>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</si>
  <si>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</si>
  <si>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</si>
  <si>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</si>
  <si>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</si>
  <si>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</si>
  <si>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</si>
  <si>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</si>
  <si>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</si>
  <si>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parada programada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</si>
  <si>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</si>
  <si>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</si>
  <si>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</si>
  <si>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</si>
  <si>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</si>
  <si>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</si>
  <si>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</si>
  <si>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</si>
  <si>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</si>
  <si>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</si>
  <si>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</si>
  <si>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</si>
  <si>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</si>
  <si>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</si>
  <si>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</si>
  <si>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</si>
  <si>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</si>
  <si>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</si>
  <si>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</si>
  <si>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</si>
  <si>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</si>
  <si>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</si>
  <si>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</si>
  <si>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</si>
  <si>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</si>
  <si>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</si>
  <si>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</si>
  <si>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</si>
  <si>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</si>
  <si>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</si>
  <si>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</si>
  <si>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</si>
  <si>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</si>
  <si>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</si>
  <si>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</si>
  <si>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</si>
  <si>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</si>
  <si>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</si>
  <si>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</si>
  <si>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</si>
  <si>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</si>
  <si>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</si>
  <si>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</si>
  <si>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</si>
  <si>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</si>
  <si>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</si>
  <si>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</si>
  <si>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</si>
  <si>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</si>
  <si>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</si>
  <si>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</si>
  <si>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</si>
  <si>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</si>
  <si>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</si>
  <si>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</si>
  <si>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foi feito troca de rolamento um sevico no chute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</si>
  <si>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</si>
  <si>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</si>
  <si>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</si>
  <si>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</si>
  <si>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</si>
  <si>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</si>
  <si>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</si>
  <si>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</si>
  <si>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</si>
  <si>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</si>
  <si>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</si>
  <si>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</si>
  <si>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</si>
  <si>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</si>
  <si>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</si>
  <si>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</si>
  <si>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</si>
  <si>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</si>
  <si>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</si>
  <si>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</si>
  <si>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</si>
  <si>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</si>
  <si>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</si>
  <si>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</si>
  <si>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</si>
  <si>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</si>
  <si>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</si>
  <si>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</si>
  <si>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</si>
  <si>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</si>
  <si>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</si>
  <si>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</si>
  <si>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</si>
  <si>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</si>
  <si>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</si>
  <si>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</si>
  <si>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</si>
  <si>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</si>
  <si>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</si>
  <si>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</si>
  <si>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</si>
  <si>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</si>
  <si>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</si>
  <si>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</si>
  <si>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</si>
  <si>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</si>
  <si>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</si>
  <si>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</si>
  <si>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</si>
  <si>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</si>
  <si>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</si>
  <si>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</si>
  <si>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</si>
  <si>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</si>
  <si>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</si>
  <si>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</si>
  <si>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</si>
  <si>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</si>
  <si>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</si>
  <si>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</si>
  <si>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</si>
  <si>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</si>
  <si>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</si>
  <si>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</si>
  <si>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</si>
  <si>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</si>
  <si>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</si>
  <si>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</si>
  <si>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</si>
  <si>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</si>
  <si>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arrebentou as balata</t>
  </si>
  <si>
    <t>troca do suporte de eletrodo para remoção dos pinos dos martelos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</si>
  <si>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</si>
  <si>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</si>
  <si>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</si>
  <si>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</si>
  <si>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</si>
  <si>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</si>
  <si>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</si>
  <si>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</si>
  <si>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</si>
  <si>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</si>
  <si>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</si>
  <si>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</si>
  <si>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</si>
  <si>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</si>
  <si>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</si>
  <si>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</si>
  <si>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</si>
  <si>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</si>
  <si>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</si>
  <si>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</si>
  <si>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</si>
  <si>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</si>
  <si>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</si>
  <si>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</si>
  <si>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</si>
  <si>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</si>
  <si>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</si>
  <si>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</si>
  <si>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</si>
  <si>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</si>
  <si>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</si>
  <si>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</si>
  <si>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</si>
  <si>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</si>
  <si>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</si>
  <si>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</si>
  <si>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</si>
  <si>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</si>
  <si>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</si>
  <si>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</si>
  <si>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</si>
  <si>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</si>
  <si>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</si>
  <si>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</si>
  <si>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</si>
  <si>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</si>
  <si>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</si>
  <si>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</si>
  <si>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</si>
  <si>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</si>
  <si>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</si>
  <si>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</si>
  <si>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</si>
  <si>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</si>
  <si>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</si>
  <si>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</si>
  <si>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</si>
  <si>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</si>
  <si>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</si>
  <si>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</si>
  <si>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</si>
  <si>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</si>
  <si>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</si>
  <si>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</si>
  <si>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</si>
  <si>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</si>
  <si>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</si>
  <si>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</si>
  <si>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</si>
  <si>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</si>
  <si>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</si>
  <si>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</si>
  <si>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</si>
  <si>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</si>
  <si>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</si>
  <si>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</si>
  <si>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</si>
  <si>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</si>
  <si>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</si>
  <si>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</si>
  <si>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</si>
  <si>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</si>
  <si>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</si>
  <si>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</si>
  <si>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</si>
  <si>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</si>
  <si>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</si>
  <si>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</si>
  <si>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</si>
  <si>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</si>
  <si>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</si>
  <si>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</si>
  <si>
    <t>e um servico de solda na tubulacao da bomba de polpa 04</t>
  </si>
  <si>
    <t>troca de marteo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</si>
</sst>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656110</v>
      </c>
      <c r="D34" s="11">
        <f>IFERROR('Linha 1'!O838,"")</f>
        <v>741170</v>
      </c>
      <c r="E34" s="11">
        <f>IFERROR('Linha 2'!O838,"")</f>
        <v>441270</v>
      </c>
      <c r="F34" s="11">
        <f>IFERROR('Linha 3'!O838,"")</f>
        <v>545810</v>
      </c>
      <c r="G34" s="12">
        <f t="shared" si="0"/>
        <v>1728250</v>
      </c>
    </row>
    <row r="35" spans="1:7" ht="14.25" customHeight="1">
      <c r="A35" s="127" t="s">
        <v>9</v>
      </c>
      <c r="B35" s="127"/>
      <c r="C35" s="13">
        <f>IFERROR(SUM(C4:C34),"")</f>
        <v>94680888</v>
      </c>
      <c r="D35" s="13">
        <f>IFERROR(SUM(D4:D34),"")</f>
        <v>38301260</v>
      </c>
      <c r="E35" s="13">
        <f>IFERROR(SUM(E4:E34),"")</f>
        <v>21295250</v>
      </c>
      <c r="F35" s="13">
        <f>IFERROR(SUM(F4:F34),"")</f>
        <v>38219240</v>
      </c>
      <c r="G35" s="13">
        <f>IFERROR(SUM(G4:G34),"")</f>
        <v>97815750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 t="s">
        <v>222</v>
      </c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10" activePane="bottomLeft" state="frozen"/>
      <selection pane="bottomLeft" activeCell="F832" sqref="F83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233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235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3" t="s">
        <v>236</v>
      </c>
      <c r="B14" s="114"/>
      <c r="C14" s="114"/>
      <c r="D14" s="114"/>
      <c r="E14" s="11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237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3" t="s">
        <v>238</v>
      </c>
      <c r="B27" s="114"/>
      <c r="C27" s="114"/>
      <c r="D27" s="114"/>
      <c r="E27" s="11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237</v>
      </c>
      <c r="O27" s="39">
        <v>1183060</v>
      </c>
    </row>
    <row r="28" spans="1:15" ht="18" customHeight="1">
      <c r="A28" s="116" t="s">
        <v>239</v>
      </c>
      <c r="B28" s="117"/>
      <c r="C28" s="117"/>
      <c r="D28" s="117"/>
      <c r="E28" s="11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240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241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3" t="s">
        <v>236</v>
      </c>
      <c r="B41" s="114"/>
      <c r="C41" s="114"/>
      <c r="D41" s="114"/>
      <c r="E41" s="11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237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3" t="s">
        <v>238</v>
      </c>
      <c r="B54" s="114"/>
      <c r="C54" s="114"/>
      <c r="D54" s="114"/>
      <c r="E54" s="11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237</v>
      </c>
      <c r="O54" s="39">
        <v>959290</v>
      </c>
    </row>
    <row r="55" spans="1:15" ht="18" customHeight="1">
      <c r="A55" s="116" t="s">
        <v>239</v>
      </c>
      <c r="B55" s="117"/>
      <c r="C55" s="117"/>
      <c r="D55" s="117"/>
      <c r="E55" s="11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240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3" t="s">
        <v>236</v>
      </c>
      <c r="B68" s="114"/>
      <c r="C68" s="114"/>
      <c r="D68" s="114"/>
      <c r="E68" s="11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237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242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3" t="s">
        <v>238</v>
      </c>
      <c r="B81" s="114"/>
      <c r="C81" s="114"/>
      <c r="D81" s="114"/>
      <c r="E81" s="11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237</v>
      </c>
      <c r="O81" s="39">
        <v>878050</v>
      </c>
    </row>
    <row r="82" spans="1:15" ht="18" customHeight="1">
      <c r="A82" s="116" t="s">
        <v>239</v>
      </c>
      <c r="B82" s="117"/>
      <c r="C82" s="117"/>
      <c r="D82" s="117"/>
      <c r="E82" s="11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240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3" t="s">
        <v>236</v>
      </c>
      <c r="B95" s="114"/>
      <c r="C95" s="114"/>
      <c r="D95" s="114"/>
      <c r="E95" s="11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237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3" t="s">
        <v>238</v>
      </c>
      <c r="B108" s="114"/>
      <c r="C108" s="114"/>
      <c r="D108" s="114"/>
      <c r="E108" s="11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237</v>
      </c>
      <c r="O108" s="39">
        <v>1700000</v>
      </c>
    </row>
    <row r="109" spans="1:15" ht="18" customHeight="1">
      <c r="A109" s="116" t="s">
        <v>239</v>
      </c>
      <c r="B109" s="117"/>
      <c r="C109" s="117"/>
      <c r="D109" s="117"/>
      <c r="E109" s="11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240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3" t="s">
        <v>236</v>
      </c>
      <c r="B122" s="114"/>
      <c r="C122" s="114"/>
      <c r="D122" s="114"/>
      <c r="E122" s="11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237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3" t="s">
        <v>238</v>
      </c>
      <c r="B135" s="114"/>
      <c r="C135" s="114"/>
      <c r="D135" s="114"/>
      <c r="E135" s="11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237</v>
      </c>
      <c r="O135" s="39">
        <v>862330</v>
      </c>
    </row>
    <row r="136" spans="1:15" ht="18" customHeight="1">
      <c r="A136" s="116" t="s">
        <v>239</v>
      </c>
      <c r="B136" s="117"/>
      <c r="C136" s="117"/>
      <c r="D136" s="117"/>
      <c r="E136" s="11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240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3" t="s">
        <v>236</v>
      </c>
      <c r="B149" s="114"/>
      <c r="C149" s="114"/>
      <c r="D149" s="114"/>
      <c r="E149" s="11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237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3" t="s">
        <v>238</v>
      </c>
      <c r="B162" s="114"/>
      <c r="C162" s="114"/>
      <c r="D162" s="114"/>
      <c r="E162" s="11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237</v>
      </c>
      <c r="O162" s="44">
        <v>1546080</v>
      </c>
    </row>
    <row r="163" spans="1:15" ht="18" customHeight="1">
      <c r="A163" s="116" t="s">
        <v>239</v>
      </c>
      <c r="B163" s="117"/>
      <c r="C163" s="117"/>
      <c r="D163" s="117"/>
      <c r="E163" s="11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240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3" t="s">
        <v>236</v>
      </c>
      <c r="B176" s="114"/>
      <c r="C176" s="114"/>
      <c r="D176" s="114"/>
      <c r="E176" s="11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237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3" t="s">
        <v>238</v>
      </c>
      <c r="B189" s="114"/>
      <c r="C189" s="114"/>
      <c r="D189" s="114"/>
      <c r="E189" s="11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237</v>
      </c>
      <c r="O189" s="39">
        <v>2355810</v>
      </c>
    </row>
    <row r="190" spans="1:15" ht="18" customHeight="1">
      <c r="A190" s="116" t="s">
        <v>239</v>
      </c>
      <c r="B190" s="117"/>
      <c r="C190" s="117"/>
      <c r="D190" s="117"/>
      <c r="E190" s="11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240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3" t="s">
        <v>236</v>
      </c>
      <c r="B203" s="114"/>
      <c r="C203" s="114"/>
      <c r="D203" s="114"/>
      <c r="E203" s="11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237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3" t="s">
        <v>238</v>
      </c>
      <c r="B216" s="114"/>
      <c r="C216" s="114"/>
      <c r="D216" s="114"/>
      <c r="E216" s="11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237</v>
      </c>
      <c r="O216" s="45">
        <v>2013260</v>
      </c>
    </row>
    <row r="217" spans="1:15" ht="18" customHeight="1">
      <c r="A217" s="116" t="s">
        <v>239</v>
      </c>
      <c r="B217" s="117"/>
      <c r="C217" s="117"/>
      <c r="D217" s="117"/>
      <c r="E217" s="11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240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3" t="s">
        <v>236</v>
      </c>
      <c r="B230" s="114"/>
      <c r="C230" s="114"/>
      <c r="D230" s="114"/>
      <c r="E230" s="11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237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3" t="s">
        <v>238</v>
      </c>
      <c r="B243" s="114"/>
      <c r="C243" s="114"/>
      <c r="D243" s="114"/>
      <c r="E243" s="11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237</v>
      </c>
      <c r="O243" s="39">
        <v>1545480</v>
      </c>
    </row>
    <row r="244" spans="1:15" ht="18" customHeight="1">
      <c r="A244" s="116" t="s">
        <v>239</v>
      </c>
      <c r="B244" s="117"/>
      <c r="C244" s="117"/>
      <c r="D244" s="117"/>
      <c r="E244" s="11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240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3" t="s">
        <v>236</v>
      </c>
      <c r="B257" s="114"/>
      <c r="C257" s="114"/>
      <c r="D257" s="114"/>
      <c r="E257" s="11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237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3" t="s">
        <v>238</v>
      </c>
      <c r="B270" s="114"/>
      <c r="C270" s="114"/>
      <c r="D270" s="114"/>
      <c r="E270" s="11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237</v>
      </c>
      <c r="O270" s="39">
        <v>1182690</v>
      </c>
    </row>
    <row r="271" spans="1:15" ht="18" customHeight="1">
      <c r="A271" s="116" t="s">
        <v>239</v>
      </c>
      <c r="B271" s="117"/>
      <c r="C271" s="117"/>
      <c r="D271" s="117"/>
      <c r="E271" s="11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240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3" t="s">
        <v>236</v>
      </c>
      <c r="B284" s="114"/>
      <c r="C284" s="114"/>
      <c r="D284" s="114"/>
      <c r="E284" s="11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237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247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248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248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248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248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248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248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248</v>
      </c>
      <c r="O296" s="47"/>
    </row>
    <row r="297" spans="1:15" ht="15.75" customHeight="1">
      <c r="A297" s="113" t="s">
        <v>238</v>
      </c>
      <c r="B297" s="114"/>
      <c r="C297" s="114"/>
      <c r="D297" s="114"/>
      <c r="E297" s="11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237</v>
      </c>
      <c r="O297" s="39">
        <v>1843460</v>
      </c>
    </row>
    <row r="298" spans="1:15" ht="18" customHeight="1">
      <c r="A298" s="116" t="s">
        <v>239</v>
      </c>
      <c r="B298" s="117"/>
      <c r="C298" s="117"/>
      <c r="D298" s="117"/>
      <c r="E298" s="11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240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249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250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3" t="s">
        <v>236</v>
      </c>
      <c r="B311" s="114"/>
      <c r="C311" s="114"/>
      <c r="D311" s="114"/>
      <c r="E311" s="11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237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251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251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251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251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3" t="s">
        <v>238</v>
      </c>
      <c r="B324" s="114"/>
      <c r="C324" s="114"/>
      <c r="D324" s="114"/>
      <c r="E324" s="11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237</v>
      </c>
      <c r="O324" s="39">
        <v>1940000</v>
      </c>
    </row>
    <row r="325" spans="1:15" ht="18" customHeight="1">
      <c r="A325" s="116" t="s">
        <v>239</v>
      </c>
      <c r="B325" s="117"/>
      <c r="C325" s="117"/>
      <c r="D325" s="117"/>
      <c r="E325" s="11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240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3" t="s">
        <v>236</v>
      </c>
      <c r="B338" s="114"/>
      <c r="C338" s="114"/>
      <c r="D338" s="114"/>
      <c r="E338" s="11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237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3" t="s">
        <v>238</v>
      </c>
      <c r="B351" s="114"/>
      <c r="C351" s="114"/>
      <c r="D351" s="114"/>
      <c r="E351" s="11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237</v>
      </c>
      <c r="O351" s="39">
        <v>701874</v>
      </c>
    </row>
    <row r="352" spans="1:15" ht="18" customHeight="1">
      <c r="A352" s="116" t="s">
        <v>239</v>
      </c>
      <c r="B352" s="117"/>
      <c r="C352" s="117"/>
      <c r="D352" s="117"/>
      <c r="E352" s="11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240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253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3" t="s">
        <v>236</v>
      </c>
      <c r="B365" s="114"/>
      <c r="C365" s="114"/>
      <c r="D365" s="114"/>
      <c r="E365" s="11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237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3" t="s">
        <v>238</v>
      </c>
      <c r="B378" s="114"/>
      <c r="C378" s="114"/>
      <c r="D378" s="114"/>
      <c r="E378" s="11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237</v>
      </c>
      <c r="O378" s="39">
        <v>1088710</v>
      </c>
    </row>
    <row r="379" spans="1:15" ht="18" customHeight="1">
      <c r="A379" s="116" t="s">
        <v>239</v>
      </c>
      <c r="B379" s="117"/>
      <c r="C379" s="117"/>
      <c r="D379" s="117"/>
      <c r="E379" s="11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240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254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255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3" t="s">
        <v>236</v>
      </c>
      <c r="B392" s="114"/>
      <c r="C392" s="114"/>
      <c r="D392" s="114"/>
      <c r="E392" s="11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237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256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3" t="s">
        <v>238</v>
      </c>
      <c r="B405" s="114"/>
      <c r="C405" s="114"/>
      <c r="D405" s="114"/>
      <c r="E405" s="11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237</v>
      </c>
      <c r="O405" s="39">
        <v>1202270</v>
      </c>
    </row>
    <row r="406" spans="1:15" ht="18" customHeight="1">
      <c r="A406" s="116" t="s">
        <v>239</v>
      </c>
      <c r="B406" s="117"/>
      <c r="C406" s="117"/>
      <c r="D406" s="117"/>
      <c r="E406" s="11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240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257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258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259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259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3" t="s">
        <v>236</v>
      </c>
      <c r="B419" s="114"/>
      <c r="C419" s="114"/>
      <c r="D419" s="114"/>
      <c r="E419" s="11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237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3" t="s">
        <v>238</v>
      </c>
      <c r="B432" s="114"/>
      <c r="C432" s="114"/>
      <c r="D432" s="114"/>
      <c r="E432" s="11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237</v>
      </c>
      <c r="O432" s="39">
        <v>1801910</v>
      </c>
    </row>
    <row r="433" spans="1:15" ht="18" customHeight="1">
      <c r="A433" s="116" t="s">
        <v>239</v>
      </c>
      <c r="B433" s="117"/>
      <c r="C433" s="117"/>
      <c r="D433" s="117"/>
      <c r="E433" s="11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240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3" t="s">
        <v>236</v>
      </c>
      <c r="B446" s="114"/>
      <c r="C446" s="114"/>
      <c r="D446" s="114"/>
      <c r="E446" s="11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237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261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261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261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261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261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261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261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261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261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261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261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261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3" t="s">
        <v>238</v>
      </c>
      <c r="B459" s="114"/>
      <c r="C459" s="114"/>
      <c r="D459" s="114"/>
      <c r="E459" s="11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237</v>
      </c>
      <c r="O459" s="39">
        <v>2675000</v>
      </c>
    </row>
    <row r="460" spans="1:15" ht="18" customHeight="1">
      <c r="A460" s="116" t="s">
        <v>239</v>
      </c>
      <c r="B460" s="117"/>
      <c r="C460" s="117"/>
      <c r="D460" s="117"/>
      <c r="E460" s="11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240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3" t="s">
        <v>236</v>
      </c>
      <c r="B473" s="114"/>
      <c r="C473" s="114"/>
      <c r="D473" s="114"/>
      <c r="E473" s="11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237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3" t="s">
        <v>238</v>
      </c>
      <c r="B486" s="114"/>
      <c r="C486" s="114"/>
      <c r="D486" s="114"/>
      <c r="E486" s="11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237</v>
      </c>
      <c r="O486" s="39">
        <v>2310070</v>
      </c>
    </row>
    <row r="487" spans="1:15" ht="18" customHeight="1">
      <c r="A487" s="116" t="s">
        <v>239</v>
      </c>
      <c r="B487" s="117"/>
      <c r="C487" s="117"/>
      <c r="D487" s="117"/>
      <c r="E487" s="11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234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234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234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234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234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3" t="s">
        <v>236</v>
      </c>
      <c r="B500" s="114"/>
      <c r="C500" s="114"/>
      <c r="D500" s="114"/>
      <c r="E500" s="11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237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234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234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234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234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234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234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234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234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234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234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3" t="s">
        <v>238</v>
      </c>
      <c r="B513" s="114"/>
      <c r="C513" s="114"/>
      <c r="D513" s="114"/>
      <c r="E513" s="11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237</v>
      </c>
      <c r="O513" s="39">
        <v>1298429</v>
      </c>
    </row>
    <row r="514" spans="1:15" ht="18" customHeight="1">
      <c r="A514" s="116" t="s">
        <v>239</v>
      </c>
      <c r="B514" s="117"/>
      <c r="C514" s="117"/>
      <c r="D514" s="117"/>
      <c r="E514" s="11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240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234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262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234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234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234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234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234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234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234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234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234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234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234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3" t="s">
        <v>236</v>
      </c>
      <c r="B527" s="114"/>
      <c r="C527" s="114"/>
      <c r="D527" s="114"/>
      <c r="E527" s="11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237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234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234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263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234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234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234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234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234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234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234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234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234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234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3" t="s">
        <v>238</v>
      </c>
      <c r="B540" s="114"/>
      <c r="C540" s="114"/>
      <c r="D540" s="114"/>
      <c r="E540" s="11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237</v>
      </c>
      <c r="O540" s="39">
        <v>1240140</v>
      </c>
    </row>
    <row r="541" spans="1:15" ht="18" customHeight="1">
      <c r="A541" s="116" t="s">
        <v>239</v>
      </c>
      <c r="B541" s="117"/>
      <c r="C541" s="117"/>
      <c r="D541" s="117"/>
      <c r="E541" s="11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240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234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234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234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234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234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234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234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234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234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234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234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234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3" t="s">
        <v>236</v>
      </c>
      <c r="B554" s="114"/>
      <c r="C554" s="114"/>
      <c r="D554" s="114"/>
      <c r="E554" s="11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237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234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234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234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234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234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234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234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234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234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234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234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234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3" t="s">
        <v>238</v>
      </c>
      <c r="B567" s="114"/>
      <c r="C567" s="114"/>
      <c r="D567" s="114"/>
      <c r="E567" s="11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237</v>
      </c>
      <c r="O567" s="39">
        <v>1482110</v>
      </c>
    </row>
    <row r="568" spans="1:15" ht="18" customHeight="1">
      <c r="A568" s="116" t="s">
        <v>239</v>
      </c>
      <c r="B568" s="117"/>
      <c r="C568" s="117"/>
      <c r="D568" s="117"/>
      <c r="E568" s="11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240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234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234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234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234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234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234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3" t="s">
        <v>236</v>
      </c>
      <c r="B581" s="114"/>
      <c r="C581" s="114"/>
      <c r="D581" s="114"/>
      <c r="E581" s="11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237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234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234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234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234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234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234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234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234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234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234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3" t="s">
        <v>238</v>
      </c>
      <c r="B594" s="114"/>
      <c r="C594" s="114"/>
      <c r="D594" s="114"/>
      <c r="E594" s="11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237</v>
      </c>
      <c r="O594" s="39">
        <v>1036800</v>
      </c>
    </row>
    <row r="595" spans="1:15" ht="18" customHeight="1">
      <c r="A595" s="116" t="s">
        <v>239</v>
      </c>
      <c r="B595" s="117"/>
      <c r="C595" s="117"/>
      <c r="D595" s="117"/>
      <c r="E595" s="11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240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234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234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234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234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234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234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234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234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234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234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234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234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3" t="s">
        <v>236</v>
      </c>
      <c r="B608" s="114"/>
      <c r="C608" s="114"/>
      <c r="D608" s="114"/>
      <c r="E608" s="11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237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265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234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234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234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234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234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234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234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234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234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3" t="s">
        <v>238</v>
      </c>
      <c r="B621" s="114"/>
      <c r="C621" s="114"/>
      <c r="D621" s="114"/>
      <c r="E621" s="11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237</v>
      </c>
      <c r="O621" s="39">
        <v>1295785</v>
      </c>
    </row>
    <row r="622" spans="1:15" ht="18" customHeight="1">
      <c r="A622" s="116" t="s">
        <v>239</v>
      </c>
      <c r="B622" s="117"/>
      <c r="C622" s="117"/>
      <c r="D622" s="117"/>
      <c r="E622" s="11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240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234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234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234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234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234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234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234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234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234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234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234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234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3" t="s">
        <v>236</v>
      </c>
      <c r="B635" s="114"/>
      <c r="C635" s="114"/>
      <c r="D635" s="114"/>
      <c r="E635" s="11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237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234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266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234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234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234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234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234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234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234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234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234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234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234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3" t="s">
        <v>238</v>
      </c>
      <c r="B648" s="114"/>
      <c r="C648" s="114"/>
      <c r="D648" s="114"/>
      <c r="E648" s="11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237</v>
      </c>
      <c r="O648" s="39">
        <v>1954490</v>
      </c>
    </row>
    <row r="649" spans="1:15" ht="18" customHeight="1">
      <c r="A649" s="116" t="s">
        <v>239</v>
      </c>
      <c r="B649" s="117"/>
      <c r="C649" s="117"/>
      <c r="D649" s="117"/>
      <c r="E649" s="11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240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234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234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234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234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234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234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234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234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234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234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234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3" t="s">
        <v>234</v>
      </c>
      <c r="B662" s="114"/>
      <c r="C662" s="114"/>
      <c r="D662" s="114"/>
      <c r="E662" s="11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237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234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267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234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234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234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234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234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234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234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234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234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234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234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3" t="s">
        <v>238</v>
      </c>
      <c r="B675" s="114"/>
      <c r="C675" s="114"/>
      <c r="D675" s="114"/>
      <c r="E675" s="11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237</v>
      </c>
      <c r="O675" s="39">
        <v>471180</v>
      </c>
    </row>
    <row r="676" spans="1:15" ht="18" customHeight="1">
      <c r="A676" s="116" t="s">
        <v>239</v>
      </c>
      <c r="B676" s="117"/>
      <c r="C676" s="117"/>
      <c r="D676" s="117"/>
      <c r="E676" s="11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240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234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268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234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234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234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234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234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234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234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234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234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234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234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237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234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270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234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234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234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234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234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234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234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234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234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3" t="s">
        <v>238</v>
      </c>
      <c r="B702" s="114"/>
      <c r="C702" s="114"/>
      <c r="D702" s="114"/>
      <c r="E702" s="11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237</v>
      </c>
      <c r="O702" s="39">
        <v>1620480</v>
      </c>
    </row>
    <row r="703" spans="1:15" ht="18" customHeight="1">
      <c r="A703" s="116" t="s">
        <v>239</v>
      </c>
      <c r="B703" s="117"/>
      <c r="C703" s="117"/>
      <c r="D703" s="117"/>
      <c r="E703" s="11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240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234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234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234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234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234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234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234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234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234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234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234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234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3" t="s">
        <v>236</v>
      </c>
      <c r="B716" s="114"/>
      <c r="C716" s="114"/>
      <c r="D716" s="114"/>
      <c r="E716" s="11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237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234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234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234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234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234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234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234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261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261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261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3" t="s">
        <v>238</v>
      </c>
      <c r="B729" s="114"/>
      <c r="C729" s="114"/>
      <c r="D729" s="114"/>
      <c r="E729" s="11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237</v>
      </c>
      <c r="O729" s="39">
        <v>1145450</v>
      </c>
    </row>
    <row r="730" spans="1:15" ht="18" customHeight="1">
      <c r="A730" s="116" t="s">
        <v>239</v>
      </c>
      <c r="B730" s="117"/>
      <c r="C730" s="117"/>
      <c r="D730" s="117"/>
      <c r="E730" s="11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240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272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234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234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234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234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234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234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234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234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234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234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234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3" t="s">
        <v>236</v>
      </c>
      <c r="B743" s="114"/>
      <c r="C743" s="114"/>
      <c r="D743" s="114"/>
      <c r="E743" s="11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237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234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273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234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234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234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234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234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234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234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234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234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234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234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3" t="s">
        <v>238</v>
      </c>
      <c r="B756" s="114"/>
      <c r="C756" s="114"/>
      <c r="D756" s="114"/>
      <c r="E756" s="11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237</v>
      </c>
      <c r="O756" s="39">
        <v>1649510</v>
      </c>
    </row>
    <row r="757" spans="1:15" ht="18" customHeight="1">
      <c r="A757" s="116" t="s">
        <v>239</v>
      </c>
      <c r="B757" s="117"/>
      <c r="C757" s="117"/>
      <c r="D757" s="117"/>
      <c r="E757" s="11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240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234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274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234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275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234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234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234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234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234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234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234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234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234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3" t="s">
        <v>236</v>
      </c>
      <c r="B770" s="114"/>
      <c r="C770" s="114"/>
      <c r="D770" s="114"/>
      <c r="E770" s="11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237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234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276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234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234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234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234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234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234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234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234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234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234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3" t="s">
        <v>238</v>
      </c>
      <c r="B783" s="114"/>
      <c r="C783" s="114"/>
      <c r="D783" s="114"/>
      <c r="E783" s="115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237</v>
      </c>
      <c r="O783" s="39">
        <v>2113690</v>
      </c>
    </row>
    <row r="784" spans="1:15" ht="18" customHeight="1">
      <c r="A784" s="116" t="s">
        <v>239</v>
      </c>
      <c r="B784" s="117"/>
      <c r="C784" s="117"/>
      <c r="D784" s="117"/>
      <c r="E784" s="118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240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234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234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234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234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234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277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234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234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234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234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234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234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3" t="s">
        <v>236</v>
      </c>
      <c r="B797" s="114"/>
      <c r="C797" s="114"/>
      <c r="D797" s="114"/>
      <c r="E797" s="115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237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234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234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234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234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234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234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234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234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234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234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234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3" t="s">
        <v>238</v>
      </c>
      <c r="B810" s="114"/>
      <c r="C810" s="114"/>
      <c r="D810" s="114"/>
      <c r="E810" s="115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237</v>
      </c>
      <c r="O810" s="39">
        <v>1802980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240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234</v>
      </c>
      <c r="F812" s="100">
        <v>18</v>
      </c>
      <c r="G812" s="104">
        <v>50</v>
      </c>
      <c r="H812" s="80" t="s">
        <v>18</v>
      </c>
      <c r="I812" s="80" t="s">
        <v>23</v>
      </c>
      <c r="J812" s="80" t="s">
        <v>222</v>
      </c>
      <c r="K812" s="98">
        <v>0.5</v>
      </c>
      <c r="L812" s="98">
        <v>0.65972222222222221</v>
      </c>
      <c r="M812" s="78">
        <f ca="1">IFERROR(IF(K812="","",IF(L812="",MOD(NOW()-K812,1),IF(L812&gt;=K812,L812-K812,L812+1-K812))),"")</f>
        <v>0.15972222222222221</v>
      </c>
      <c r="N812" s="105" t="s">
        <v>278</v>
      </c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234</v>
      </c>
      <c r="F813" s="100">
        <v>8</v>
      </c>
      <c r="G813" s="101">
        <v>35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234</v>
      </c>
      <c r="F814" s="100">
        <v>8</v>
      </c>
      <c r="G814" s="104">
        <v>35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234</v>
      </c>
      <c r="F815" s="100">
        <v>10</v>
      </c>
      <c r="G815" s="101">
        <v>25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234</v>
      </c>
      <c r="F816" s="100">
        <v>10</v>
      </c>
      <c r="G816" s="104">
        <v>25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234</v>
      </c>
      <c r="F817" s="100">
        <v>0</v>
      </c>
      <c r="G817" s="101">
        <v>0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234</v>
      </c>
      <c r="F818" s="100">
        <v>0</v>
      </c>
      <c r="G818" s="104">
        <v>0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234</v>
      </c>
      <c r="F819" s="100">
        <v>0</v>
      </c>
      <c r="G819" s="101">
        <v>0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234</v>
      </c>
      <c r="F820" s="100">
        <v>0</v>
      </c>
      <c r="G820" s="104">
        <v>0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234</v>
      </c>
      <c r="F821" s="100">
        <v>44</v>
      </c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234</v>
      </c>
      <c r="F822" s="100">
        <v>20</v>
      </c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234</v>
      </c>
      <c r="F823" s="100">
        <v>15</v>
      </c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9" t="s">
        <v>236</v>
      </c>
      <c r="B824" s="120"/>
      <c r="C824" s="120"/>
      <c r="D824" s="120"/>
      <c r="E824" s="121">
        <f>SUM(E812:E823)</f>
        <v>0</v>
      </c>
      <c r="F824" s="109">
        <f>SUM(F812:F823)</f>
        <v>133</v>
      </c>
      <c r="G824" s="37"/>
      <c r="H824" s="37"/>
      <c r="I824" s="37"/>
      <c r="J824" s="37"/>
      <c r="K824" s="37"/>
      <c r="L824" s="37"/>
      <c r="M824" s="110">
        <f ca="1">IFERROR(SUM(M812:M823),"")</f>
        <v>0.15972222222222221</v>
      </c>
      <c r="N824" s="109" t="s">
        <v>237</v>
      </c>
      <c r="O824" s="77">
        <v>656110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234</v>
      </c>
      <c r="F825" s="100">
        <v>13</v>
      </c>
      <c r="G825" s="101">
        <f>IF(F825="","",IF(E825="PC 17",F825*4.2,IF(E825="PC 19",F825*5,"")))</f>
        <v>65</v>
      </c>
      <c r="H825" s="81" t="s">
        <v>16</v>
      </c>
      <c r="I825" s="81" t="s">
        <v>23</v>
      </c>
      <c r="J825" s="81" t="s">
        <v>32</v>
      </c>
      <c r="K825" s="98">
        <v>0.79166666666666663</v>
      </c>
      <c r="L825" s="98">
        <v>0.7993055555555556</v>
      </c>
      <c r="M825" s="79">
        <f ca="1">IFERROR(IF(K825="","",IF(L825="",MOD(NOW()-K825,1),IF(L825&gt;=K825,L825-K825,L825+1-K825))),"")</f>
        <v>7.6388888888889728E-3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22</v>
      </c>
      <c r="E826" s="108" t="s">
        <v>234</v>
      </c>
      <c r="F826" s="100">
        <v>13</v>
      </c>
      <c r="G826" s="101">
        <f>IF(F826="","",IF(E826="PC 17",F826*4.2,IF(E826="PC 19",F826*5,"")))</f>
        <v>65</v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234</v>
      </c>
      <c r="F827" s="100">
        <v>40</v>
      </c>
      <c r="G827" s="101">
        <f>IF(F827="","",IF(E827="PC 17",F827*4.2,IF(E827="PC 19",F827*5,"")))</f>
        <v>200</v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234</v>
      </c>
      <c r="F828" s="100">
        <v>37</v>
      </c>
      <c r="G828" s="101">
        <f>IF(F828="","",IF(E828="PC 17",F828*4.2,IF(E828="PC 19",F828*5,"")))</f>
        <v>185</v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234</v>
      </c>
      <c r="F829" s="100">
        <v>30</v>
      </c>
      <c r="G829" s="101">
        <f>IF(F829="","",IF(E829="PC 17",F829*4.2,IF(E829="PC 19",F829*5,"")))</f>
        <v>150</v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234</v>
      </c>
      <c r="F830" s="100">
        <v>20</v>
      </c>
      <c r="G830" s="101">
        <f>IF(F830="","",IF(E830="PC 17",F830*4.2,IF(E830="PC 19",F830*5,"")))</f>
        <v>100</v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234</v>
      </c>
      <c r="F831" s="100">
        <v>21</v>
      </c>
      <c r="G831" s="101">
        <f>IF(F831="","",IF(E831="PC 17",F831*4.2,IF(E831="PC 19",F831*5,"")))</f>
        <v>105</v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234</v>
      </c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234</v>
      </c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234</v>
      </c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234</v>
      </c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234</v>
      </c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9" t="s">
        <v>238</v>
      </c>
      <c r="B837" s="120"/>
      <c r="C837" s="120"/>
      <c r="D837" s="120"/>
      <c r="E837" s="121">
        <f>SUM(E825:E836)</f>
        <v>0</v>
      </c>
      <c r="F837" s="109">
        <f>SUM(F825:F836)</f>
        <v>174</v>
      </c>
      <c r="G837" s="109">
        <f>SUM(G825:G836)</f>
        <v>870</v>
      </c>
      <c r="H837" s="37"/>
      <c r="I837" s="37"/>
      <c r="J837" s="37"/>
      <c r="K837" s="37"/>
      <c r="L837" s="37"/>
      <c r="M837" s="110">
        <f ca="1">IFERROR(SUM(M825:M836),"")</f>
        <v>7.6388888888889728E-3</v>
      </c>
      <c r="N837" s="109" t="s">
        <v>237</v>
      </c>
      <c r="O837" s="77"/>
    </row>
    <row r="838" spans="1:15" ht="15">
      <c r="A838" s="122" t="s">
        <v>239</v>
      </c>
      <c r="B838" s="123"/>
      <c r="C838" s="123"/>
      <c r="D838" s="123"/>
      <c r="E838" s="124">
        <f>E824+E837</f>
        <v>0</v>
      </c>
      <c r="F838" s="111">
        <f>F824+F837</f>
        <v>307</v>
      </c>
      <c r="G838" s="111">
        <f>G824+G837</f>
        <v>870</v>
      </c>
      <c r="H838" s="41"/>
      <c r="I838" s="41"/>
      <c r="J838" s="41"/>
      <c r="K838" s="41"/>
      <c r="L838" s="41"/>
      <c r="M838" s="112">
        <f ca="1">IFERROR(M824+M837,"")</f>
        <v>0.16736111111111118</v>
      </c>
      <c r="N838" s="111" t="s">
        <v>240</v>
      </c>
      <c r="O838" s="83">
        <f>IFERROR(O824+O837,"")</f>
        <v>656110</v>
      </c>
    </row>
  </sheetData>
  <mergeCells count="93">
    <mergeCell ref="A811:E811"/>
    <mergeCell ref="A824:E824"/>
    <mergeCell ref="A837:E837"/>
    <mergeCell ref="A838:E838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770:E770"/>
    <mergeCell ref="A783:E783"/>
    <mergeCell ref="A702:E702"/>
    <mergeCell ref="A703:E703"/>
    <mergeCell ref="A716:E716"/>
    <mergeCell ref="A729:E729"/>
    <mergeCell ref="A730:E730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811" activePane="bottomLeft" state="frozen"/>
      <selection pane="bottomLeft" activeCell="J829" sqref="J82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3" t="s">
        <v>236</v>
      </c>
      <c r="B14" s="114"/>
      <c r="C14" s="114"/>
      <c r="D14" s="114"/>
      <c r="E14" s="11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237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3" t="s">
        <v>238</v>
      </c>
      <c r="B27" s="114"/>
      <c r="C27" s="114"/>
      <c r="D27" s="114"/>
      <c r="E27" s="11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237</v>
      </c>
      <c r="O27" s="77">
        <v>393200</v>
      </c>
    </row>
    <row r="28" spans="1:15" ht="18" customHeight="1">
      <c r="A28" s="116" t="s">
        <v>239</v>
      </c>
      <c r="B28" s="117"/>
      <c r="C28" s="117"/>
      <c r="D28" s="117"/>
      <c r="E28" s="11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240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3" t="s">
        <v>236</v>
      </c>
      <c r="B41" s="114"/>
      <c r="C41" s="114"/>
      <c r="D41" s="114"/>
      <c r="E41" s="11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237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280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261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3" t="s">
        <v>238</v>
      </c>
      <c r="B54" s="114"/>
      <c r="C54" s="114"/>
      <c r="D54" s="114"/>
      <c r="E54" s="11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84">
        <v>276360</v>
      </c>
    </row>
    <row r="55" spans="1:15" ht="18" customHeight="1">
      <c r="A55" s="116" t="s">
        <v>239</v>
      </c>
      <c r="B55" s="117"/>
      <c r="C55" s="117"/>
      <c r="D55" s="117"/>
      <c r="E55" s="11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240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281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3" t="s">
        <v>236</v>
      </c>
      <c r="B68" s="114"/>
      <c r="C68" s="114"/>
      <c r="D68" s="114"/>
      <c r="E68" s="11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237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3" t="s">
        <v>238</v>
      </c>
      <c r="B81" s="114"/>
      <c r="C81" s="114"/>
      <c r="D81" s="114"/>
      <c r="E81" s="11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237</v>
      </c>
      <c r="O81" s="54">
        <v>787860</v>
      </c>
    </row>
    <row r="82" spans="1:15" ht="18" customHeight="1">
      <c r="A82" s="116" t="s">
        <v>239</v>
      </c>
      <c r="B82" s="117"/>
      <c r="C82" s="117"/>
      <c r="D82" s="117"/>
      <c r="E82" s="11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240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3" t="s">
        <v>236</v>
      </c>
      <c r="B95" s="114"/>
      <c r="C95" s="114"/>
      <c r="D95" s="114"/>
      <c r="E95" s="11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237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3" t="s">
        <v>238</v>
      </c>
      <c r="B108" s="114"/>
      <c r="C108" s="114"/>
      <c r="D108" s="114"/>
      <c r="E108" s="11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237</v>
      </c>
      <c r="O108" s="54">
        <v>1087080</v>
      </c>
    </row>
    <row r="109" spans="1:15" ht="18" customHeight="1">
      <c r="A109" s="116" t="s">
        <v>239</v>
      </c>
      <c r="B109" s="117"/>
      <c r="C109" s="117"/>
      <c r="D109" s="117"/>
      <c r="E109" s="11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240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3" t="s">
        <v>236</v>
      </c>
      <c r="B122" s="114"/>
      <c r="C122" s="114"/>
      <c r="D122" s="114"/>
      <c r="E122" s="11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237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252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3" t="s">
        <v>238</v>
      </c>
      <c r="B135" s="114"/>
      <c r="C135" s="114"/>
      <c r="D135" s="114"/>
      <c r="E135" s="11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237</v>
      </c>
      <c r="O135" s="54">
        <v>794480</v>
      </c>
    </row>
    <row r="136" spans="1:15" ht="18" customHeight="1">
      <c r="A136" s="116" t="s">
        <v>239</v>
      </c>
      <c r="B136" s="117"/>
      <c r="C136" s="117"/>
      <c r="D136" s="117"/>
      <c r="E136" s="11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240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291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3" t="s">
        <v>236</v>
      </c>
      <c r="B149" s="114"/>
      <c r="C149" s="114"/>
      <c r="D149" s="114"/>
      <c r="E149" s="11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237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3" t="s">
        <v>238</v>
      </c>
      <c r="B162" s="114"/>
      <c r="C162" s="114"/>
      <c r="D162" s="114"/>
      <c r="E162" s="11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237</v>
      </c>
      <c r="O162" s="54">
        <v>882280</v>
      </c>
    </row>
    <row r="163" spans="1:15" ht="18" customHeight="1">
      <c r="A163" s="116" t="s">
        <v>239</v>
      </c>
      <c r="B163" s="117"/>
      <c r="C163" s="117"/>
      <c r="D163" s="117"/>
      <c r="E163" s="11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240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3" t="s">
        <v>236</v>
      </c>
      <c r="B176" s="114"/>
      <c r="C176" s="114"/>
      <c r="D176" s="114"/>
      <c r="E176" s="11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237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3" t="s">
        <v>238</v>
      </c>
      <c r="B189" s="114"/>
      <c r="C189" s="114"/>
      <c r="D189" s="114"/>
      <c r="E189" s="11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237</v>
      </c>
      <c r="O189" s="77"/>
    </row>
    <row r="190" spans="1:15" ht="18" customHeight="1">
      <c r="A190" s="116" t="s">
        <v>239</v>
      </c>
      <c r="B190" s="117"/>
      <c r="C190" s="117"/>
      <c r="D190" s="117"/>
      <c r="E190" s="11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240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3" t="s">
        <v>236</v>
      </c>
      <c r="B203" s="114"/>
      <c r="C203" s="114"/>
      <c r="D203" s="114"/>
      <c r="E203" s="11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237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3" t="s">
        <v>238</v>
      </c>
      <c r="B216" s="114"/>
      <c r="C216" s="114"/>
      <c r="D216" s="114"/>
      <c r="E216" s="11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237</v>
      </c>
      <c r="O216" s="77">
        <v>648410</v>
      </c>
    </row>
    <row r="217" spans="1:15" ht="18" customHeight="1">
      <c r="A217" s="116" t="s">
        <v>239</v>
      </c>
      <c r="B217" s="117"/>
      <c r="C217" s="117"/>
      <c r="D217" s="117"/>
      <c r="E217" s="11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240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236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237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3" t="s">
        <v>238</v>
      </c>
      <c r="B243" s="114"/>
      <c r="C243" s="114"/>
      <c r="D243" s="114"/>
      <c r="E243" s="11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237</v>
      </c>
      <c r="O243" s="77">
        <v>849060</v>
      </c>
    </row>
    <row r="244" spans="1:15" ht="18" customHeight="1">
      <c r="A244" s="116" t="s">
        <v>239</v>
      </c>
      <c r="B244" s="117"/>
      <c r="C244" s="117"/>
      <c r="D244" s="117"/>
      <c r="E244" s="11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240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300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3" t="s">
        <v>236</v>
      </c>
      <c r="B257" s="114"/>
      <c r="C257" s="114"/>
      <c r="D257" s="114"/>
      <c r="E257" s="11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237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3" t="s">
        <v>238</v>
      </c>
      <c r="B270" s="114"/>
      <c r="C270" s="114"/>
      <c r="D270" s="114"/>
      <c r="E270" s="11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237</v>
      </c>
      <c r="O270" s="77">
        <v>625070</v>
      </c>
    </row>
    <row r="271" spans="1:15" ht="18" customHeight="1">
      <c r="A271" s="116" t="s">
        <v>239</v>
      </c>
      <c r="B271" s="117"/>
      <c r="C271" s="117"/>
      <c r="D271" s="117"/>
      <c r="E271" s="11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240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301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3" t="s">
        <v>236</v>
      </c>
      <c r="B284" s="114"/>
      <c r="C284" s="114"/>
      <c r="D284" s="114"/>
      <c r="E284" s="11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237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3" t="s">
        <v>238</v>
      </c>
      <c r="B297" s="114"/>
      <c r="C297" s="114"/>
      <c r="D297" s="114"/>
      <c r="E297" s="11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237</v>
      </c>
      <c r="O297" s="77">
        <v>761660</v>
      </c>
    </row>
    <row r="298" spans="1:15" ht="18" customHeight="1">
      <c r="A298" s="116" t="s">
        <v>239</v>
      </c>
      <c r="B298" s="117"/>
      <c r="C298" s="117"/>
      <c r="D298" s="117"/>
      <c r="E298" s="11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240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3" t="s">
        <v>236</v>
      </c>
      <c r="B311" s="114"/>
      <c r="C311" s="114"/>
      <c r="D311" s="114"/>
      <c r="E311" s="11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237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3" t="s">
        <v>238</v>
      </c>
      <c r="B324" s="114"/>
      <c r="C324" s="114"/>
      <c r="D324" s="114"/>
      <c r="E324" s="11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237</v>
      </c>
      <c r="O324" s="77">
        <v>524410</v>
      </c>
    </row>
    <row r="325" spans="1:15" ht="18" customHeight="1">
      <c r="A325" s="116" t="s">
        <v>239</v>
      </c>
      <c r="B325" s="117"/>
      <c r="C325" s="117"/>
      <c r="D325" s="117"/>
      <c r="E325" s="11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240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3" t="s">
        <v>236</v>
      </c>
      <c r="B338" s="114"/>
      <c r="C338" s="114"/>
      <c r="D338" s="114"/>
      <c r="E338" s="11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237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3" t="s">
        <v>238</v>
      </c>
      <c r="B351" s="114"/>
      <c r="C351" s="114"/>
      <c r="D351" s="114"/>
      <c r="E351" s="11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237</v>
      </c>
      <c r="O351" s="77">
        <v>598420</v>
      </c>
    </row>
    <row r="352" spans="1:15" ht="18" customHeight="1">
      <c r="A352" s="116" t="s">
        <v>239</v>
      </c>
      <c r="B352" s="117"/>
      <c r="C352" s="117"/>
      <c r="D352" s="117"/>
      <c r="E352" s="11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240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3" t="s">
        <v>236</v>
      </c>
      <c r="B365" s="114"/>
      <c r="C365" s="114"/>
      <c r="D365" s="114"/>
      <c r="E365" s="11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237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0.8509944444449502</v>
      </c>
      <c r="N377" s="46"/>
      <c r="O377" s="47"/>
    </row>
    <row r="378" spans="1:15" ht="15.75" customHeight="1">
      <c r="A378" s="113" t="s">
        <v>238</v>
      </c>
      <c r="B378" s="114"/>
      <c r="C378" s="114"/>
      <c r="D378" s="114"/>
      <c r="E378" s="11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1.0086333333338391</v>
      </c>
      <c r="N378" s="36" t="s">
        <v>237</v>
      </c>
      <c r="O378" s="77">
        <v>511980</v>
      </c>
    </row>
    <row r="379" spans="1:15" ht="18" customHeight="1">
      <c r="A379" s="116" t="s">
        <v>239</v>
      </c>
      <c r="B379" s="117"/>
      <c r="C379" s="117"/>
      <c r="D379" s="117"/>
      <c r="E379" s="11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1.1183555555560614</v>
      </c>
      <c r="N379" s="40" t="s">
        <v>240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310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3" t="s">
        <v>236</v>
      </c>
      <c r="B392" s="114"/>
      <c r="C392" s="114"/>
      <c r="D392" s="114"/>
      <c r="E392" s="11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237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311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252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3" t="s">
        <v>238</v>
      </c>
      <c r="B405" s="114"/>
      <c r="C405" s="114"/>
      <c r="D405" s="114"/>
      <c r="E405" s="11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237</v>
      </c>
      <c r="O405" s="77">
        <v>552440</v>
      </c>
    </row>
    <row r="406" spans="1:15" ht="18" customHeight="1">
      <c r="A406" s="116" t="s">
        <v>239</v>
      </c>
      <c r="B406" s="117"/>
      <c r="C406" s="117"/>
      <c r="D406" s="117"/>
      <c r="E406" s="11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240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3" t="s">
        <v>236</v>
      </c>
      <c r="B419" s="114"/>
      <c r="C419" s="114"/>
      <c r="D419" s="114"/>
      <c r="E419" s="11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237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0.82946666666975943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1.0003000000030928</v>
      </c>
      <c r="N432" s="36" t="s">
        <v>237</v>
      </c>
      <c r="O432" s="77">
        <v>484540</v>
      </c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1.1454388888919818</v>
      </c>
      <c r="N433" s="40" t="s">
        <v>240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3" t="s">
        <v>236</v>
      </c>
      <c r="B446" s="114"/>
      <c r="C446" s="114"/>
      <c r="D446" s="114"/>
      <c r="E446" s="11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237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3" t="s">
        <v>238</v>
      </c>
      <c r="B459" s="114"/>
      <c r="C459" s="114"/>
      <c r="D459" s="114"/>
      <c r="E459" s="11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237</v>
      </c>
      <c r="O459" s="77">
        <v>631190</v>
      </c>
    </row>
    <row r="460" spans="1:15" ht="18" customHeight="1">
      <c r="A460" s="116" t="s">
        <v>239</v>
      </c>
      <c r="B460" s="117"/>
      <c r="C460" s="117"/>
      <c r="D460" s="117"/>
      <c r="E460" s="11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240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3" t="s">
        <v>236</v>
      </c>
      <c r="B473" s="114"/>
      <c r="C473" s="114"/>
      <c r="D473" s="114"/>
      <c r="E473" s="11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237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3" t="s">
        <v>238</v>
      </c>
      <c r="B486" s="114"/>
      <c r="C486" s="114"/>
      <c r="D486" s="114"/>
      <c r="E486" s="11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237</v>
      </c>
      <c r="O486" s="77">
        <v>969510</v>
      </c>
    </row>
    <row r="487" spans="1:15" ht="18" customHeight="1">
      <c r="A487" s="116" t="s">
        <v>239</v>
      </c>
      <c r="B487" s="117"/>
      <c r="C487" s="117"/>
      <c r="D487" s="117"/>
      <c r="E487" s="11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240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320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3" t="s">
        <v>236</v>
      </c>
      <c r="B500" s="114"/>
      <c r="C500" s="114"/>
      <c r="D500" s="114"/>
      <c r="E500" s="11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237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237</v>
      </c>
      <c r="O513" s="77">
        <v>556040</v>
      </c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240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321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3" t="s">
        <v>236</v>
      </c>
      <c r="B527" s="114"/>
      <c r="C527" s="114"/>
      <c r="D527" s="114"/>
      <c r="E527" s="11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237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3" t="s">
        <v>238</v>
      </c>
      <c r="B540" s="114"/>
      <c r="C540" s="114"/>
      <c r="D540" s="114"/>
      <c r="E540" s="11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237</v>
      </c>
      <c r="O540" s="77">
        <v>548610</v>
      </c>
    </row>
    <row r="541" spans="1:15" ht="18" customHeight="1">
      <c r="A541" s="116" t="s">
        <v>239</v>
      </c>
      <c r="B541" s="117"/>
      <c r="C541" s="117"/>
      <c r="D541" s="117"/>
      <c r="E541" s="11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240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3" t="s">
        <v>236</v>
      </c>
      <c r="B554" s="114"/>
      <c r="C554" s="114"/>
      <c r="D554" s="114"/>
      <c r="E554" s="11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237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3" t="s">
        <v>238</v>
      </c>
      <c r="B567" s="114"/>
      <c r="C567" s="114"/>
      <c r="D567" s="114"/>
      <c r="E567" s="11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237</v>
      </c>
      <c r="O567" s="77">
        <v>722660</v>
      </c>
    </row>
    <row r="568" spans="1:15" ht="18" customHeight="1">
      <c r="A568" s="116" t="s">
        <v>239</v>
      </c>
      <c r="B568" s="117"/>
      <c r="C568" s="117"/>
      <c r="D568" s="117"/>
      <c r="E568" s="11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240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3" t="s">
        <v>236</v>
      </c>
      <c r="B581" s="114"/>
      <c r="C581" s="114"/>
      <c r="D581" s="114"/>
      <c r="E581" s="11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237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3" t="s">
        <v>238</v>
      </c>
      <c r="B594" s="114"/>
      <c r="C594" s="114"/>
      <c r="D594" s="114"/>
      <c r="E594" s="11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237</v>
      </c>
      <c r="O594" s="77">
        <v>644900</v>
      </c>
    </row>
    <row r="595" spans="1:15" ht="18" customHeight="1">
      <c r="A595" s="116" t="s">
        <v>239</v>
      </c>
      <c r="B595" s="117"/>
      <c r="C595" s="117"/>
      <c r="D595" s="117"/>
      <c r="E595" s="11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240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3" t="s">
        <v>236</v>
      </c>
      <c r="B608" s="114"/>
      <c r="C608" s="114"/>
      <c r="D608" s="114"/>
      <c r="E608" s="11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237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3" t="s">
        <v>238</v>
      </c>
      <c r="B621" s="114"/>
      <c r="C621" s="114"/>
      <c r="D621" s="114"/>
      <c r="E621" s="11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237</v>
      </c>
      <c r="O621" s="77">
        <v>348050</v>
      </c>
    </row>
    <row r="622" spans="1:15" ht="18" customHeight="1">
      <c r="A622" s="116" t="s">
        <v>239</v>
      </c>
      <c r="B622" s="117"/>
      <c r="C622" s="117"/>
      <c r="D622" s="117"/>
      <c r="E622" s="11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240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261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261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261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261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261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261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261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3" t="s">
        <v>236</v>
      </c>
      <c r="B635" s="114"/>
      <c r="C635" s="114"/>
      <c r="D635" s="114"/>
      <c r="E635" s="11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237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3" t="s">
        <v>238</v>
      </c>
      <c r="B648" s="114"/>
      <c r="C648" s="114"/>
      <c r="D648" s="114"/>
      <c r="E648" s="11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237</v>
      </c>
      <c r="O648" s="77">
        <v>757160</v>
      </c>
    </row>
    <row r="649" spans="1:15" ht="18" customHeight="1">
      <c r="A649" s="116" t="s">
        <v>239</v>
      </c>
      <c r="B649" s="117"/>
      <c r="C649" s="117"/>
      <c r="D649" s="117"/>
      <c r="E649" s="11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240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330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3" t="s">
        <v>236</v>
      </c>
      <c r="B662" s="114"/>
      <c r="C662" s="114"/>
      <c r="D662" s="114"/>
      <c r="E662" s="11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237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3" t="s">
        <v>238</v>
      </c>
      <c r="B675" s="114"/>
      <c r="C675" s="114"/>
      <c r="D675" s="114"/>
      <c r="E675" s="11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237</v>
      </c>
      <c r="O675" s="77">
        <v>681950</v>
      </c>
    </row>
    <row r="676" spans="1:15" ht="18" customHeight="1">
      <c r="A676" s="116" t="s">
        <v>239</v>
      </c>
      <c r="B676" s="117"/>
      <c r="C676" s="117"/>
      <c r="D676" s="117"/>
      <c r="E676" s="11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240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331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261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237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3" t="s">
        <v>238</v>
      </c>
      <c r="B702" s="114"/>
      <c r="C702" s="114"/>
      <c r="D702" s="114"/>
      <c r="E702" s="11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237</v>
      </c>
      <c r="O702" s="77">
        <v>813880</v>
      </c>
    </row>
    <row r="703" spans="1:15" ht="18" customHeight="1">
      <c r="A703" s="116" t="s">
        <v>239</v>
      </c>
      <c r="B703" s="117"/>
      <c r="C703" s="117"/>
      <c r="D703" s="117"/>
      <c r="E703" s="11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240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3" t="s">
        <v>236</v>
      </c>
      <c r="B716" s="114"/>
      <c r="C716" s="114"/>
      <c r="D716" s="114"/>
      <c r="E716" s="11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237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261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234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261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261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261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261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261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261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234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234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261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3" t="s">
        <v>238</v>
      </c>
      <c r="B729" s="114"/>
      <c r="C729" s="114"/>
      <c r="D729" s="114"/>
      <c r="E729" s="11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237</v>
      </c>
      <c r="O729" s="77">
        <v>766420</v>
      </c>
    </row>
    <row r="730" spans="1:15" ht="18" customHeight="1">
      <c r="A730" s="116" t="s">
        <v>239</v>
      </c>
      <c r="B730" s="117"/>
      <c r="C730" s="117"/>
      <c r="D730" s="117"/>
      <c r="E730" s="11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240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340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341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3" t="s">
        <v>236</v>
      </c>
      <c r="B743" s="114"/>
      <c r="C743" s="114"/>
      <c r="D743" s="114"/>
      <c r="E743" s="11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237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3" t="s">
        <v>238</v>
      </c>
      <c r="B756" s="114"/>
      <c r="C756" s="114"/>
      <c r="D756" s="114"/>
      <c r="E756" s="11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237</v>
      </c>
      <c r="O756" s="39">
        <v>605420</v>
      </c>
    </row>
    <row r="757" spans="1:15" ht="18" customHeight="1">
      <c r="A757" s="116" t="s">
        <v>239</v>
      </c>
      <c r="B757" s="117"/>
      <c r="C757" s="117"/>
      <c r="D757" s="117"/>
      <c r="E757" s="11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240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342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344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261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261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261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261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261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261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3" t="s">
        <v>236</v>
      </c>
      <c r="B770" s="114"/>
      <c r="C770" s="114"/>
      <c r="D770" s="114"/>
      <c r="E770" s="11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237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261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261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261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3" t="s">
        <v>238</v>
      </c>
      <c r="B783" s="114"/>
      <c r="C783" s="114"/>
      <c r="D783" s="114"/>
      <c r="E783" s="115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237</v>
      </c>
      <c r="O783" s="39">
        <v>882130</v>
      </c>
    </row>
    <row r="784" spans="1:15" ht="18" customHeight="1">
      <c r="A784" s="116" t="s">
        <v>239</v>
      </c>
      <c r="B784" s="117"/>
      <c r="C784" s="117"/>
      <c r="D784" s="117"/>
      <c r="E784" s="118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240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347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3" t="s">
        <v>236</v>
      </c>
      <c r="B797" s="114"/>
      <c r="C797" s="114"/>
      <c r="D797" s="114"/>
      <c r="E797" s="115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237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348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3" t="s">
        <v>238</v>
      </c>
      <c r="B810" s="114"/>
      <c r="C810" s="114"/>
      <c r="D810" s="114"/>
      <c r="E810" s="115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237</v>
      </c>
      <c r="O810" s="39">
        <v>819240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240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15</v>
      </c>
      <c r="G812" s="104">
        <f>IF(F812="","",IF(E812="PC 17",F812*4.2,IF(E812="PC 19",F812*5,"")))</f>
        <v>63</v>
      </c>
      <c r="H812" s="80" t="s">
        <v>19</v>
      </c>
      <c r="I812" s="80" t="s">
        <v>157</v>
      </c>
      <c r="J812" s="80" t="s">
        <v>27</v>
      </c>
      <c r="K812" s="98">
        <v>0.43333333333333335</v>
      </c>
      <c r="L812" s="98">
        <v>0.4513888888888889</v>
      </c>
      <c r="M812" s="78">
        <f ca="1">IFERROR(IF(K812="","",IF(L812="",MOD(NOW()-K812,1),IF(L812&gt;=K812,L812-K812,L812+1-K812))),"")</f>
        <v>1.8055555555555547E-2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26</v>
      </c>
      <c r="G813" s="104">
        <f>IF(F813="","",IF(E813="PC 17",F813*4.2,IF(E813="PC 19",F813*5,"")))</f>
        <v>109.2</v>
      </c>
      <c r="H813" s="81" t="s">
        <v>20</v>
      </c>
      <c r="I813" s="81" t="s">
        <v>31</v>
      </c>
      <c r="J813" s="81" t="s">
        <v>28</v>
      </c>
      <c r="K813" s="98">
        <v>0.51736111111111116</v>
      </c>
      <c r="L813" s="98">
        <v>0.55902777777777779</v>
      </c>
      <c r="M813" s="79">
        <f ca="1">IFERROR(IF(K813="","",IF(L813="",MOD(NOW()-K813,1),IF(L813&gt;=K813,L813-K813,L813+1-K813))),"")</f>
        <v>4.166666666666663E-2</v>
      </c>
      <c r="N813" s="105" t="s">
        <v>349</v>
      </c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18</v>
      </c>
      <c r="G814" s="104">
        <f>IF(F814="","",IF(E814="PC 17",F814*4.2,IF(E814="PC 19",F814*5,"")))</f>
        <v>75.600000000000009</v>
      </c>
      <c r="H814" s="80" t="s">
        <v>20</v>
      </c>
      <c r="I814" s="80" t="s">
        <v>39</v>
      </c>
      <c r="J814" s="80" t="s">
        <v>51</v>
      </c>
      <c r="K814" s="98">
        <v>0.64583333333333337</v>
      </c>
      <c r="L814" s="98">
        <v>0.65</v>
      </c>
      <c r="M814" s="78">
        <f ca="1">IFERROR(IF(K814="","",IF(L814="",MOD(NOW()-K814,1),IF(L814&gt;=K814,L814-K814,L814+1-K814))),"")</f>
        <v>4.1666666666666519E-3</v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39</v>
      </c>
      <c r="J815" s="81" t="s">
        <v>28</v>
      </c>
      <c r="K815" s="98">
        <v>0.69861111111111107</v>
      </c>
      <c r="L815" s="98">
        <v>0.70833333333333337</v>
      </c>
      <c r="M815" s="79">
        <f ca="1">IFERROR(IF(K815="","",IF(L815="",MOD(NOW()-K815,1),IF(L815&gt;=K815,L815-K815,L815+1-K815))),"")</f>
        <v>9.7222222222222987E-3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10</v>
      </c>
      <c r="G816" s="104">
        <f>IF(F816="","",IF(E816="PC 17",F816*4.2,IF(E816="PC 19",F816*5,"")))</f>
        <v>42</v>
      </c>
      <c r="H816" s="80" t="s">
        <v>18</v>
      </c>
      <c r="I816" s="80"/>
      <c r="J816" s="80" t="s">
        <v>128</v>
      </c>
      <c r="K816" s="98">
        <v>0.72986111111111107</v>
      </c>
      <c r="L816" s="98">
        <v>0.76111111111111107</v>
      </c>
      <c r="M816" s="78">
        <f ca="1">IFERROR(IF(K816="","",IF(L816="",MOD(NOW()-K816,1),IF(L816&gt;=K816,L816-K816,L816+1-K816))),"")</f>
        <v>3.125E-2</v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18</v>
      </c>
      <c r="G817" s="104">
        <f>IF(F817="","",IF(E817="PC 17",F817*4.2,IF(E817="PC 19",F817*5,"")))</f>
        <v>75.600000000000009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10</v>
      </c>
      <c r="G818" s="104">
        <f>IF(F818="","",IF(E818="PC 17",F818*4.2,IF(E818="PC 19",F818*5,"")))</f>
        <v>42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18</v>
      </c>
      <c r="G819" s="104">
        <f>IF(F819="","",IF(E819="PC 17",F819*4.2,IF(E819="PC 19",F819*5,"")))</f>
        <v>75.600000000000009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15</v>
      </c>
      <c r="G820" s="104">
        <f>IF(F820="","",IF(E820="PC 17",F820*4.2,IF(E820="PC 19",F820*5,"")))</f>
        <v>63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15</v>
      </c>
      <c r="G821" s="104">
        <f>IF(F821="","",IF(E821="PC 17",F821*4.2,IF(E821="PC 19",F821*5,"")))</f>
        <v>63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8</v>
      </c>
      <c r="G822" s="104">
        <f>IF(F822="","",IF(E822="PC 17",F822*4.2,IF(E822="PC 19",F822*5,"")))</f>
        <v>33.6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9" t="s">
        <v>236</v>
      </c>
      <c r="B824" s="120"/>
      <c r="C824" s="120"/>
      <c r="D824" s="120"/>
      <c r="E824" s="121">
        <f>SUM(E812:E823)</f>
        <v>0</v>
      </c>
      <c r="F824" s="109">
        <f>SUM(F812:F823)</f>
        <v>169</v>
      </c>
      <c r="G824" s="109">
        <f>SUM(G812:G823)</f>
        <v>709.80000000000007</v>
      </c>
      <c r="H824" s="37"/>
      <c r="I824" s="37"/>
      <c r="J824" s="37"/>
      <c r="K824" s="37"/>
      <c r="L824" s="37"/>
      <c r="M824" s="110">
        <f ca="1">IFERROR(SUM(M812:M823),"")</f>
        <v>0.10486111111111113</v>
      </c>
      <c r="N824" s="109" t="s">
        <v>237</v>
      </c>
      <c r="O824" s="77">
        <v>741170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19</v>
      </c>
      <c r="G825" s="104">
        <f>IF(F825="","",IF(E825="PC 17",F825*4.2,IF(E825="PC 19",F825*5,"")))</f>
        <v>79.8</v>
      </c>
      <c r="H825" s="81" t="s">
        <v>20</v>
      </c>
      <c r="I825" s="81" t="s">
        <v>136</v>
      </c>
      <c r="J825" s="81" t="s">
        <v>74</v>
      </c>
      <c r="K825" s="98">
        <v>0.88402777777777775</v>
      </c>
      <c r="L825" s="98">
        <v>0.88888888888888884</v>
      </c>
      <c r="M825" s="79">
        <f ca="1">IFERROR(IF(K825="","",IF(L825="",MOD(NOW()-K825,1),IF(L825&gt;=K825,L825-K825,L825+1-K825))),"")</f>
        <v>4.8611111111110938E-3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16</v>
      </c>
      <c r="G826" s="104">
        <f>IF(F826="","",IF(E826="PC 17",F826*4.2,IF(E826="PC 19",F826*5,"")))</f>
        <v>80</v>
      </c>
      <c r="H826" s="80" t="s">
        <v>20</v>
      </c>
      <c r="I826" s="80" t="s">
        <v>157</v>
      </c>
      <c r="J826" s="80" t="s">
        <v>181</v>
      </c>
      <c r="K826" s="98">
        <v>0.8979166666666667</v>
      </c>
      <c r="L826" s="98">
        <v>0.90069444444444446</v>
      </c>
      <c r="M826" s="78">
        <f ca="1">IFERROR(IF(K826="","",IF(L826="",MOD(NOW()-K826,1),IF(L826&gt;=K826,L826-K826,L826+1-K826))),"")</f>
        <v>2.7777777777777679E-3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27</v>
      </c>
      <c r="G827" s="104">
        <f>IF(F827="","",IF(E827="PC 17",F827*4.2,IF(E827="PC 19",F827*5,"")))</f>
        <v>113.4</v>
      </c>
      <c r="H827" s="81" t="s">
        <v>19</v>
      </c>
      <c r="I827" s="81" t="s">
        <v>157</v>
      </c>
      <c r="J827" s="81" t="s">
        <v>27</v>
      </c>
      <c r="K827" s="98">
        <v>0.90069444444444446</v>
      </c>
      <c r="L827" s="98">
        <v>0.91388888888888886</v>
      </c>
      <c r="M827" s="79">
        <f ca="1">IFERROR(IF(K827="","",IF(L827="",MOD(NOW()-K827,1),IF(L827&gt;=K827,L827-K827,L827+1-K827))),"")</f>
        <v>1.3194444444444398E-2</v>
      </c>
      <c r="N827" s="105" t="s">
        <v>350</v>
      </c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20</v>
      </c>
      <c r="G828" s="104">
        <f>IF(F828="","",IF(E828="PC 17",F828*4.2,IF(E828="PC 19",F828*5,"")))</f>
        <v>84</v>
      </c>
      <c r="H828" s="80" t="s">
        <v>20</v>
      </c>
      <c r="I828" s="80" t="s">
        <v>31</v>
      </c>
      <c r="J828" s="80" t="s">
        <v>36</v>
      </c>
      <c r="K828" s="98">
        <v>2.5694444444444443E-2</v>
      </c>
      <c r="L828" s="98">
        <v>3.2638888888888891E-2</v>
      </c>
      <c r="M828" s="78">
        <f ca="1">IFERROR(IF(K828="","",IF(L828="",MOD(NOW()-K828,1),IF(L828&gt;=K828,L828-K828,L828+1-K828))),"")</f>
        <v>6.9444444444444475E-3</v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261</v>
      </c>
      <c r="F829" s="100">
        <v>30</v>
      </c>
      <c r="G829" s="104">
        <f>IF(F829="","",IF(E829="PC 17",F829*4.2,IF(E829="PC 19",F829*5,"")))</f>
        <v>126</v>
      </c>
      <c r="H829" s="81" t="s">
        <v>18</v>
      </c>
      <c r="I829" s="81"/>
      <c r="J829" s="81" t="s">
        <v>119</v>
      </c>
      <c r="K829" s="98">
        <v>8.8888888888888892E-2</v>
      </c>
      <c r="L829" s="98"/>
      <c r="M829" s="79">
        <f ca="1">IFERROR(IF(K829="","",IF(L829="",MOD(NOW()-K829,1),IF(L829&gt;=K829,L829-K829,L829+1-K829))),"")</f>
        <v>1.6888888931134716E-3</v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261</v>
      </c>
      <c r="F830" s="100">
        <v>10</v>
      </c>
      <c r="G830" s="104">
        <f>IF(F830="","",IF(E830="PC 17",F830*4.2,IF(E830="PC 19",F830*5,"")))</f>
        <v>42</v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261</v>
      </c>
      <c r="F831" s="100">
        <v>21</v>
      </c>
      <c r="G831" s="104">
        <f>IF(F831="","",IF(E831="PC 17",F831*4.2,IF(E831="PC 19",F831*5,"")))</f>
        <v>88.2</v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261</v>
      </c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261</v>
      </c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261</v>
      </c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261</v>
      </c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261</v>
      </c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9" t="s">
        <v>238</v>
      </c>
      <c r="B837" s="120"/>
      <c r="C837" s="120"/>
      <c r="D837" s="120"/>
      <c r="E837" s="121">
        <f>SUM(E825:E836)</f>
        <v>0</v>
      </c>
      <c r="F837" s="109">
        <f>SUM(F825:F836)</f>
        <v>143</v>
      </c>
      <c r="G837" s="109">
        <f>SUM(G825:G836)</f>
        <v>613.40000000000009</v>
      </c>
      <c r="H837" s="37"/>
      <c r="I837" s="37"/>
      <c r="J837" s="37"/>
      <c r="K837" s="37"/>
      <c r="L837" s="37"/>
      <c r="M837" s="110">
        <f ca="1">IFERROR(SUM(M825:M836),"")</f>
        <v>2.9466666670891178E-2</v>
      </c>
      <c r="N837" s="109" t="s">
        <v>237</v>
      </c>
      <c r="O837" s="77"/>
    </row>
    <row r="838" spans="1:15" ht="15">
      <c r="A838" s="122" t="s">
        <v>239</v>
      </c>
      <c r="B838" s="123"/>
      <c r="C838" s="123"/>
      <c r="D838" s="123"/>
      <c r="E838" s="124">
        <f>E824+E837</f>
        <v>0</v>
      </c>
      <c r="F838" s="111">
        <f>F824+F837</f>
        <v>312</v>
      </c>
      <c r="G838" s="111">
        <f>G824+G837</f>
        <v>1323.2000000000003</v>
      </c>
      <c r="H838" s="41"/>
      <c r="I838" s="41"/>
      <c r="J838" s="41"/>
      <c r="K838" s="41"/>
      <c r="L838" s="41"/>
      <c r="M838" s="112">
        <f ca="1">IFERROR(M824+M837,"")</f>
        <v>0.13432777778200231</v>
      </c>
      <c r="N838" s="111" t="s">
        <v>240</v>
      </c>
      <c r="O838" s="82">
        <f>IFERROR(O824+O837,"")</f>
        <v>741170</v>
      </c>
    </row>
  </sheetData>
  <mergeCells count="88"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622:E622"/>
    <mergeCell ref="A635:E635"/>
    <mergeCell ref="A810:E810"/>
    <mergeCell ref="A811:E811"/>
    <mergeCell ref="A730:E730"/>
    <mergeCell ref="A743:E743"/>
    <mergeCell ref="A756:E756"/>
    <mergeCell ref="A757:E757"/>
    <mergeCell ref="A770:E770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795" zoomScale="50" zoomScaleNormal="50" workbookViewId="0">
      <selection activeCell="L826" sqref="L82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351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3" t="s">
        <v>236</v>
      </c>
      <c r="B14" s="114"/>
      <c r="C14" s="114"/>
      <c r="D14" s="114"/>
      <c r="E14" s="11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237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3" t="s">
        <v>238</v>
      </c>
      <c r="B27" s="114"/>
      <c r="C27" s="114"/>
      <c r="D27" s="114"/>
      <c r="E27" s="11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237</v>
      </c>
      <c r="O27" s="39">
        <v>308500</v>
      </c>
    </row>
    <row r="28" spans="1:15" ht="18" customHeight="1">
      <c r="A28" s="116" t="s">
        <v>239</v>
      </c>
      <c r="B28" s="117"/>
      <c r="C28" s="117"/>
      <c r="D28" s="117"/>
      <c r="E28" s="11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240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352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3" t="s">
        <v>236</v>
      </c>
      <c r="B41" s="114"/>
      <c r="C41" s="114"/>
      <c r="D41" s="114"/>
      <c r="E41" s="11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237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3" t="s">
        <v>238</v>
      </c>
      <c r="B54" s="114"/>
      <c r="C54" s="114"/>
      <c r="D54" s="114"/>
      <c r="E54" s="11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39">
        <v>124290</v>
      </c>
    </row>
    <row r="55" spans="1:15" ht="18" customHeight="1">
      <c r="A55" s="116" t="s">
        <v>239</v>
      </c>
      <c r="B55" s="117"/>
      <c r="C55" s="117"/>
      <c r="D55" s="117"/>
      <c r="E55" s="11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240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353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3" t="s">
        <v>236</v>
      </c>
      <c r="B68" s="114"/>
      <c r="C68" s="114"/>
      <c r="D68" s="114"/>
      <c r="E68" s="11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237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3" t="s">
        <v>238</v>
      </c>
      <c r="B81" s="114"/>
      <c r="C81" s="114"/>
      <c r="D81" s="114"/>
      <c r="E81" s="11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237</v>
      </c>
      <c r="O81" s="39">
        <v>396340</v>
      </c>
    </row>
    <row r="82" spans="1:15" ht="18" customHeight="1">
      <c r="A82" s="116" t="s">
        <v>239</v>
      </c>
      <c r="B82" s="117"/>
      <c r="C82" s="117"/>
      <c r="D82" s="117"/>
      <c r="E82" s="11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240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3" t="s">
        <v>236</v>
      </c>
      <c r="B95" s="114"/>
      <c r="C95" s="114"/>
      <c r="D95" s="114"/>
      <c r="E95" s="11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237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3" t="s">
        <v>238</v>
      </c>
      <c r="B108" s="114"/>
      <c r="C108" s="114"/>
      <c r="D108" s="114"/>
      <c r="E108" s="11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237</v>
      </c>
      <c r="O108" s="39">
        <v>41230</v>
      </c>
    </row>
    <row r="109" spans="1:15" ht="18" customHeight="1">
      <c r="A109" s="116" t="s">
        <v>239</v>
      </c>
      <c r="B109" s="117"/>
      <c r="C109" s="117"/>
      <c r="D109" s="117"/>
      <c r="E109" s="11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240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3" t="s">
        <v>236</v>
      </c>
      <c r="B122" s="114"/>
      <c r="C122" s="114"/>
      <c r="D122" s="114"/>
      <c r="E122" s="11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237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3" t="s">
        <v>238</v>
      </c>
      <c r="B135" s="114"/>
      <c r="C135" s="114"/>
      <c r="D135" s="114"/>
      <c r="E135" s="11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237</v>
      </c>
      <c r="O135" s="39">
        <v>381250</v>
      </c>
    </row>
    <row r="136" spans="1:15" ht="18" customHeight="1">
      <c r="A136" s="116" t="s">
        <v>239</v>
      </c>
      <c r="B136" s="117"/>
      <c r="C136" s="117"/>
      <c r="D136" s="117"/>
      <c r="E136" s="11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240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292</v>
      </c>
      <c r="K141" s="29">
        <v>0.71597222222222223</v>
      </c>
      <c r="L141" s="29" t="s">
        <v>356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3" t="s">
        <v>236</v>
      </c>
      <c r="B149" s="114"/>
      <c r="C149" s="114"/>
      <c r="D149" s="114"/>
      <c r="E149" s="11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237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3" t="s">
        <v>238</v>
      </c>
      <c r="B162" s="114"/>
      <c r="C162" s="114"/>
      <c r="D162" s="114"/>
      <c r="E162" s="11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237</v>
      </c>
      <c r="O162" s="39">
        <v>337120</v>
      </c>
    </row>
    <row r="163" spans="1:15" ht="18" customHeight="1">
      <c r="A163" s="116" t="s">
        <v>239</v>
      </c>
      <c r="B163" s="117"/>
      <c r="C163" s="117"/>
      <c r="D163" s="117"/>
      <c r="E163" s="11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240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358</v>
      </c>
      <c r="N166" s="27" t="s">
        <v>359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3" t="s">
        <v>236</v>
      </c>
      <c r="B176" s="114"/>
      <c r="C176" s="114"/>
      <c r="D176" s="114"/>
      <c r="E176" s="11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237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3" t="s">
        <v>238</v>
      </c>
      <c r="B189" s="114"/>
      <c r="C189" s="114"/>
      <c r="D189" s="114"/>
      <c r="E189" s="11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237</v>
      </c>
      <c r="O189" s="39">
        <v>747210</v>
      </c>
    </row>
    <row r="190" spans="1:15" ht="18" customHeight="1">
      <c r="A190" s="116" t="s">
        <v>239</v>
      </c>
      <c r="B190" s="117"/>
      <c r="C190" s="117"/>
      <c r="D190" s="117"/>
      <c r="E190" s="11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240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360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3" t="s">
        <v>236</v>
      </c>
      <c r="B203" s="114"/>
      <c r="C203" s="114"/>
      <c r="D203" s="114"/>
      <c r="E203" s="11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237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3" t="s">
        <v>238</v>
      </c>
      <c r="B216" s="114"/>
      <c r="C216" s="114"/>
      <c r="D216" s="114"/>
      <c r="E216" s="11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237</v>
      </c>
      <c r="O216" s="39">
        <v>468430</v>
      </c>
    </row>
    <row r="217" spans="1:15" ht="18" customHeight="1">
      <c r="A217" s="116" t="s">
        <v>239</v>
      </c>
      <c r="B217" s="117"/>
      <c r="C217" s="117"/>
      <c r="D217" s="117"/>
      <c r="E217" s="11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240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3" t="s">
        <v>236</v>
      </c>
      <c r="B230" s="114"/>
      <c r="C230" s="114"/>
      <c r="D230" s="114"/>
      <c r="E230" s="11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237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3" t="s">
        <v>238</v>
      </c>
      <c r="B243" s="114"/>
      <c r="C243" s="114"/>
      <c r="D243" s="114"/>
      <c r="E243" s="11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237</v>
      </c>
      <c r="O243" s="39">
        <v>575930</v>
      </c>
    </row>
    <row r="244" spans="1:15" ht="18" customHeight="1">
      <c r="A244" s="116" t="s">
        <v>239</v>
      </c>
      <c r="B244" s="117"/>
      <c r="C244" s="117"/>
      <c r="D244" s="117"/>
      <c r="E244" s="11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240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3" t="s">
        <v>236</v>
      </c>
      <c r="B257" s="114"/>
      <c r="C257" s="114"/>
      <c r="D257" s="114"/>
      <c r="E257" s="11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237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361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362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3" t="s">
        <v>238</v>
      </c>
      <c r="B270" s="114"/>
      <c r="C270" s="114"/>
      <c r="D270" s="114"/>
      <c r="E270" s="11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237</v>
      </c>
      <c r="O270" s="39">
        <v>483510</v>
      </c>
    </row>
    <row r="271" spans="1:15" ht="18" customHeight="1">
      <c r="A271" s="116" t="s">
        <v>239</v>
      </c>
      <c r="B271" s="117"/>
      <c r="C271" s="117"/>
      <c r="D271" s="117"/>
      <c r="E271" s="11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240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3" t="s">
        <v>236</v>
      </c>
      <c r="B284" s="114"/>
      <c r="C284" s="114"/>
      <c r="D284" s="114"/>
      <c r="E284" s="11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237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363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3" t="s">
        <v>238</v>
      </c>
      <c r="B297" s="114"/>
      <c r="C297" s="114"/>
      <c r="D297" s="114"/>
      <c r="E297" s="11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237</v>
      </c>
      <c r="O297" s="39">
        <v>487980</v>
      </c>
    </row>
    <row r="298" spans="1:15" ht="18" customHeight="1">
      <c r="A298" s="116" t="s">
        <v>239</v>
      </c>
      <c r="B298" s="117"/>
      <c r="C298" s="117"/>
      <c r="D298" s="117"/>
      <c r="E298" s="11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240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3" t="s">
        <v>236</v>
      </c>
      <c r="B311" s="114"/>
      <c r="C311" s="114"/>
      <c r="D311" s="114"/>
      <c r="E311" s="11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237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3" t="s">
        <v>238</v>
      </c>
      <c r="B324" s="114"/>
      <c r="C324" s="114"/>
      <c r="D324" s="114"/>
      <c r="E324" s="11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237</v>
      </c>
      <c r="O324" s="39">
        <v>609460</v>
      </c>
    </row>
    <row r="325" spans="1:15" ht="18" customHeight="1">
      <c r="A325" s="116" t="s">
        <v>239</v>
      </c>
      <c r="B325" s="117"/>
      <c r="C325" s="117"/>
      <c r="D325" s="117"/>
      <c r="E325" s="11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240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3" t="s">
        <v>236</v>
      </c>
      <c r="B338" s="114"/>
      <c r="C338" s="114"/>
      <c r="D338" s="114"/>
      <c r="E338" s="11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237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3" t="s">
        <v>238</v>
      </c>
      <c r="B351" s="114"/>
      <c r="C351" s="114"/>
      <c r="D351" s="114"/>
      <c r="E351" s="11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237</v>
      </c>
      <c r="O351" s="39">
        <v>437940</v>
      </c>
    </row>
    <row r="352" spans="1:15" ht="18" customHeight="1">
      <c r="A352" s="116" t="s">
        <v>239</v>
      </c>
      <c r="B352" s="117"/>
      <c r="C352" s="117"/>
      <c r="D352" s="117"/>
      <c r="E352" s="11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240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3" t="s">
        <v>236</v>
      </c>
      <c r="B365" s="114"/>
      <c r="C365" s="114"/>
      <c r="D365" s="114"/>
      <c r="E365" s="11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237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3" t="s">
        <v>238</v>
      </c>
      <c r="B378" s="114"/>
      <c r="C378" s="114"/>
      <c r="D378" s="114"/>
      <c r="E378" s="11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237</v>
      </c>
      <c r="O378" s="39">
        <v>473310</v>
      </c>
    </row>
    <row r="379" spans="1:15" ht="18" customHeight="1">
      <c r="A379" s="116" t="s">
        <v>239</v>
      </c>
      <c r="B379" s="117"/>
      <c r="C379" s="117"/>
      <c r="D379" s="117"/>
      <c r="E379" s="11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240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3" t="s">
        <v>236</v>
      </c>
      <c r="B392" s="114"/>
      <c r="C392" s="114"/>
      <c r="D392" s="114"/>
      <c r="E392" s="11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237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3" t="s">
        <v>238</v>
      </c>
      <c r="B405" s="114"/>
      <c r="C405" s="114"/>
      <c r="D405" s="114"/>
      <c r="E405" s="11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237</v>
      </c>
      <c r="O405" s="39">
        <v>507450</v>
      </c>
    </row>
    <row r="406" spans="1:15" ht="18" customHeight="1">
      <c r="A406" s="116" t="s">
        <v>239</v>
      </c>
      <c r="B406" s="117"/>
      <c r="C406" s="117"/>
      <c r="D406" s="117"/>
      <c r="E406" s="11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240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261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3" t="s">
        <v>236</v>
      </c>
      <c r="B419" s="114"/>
      <c r="C419" s="114"/>
      <c r="D419" s="114"/>
      <c r="E419" s="11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237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3" t="s">
        <v>238</v>
      </c>
      <c r="B432" s="114"/>
      <c r="C432" s="114"/>
      <c r="D432" s="114"/>
      <c r="E432" s="11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237</v>
      </c>
      <c r="O432" s="39">
        <v>229150</v>
      </c>
    </row>
    <row r="433" spans="1:15" ht="18" customHeight="1">
      <c r="A433" s="116" t="s">
        <v>239</v>
      </c>
      <c r="B433" s="117"/>
      <c r="C433" s="117"/>
      <c r="D433" s="117"/>
      <c r="E433" s="11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240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3" t="s">
        <v>236</v>
      </c>
      <c r="B446" s="114"/>
      <c r="C446" s="114"/>
      <c r="D446" s="114"/>
      <c r="E446" s="11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237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3" t="s">
        <v>238</v>
      </c>
      <c r="B459" s="114"/>
      <c r="C459" s="114"/>
      <c r="D459" s="114"/>
      <c r="E459" s="11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237</v>
      </c>
      <c r="O459" s="39">
        <v>409980</v>
      </c>
    </row>
    <row r="460" spans="1:15" ht="18" customHeight="1">
      <c r="A460" s="116" t="s">
        <v>239</v>
      </c>
      <c r="B460" s="117"/>
      <c r="C460" s="117"/>
      <c r="D460" s="117"/>
      <c r="E460" s="11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240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234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234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234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234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3" t="s">
        <v>236</v>
      </c>
      <c r="B473" s="114"/>
      <c r="C473" s="114"/>
      <c r="D473" s="114"/>
      <c r="E473" s="11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237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3" t="s">
        <v>238</v>
      </c>
      <c r="B486" s="114"/>
      <c r="C486" s="114"/>
      <c r="D486" s="114"/>
      <c r="E486" s="11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237</v>
      </c>
      <c r="O486" s="39">
        <v>341550</v>
      </c>
    </row>
    <row r="487" spans="1:15" ht="18" customHeight="1">
      <c r="A487" s="116" t="s">
        <v>239</v>
      </c>
      <c r="B487" s="117"/>
      <c r="C487" s="117"/>
      <c r="D487" s="117"/>
      <c r="E487" s="11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240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370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234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3" t="s">
        <v>236</v>
      </c>
      <c r="B500" s="114"/>
      <c r="C500" s="114"/>
      <c r="D500" s="114"/>
      <c r="E500" s="11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237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3" t="s">
        <v>238</v>
      </c>
      <c r="B513" s="114"/>
      <c r="C513" s="114"/>
      <c r="D513" s="114"/>
      <c r="E513" s="11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237</v>
      </c>
      <c r="O513" s="39">
        <v>276610</v>
      </c>
    </row>
    <row r="514" spans="1:15" ht="18" customHeight="1">
      <c r="A514" s="116" t="s">
        <v>239</v>
      </c>
      <c r="B514" s="117"/>
      <c r="C514" s="117"/>
      <c r="D514" s="117"/>
      <c r="E514" s="11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240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3" t="s">
        <v>236</v>
      </c>
      <c r="B527" s="114"/>
      <c r="C527" s="114"/>
      <c r="D527" s="114"/>
      <c r="E527" s="11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237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371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372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373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3" t="s">
        <v>238</v>
      </c>
      <c r="B540" s="114"/>
      <c r="C540" s="114"/>
      <c r="D540" s="114"/>
      <c r="E540" s="11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237</v>
      </c>
      <c r="O540" s="39">
        <v>194990</v>
      </c>
    </row>
    <row r="541" spans="1:15" ht="18" customHeight="1">
      <c r="A541" s="116" t="s">
        <v>239</v>
      </c>
      <c r="B541" s="117"/>
      <c r="C541" s="117"/>
      <c r="D541" s="117"/>
      <c r="E541" s="11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240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3" t="s">
        <v>236</v>
      </c>
      <c r="B554" s="114"/>
      <c r="C554" s="114"/>
      <c r="D554" s="114"/>
      <c r="E554" s="11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237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3" t="s">
        <v>238</v>
      </c>
      <c r="B567" s="114"/>
      <c r="C567" s="114"/>
      <c r="D567" s="114"/>
      <c r="E567" s="11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237</v>
      </c>
      <c r="O567" s="39">
        <v>315860</v>
      </c>
    </row>
    <row r="568" spans="1:15" ht="18" customHeight="1">
      <c r="A568" s="116" t="s">
        <v>239</v>
      </c>
      <c r="B568" s="117"/>
      <c r="C568" s="117"/>
      <c r="D568" s="117"/>
      <c r="E568" s="11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240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3" t="s">
        <v>236</v>
      </c>
      <c r="B581" s="114"/>
      <c r="C581" s="114"/>
      <c r="D581" s="114"/>
      <c r="E581" s="11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237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3" t="s">
        <v>238</v>
      </c>
      <c r="B594" s="114"/>
      <c r="C594" s="114"/>
      <c r="D594" s="114"/>
      <c r="E594" s="11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237</v>
      </c>
      <c r="O594" s="39">
        <v>424930</v>
      </c>
    </row>
    <row r="595" spans="1:15" ht="18" customHeight="1">
      <c r="A595" s="116" t="s">
        <v>239</v>
      </c>
      <c r="B595" s="117"/>
      <c r="C595" s="117"/>
      <c r="D595" s="117"/>
      <c r="E595" s="11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240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3" t="s">
        <v>236</v>
      </c>
      <c r="B608" s="114"/>
      <c r="C608" s="114"/>
      <c r="D608" s="114"/>
      <c r="E608" s="11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237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3" t="s">
        <v>238</v>
      </c>
      <c r="B621" s="114"/>
      <c r="C621" s="114"/>
      <c r="D621" s="114"/>
      <c r="E621" s="11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237</v>
      </c>
      <c r="O621" s="39">
        <v>377360</v>
      </c>
    </row>
    <row r="622" spans="1:15" ht="18" customHeight="1">
      <c r="A622" s="116" t="s">
        <v>239</v>
      </c>
      <c r="B622" s="117"/>
      <c r="C622" s="117"/>
      <c r="D622" s="117"/>
      <c r="E622" s="11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240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3" t="s">
        <v>236</v>
      </c>
      <c r="B635" s="114"/>
      <c r="C635" s="114"/>
      <c r="D635" s="114"/>
      <c r="E635" s="11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237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3" t="s">
        <v>238</v>
      </c>
      <c r="B648" s="114"/>
      <c r="C648" s="114"/>
      <c r="D648" s="114"/>
      <c r="E648" s="11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237</v>
      </c>
      <c r="O648" s="39">
        <v>319500</v>
      </c>
    </row>
    <row r="649" spans="1:15" ht="18" customHeight="1">
      <c r="A649" s="116" t="s">
        <v>239</v>
      </c>
      <c r="B649" s="117"/>
      <c r="C649" s="117"/>
      <c r="D649" s="117"/>
      <c r="E649" s="11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240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331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3" t="s">
        <v>236</v>
      </c>
      <c r="B662" s="114"/>
      <c r="C662" s="114"/>
      <c r="D662" s="114"/>
      <c r="E662" s="11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237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379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3" t="s">
        <v>238</v>
      </c>
      <c r="B675" s="114"/>
      <c r="C675" s="114"/>
      <c r="D675" s="114"/>
      <c r="E675" s="11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237</v>
      </c>
      <c r="O675" s="39">
        <v>323580</v>
      </c>
    </row>
    <row r="676" spans="1:15" ht="18" customHeight="1">
      <c r="A676" s="116" t="s">
        <v>239</v>
      </c>
      <c r="B676" s="117"/>
      <c r="C676" s="117"/>
      <c r="D676" s="117"/>
      <c r="E676" s="11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240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237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3" t="s">
        <v>238</v>
      </c>
      <c r="B702" s="114"/>
      <c r="C702" s="114"/>
      <c r="D702" s="114"/>
      <c r="E702" s="11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237</v>
      </c>
      <c r="O702" s="39">
        <v>349730</v>
      </c>
    </row>
    <row r="703" spans="1:15" ht="18" customHeight="1">
      <c r="A703" s="116" t="s">
        <v>239</v>
      </c>
      <c r="B703" s="117"/>
      <c r="C703" s="117"/>
      <c r="D703" s="117"/>
      <c r="E703" s="11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240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3" t="s">
        <v>236</v>
      </c>
      <c r="B716" s="114"/>
      <c r="C716" s="114"/>
      <c r="D716" s="114"/>
      <c r="E716" s="11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237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3" t="s">
        <v>238</v>
      </c>
      <c r="B729" s="114"/>
      <c r="C729" s="114"/>
      <c r="D729" s="114"/>
      <c r="E729" s="11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237</v>
      </c>
      <c r="O729" s="39">
        <v>175420</v>
      </c>
    </row>
    <row r="730" spans="1:15" ht="18" customHeight="1">
      <c r="A730" s="116" t="s">
        <v>239</v>
      </c>
      <c r="B730" s="117"/>
      <c r="C730" s="117"/>
      <c r="D730" s="117"/>
      <c r="E730" s="11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240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261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261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261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261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261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329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261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261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261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261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261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261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3" t="s">
        <v>236</v>
      </c>
      <c r="B743" s="114"/>
      <c r="C743" s="114"/>
      <c r="D743" s="114"/>
      <c r="E743" s="11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237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380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381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3" t="s">
        <v>238</v>
      </c>
      <c r="B756" s="114"/>
      <c r="C756" s="114"/>
      <c r="D756" s="114"/>
      <c r="E756" s="11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237</v>
      </c>
      <c r="O756" s="39">
        <v>154160</v>
      </c>
    </row>
    <row r="757" spans="1:15" ht="18" customHeight="1">
      <c r="A757" s="116" t="s">
        <v>239</v>
      </c>
      <c r="B757" s="117"/>
      <c r="C757" s="117"/>
      <c r="D757" s="117"/>
      <c r="E757" s="11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240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382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261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261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261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261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383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3" t="s">
        <v>236</v>
      </c>
      <c r="B770" s="114"/>
      <c r="C770" s="114"/>
      <c r="D770" s="114"/>
      <c r="E770" s="11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237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3" t="s">
        <v>238</v>
      </c>
      <c r="B783" s="114"/>
      <c r="C783" s="114"/>
      <c r="D783" s="114"/>
      <c r="E783" s="115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237</v>
      </c>
      <c r="O783" s="39">
        <v>265740</v>
      </c>
    </row>
    <row r="784" spans="1:15" ht="18" customHeight="1">
      <c r="A784" s="116" t="s">
        <v>239</v>
      </c>
      <c r="B784" s="117"/>
      <c r="C784" s="117"/>
      <c r="D784" s="117"/>
      <c r="E784" s="118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240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347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384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329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3" t="s">
        <v>236</v>
      </c>
      <c r="B797" s="114"/>
      <c r="C797" s="114"/>
      <c r="D797" s="114"/>
      <c r="E797" s="115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237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3" t="s">
        <v>238</v>
      </c>
      <c r="B810" s="114"/>
      <c r="C810" s="114"/>
      <c r="D810" s="114"/>
      <c r="E810" s="115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237</v>
      </c>
      <c r="O810" s="39">
        <v>291990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240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19</v>
      </c>
      <c r="I812" s="80" t="s">
        <v>47</v>
      </c>
      <c r="J812" s="80" t="s">
        <v>27</v>
      </c>
      <c r="K812" s="98">
        <v>0.5</v>
      </c>
      <c r="L812" s="98">
        <v>0.52638888888888891</v>
      </c>
      <c r="M812" s="78">
        <f ca="1">IFERROR(IF(K812="","",IF(L812="",MOD(NOW()-K812,1),IF(L812&gt;=K812,L812-K812,L812+1-K812))),"")</f>
        <v>2.6388888888888906E-2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12</v>
      </c>
      <c r="G813" s="104">
        <f>IF(F813="","",IF(E813="PC 17",F813*4.2,IF(E813="PC 19",F813*5,"")))</f>
        <v>50.400000000000006</v>
      </c>
      <c r="H813" s="81" t="s">
        <v>18</v>
      </c>
      <c r="I813" s="81"/>
      <c r="J813" s="81" t="s">
        <v>128</v>
      </c>
      <c r="K813" s="98">
        <v>0.72986111111111107</v>
      </c>
      <c r="L813" s="98">
        <v>0.76111111111111107</v>
      </c>
      <c r="M813" s="79">
        <f ca="1">IFERROR(IF(K813="","",IF(L813="",MOD(NOW()-K813,1),IF(L813&gt;=K813,L813-K813,L813+1-K813))),"")</f>
        <v>3.125E-2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10</v>
      </c>
      <c r="G814" s="104">
        <f>IF(F814="","",IF(E814="PC 17",F814*4.2,IF(E814="PC 19",F814*5,"")))</f>
        <v>42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10</v>
      </c>
      <c r="G815" s="104">
        <f>IF(F815="","",IF(E815="PC 17",F815*4.2,IF(E815="PC 19",F815*5,"")))</f>
        <v>42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8</v>
      </c>
      <c r="G816" s="104">
        <f>IF(F816="","",IF(E816="PC 17",F816*4.2,IF(E816="PC 19",F816*5,"")))</f>
        <v>33.6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12</v>
      </c>
      <c r="G817" s="104">
        <f>IF(F817="","",IF(E817="PC 17",F817*4.2,IF(E817="PC 19",F817*5,"")))</f>
        <v>50.400000000000006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11</v>
      </c>
      <c r="G818" s="104">
        <f>IF(F818="","",IF(E818="PC 17",F818*4.2,IF(E818="PC 19",F818*5,"")))</f>
        <v>46.2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5</v>
      </c>
      <c r="G819" s="104">
        <f>IF(F819="","",IF(E819="PC 17",F819*4.2,IF(E819="PC 19",F819*5,"")))</f>
        <v>21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6</v>
      </c>
      <c r="G820" s="104">
        <f>IF(F820="","",IF(E820="PC 17",F820*4.2,IF(E820="PC 19",F820*5,"")))</f>
        <v>25.200000000000003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6</v>
      </c>
      <c r="G821" s="104">
        <f>IF(F821="","",IF(E821="PC 17",F821*4.2,IF(E821="PC 19",F821*5,"")))</f>
        <v>25.200000000000003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5</v>
      </c>
      <c r="G822" s="104">
        <f>IF(F822="","",IF(E822="PC 17",F822*4.2,IF(E822="PC 19",F822*5,"")))</f>
        <v>21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9" t="s">
        <v>236</v>
      </c>
      <c r="B824" s="120"/>
      <c r="C824" s="120"/>
      <c r="D824" s="120"/>
      <c r="E824" s="121">
        <f>SUM(E812:E823)</f>
        <v>0</v>
      </c>
      <c r="F824" s="109">
        <f>SUM(F812:F823)</f>
        <v>95</v>
      </c>
      <c r="G824" s="109">
        <f>SUM(G812:G823)</f>
        <v>398.99999999999994</v>
      </c>
      <c r="H824" s="37"/>
      <c r="I824" s="37"/>
      <c r="J824" s="37"/>
      <c r="K824" s="37"/>
      <c r="L824" s="37"/>
      <c r="M824" s="110">
        <f ca="1">IFERROR(SUM(M812:M823),"")</f>
        <v>5.7638888888888906E-2</v>
      </c>
      <c r="N824" s="109" t="s">
        <v>237</v>
      </c>
      <c r="O824" s="77">
        <v>441270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7</v>
      </c>
      <c r="G825" s="104">
        <f>IF(F825="","",IF(E825="PC 17",F825*4.2,IF(E825="PC 19",F825*5,"")))</f>
        <v>29.400000000000002</v>
      </c>
      <c r="H825" s="81" t="s">
        <v>20</v>
      </c>
      <c r="I825" s="81" t="s">
        <v>47</v>
      </c>
      <c r="J825" s="81" t="s">
        <v>62</v>
      </c>
      <c r="K825" s="98">
        <v>8.819444444444445E-2</v>
      </c>
      <c r="L825" s="98">
        <v>9.0277777777777776E-2</v>
      </c>
      <c r="M825" s="79">
        <f ca="1">IFERROR(IF(K825="","",IF(L825="",MOD(NOW()-K825,1),IF(L825&gt;=K825,L825-K825,L825+1-K825))),"")</f>
        <v>2.0833333333333259E-3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11</v>
      </c>
      <c r="G826" s="104">
        <f>IF(F826="","",IF(E826="PC 17",F826*4.2,IF(E826="PC 19",F826*5,"")))</f>
        <v>55</v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20</v>
      </c>
      <c r="G827" s="104">
        <f>IF(F827="","",IF(E827="PC 17",F827*4.2,IF(E827="PC 19",F827*5,"")))</f>
        <v>84</v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15</v>
      </c>
      <c r="G828" s="104">
        <f>IF(F828="","",IF(E828="PC 17",F828*4.2,IF(E828="PC 19",F828*5,"")))</f>
        <v>63</v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261</v>
      </c>
      <c r="F829" s="100">
        <v>15</v>
      </c>
      <c r="G829" s="104">
        <f>IF(F829="","",IF(E829="PC 17",F829*4.2,IF(E829="PC 19",F829*5,"")))</f>
        <v>63</v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261</v>
      </c>
      <c r="F830" s="100">
        <v>8</v>
      </c>
      <c r="G830" s="104">
        <f>IF(F830="","",IF(E830="PC 17",F830*4.2,IF(E830="PC 19",F830*5,"")))</f>
        <v>33.6</v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261</v>
      </c>
      <c r="F831" s="100">
        <v>15</v>
      </c>
      <c r="G831" s="104">
        <f>IF(F831="","",IF(E831="PC 17",F831*4.2,IF(E831="PC 19",F831*5,"")))</f>
        <v>63</v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261</v>
      </c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261</v>
      </c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261</v>
      </c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261</v>
      </c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261</v>
      </c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9" t="s">
        <v>238</v>
      </c>
      <c r="B837" s="120"/>
      <c r="C837" s="120"/>
      <c r="D837" s="120"/>
      <c r="E837" s="121">
        <f>SUM(E825:E836)</f>
        <v>0</v>
      </c>
      <c r="F837" s="109">
        <f>SUM(F825:F836)</f>
        <v>91</v>
      </c>
      <c r="G837" s="109">
        <f>SUM(G825:G836)</f>
        <v>391</v>
      </c>
      <c r="H837" s="37"/>
      <c r="I837" s="37"/>
      <c r="J837" s="37"/>
      <c r="K837" s="37"/>
      <c r="L837" s="37"/>
      <c r="M837" s="110">
        <f ca="1">IFERROR(SUM(M825:M836),"")</f>
        <v>2.0833333333333259E-3</v>
      </c>
      <c r="N837" s="109" t="s">
        <v>237</v>
      </c>
      <c r="O837" s="77"/>
    </row>
    <row r="838" spans="1:15" ht="15">
      <c r="A838" s="122" t="s">
        <v>239</v>
      </c>
      <c r="B838" s="123"/>
      <c r="C838" s="123"/>
      <c r="D838" s="123"/>
      <c r="E838" s="124">
        <f>E824+E837</f>
        <v>0</v>
      </c>
      <c r="F838" s="111">
        <f>F824+F837</f>
        <v>186</v>
      </c>
      <c r="G838" s="111">
        <f>G824+G837</f>
        <v>790</v>
      </c>
      <c r="H838" s="41"/>
      <c r="I838" s="41"/>
      <c r="J838" s="41"/>
      <c r="K838" s="41"/>
      <c r="L838" s="41"/>
      <c r="M838" s="112">
        <f ca="1">IFERROR(M824+M837,"")</f>
        <v>5.9722222222222232E-2</v>
      </c>
      <c r="N838" s="111" t="s">
        <v>240</v>
      </c>
      <c r="O838" s="82">
        <f>IFERROR(O824+O837,"")</f>
        <v>441270</v>
      </c>
    </row>
  </sheetData>
  <mergeCells count="93">
    <mergeCell ref="A824:E824"/>
    <mergeCell ref="A837:E837"/>
    <mergeCell ref="A838:E838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770:E770"/>
    <mergeCell ref="A783:E783"/>
    <mergeCell ref="A702:E702"/>
    <mergeCell ref="A703:E703"/>
    <mergeCell ref="A716:E716"/>
    <mergeCell ref="A729:E729"/>
    <mergeCell ref="A730:E730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12" activePane="bottomLeft" state="frozen"/>
      <selection pane="bottomLeft" activeCell="F832" sqref="F83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3" t="s">
        <v>236</v>
      </c>
      <c r="B14" s="114"/>
      <c r="C14" s="114"/>
      <c r="D14" s="114"/>
      <c r="E14" s="11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237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3" t="s">
        <v>238</v>
      </c>
      <c r="B27" s="114"/>
      <c r="C27" s="114"/>
      <c r="D27" s="114"/>
      <c r="E27" s="11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237</v>
      </c>
      <c r="O27" s="39">
        <v>202230</v>
      </c>
    </row>
    <row r="28" spans="1:15" ht="18" customHeight="1">
      <c r="A28" s="116" t="s">
        <v>239</v>
      </c>
      <c r="B28" s="117"/>
      <c r="C28" s="117"/>
      <c r="D28" s="117"/>
      <c r="E28" s="11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240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3" t="s">
        <v>236</v>
      </c>
      <c r="B41" s="114"/>
      <c r="C41" s="114"/>
      <c r="D41" s="114"/>
      <c r="E41" s="11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237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3" t="s">
        <v>238</v>
      </c>
      <c r="B54" s="114"/>
      <c r="C54" s="114"/>
      <c r="D54" s="114"/>
      <c r="E54" s="11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237</v>
      </c>
      <c r="O54" s="39">
        <v>473910</v>
      </c>
    </row>
    <row r="55" spans="1:15" ht="18" customHeight="1">
      <c r="A55" s="116" t="s">
        <v>239</v>
      </c>
      <c r="B55" s="117"/>
      <c r="C55" s="117"/>
      <c r="D55" s="117"/>
      <c r="E55" s="11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240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389</v>
      </c>
      <c r="L58" s="29">
        <v>0.54097222222222219</v>
      </c>
      <c r="M58" s="30" t="str">
        <f t="shared" ca="1" si="13"/>
        <v/>
      </c>
      <c r="N58" s="27" t="s">
        <v>390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3" t="s">
        <v>236</v>
      </c>
      <c r="B68" s="114"/>
      <c r="C68" s="114"/>
      <c r="D68" s="114"/>
      <c r="E68" s="11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237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391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392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393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3" t="s">
        <v>238</v>
      </c>
      <c r="B81" s="114"/>
      <c r="C81" s="114"/>
      <c r="D81" s="114"/>
      <c r="E81" s="11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237</v>
      </c>
      <c r="O81" s="39">
        <v>565120</v>
      </c>
    </row>
    <row r="82" spans="1:15" ht="18" customHeight="1">
      <c r="A82" s="116" t="s">
        <v>239</v>
      </c>
      <c r="B82" s="117"/>
      <c r="C82" s="117"/>
      <c r="D82" s="117"/>
      <c r="E82" s="11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240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3" t="s">
        <v>236</v>
      </c>
      <c r="B95" s="114"/>
      <c r="C95" s="114"/>
      <c r="D95" s="114"/>
      <c r="E95" s="11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237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3" t="s">
        <v>238</v>
      </c>
      <c r="B108" s="114"/>
      <c r="C108" s="114"/>
      <c r="D108" s="114"/>
      <c r="E108" s="11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237</v>
      </c>
      <c r="O108" s="39">
        <v>558590</v>
      </c>
    </row>
    <row r="109" spans="1:15" ht="18" customHeight="1">
      <c r="A109" s="116" t="s">
        <v>239</v>
      </c>
      <c r="B109" s="117"/>
      <c r="C109" s="117"/>
      <c r="D109" s="117"/>
      <c r="E109" s="11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240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3" t="s">
        <v>236</v>
      </c>
      <c r="B122" s="114"/>
      <c r="C122" s="114"/>
      <c r="D122" s="114"/>
      <c r="E122" s="11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237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0.84127222222741693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3" t="s">
        <v>238</v>
      </c>
      <c r="B135" s="114"/>
      <c r="C135" s="114"/>
      <c r="D135" s="114"/>
      <c r="E135" s="11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1.0405777777829726</v>
      </c>
      <c r="N135" s="36" t="s">
        <v>237</v>
      </c>
      <c r="O135" s="39">
        <v>729290</v>
      </c>
    </row>
    <row r="136" spans="1:18" ht="18" customHeight="1">
      <c r="A136" s="116" t="s">
        <v>239</v>
      </c>
      <c r="B136" s="117"/>
      <c r="C136" s="117"/>
      <c r="D136" s="117"/>
      <c r="E136" s="11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1.4079388888940836</v>
      </c>
      <c r="N136" s="40" t="s">
        <v>240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3" t="s">
        <v>236</v>
      </c>
      <c r="B149" s="114"/>
      <c r="C149" s="114"/>
      <c r="D149" s="114"/>
      <c r="E149" s="11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237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400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3" t="s">
        <v>238</v>
      </c>
      <c r="B162" s="114"/>
      <c r="C162" s="114"/>
      <c r="D162" s="114"/>
      <c r="E162" s="11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237</v>
      </c>
      <c r="O162" s="39">
        <v>697320</v>
      </c>
    </row>
    <row r="163" spans="1:15" ht="18" customHeight="1">
      <c r="A163" s="116" t="s">
        <v>239</v>
      </c>
      <c r="B163" s="117"/>
      <c r="C163" s="117"/>
      <c r="D163" s="117"/>
      <c r="E163" s="11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240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261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401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3" t="s">
        <v>236</v>
      </c>
      <c r="B176" s="114"/>
      <c r="C176" s="114"/>
      <c r="D176" s="114"/>
      <c r="E176" s="11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237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3" t="s">
        <v>238</v>
      </c>
      <c r="B189" s="114"/>
      <c r="C189" s="114"/>
      <c r="D189" s="114"/>
      <c r="E189" s="11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237</v>
      </c>
      <c r="O189" s="39">
        <v>973580</v>
      </c>
    </row>
    <row r="190" spans="1:15" ht="18" customHeight="1">
      <c r="A190" s="116" t="s">
        <v>239</v>
      </c>
      <c r="B190" s="117"/>
      <c r="C190" s="117"/>
      <c r="D190" s="117"/>
      <c r="E190" s="11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240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402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403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3" t="s">
        <v>236</v>
      </c>
      <c r="B203" s="114"/>
      <c r="C203" s="114"/>
      <c r="D203" s="114"/>
      <c r="E203" s="11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237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3" t="s">
        <v>238</v>
      </c>
      <c r="B216" s="114"/>
      <c r="C216" s="114"/>
      <c r="D216" s="114"/>
      <c r="E216" s="11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237</v>
      </c>
      <c r="O216" s="45">
        <v>1060630</v>
      </c>
    </row>
    <row r="217" spans="1:15" ht="18" customHeight="1">
      <c r="A217" s="116" t="s">
        <v>239</v>
      </c>
      <c r="B217" s="117"/>
      <c r="C217" s="117"/>
      <c r="D217" s="117"/>
      <c r="E217" s="11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240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3" t="s">
        <v>236</v>
      </c>
      <c r="B230" s="114"/>
      <c r="C230" s="114"/>
      <c r="D230" s="114"/>
      <c r="E230" s="11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237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3" t="s">
        <v>238</v>
      </c>
      <c r="B243" s="114"/>
      <c r="C243" s="114"/>
      <c r="D243" s="114"/>
      <c r="E243" s="11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237</v>
      </c>
      <c r="O243" s="39">
        <v>982340</v>
      </c>
    </row>
    <row r="244" spans="1:15" ht="18" customHeight="1">
      <c r="A244" s="116" t="s">
        <v>239</v>
      </c>
      <c r="B244" s="117"/>
      <c r="C244" s="117"/>
      <c r="D244" s="117"/>
      <c r="E244" s="11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240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3" t="s">
        <v>236</v>
      </c>
      <c r="B257" s="114"/>
      <c r="C257" s="114"/>
      <c r="D257" s="114"/>
      <c r="E257" s="11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237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3" t="s">
        <v>238</v>
      </c>
      <c r="B270" s="114"/>
      <c r="C270" s="114"/>
      <c r="D270" s="114"/>
      <c r="E270" s="11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237</v>
      </c>
      <c r="O270" s="39">
        <v>1208450</v>
      </c>
    </row>
    <row r="271" spans="1:15" ht="18" customHeight="1">
      <c r="A271" s="116" t="s">
        <v>239</v>
      </c>
      <c r="B271" s="117"/>
      <c r="C271" s="117"/>
      <c r="D271" s="117"/>
      <c r="E271" s="11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240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3" t="s">
        <v>236</v>
      </c>
      <c r="B284" s="114"/>
      <c r="C284" s="114"/>
      <c r="D284" s="114"/>
      <c r="E284" s="11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237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3" t="s">
        <v>238</v>
      </c>
      <c r="B297" s="114"/>
      <c r="C297" s="114"/>
      <c r="D297" s="114"/>
      <c r="E297" s="11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237</v>
      </c>
      <c r="O297" s="39">
        <v>1049090</v>
      </c>
    </row>
    <row r="298" spans="1:15" ht="18" customHeight="1">
      <c r="A298" s="116" t="s">
        <v>239</v>
      </c>
      <c r="B298" s="117"/>
      <c r="C298" s="117"/>
      <c r="D298" s="117"/>
      <c r="E298" s="11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240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410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3" t="s">
        <v>236</v>
      </c>
      <c r="B311" s="114"/>
      <c r="C311" s="114"/>
      <c r="D311" s="114"/>
      <c r="E311" s="11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237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3" t="s">
        <v>238</v>
      </c>
      <c r="B324" s="114"/>
      <c r="C324" s="114"/>
      <c r="D324" s="114"/>
      <c r="E324" s="11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237</v>
      </c>
      <c r="O324" s="39">
        <v>1063720</v>
      </c>
    </row>
    <row r="325" spans="1:15" ht="18" customHeight="1">
      <c r="A325" s="116" t="s">
        <v>239</v>
      </c>
      <c r="B325" s="117"/>
      <c r="C325" s="117"/>
      <c r="D325" s="117"/>
      <c r="E325" s="11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240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3" t="s">
        <v>236</v>
      </c>
      <c r="B338" s="114"/>
      <c r="C338" s="114"/>
      <c r="D338" s="114"/>
      <c r="E338" s="11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237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411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412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3" t="s">
        <v>238</v>
      </c>
      <c r="B351" s="114"/>
      <c r="C351" s="114"/>
      <c r="D351" s="114"/>
      <c r="E351" s="11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237</v>
      </c>
      <c r="O351" s="39">
        <v>696140</v>
      </c>
    </row>
    <row r="352" spans="1:15" ht="18" customHeight="1">
      <c r="A352" s="116" t="s">
        <v>239</v>
      </c>
      <c r="B352" s="117"/>
      <c r="C352" s="117"/>
      <c r="D352" s="117"/>
      <c r="E352" s="11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240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236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237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413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3" t="s">
        <v>238</v>
      </c>
      <c r="B378" s="114"/>
      <c r="C378" s="114"/>
      <c r="D378" s="114"/>
      <c r="E378" s="11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237</v>
      </c>
      <c r="O378" s="39">
        <v>704750</v>
      </c>
    </row>
    <row r="379" spans="1:15" ht="18" customHeight="1">
      <c r="A379" s="116" t="s">
        <v>239</v>
      </c>
      <c r="B379" s="117"/>
      <c r="C379" s="117"/>
      <c r="D379" s="117"/>
      <c r="E379" s="11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240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401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3" t="s">
        <v>236</v>
      </c>
      <c r="B392" s="114"/>
      <c r="C392" s="114"/>
      <c r="D392" s="114"/>
      <c r="E392" s="11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237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3" t="s">
        <v>238</v>
      </c>
      <c r="B405" s="114"/>
      <c r="C405" s="114"/>
      <c r="D405" s="114"/>
      <c r="E405" s="11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237</v>
      </c>
      <c r="O405" s="39">
        <v>958130</v>
      </c>
    </row>
    <row r="406" spans="1:15" ht="18" customHeight="1">
      <c r="A406" s="116" t="s">
        <v>239</v>
      </c>
      <c r="B406" s="117"/>
      <c r="C406" s="117"/>
      <c r="D406" s="117"/>
      <c r="E406" s="11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240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3" t="s">
        <v>236</v>
      </c>
      <c r="B419" s="114"/>
      <c r="C419" s="114"/>
      <c r="D419" s="114"/>
      <c r="E419" s="11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237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3" t="s">
        <v>238</v>
      </c>
      <c r="B432" s="114"/>
      <c r="C432" s="114"/>
      <c r="D432" s="114"/>
      <c r="E432" s="11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237</v>
      </c>
      <c r="O432" s="39">
        <v>605220</v>
      </c>
    </row>
    <row r="433" spans="1:17" ht="18" customHeight="1">
      <c r="A433" s="116" t="s">
        <v>239</v>
      </c>
      <c r="B433" s="117"/>
      <c r="C433" s="117"/>
      <c r="D433" s="117"/>
      <c r="E433" s="11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240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3" t="s">
        <v>236</v>
      </c>
      <c r="B446" s="114"/>
      <c r="C446" s="114"/>
      <c r="D446" s="114"/>
      <c r="E446" s="11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237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3" t="s">
        <v>238</v>
      </c>
      <c r="B459" s="114"/>
      <c r="C459" s="114"/>
      <c r="D459" s="114"/>
      <c r="E459" s="11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237</v>
      </c>
      <c r="O459" s="39">
        <v>615330</v>
      </c>
    </row>
    <row r="460" spans="1:15" ht="18" customHeight="1">
      <c r="A460" s="116" t="s">
        <v>239</v>
      </c>
      <c r="B460" s="117"/>
      <c r="C460" s="117"/>
      <c r="D460" s="117"/>
      <c r="E460" s="11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240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3" t="s">
        <v>236</v>
      </c>
      <c r="B473" s="114"/>
      <c r="C473" s="114"/>
      <c r="D473" s="114"/>
      <c r="E473" s="11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237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3" t="s">
        <v>238</v>
      </c>
      <c r="B486" s="114"/>
      <c r="C486" s="114"/>
      <c r="D486" s="114"/>
      <c r="E486" s="11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237</v>
      </c>
      <c r="O486" s="39">
        <v>1120830</v>
      </c>
    </row>
    <row r="487" spans="1:15" ht="18" customHeight="1">
      <c r="A487" s="116" t="s">
        <v>239</v>
      </c>
      <c r="B487" s="117"/>
      <c r="C487" s="117"/>
      <c r="D487" s="117"/>
      <c r="E487" s="11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240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234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234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234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261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261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261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261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261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3" t="s">
        <v>236</v>
      </c>
      <c r="B500" s="114"/>
      <c r="C500" s="114"/>
      <c r="D500" s="114"/>
      <c r="E500" s="11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237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420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3" t="s">
        <v>238</v>
      </c>
      <c r="B513" s="114"/>
      <c r="C513" s="114"/>
      <c r="D513" s="114"/>
      <c r="E513" s="11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237</v>
      </c>
      <c r="O513" s="39">
        <v>416720</v>
      </c>
    </row>
    <row r="514" spans="1:15" ht="18" customHeight="1">
      <c r="A514" s="116" t="s">
        <v>239</v>
      </c>
      <c r="B514" s="117"/>
      <c r="C514" s="117"/>
      <c r="D514" s="117"/>
      <c r="E514" s="11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240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421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422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3" t="s">
        <v>236</v>
      </c>
      <c r="B527" s="114"/>
      <c r="C527" s="114"/>
      <c r="D527" s="114"/>
      <c r="E527" s="11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237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3" t="s">
        <v>238</v>
      </c>
      <c r="B540" s="114"/>
      <c r="C540" s="114"/>
      <c r="D540" s="114"/>
      <c r="E540" s="11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237</v>
      </c>
      <c r="O540" s="39">
        <v>404370</v>
      </c>
    </row>
    <row r="541" spans="1:15" ht="18" customHeight="1">
      <c r="A541" s="116" t="s">
        <v>239</v>
      </c>
      <c r="B541" s="117"/>
      <c r="C541" s="117"/>
      <c r="D541" s="117"/>
      <c r="E541" s="11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240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423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3" t="s">
        <v>236</v>
      </c>
      <c r="B554" s="114"/>
      <c r="C554" s="114"/>
      <c r="D554" s="114"/>
      <c r="E554" s="11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237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261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261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261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261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261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261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3" t="s">
        <v>238</v>
      </c>
      <c r="B567" s="114"/>
      <c r="C567" s="114"/>
      <c r="D567" s="114"/>
      <c r="E567" s="11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237</v>
      </c>
      <c r="O567" s="39">
        <v>499820</v>
      </c>
    </row>
    <row r="568" spans="1:15" ht="18" customHeight="1">
      <c r="A568" s="116" t="s">
        <v>239</v>
      </c>
      <c r="B568" s="117"/>
      <c r="C568" s="117"/>
      <c r="D568" s="117"/>
      <c r="E568" s="11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240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3" t="s">
        <v>236</v>
      </c>
      <c r="B581" s="114"/>
      <c r="C581" s="114"/>
      <c r="D581" s="114"/>
      <c r="E581" s="11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237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261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261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261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261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261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261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261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261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3" t="s">
        <v>238</v>
      </c>
      <c r="B594" s="114"/>
      <c r="C594" s="114"/>
      <c r="D594" s="114"/>
      <c r="E594" s="11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237</v>
      </c>
      <c r="O594" s="39">
        <v>572580</v>
      </c>
    </row>
    <row r="595" spans="1:15" ht="18" customHeight="1">
      <c r="A595" s="116" t="s">
        <v>239</v>
      </c>
      <c r="B595" s="117"/>
      <c r="C595" s="117"/>
      <c r="D595" s="117"/>
      <c r="E595" s="11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240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3" t="s">
        <v>236</v>
      </c>
      <c r="B608" s="114"/>
      <c r="C608" s="114"/>
      <c r="D608" s="114"/>
      <c r="E608" s="11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237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261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261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3" t="s">
        <v>238</v>
      </c>
      <c r="B621" s="114"/>
      <c r="C621" s="114"/>
      <c r="D621" s="114"/>
      <c r="E621" s="11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237</v>
      </c>
      <c r="O621" s="39">
        <v>414860</v>
      </c>
    </row>
    <row r="622" spans="1:15" ht="18" customHeight="1">
      <c r="A622" s="116" t="s">
        <v>239</v>
      </c>
      <c r="B622" s="117"/>
      <c r="C622" s="117"/>
      <c r="D622" s="117"/>
      <c r="E622" s="11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240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3" t="s">
        <v>236</v>
      </c>
      <c r="B635" s="114"/>
      <c r="C635" s="114"/>
      <c r="D635" s="114"/>
      <c r="E635" s="11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237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430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3" t="s">
        <v>238</v>
      </c>
      <c r="B648" s="114"/>
      <c r="C648" s="114"/>
      <c r="D648" s="114"/>
      <c r="E648" s="11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237</v>
      </c>
      <c r="O648" s="39">
        <v>284850</v>
      </c>
    </row>
    <row r="649" spans="1:15" ht="18" customHeight="1">
      <c r="A649" s="116" t="s">
        <v>239</v>
      </c>
      <c r="B649" s="117"/>
      <c r="C649" s="117"/>
      <c r="D649" s="117"/>
      <c r="E649" s="11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240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431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3" t="s">
        <v>236</v>
      </c>
      <c r="B662" s="114"/>
      <c r="C662" s="114"/>
      <c r="D662" s="114"/>
      <c r="E662" s="11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237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432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3" t="s">
        <v>238</v>
      </c>
      <c r="B675" s="114"/>
      <c r="C675" s="114"/>
      <c r="D675" s="114"/>
      <c r="E675" s="11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237</v>
      </c>
      <c r="O675" s="39">
        <v>486620</v>
      </c>
    </row>
    <row r="676" spans="1:15" ht="18" customHeight="1">
      <c r="A676" s="116" t="s">
        <v>239</v>
      </c>
      <c r="B676" s="117"/>
      <c r="C676" s="117"/>
      <c r="D676" s="117"/>
      <c r="E676" s="11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240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261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237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433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434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3" t="s">
        <v>238</v>
      </c>
      <c r="B702" s="114"/>
      <c r="C702" s="114"/>
      <c r="D702" s="114"/>
      <c r="E702" s="11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237</v>
      </c>
      <c r="O702" s="39">
        <v>988790</v>
      </c>
    </row>
    <row r="703" spans="1:15" ht="18" customHeight="1">
      <c r="A703" s="116" t="s">
        <v>239</v>
      </c>
      <c r="B703" s="117"/>
      <c r="C703" s="117"/>
      <c r="D703" s="117"/>
      <c r="E703" s="11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240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3" t="s">
        <v>236</v>
      </c>
      <c r="B716" s="114"/>
      <c r="C716" s="114"/>
      <c r="D716" s="114"/>
      <c r="E716" s="11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237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435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3" t="s">
        <v>238</v>
      </c>
      <c r="B729" s="114"/>
      <c r="C729" s="114"/>
      <c r="D729" s="114"/>
      <c r="E729" s="11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237</v>
      </c>
      <c r="O729" s="39">
        <v>852470</v>
      </c>
    </row>
    <row r="730" spans="1:15" ht="18" customHeight="1">
      <c r="A730" s="116" t="s">
        <v>239</v>
      </c>
      <c r="B730" s="117"/>
      <c r="C730" s="117"/>
      <c r="D730" s="117"/>
      <c r="E730" s="11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240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436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437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3" t="s">
        <v>236</v>
      </c>
      <c r="B743" s="114"/>
      <c r="C743" s="114"/>
      <c r="D743" s="114"/>
      <c r="E743" s="11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237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3" t="s">
        <v>238</v>
      </c>
      <c r="B756" s="114"/>
      <c r="C756" s="114"/>
      <c r="D756" s="114"/>
      <c r="E756" s="11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237</v>
      </c>
      <c r="O756" s="39">
        <v>545970</v>
      </c>
    </row>
    <row r="757" spans="1:15" ht="18" customHeight="1">
      <c r="A757" s="116" t="s">
        <v>239</v>
      </c>
      <c r="B757" s="117"/>
      <c r="C757" s="117"/>
      <c r="D757" s="117"/>
      <c r="E757" s="11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240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344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3" t="s">
        <v>236</v>
      </c>
      <c r="B770" s="114"/>
      <c r="C770" s="114"/>
      <c r="D770" s="114"/>
      <c r="E770" s="11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237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434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438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3" t="s">
        <v>238</v>
      </c>
      <c r="B783" s="114"/>
      <c r="C783" s="114"/>
      <c r="D783" s="114"/>
      <c r="E783" s="115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237</v>
      </c>
      <c r="O783" s="39">
        <v>747380</v>
      </c>
    </row>
    <row r="784" spans="1:15" ht="18" customHeight="1">
      <c r="A784" s="116" t="s">
        <v>239</v>
      </c>
      <c r="B784" s="117"/>
      <c r="C784" s="117"/>
      <c r="D784" s="117"/>
      <c r="E784" s="118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240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439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440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441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3" t="s">
        <v>236</v>
      </c>
      <c r="B797" s="114"/>
      <c r="C797" s="114"/>
      <c r="D797" s="114"/>
      <c r="E797" s="115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237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442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3" t="s">
        <v>238</v>
      </c>
      <c r="B810" s="114"/>
      <c r="C810" s="114"/>
      <c r="D810" s="114"/>
      <c r="E810" s="115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237</v>
      </c>
      <c r="O810" s="39">
        <v>784390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240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>
        <v>0.39166666666666666</v>
      </c>
      <c r="M812" s="78">
        <f ca="1">IFERROR(IF(K812="","",IF(L812="",MOD(NOW()-K812,1),IF(L812&gt;=K812,L812-K812,L812+1-K812))),"")</f>
        <v>6.5277777777777768E-2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0</v>
      </c>
      <c r="G813" s="104">
        <f>IF(F813="","",IF(E813="PC 17",F813*4.2,IF(E813="PC 19",F813*5,"")))</f>
        <v>0</v>
      </c>
      <c r="H813" s="81" t="s">
        <v>20</v>
      </c>
      <c r="I813" s="81" t="s">
        <v>57</v>
      </c>
      <c r="J813" s="81" t="s">
        <v>28</v>
      </c>
      <c r="K813" s="98">
        <v>0.4236111111111111</v>
      </c>
      <c r="L813" s="98">
        <v>0.42916666666666664</v>
      </c>
      <c r="M813" s="79">
        <f ca="1">IFERROR(IF(K813="","",IF(L813="",MOD(NOW()-K813,1),IF(L813&gt;=K813,L813-K813,L813+1-K813))),"")</f>
        <v>5.5555555555555358E-3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6</v>
      </c>
      <c r="G814" s="104">
        <f>IF(F814="","",IF(E814="PC 17",F814*4.2,IF(E814="PC 19",F814*5,"")))</f>
        <v>25.200000000000003</v>
      </c>
      <c r="H814" s="80" t="s">
        <v>19</v>
      </c>
      <c r="I814" s="80" t="s">
        <v>160</v>
      </c>
      <c r="J814" s="80" t="s">
        <v>27</v>
      </c>
      <c r="K814" s="98">
        <v>0.55902777777777779</v>
      </c>
      <c r="L814" s="98">
        <v>0.58333333333333337</v>
      </c>
      <c r="M814" s="78">
        <f ca="1">IFERROR(IF(K814="","",IF(L814="",MOD(NOW()-K814,1),IF(L814&gt;=K814,L814-K814,L814+1-K814))),"")</f>
        <v>2.430555555555558E-2</v>
      </c>
      <c r="N814" s="105" t="s">
        <v>443</v>
      </c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57</v>
      </c>
      <c r="J815" s="81" t="s">
        <v>28</v>
      </c>
      <c r="K815" s="98">
        <v>0.74027777777777781</v>
      </c>
      <c r="L815" s="98">
        <v>0.76111111111111107</v>
      </c>
      <c r="M815" s="79">
        <f ca="1">IFERROR(IF(K815="","",IF(L815="",MOD(NOW()-K815,1),IF(L815&gt;=K815,L815-K815,L815+1-K815))),"")</f>
        <v>2.0833333333333259E-2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7</v>
      </c>
      <c r="G816" s="104">
        <f>IF(F816="","",IF(E816="PC 17",F816*4.2,IF(E816="PC 19",F816*5,"")))</f>
        <v>29.400000000000002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19</v>
      </c>
      <c r="G817" s="104">
        <f>IF(F817="","",IF(E817="PC 17",F817*4.2,IF(E817="PC 19",F817*5,"")))</f>
        <v>79.8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8</v>
      </c>
      <c r="G818" s="104">
        <f>IF(F818="","",IF(E818="PC 17",F818*4.2,IF(E818="PC 19",F818*5,"")))</f>
        <v>33.6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14</v>
      </c>
      <c r="G819" s="104">
        <f>IF(F819="","",IF(E819="PC 17",F819*4.2,IF(E819="PC 19",F819*5,"")))</f>
        <v>58.800000000000004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14</v>
      </c>
      <c r="G820" s="104">
        <f>IF(F820="","",IF(E820="PC 17",F820*4.2,IF(E820="PC 19",F820*5,"")))</f>
        <v>58.800000000000004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12</v>
      </c>
      <c r="G821" s="104">
        <f>IF(F821="","",IF(E821="PC 17",F821*4.2,IF(E821="PC 19",F821*5,"")))</f>
        <v>50.400000000000006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10</v>
      </c>
      <c r="G822" s="104">
        <f>IF(F822="","",IF(E822="PC 17",F822*4.2,IF(E822="PC 19",F822*5,"")))</f>
        <v>42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3</v>
      </c>
      <c r="G823" s="104">
        <f>IF(F823="","",IF(E823="PC 17",F823*4.2,IF(E823="PC 19",F823*5,"")))</f>
        <v>12.600000000000001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9" t="s">
        <v>236</v>
      </c>
      <c r="B824" s="120"/>
      <c r="C824" s="120"/>
      <c r="D824" s="120"/>
      <c r="E824" s="121">
        <f>SUM(E812:E823)</f>
        <v>0</v>
      </c>
      <c r="F824" s="109">
        <f>SUM(F812:F823)</f>
        <v>119</v>
      </c>
      <c r="G824" s="109">
        <f>SUM(G812:G823)</f>
        <v>499.80000000000007</v>
      </c>
      <c r="H824" s="37"/>
      <c r="I824" s="37"/>
      <c r="J824" s="37"/>
      <c r="K824" s="37"/>
      <c r="L824" s="37"/>
      <c r="M824" s="110">
        <f ca="1">IFERROR(SUM(M812:M823),"")</f>
        <v>0.11597222222222214</v>
      </c>
      <c r="N824" s="109" t="s">
        <v>237</v>
      </c>
      <c r="O824" s="77">
        <v>545810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10</v>
      </c>
      <c r="G825" s="104">
        <f>IF(F825="","",IF(E825="PC 17",F825*4.2,IF(E825="PC 19",F825*5,"")))</f>
        <v>42</v>
      </c>
      <c r="H825" s="81" t="s">
        <v>20</v>
      </c>
      <c r="I825" s="81" t="s">
        <v>57</v>
      </c>
      <c r="J825" s="81" t="s">
        <v>62</v>
      </c>
      <c r="K825" s="98">
        <v>0.84305555555555556</v>
      </c>
      <c r="L825" s="98">
        <v>0.84375</v>
      </c>
      <c r="M825" s="79">
        <f ca="1">IFERROR(IF(K825="","",IF(L825="",MOD(NOW()-K825,1),IF(L825&gt;=K825,L825-K825,L825+1-K825))),"")</f>
        <v>6.9444444444444198E-4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261</v>
      </c>
      <c r="F826" s="100">
        <v>10</v>
      </c>
      <c r="G826" s="104">
        <f>IF(F826="","",IF(E826="PC 17",F826*4.2,IF(E826="PC 19",F826*5,"")))</f>
        <v>42</v>
      </c>
      <c r="H826" s="80" t="s">
        <v>20</v>
      </c>
      <c r="I826" s="80" t="s">
        <v>57</v>
      </c>
      <c r="J826" s="80" t="s">
        <v>36</v>
      </c>
      <c r="K826" s="98">
        <v>0.87013888888888891</v>
      </c>
      <c r="L826" s="98">
        <v>0.87916666666666665</v>
      </c>
      <c r="M826" s="78">
        <f ca="1">IFERROR(IF(K826="","",IF(L826="",MOD(NOW()-K826,1),IF(L826&gt;=K826,L826-K826,L826+1-K826))),"")</f>
        <v>9.0277777777777457E-3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8</v>
      </c>
      <c r="G827" s="104">
        <f>IF(F827="","",IF(E827="PC 17",F827*4.2,IF(E827="PC 19",F827*5,"")))</f>
        <v>33.6</v>
      </c>
      <c r="H827" s="81" t="s">
        <v>20</v>
      </c>
      <c r="I827" s="81" t="s">
        <v>52</v>
      </c>
      <c r="J827" s="81" t="s">
        <v>165</v>
      </c>
      <c r="K827" s="98">
        <v>0.94097222222222221</v>
      </c>
      <c r="L827" s="98">
        <v>0.95138888888888884</v>
      </c>
      <c r="M827" s="79">
        <f ca="1">IFERROR(IF(K827="","",IF(L827="",MOD(NOW()-K827,1),IF(L827&gt;=K827,L827-K827,L827+1-K827))),"")</f>
        <v>1.041666666666663E-2</v>
      </c>
      <c r="N827" s="105" t="s">
        <v>444</v>
      </c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11</v>
      </c>
      <c r="G828" s="104">
        <f>IF(F828="","",IF(E828="PC 17",F828*4.2,IF(E828="PC 19",F828*5,"")))</f>
        <v>46.2</v>
      </c>
      <c r="H828" s="80" t="s">
        <v>19</v>
      </c>
      <c r="I828" s="80" t="s">
        <v>57</v>
      </c>
      <c r="J828" s="80" t="s">
        <v>27</v>
      </c>
      <c r="K828" s="98">
        <v>0.95138888888888884</v>
      </c>
      <c r="L828" s="98">
        <v>0.96111111111111114</v>
      </c>
      <c r="M828" s="78">
        <f ca="1">IFERROR(IF(K828="","",IF(L828="",MOD(NOW()-K828,1),IF(L828&gt;=K828,L828-K828,L828+1-K828))),"")</f>
        <v>9.7222222222222987E-3</v>
      </c>
      <c r="N828" s="105" t="s">
        <v>329</v>
      </c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30</v>
      </c>
      <c r="E829" s="108" t="s">
        <v>261</v>
      </c>
      <c r="F829" s="100">
        <v>15</v>
      </c>
      <c r="G829" s="104">
        <f>IF(F829="","",IF(E829="PC 17",F829*4.2,IF(E829="PC 19",F829*5,"")))</f>
        <v>63</v>
      </c>
      <c r="H829" s="81" t="s">
        <v>20</v>
      </c>
      <c r="I829" s="81" t="s">
        <v>57</v>
      </c>
      <c r="J829" s="81" t="s">
        <v>62</v>
      </c>
      <c r="K829" s="98">
        <v>0.97430555555555554</v>
      </c>
      <c r="L829" s="98">
        <v>0.97499999999999998</v>
      </c>
      <c r="M829" s="79">
        <f ca="1">IFERROR(IF(K829="","",IF(L829="",MOD(NOW()-K829,1),IF(L829&gt;=K829,L829-K829,L829+1-K829))),"")</f>
        <v>6.9444444444444198E-4</v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30</v>
      </c>
      <c r="E830" s="108" t="s">
        <v>261</v>
      </c>
      <c r="F830" s="100">
        <v>10</v>
      </c>
      <c r="G830" s="104">
        <f>IF(F830="","",IF(E830="PC 17",F830*4.2,IF(E830="PC 19",F830*5,"")))</f>
        <v>42</v>
      </c>
      <c r="H830" s="80" t="s">
        <v>20</v>
      </c>
      <c r="I830" s="80" t="s">
        <v>57</v>
      </c>
      <c r="J830" s="80" t="s">
        <v>56</v>
      </c>
      <c r="K830" s="98">
        <v>6.3888888888888884E-2</v>
      </c>
      <c r="L830" s="98">
        <v>8.1944444444444445E-2</v>
      </c>
      <c r="M830" s="78">
        <f ca="1">IFERROR(IF(K830="","",IF(L830="",MOD(NOW()-K830,1),IF(L830&gt;=K830,L830-K830,L830+1-K830))),"")</f>
        <v>1.8055555555555561E-2</v>
      </c>
      <c r="N830" s="105" t="s">
        <v>384</v>
      </c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30</v>
      </c>
      <c r="E831" s="108" t="s">
        <v>261</v>
      </c>
      <c r="F831" s="100">
        <v>15</v>
      </c>
      <c r="G831" s="104">
        <f>IF(F831="","",IF(E831="PC 17",F831*4.2,IF(E831="PC 19",F831*5,"")))</f>
        <v>63</v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30</v>
      </c>
      <c r="E832" s="108" t="s">
        <v>261</v>
      </c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30</v>
      </c>
      <c r="E833" s="108" t="s">
        <v>261</v>
      </c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30</v>
      </c>
      <c r="E834" s="108" t="s">
        <v>261</v>
      </c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30</v>
      </c>
      <c r="E835" s="108" t="s">
        <v>261</v>
      </c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30</v>
      </c>
      <c r="E836" s="108" t="s">
        <v>261</v>
      </c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9" t="s">
        <v>238</v>
      </c>
      <c r="B837" s="120"/>
      <c r="C837" s="120"/>
      <c r="D837" s="120"/>
      <c r="E837" s="121">
        <f>SUM(E825:E836)</f>
        <v>0</v>
      </c>
      <c r="F837" s="109">
        <f>SUM(F825:F836)</f>
        <v>79</v>
      </c>
      <c r="G837" s="109">
        <f>SUM(G825:G836)</f>
        <v>331.8</v>
      </c>
      <c r="H837" s="37"/>
      <c r="I837" s="37"/>
      <c r="J837" s="37"/>
      <c r="K837" s="37"/>
      <c r="L837" s="37"/>
      <c r="M837" s="110">
        <f ca="1">IFERROR(SUM(M825:M836),"")</f>
        <v>4.8611111111111119E-2</v>
      </c>
      <c r="N837" s="109" t="s">
        <v>237</v>
      </c>
      <c r="O837" s="77"/>
    </row>
    <row r="838" spans="1:15" ht="15">
      <c r="A838" s="122" t="s">
        <v>239</v>
      </c>
      <c r="B838" s="123"/>
      <c r="C838" s="123"/>
      <c r="D838" s="123"/>
      <c r="E838" s="124">
        <f>E824+E837</f>
        <v>0</v>
      </c>
      <c r="F838" s="111">
        <f>F824+F837</f>
        <v>198</v>
      </c>
      <c r="G838" s="111">
        <f>G824+G837</f>
        <v>831.60000000000014</v>
      </c>
      <c r="H838" s="41"/>
      <c r="I838" s="41"/>
      <c r="J838" s="41"/>
      <c r="K838" s="41"/>
      <c r="L838" s="41"/>
      <c r="M838" s="112">
        <f ca="1">IFERROR(M824+M837,"")</f>
        <v>0.16458333333333325</v>
      </c>
      <c r="N838" s="111" t="s">
        <v>240</v>
      </c>
      <c r="O838" s="82">
        <f>IFERROR(O824+O837,"")</f>
        <v>545810</v>
      </c>
    </row>
  </sheetData>
  <mergeCells count="92">
    <mergeCell ref="A824:E824"/>
    <mergeCell ref="A837:E837"/>
    <mergeCell ref="A838:E838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2026-08-01T06:10:26Z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