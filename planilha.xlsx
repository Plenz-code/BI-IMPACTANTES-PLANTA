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50" documentId="8_{AF585B22-221D-4780-BB9C-493D365A6A02}" xr6:coauthVersionLast="47" xr6:coauthVersionMax="47" xr10:uidLastSave="{FC4EE2F0-D06F-4516-BE3C-26E25CCE8903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<sst xmlns="http://schemas.openxmlformats.org/spreadsheetml/2006/main" count="11249" uniqueCount="415">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</sst>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55" sqref="E7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269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231</v>
      </c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231</v>
      </c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231</v>
      </c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231</v>
      </c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231</v>
      </c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231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231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231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231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231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231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231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413</v>
      </c>
      <c r="G757" s="40">
        <f>G743+G756</f>
        <v>2040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4" activePane="bottomLeft" state="frozen"/>
      <selection pane="bottomLeft" activeCell="D744" sqref="D744:D7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271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272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273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274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275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276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277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278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279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280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282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286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287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288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289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284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291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292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293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295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296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299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300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0.56122071758727543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0.71885960647616431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0.82858182869838648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284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301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302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0.53969293981208466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0.71052627314541805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0.85566516203430698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305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306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307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308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309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310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311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312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313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314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315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317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320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321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322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323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324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325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327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328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330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331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332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234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135</v>
      </c>
      <c r="G757" s="40">
        <f>G743+G756</f>
        <v>567</v>
      </c>
      <c r="H757" s="41"/>
      <c r="I757" s="41"/>
      <c r="J757" s="41"/>
      <c r="K757" s="41"/>
      <c r="L757" s="41"/>
      <c r="M757" s="42">
        <f ca="1">IFERROR(M743+M756,"")</f>
        <v>7.0138888888888862E-2</v>
      </c>
      <c r="N757" s="40" t="s">
        <v>237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O744" sqref="O7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306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283</v>
      </c>
      <c r="K141" s="29">
        <v>0.71597222222222223</v>
      </c>
      <c r="L141" s="29" t="s">
        <v>338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340</v>
      </c>
      <c r="N166" s="27" t="s">
        <v>341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303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306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320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>
        <v>6</v>
      </c>
      <c r="G741" s="34">
        <f>IF(F741="","",IF(E742="PC 17",F741*4.2,IF(E742="PC 19",F741*5,"")))</f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>
        <v>6</v>
      </c>
      <c r="G742" s="28" t="e">
        <f>IF(F742="","",IF(#REF!="PC 17",F742*4.2,IF(#REF!="PC 19",F742*5,"")))</f>
        <v>#REF!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 t="e">
        <f>SUM(G731:G742)</f>
        <v>#REF!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65</v>
      </c>
      <c r="G757" s="40" t="e">
        <f>G743+G756</f>
        <v>#REF!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L739" sqref="L7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306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366</v>
      </c>
      <c r="L58" s="29">
        <v>0.54097222222222219</v>
      </c>
      <c r="M58" s="30" t="str">
        <f t="shared" ca="1" si="13"/>
        <v/>
      </c>
      <c r="N58" s="27" t="s">
        <v>367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0.55149849536974216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281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0.75080405092529778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1.1181651620364088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278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306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278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320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234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157</v>
      </c>
      <c r="G757" s="40">
        <f>G743+G756</f>
        <v>659.4</v>
      </c>
      <c r="H757" s="41"/>
      <c r="I757" s="41"/>
      <c r="J757" s="41"/>
      <c r="K757" s="63"/>
      <c r="L757" s="63"/>
      <c r="M757" s="42">
        <f ca="1">IFERROR(M743+M756,"")</f>
        <v>1.1083333333333334</v>
      </c>
      <c r="N757" s="40" t="s">
        <v>237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2026-07-28T23:13:24Z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