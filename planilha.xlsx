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61" documentId="13_ncr:1_{A6DBCFB4-28D9-4249-9038-216934055CA6}" xr6:coauthVersionLast="47" xr6:coauthVersionMax="47" xr10:uidLastSave="{1BB7D48A-6E14-4F22-87ED-86120BA9EA72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<sst xmlns="http://schemas.openxmlformats.org/spreadsheetml/2006/main" count="9912" uniqueCount="426">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</sst>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I582" sqref="I58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336</v>
      </c>
      <c r="G594" s="2">
        <f>SUM(G582:G593)</f>
        <v>1680</v>
      </c>
      <c r="H594" s="72"/>
      <c r="I594" s="72"/>
      <c r="J594" s="72"/>
      <c r="K594" s="72"/>
      <c r="L594" s="72"/>
      <c r="M594" s="73">
        <f ca="1">IFERROR(SUM(M582:M593),"")</f>
        <v>3.472222222222221E-2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714</v>
      </c>
      <c r="G595" s="1">
        <f>G581+G594</f>
        <v>3570</v>
      </c>
      <c r="H595" s="76"/>
      <c r="I595" s="76"/>
      <c r="J595" s="76"/>
      <c r="K595" s="76"/>
      <c r="L595" s="76"/>
      <c r="M595" s="77">
        <f ca="1">IFERROR(M581+M594,"")</f>
        <v>0.11180555555555549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3" activePane="bottomLeft" state="frozen"/>
      <selection pane="bottomLeft" activeCell="O587" sqref="O58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7.4182638883939944E-2</v>
      </c>
      <c r="R53" s="80" t="s">
        <v>314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0.21307152777282767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0.29779374999505048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316</v>
      </c>
      <c r="Q96" s="66" t="str">
        <f t="shared" ref="Q96:Q107" ca="1" si="22">IFERROR(IF(O96="","",IF(P96="",MOD(NOW()-O96,1),IF(P96&gt;=O96,P96-O96,P96+1-O96))),"")</f>
        <v/>
      </c>
      <c r="R96" s="80" t="s">
        <v>317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346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347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348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349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 t="s">
        <v>137</v>
      </c>
      <c r="N586" s="61"/>
      <c r="O586" s="65">
        <v>0.19513888888888889</v>
      </c>
      <c r="P586" s="65"/>
      <c r="Q586" s="66">
        <f t="shared" ca="1" si="152"/>
        <v>5.7152777299052104E-4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0.12765486110632396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0.53182152777299052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1" sqref="G59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363</v>
      </c>
      <c r="Q222" s="66" t="str">
        <f t="shared" ca="1" si="49"/>
        <v/>
      </c>
      <c r="R222" s="63" t="s">
        <v>364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315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315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378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350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315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373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70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294.00000000000006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233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987.40000000000009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E590" sqref="E59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417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418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419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420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421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422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405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406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423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424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425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372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131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550.19999999999993</v>
      </c>
      <c r="L594" s="72"/>
      <c r="M594" s="72"/>
      <c r="N594" s="72"/>
      <c r="O594" s="134"/>
      <c r="P594" s="134"/>
      <c r="Q594" s="73">
        <f ca="1">IFERROR(SUM(Q582:Q593),"")</f>
        <v>8.3333333333333259E-2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333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1414.6</v>
      </c>
      <c r="L595" s="76"/>
      <c r="M595" s="76"/>
      <c r="N595" s="76"/>
      <c r="O595" s="135"/>
      <c r="P595" s="135"/>
      <c r="Q595" s="77">
        <f ca="1">IFERROR(Q581+Q594,"")</f>
        <v>0.21736111111111112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2026-08-23T08:41:54Z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