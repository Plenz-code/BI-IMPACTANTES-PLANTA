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49" documentId="8_{C51EB6CB-002B-4D6B-B68F-DDEBDB4460C0}" xr6:coauthVersionLast="47" xr6:coauthVersionMax="47" xr10:uidLastSave="{7AED2484-A389-4A45-9045-DCC582AD72B6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E7" i="1" s="1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F109" i="4" l="1"/>
  <c r="F109" i="3"/>
  <c r="G7" i="1"/>
  <c r="E109" i="3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109" i="5" l="1"/>
  <c r="M703" i="6"/>
  <c r="M838" i="4"/>
  <c r="M487" i="3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<sst xmlns="http://schemas.openxmlformats.org/spreadsheetml/2006/main" count="2674" uniqueCount="270">
  <si>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</si>
  <si>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</si>
  <si>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</si>
  <si>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</si>
  <si>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</si>
  <si>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</si>
  <si>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</si>
  <si>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</si>
  <si>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</si>
  <si>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</si>
  <si>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</si>
  <si>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</si>
  <si>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</si>
  <si>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</si>
  <si>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</si>
  <si>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</si>
  <si>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</si>
  <si>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</si>
  <si>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</si>
  <si>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</si>
  <si>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</si>
  <si>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</si>
  <si>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</si>
  <si>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</si>
  <si>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</si>
  <si>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</si>
  <si>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</si>
  <si>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</si>
  <si>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</si>
  <si>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</si>
  <si>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</si>
  <si>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</si>
  <si>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</si>
  <si>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</si>
  <si>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</si>
  <si>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</si>
  <si>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</si>
  <si>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</si>
  <si>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</si>
  <si>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</si>
  <si>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</si>
  <si>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</si>
  <si>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</si>
  <si>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</si>
  <si>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</si>
  <si>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</si>
  <si>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</si>
  <si>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</si>
  <si>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</si>
  <si>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</si>
  <si>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</si>
  <si>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</si>
  <si>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</si>
  <si>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</si>
  <si>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</si>
  <si>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</si>
  <si>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</si>
  <si>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</si>
  <si>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</si>
  <si>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</si>
  <si>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</si>
  <si>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</si>
  <si>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</si>
  <si>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</si>
  <si>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</si>
  <si>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</si>
  <si>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</si>
  <si>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</si>
  <si>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</si>
  <si>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</si>
  <si>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</si>
  <si>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</si>
  <si>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</si>
  <si>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</si>
  <si>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</si>
  <si>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</si>
  <si>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</si>
  <si>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</si>
  <si>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</si>
  <si>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</si>
  <si>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</si>
  <si>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</si>
  <si>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</si>
  <si>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</si>
  <si>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</si>
  <si>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</si>
  <si>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</si>
  <si>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</si>
  <si>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</si>
  <si>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</si>
  <si>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</si>
  <si>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</si>
  <si>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</si>
  <si>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</si>
  <si>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</si>
  <si>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</si>
  <si>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</si>
  <si>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</si>
  <si>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</si>
  <si>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</si>
  <si>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</si>
  <si>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</si>
  <si>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</si>
  <si>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</si>
  <si>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</si>
  <si>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</si>
  <si>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</si>
  <si>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</si>
  <si>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</si>
  <si>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</si>
  <si>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</si>
  <si>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</si>
  <si>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</si>
  <si>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</si>
  <si>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</si>
  <si>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</si>
  <si>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</si>
  <si>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</si>
  <si>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</si>
  <si>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</si>
  <si>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</si>
  <si>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</si>
  <si>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</si>
  <si>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</si>
  <si>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</si>
  <si>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</si>
  <si>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</si>
  <si>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</si>
  <si>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</si>
  <si>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</si>
  <si>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</si>
  <si>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</si>
  <si>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</si>
  <si>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</si>
  <si>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</si>
  <si>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</si>
  <si>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</si>
  <si>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</si>
  <si>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</si>
  <si>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</si>
  <si>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</si>
  <si>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</si>
  <si>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</si>
  <si>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</si>
  <si>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</si>
  <si>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</si>
  <si>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</si>
  <si>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</si>
  <si>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</si>
  <si>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</si>
  <si>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</si>
  <si>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</si>
  <si>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</si>
  <si>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</si>
  <si>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</si>
  <si>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</si>
  <si>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</si>
  <si>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</si>
  <si>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</si>
  <si>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</si>
  <si>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</si>
  <si>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</si>
  <si>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</si>
  <si>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</si>
  <si>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</si>
  <si>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</si>
  <si>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</si>
  <si>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</si>
  <si>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</si>
  <si>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</si>
  <si>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</si>
  <si>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</si>
  <si>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</si>
  <si>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</si>
  <si>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</si>
  <si>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</si>
  <si>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</si>
  <si>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</si>
  <si>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</si>
  <si>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</si>
  <si>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</si>
  <si>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</si>
  <si>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</si>
  <si>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</si>
  <si>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</si>
  <si>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</si>
  <si>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</si>
  <si>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</si>
  <si>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</si>
  <si>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</si>
  <si>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</si>
  <si>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</si>
  <si>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</si>
  <si>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</si>
  <si>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</si>
  <si>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</si>
  <si>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</si>
  <si>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</si>
  <si>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</si>
  <si>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</si>
  <si>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</si>
  <si>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</si>
  <si>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</si>
  <si>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</si>
  <si>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</si>
  <si>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</si>
  <si>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</si>
  <si>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</si>
  <si>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</si>
  <si>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</si>
  <si>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</si>
  <si>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</si>
  <si>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</si>
  <si>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</si>
  <si>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</si>
  <si>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</si>
  <si>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</si>
  <si>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</si>
  <si>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</si>
  <si>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</si>
  <si>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</si>
  <si>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</si>
  <si>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</si>
  <si>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</si>
  <si>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</si>
  <si>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</si>
  <si>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</si>
  <si>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</si>
  <si>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</si>
  <si>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</si>
  <si>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</si>
  <si>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</si>
  <si>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</si>
  <si>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</si>
  <si>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</si>
  <si>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</si>
  <si>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</si>
  <si>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</si>
  <si>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</si>
  <si>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</si>
  <si>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</si>
  <si>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</si>
  <si>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</si>
  <si>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</si>
  <si>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</si>
  <si>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</si>
  <si>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</si>
  <si>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</si>
  <si>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</si>
  <si>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</si>
  <si>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</si>
  <si>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</si>
  <si>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</si>
  <si>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</si>
  <si>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</si>
  <si>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</si>
  <si>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</si>
  <si>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</si>
  <si>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</si>
  <si>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</si>
  <si>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</si>
  <si>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</si>
  <si>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</si>
  <si>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</si>
  <si>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bomba com problema,troca de martelo mm1</t>
  </si>
  <si>
    <t>instalação da bomba de polpa 02</t>
  </si>
  <si>
    <t>22;54</t>
  </si>
  <si>
    <t>moinho desarmou</t>
  </si>
  <si>
    <t>troca de marttelo</t>
  </si>
  <si>
    <t>5 viagens com caminhão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</si>
</sst>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9" sqref="J9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3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3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3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3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3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3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3">
      <c r="H2" s="113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3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3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3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3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3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3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3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3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3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3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3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3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3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3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3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3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3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3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3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3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3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3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3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 x14ac:dyDescent="0.3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3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3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3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3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3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3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3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3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3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3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 x14ac:dyDescent="0.3">
      <c r="H57" s="113"/>
      <c r="I57" s="17"/>
      <c r="J57" s="17"/>
      <c r="K57" s="17" t="s">
        <v>50</v>
      </c>
      <c r="L57" s="17"/>
      <c r="M57" s="17"/>
    </row>
    <row r="58" spans="1:13" ht="15" customHeight="1" x14ac:dyDescent="0.3">
      <c r="H58" s="113"/>
      <c r="I58" s="16"/>
      <c r="J58" s="16"/>
      <c r="K58" s="16" t="s">
        <v>204</v>
      </c>
      <c r="L58" s="16"/>
      <c r="M58" s="16"/>
    </row>
    <row r="59" spans="1:13" ht="15" customHeight="1" x14ac:dyDescent="0.3">
      <c r="H59" s="113"/>
      <c r="I59" s="17"/>
      <c r="J59" s="17"/>
      <c r="K59" s="17" t="s">
        <v>205</v>
      </c>
      <c r="L59" s="17"/>
      <c r="M59" s="17"/>
    </row>
    <row r="60" spans="1:13" ht="15" customHeight="1" x14ac:dyDescent="0.3">
      <c r="H60" s="113"/>
      <c r="I60" s="16"/>
      <c r="J60" s="16"/>
      <c r="K60" s="86" t="s">
        <v>105</v>
      </c>
      <c r="L60" s="16"/>
      <c r="M60" s="16"/>
    </row>
    <row r="61" spans="1:13" ht="15" customHeight="1" x14ac:dyDescent="0.3">
      <c r="H61" s="113"/>
      <c r="I61" s="17"/>
      <c r="J61" s="17"/>
      <c r="K61" s="17" t="s">
        <v>206</v>
      </c>
      <c r="L61" s="17"/>
      <c r="M61" s="17"/>
    </row>
    <row r="62" spans="1:13" ht="15" customHeight="1" x14ac:dyDescent="0.3">
      <c r="H62" s="113"/>
      <c r="I62" s="16"/>
      <c r="J62" s="16"/>
      <c r="K62" s="16" t="s">
        <v>207</v>
      </c>
      <c r="L62" s="16"/>
      <c r="M62" s="16"/>
    </row>
    <row r="63" spans="1:13" ht="15" customHeight="1" x14ac:dyDescent="0.3">
      <c r="H63" s="113"/>
      <c r="I63" s="17"/>
      <c r="J63" s="17"/>
      <c r="K63" s="17" t="s">
        <v>208</v>
      </c>
      <c r="L63" s="17"/>
      <c r="M63" s="17"/>
    </row>
    <row r="64" spans="1:13" ht="15" customHeight="1" x14ac:dyDescent="0.3">
      <c r="H64" s="113"/>
      <c r="I64" s="16"/>
      <c r="J64" s="16"/>
      <c r="K64" s="16" t="s">
        <v>209</v>
      </c>
      <c r="L64" s="16"/>
      <c r="M64" s="16"/>
    </row>
    <row r="65" spans="8:13" ht="15" customHeight="1" x14ac:dyDescent="0.3">
      <c r="H65" s="113"/>
      <c r="I65" s="17"/>
      <c r="J65" s="17"/>
      <c r="K65" s="17" t="s">
        <v>210</v>
      </c>
      <c r="L65" s="17"/>
      <c r="M65" s="17"/>
    </row>
    <row r="66" spans="8:13" ht="15" customHeight="1" x14ac:dyDescent="0.3">
      <c r="H66" s="113"/>
      <c r="I66" s="16"/>
      <c r="J66" s="16"/>
      <c r="K66" s="16" t="s">
        <v>211</v>
      </c>
      <c r="L66" s="16"/>
      <c r="M66" s="16"/>
    </row>
    <row r="67" spans="8:13" ht="15" customHeight="1" x14ac:dyDescent="0.3">
      <c r="H67" s="113"/>
      <c r="I67" s="17"/>
      <c r="J67" s="17"/>
      <c r="K67" s="17" t="s">
        <v>212</v>
      </c>
      <c r="L67" s="17"/>
      <c r="M67" s="17"/>
    </row>
    <row r="68" spans="8:13" ht="15" customHeight="1" x14ac:dyDescent="0.3">
      <c r="H68" s="113"/>
      <c r="I68" s="16"/>
      <c r="J68" s="16"/>
      <c r="K68" s="16" t="s">
        <v>213</v>
      </c>
      <c r="L68" s="16"/>
      <c r="M68" s="16"/>
    </row>
    <row r="69" spans="8:13" ht="15" customHeight="1" x14ac:dyDescent="0.3">
      <c r="H69" s="113"/>
      <c r="I69" s="17"/>
      <c r="J69" s="17"/>
      <c r="K69" s="17" t="s">
        <v>214</v>
      </c>
      <c r="L69" s="17"/>
      <c r="M69" s="17"/>
    </row>
    <row r="70" spans="8:13" ht="15" customHeight="1" x14ac:dyDescent="0.3">
      <c r="H70" s="113"/>
      <c r="I70" s="16"/>
      <c r="J70" s="16"/>
      <c r="K70" s="16" t="s">
        <v>215</v>
      </c>
      <c r="L70" s="16"/>
      <c r="M70" s="16"/>
    </row>
    <row r="71" spans="8:13" ht="15" customHeight="1" x14ac:dyDescent="0.3">
      <c r="H71" s="113"/>
      <c r="I71" s="17"/>
      <c r="J71" s="17"/>
      <c r="K71" s="17" t="s">
        <v>216</v>
      </c>
      <c r="L71" s="17"/>
      <c r="M71" s="17"/>
    </row>
    <row r="72" spans="8:13" ht="15" customHeight="1" x14ac:dyDescent="0.3">
      <c r="H72" s="113"/>
      <c r="I72" s="16"/>
      <c r="J72" s="16"/>
      <c r="K72" s="16" t="s">
        <v>217</v>
      </c>
      <c r="L72" s="16"/>
      <c r="M72" s="16"/>
    </row>
    <row r="73" spans="8:13" ht="15" customHeight="1" x14ac:dyDescent="0.3">
      <c r="H73" s="113"/>
      <c r="I73" s="17"/>
      <c r="J73" s="17"/>
      <c r="K73" s="17"/>
      <c r="L73" s="17"/>
      <c r="M73" s="17"/>
    </row>
    <row r="74" spans="8:13" ht="15" customHeight="1" x14ac:dyDescent="0.3">
      <c r="H74" s="113"/>
      <c r="I74" s="16"/>
      <c r="J74" s="16"/>
      <c r="K74" s="16"/>
      <c r="L74" s="16"/>
      <c r="M74" s="16"/>
    </row>
    <row r="75" spans="8:13" ht="15" customHeight="1" x14ac:dyDescent="0.3">
      <c r="H75" s="113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6" activePane="bottomLeft" state="frozen"/>
      <selection pane="bottomLeft" activeCell="P101" sqref="P101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64.441406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 x14ac:dyDescent="0.3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 x14ac:dyDescent="0.3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 x14ac:dyDescent="0.3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 x14ac:dyDescent="0.3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269</v>
      </c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 x14ac:dyDescent="0.3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 x14ac:dyDescent="0.3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 x14ac:dyDescent="0.3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 x14ac:dyDescent="0.3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 x14ac:dyDescent="0.3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 x14ac:dyDescent="0.3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 x14ac:dyDescent="0.3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 x14ac:dyDescent="0.3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 x14ac:dyDescent="0.3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 x14ac:dyDescent="0.3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 x14ac:dyDescent="0.3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 x14ac:dyDescent="0.3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 x14ac:dyDescent="0.3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 x14ac:dyDescent="0.3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 x14ac:dyDescent="0.3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 x14ac:dyDescent="0.3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 x14ac:dyDescent="0.3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 x14ac:dyDescent="0.3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 x14ac:dyDescent="0.3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 x14ac:dyDescent="0.3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 x14ac:dyDescent="0.3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 x14ac:dyDescent="0.3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 x14ac:dyDescent="0.3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 x14ac:dyDescent="0.3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 x14ac:dyDescent="0.3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 x14ac:dyDescent="0.3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3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3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3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 x14ac:dyDescent="0.3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8" activePane="bottomLeft" state="frozen"/>
      <selection pane="bottomLeft" activeCell="Q86" sqref="Q86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59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 x14ac:dyDescent="0.3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3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3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3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3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3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3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 x14ac:dyDescent="0.3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 x14ac:dyDescent="0.3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3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3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 x14ac:dyDescent="0.3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0.17564664351812098</v>
      </c>
      <c r="N53" s="46" t="s">
        <v>248</v>
      </c>
      <c r="O53" s="31"/>
    </row>
    <row r="54" spans="1:15" ht="15.75" customHeight="1" x14ac:dyDescent="0.3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0.31453553240700988</v>
      </c>
      <c r="N54" s="36" t="s">
        <v>230</v>
      </c>
      <c r="O54" s="84">
        <v>352430</v>
      </c>
    </row>
    <row r="55" spans="1:15" ht="18" customHeight="1" x14ac:dyDescent="0.3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0.39925775462923219</v>
      </c>
      <c r="N55" s="40" t="s">
        <v>234</v>
      </c>
      <c r="O55" s="82">
        <f>IFERROR(O41+O54,"")</f>
        <v>663500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3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3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3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3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3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3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3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 x14ac:dyDescent="0.3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3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3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3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4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 x14ac:dyDescent="0.3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267</v>
      </c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268</v>
      </c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 x14ac:dyDescent="0.3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 x14ac:dyDescent="0.3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 x14ac:dyDescent="0.3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 x14ac:dyDescent="0.3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 x14ac:dyDescent="0.3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 x14ac:dyDescent="0.3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 x14ac:dyDescent="0.3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 x14ac:dyDescent="0.3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 x14ac:dyDescent="0.3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 x14ac:dyDescent="0.3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 x14ac:dyDescent="0.3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 x14ac:dyDescent="0.3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 x14ac:dyDescent="0.3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 x14ac:dyDescent="0.3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 x14ac:dyDescent="0.3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 x14ac:dyDescent="0.3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 x14ac:dyDescent="0.3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 x14ac:dyDescent="0.3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 x14ac:dyDescent="0.3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 x14ac:dyDescent="0.3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 x14ac:dyDescent="0.3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 x14ac:dyDescent="0.3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 x14ac:dyDescent="0.3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 x14ac:dyDescent="0.3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 x14ac:dyDescent="0.3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 x14ac:dyDescent="0.3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3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3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3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3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3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 x14ac:dyDescent="0.3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K91" sqref="K91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67.66406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 x14ac:dyDescent="0.3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3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3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 x14ac:dyDescent="0.3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 x14ac:dyDescent="0.3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 x14ac:dyDescent="0.3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3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 x14ac:dyDescent="0.3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 x14ac:dyDescent="0.3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1.8702199078688864E-2</v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6.5924421300911057E-2</v>
      </c>
      <c r="N108" s="36" t="s">
        <v>230</v>
      </c>
      <c r="O108" s="39">
        <v>434370</v>
      </c>
    </row>
    <row r="109" spans="1:15" ht="18" customHeight="1" x14ac:dyDescent="0.3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0.22217442130091106</v>
      </c>
      <c r="N109" s="40" t="s">
        <v>234</v>
      </c>
      <c r="O109" s="43">
        <f>IFERROR(O95+O108,"")</f>
        <v>638530</v>
      </c>
    </row>
    <row r="110" spans="1:15" ht="15" customHeight="1" x14ac:dyDescent="0.3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 x14ac:dyDescent="0.3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 x14ac:dyDescent="0.3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 x14ac:dyDescent="0.3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 x14ac:dyDescent="0.3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 x14ac:dyDescent="0.3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 x14ac:dyDescent="0.3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 x14ac:dyDescent="0.3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 x14ac:dyDescent="0.3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 x14ac:dyDescent="0.3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 x14ac:dyDescent="0.3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 x14ac:dyDescent="0.3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 x14ac:dyDescent="0.3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 x14ac:dyDescent="0.3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 x14ac:dyDescent="0.3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 x14ac:dyDescent="0.3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 x14ac:dyDescent="0.3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 x14ac:dyDescent="0.3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 x14ac:dyDescent="0.3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 x14ac:dyDescent="0.3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 x14ac:dyDescent="0.3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 x14ac:dyDescent="0.3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 x14ac:dyDescent="0.3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 x14ac:dyDescent="0.3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 x14ac:dyDescent="0.3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3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3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3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 x14ac:dyDescent="0.3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1" activePane="bottomLeft" state="frozen"/>
      <selection pane="bottomLeft" activeCell="F92" sqref="F92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47.1093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 x14ac:dyDescent="0.3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 x14ac:dyDescent="0.3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 x14ac:dyDescent="0.3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251</v>
      </c>
      <c r="O97" s="60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 x14ac:dyDescent="0.3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 x14ac:dyDescent="0.3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 x14ac:dyDescent="0.3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 x14ac:dyDescent="0.3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 x14ac:dyDescent="0.3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 x14ac:dyDescent="0.3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 x14ac:dyDescent="0.3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 x14ac:dyDescent="0.3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 x14ac:dyDescent="0.3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 x14ac:dyDescent="0.3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 x14ac:dyDescent="0.3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 x14ac:dyDescent="0.3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 x14ac:dyDescent="0.3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3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3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 x14ac:dyDescent="0.3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 x14ac:dyDescent="0.3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 x14ac:dyDescent="0.3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 x14ac:dyDescent="0.3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 x14ac:dyDescent="0.3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 x14ac:dyDescent="0.3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 x14ac:dyDescent="0.3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 x14ac:dyDescent="0.3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3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3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3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 x14ac:dyDescent="0.3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 x14ac:dyDescent="0.3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 x14ac:dyDescent="0.3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 x14ac:dyDescent="0.3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 x14ac:dyDescent="0.3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 x14ac:dyDescent="0.3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 x14ac:dyDescent="0.3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3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3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3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3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3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 x14ac:dyDescent="0.3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2026-08-05T11:08:02Z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