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01" documentId="8_{AF585B22-221D-4780-BB9C-493D365A6A02}" xr6:coauthVersionLast="47" xr6:coauthVersionMax="47" xr10:uidLastSave="{5DC31798-D4D8-4C2F-9D8B-CF2C2B15DD0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<sst xmlns="http://schemas.openxmlformats.org/spreadsheetml/2006/main" count="9666" uniqueCount="384">
  <si>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</si>
  <si>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</si>
  <si>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</si>
  <si>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</si>
  <si>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</si>
  <si>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</si>
  <si>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</si>
  <si>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</si>
  <si>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</si>
  <si>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</si>
  <si>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</si>
  <si>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</si>
  <si>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</si>
  <si>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</si>
  <si>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</si>
  <si>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</si>
  <si>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</si>
  <si>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</si>
  <si>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</si>
  <si>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</si>
  <si>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</si>
  <si>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</si>
  <si>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</si>
  <si>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</si>
  <si>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</si>
  <si>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</si>
  <si>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</si>
  <si>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</si>
  <si>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</si>
  <si>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</si>
  <si>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</si>
  <si>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</si>
  <si>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</si>
  <si>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</si>
  <si>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</si>
  <si>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</si>
  <si>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</si>
  <si>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</si>
  <si>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</si>
  <si>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</si>
  <si>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</si>
  <si>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</si>
  <si>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</si>
  <si>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</si>
  <si>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</si>
  <si>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</si>
  <si>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</si>
  <si>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</si>
  <si>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</si>
  <si>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</si>
  <si>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</si>
  <si>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</si>
  <si>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</si>
  <si>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</si>
  <si>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</si>
  <si>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</si>
  <si>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</si>
  <si>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</si>
  <si>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</si>
  <si>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</si>
  <si>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</si>
  <si>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</si>
  <si>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</si>
  <si>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</si>
  <si>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</si>
  <si>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</si>
  <si>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</si>
  <si>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</si>
  <si>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</si>
  <si>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</si>
  <si>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</si>
  <si>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</si>
  <si>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</si>
  <si>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</si>
  <si>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</si>
  <si>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</si>
  <si>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</si>
  <si>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</si>
  <si>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</si>
  <si>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</si>
  <si>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</si>
  <si>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</si>
  <si>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</si>
  <si>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</si>
  <si>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</si>
  <si>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</si>
  <si>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</si>
  <si>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</si>
  <si>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</si>
  <si>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</si>
  <si>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</si>
  <si>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</si>
  <si>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</si>
  <si>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</si>
  <si>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</si>
  <si>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</si>
  <si>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</si>
  <si>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</si>
  <si>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</si>
  <si>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</si>
  <si>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</si>
  <si>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</si>
  <si>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</si>
  <si>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</si>
  <si>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</si>
  <si>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</si>
  <si>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</si>
  <si>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</si>
  <si>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</si>
  <si>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</si>
  <si>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</si>
  <si>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</si>
  <si>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</si>
  <si>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</si>
  <si>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</si>
  <si>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</si>
  <si>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</si>
  <si>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</si>
  <si>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</si>
  <si>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</si>
  <si>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</si>
  <si>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</si>
  <si>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</si>
  <si>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</si>
  <si>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</si>
  <si>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</si>
  <si>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</si>
  <si>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</si>
  <si>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</si>
  <si>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</si>
  <si>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</si>
  <si>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</si>
  <si>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</si>
  <si>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</si>
  <si>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</si>
  <si>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</si>
  <si>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</si>
  <si>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</si>
  <si>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</si>
  <si>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</si>
  <si>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</si>
  <si>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</si>
  <si>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</si>
  <si>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</si>
  <si>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</si>
  <si>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</si>
  <si>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</si>
  <si>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</si>
  <si>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</si>
  <si>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</si>
  <si>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</si>
  <si>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</si>
  <si>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</si>
  <si>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</si>
  <si>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</si>
  <si>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</si>
  <si>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</si>
  <si>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</si>
  <si>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</si>
  <si>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</si>
  <si>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</si>
  <si>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</si>
  <si>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</si>
  <si>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</si>
  <si>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</si>
  <si>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</si>
  <si>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</si>
  <si>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</si>
  <si>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</si>
  <si>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</si>
  <si>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</si>
  <si>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</si>
  <si>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</si>
  <si>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</si>
  <si>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</si>
  <si>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</si>
  <si>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</si>
  <si>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</si>
  <si>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</si>
  <si>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</si>
  <si>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</si>
  <si>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</si>
  <si>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</si>
  <si>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</si>
  <si>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</si>
  <si>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</si>
  <si>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</si>
  <si>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</si>
  <si>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</si>
  <si>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</si>
  <si>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</si>
  <si>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</si>
  <si>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</si>
  <si>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</si>
  <si>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</si>
  <si>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</si>
  <si>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</si>
  <si>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</si>
  <si>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</si>
  <si>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</si>
  <si>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</si>
  <si>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</si>
  <si>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</si>
  <si>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</si>
  <si>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</si>
  <si>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</si>
  <si>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</si>
  <si>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</si>
  <si>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</si>
  <si>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</si>
  <si>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</si>
  <si>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</si>
  <si>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</si>
  <si>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</si>
  <si>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</si>
  <si>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</si>
  <si>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</si>
  <si>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</si>
  <si>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</si>
  <si>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</si>
  <si>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</si>
  <si>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</si>
  <si>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</si>
  <si>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</si>
  <si>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</si>
  <si>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</si>
  <si>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</si>
  <si>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</si>
  <si>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</si>
  <si>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</si>
  <si>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</si>
  <si>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</si>
  <si>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</si>
  <si>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</si>
  <si>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</si>
  <si>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</si>
  <si>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</si>
  <si>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</si>
  <si>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</si>
  <si>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</si>
  <si>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</si>
  <si>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</si>
  <si>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</si>
  <si>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</si>
  <si>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</si>
  <si>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</si>
  <si>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</si>
  <si>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</si>
  <si>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</si>
  <si>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</si>
  <si>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</si>
  <si>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</si>
  <si>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</si>
  <si>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</si>
  <si>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</si>
  <si>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</si>
  <si>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</si>
  <si>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</si>
  <si>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</si>
  <si>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</si>
  <si>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</si>
  <si>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</si>
  <si>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</si>
  <si>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</si>
  <si>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</si>
  <si>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</si>
  <si>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</si>
  <si>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</si>
  <si>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</si>
  <si>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</si>
  <si>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</si>
  <si>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</si>
  <si>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</si>
  <si>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</si>
  <si>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</si>
  <si>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</si>
  <si>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</si>
  <si>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</si>
  <si>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</si>
  <si>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</si>
  <si>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</si>
  <si>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</si>
  <si>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</si>
  <si>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</si>
  <si>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</si>
  <si>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</si>
  <si>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</si>
  <si>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</si>
  <si>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</si>
  <si>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</si>
  <si>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</si>
  <si>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</si>
  <si>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</si>
  <si>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</si>
  <si>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</si>
  <si>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</si>
  <si>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</si>
  <si>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</si>
  <si>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</si>
  <si>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</si>
  <si>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</si>
  <si>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</si>
  <si>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</si>
  <si>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</si>
  <si>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</si>
  <si>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</si>
  <si>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</si>
  <si>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</si>
  <si>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</si>
  <si>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</si>
  <si>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</si>
  <si>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</si>
  <si>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</si>
  <si>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</si>
  <si>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</si>
  <si>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</si>
  <si>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</si>
  <si>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</si>
  <si>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</si>
  <si>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</si>
  <si>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</si>
  <si>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</si>
  <si>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</si>
  <si>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</si>
  <si>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</si>
  <si>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</si>
  <si>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</si>
  <si>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</si>
  <si>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</si>
  <si>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</si>
  <si>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</si>
  <si>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</si>
  <si>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</si>
  <si>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</si>
  <si>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</si>
  <si>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</si>
  <si>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</si>
  <si>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</si>
  <si>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</si>
  <si>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</si>
  <si>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</si>
  <si>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</si>
  <si>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</si>
  <si>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</si>
  <si>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</si>
  <si>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</si>
  <si>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</si>
  <si>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</si>
  <si>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</si>
  <si>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</si>
  <si>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</si>
  <si>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</si>
  <si>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</si>
  <si>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</si>
  <si>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</si>
  <si>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</si>
  <si>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</si>
  <si>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</si>
  <si>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</si>
  <si>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</si>
  <si>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</si>
  <si>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</si>
  <si>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</si>
  <si>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</si>
  <si>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</si>
  <si>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</si>
  <si>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</si>
  <si>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</si>
  <si>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</si>
  <si>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</si>
  <si>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</si>
  <si>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</si>
  <si>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</si>
  <si>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</si>
  <si>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</si>
  <si>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</si>
  <si>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</si>
  <si>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</si>
  <si>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</si>
  <si>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</si>
  <si>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</si>
  <si>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</si>
  <si>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</si>
  <si>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entiqueta de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</si>
</sst>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32" sqref="F6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281</v>
      </c>
      <c r="G635" s="36">
        <f>SUM(G623:G634)</f>
        <v>1405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281</v>
      </c>
      <c r="G649" s="40">
        <f>G635+G648</f>
        <v>1405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3" activePane="bottomLeft" state="frozen"/>
      <selection pane="bottomLeft" activeCell="F632" sqref="F6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0.4401408564808662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0.59777974536975509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0.70750196759197725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0.41861307870567543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0.58944641203900883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0.73458530092789776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ref="M625:M634" ca="1" si="140">IFERROR(IF(K625="","",IF(L625="",MOD(NOW()-K625,1),IF(L625&gt;=K625,L625-K625,L625+1-K625))),"")</f>
        <v/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67</v>
      </c>
      <c r="G635" s="36">
        <f>SUM(G623:G634)</f>
        <v>281.39999999999998</v>
      </c>
      <c r="H635" s="37"/>
      <c r="I635" s="37"/>
      <c r="J635" s="37"/>
      <c r="K635" s="37"/>
      <c r="L635" s="37"/>
      <c r="M635" s="38">
        <f ca="1">IFERROR(SUM(M623:M634),"")</f>
        <v>0.95833333333333315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67</v>
      </c>
      <c r="G649" s="40">
        <f>G635+G648</f>
        <v>281.39999999999998</v>
      </c>
      <c r="H649" s="41"/>
      <c r="I649" s="41"/>
      <c r="J649" s="41"/>
      <c r="K649" s="41"/>
      <c r="L649" s="41"/>
      <c r="M649" s="42">
        <f ca="1">IFERROR(M635+M648,"")</f>
        <v>0.95833333333333315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32" sqref="F6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125</v>
      </c>
      <c r="G635" s="36">
        <f>SUM(G623:G634)</f>
        <v>525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125</v>
      </c>
      <c r="G649" s="40">
        <f>G635+G648</f>
        <v>525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32" sqref="F6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0.43041863426333293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0.62972418981888856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0.99708530092999959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/>
      <c r="I627" s="33"/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7.2916666666666796E-2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7.2916666666666796E-2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2026-07-24T20:20:33Z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