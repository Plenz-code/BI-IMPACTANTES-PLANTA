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373" documentId="13_ncr:1_{A6DBCFB4-28D9-4249-9038-216934055CA6}" xr6:coauthVersionLast="47" xr6:coauthVersionMax="47" xr10:uidLastSave="{B5263378-E8F1-4BFE-9D92-697FFE71E7CE}"/>
  <bookViews>
    <workbookView xWindow="-120" yWindow="-120" windowWidth="29040" windowHeight="15720" tabRatio="500" firstSheet="3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F631" i="5"/>
  <c r="Q630" i="5"/>
  <c r="K630" i="5"/>
  <c r="I630" i="5"/>
  <c r="H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89" i="5" l="1"/>
  <c r="J598" i="5"/>
  <c r="J600" i="5"/>
  <c r="J599" i="5"/>
  <c r="J618" i="5"/>
  <c r="J619" i="5"/>
  <c r="J620" i="5"/>
  <c r="J610" i="5"/>
  <c r="J627" i="5"/>
  <c r="J630" i="5"/>
  <c r="J632" i="5"/>
  <c r="J633" i="5"/>
  <c r="J634" i="5"/>
  <c r="J625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K743" i="5"/>
  <c r="K95" i="5"/>
  <c r="G19" i="1"/>
  <c r="H310" i="5"/>
  <c r="K338" i="5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703" i="5" l="1"/>
  <c r="K352" i="5"/>
  <c r="H581" i="5"/>
  <c r="K730" i="5"/>
  <c r="H338" i="5"/>
  <c r="H352" i="5" s="1"/>
  <c r="K676" i="5"/>
  <c r="K595" i="5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406" i="5" l="1"/>
  <c r="T406" i="5" s="1"/>
  <c r="J568" i="5"/>
  <c r="T568" i="5" s="1"/>
  <c r="J325" i="5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1" i="1"/>
  <c r="J21" i="1" s="1"/>
  <c r="H19" i="1"/>
  <c r="J19" i="1" s="1"/>
  <c r="H17" i="1"/>
  <c r="J17" i="1" s="1"/>
  <c r="H15" i="1"/>
  <c r="J1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<sst xmlns="http://schemas.openxmlformats.org/spreadsheetml/2006/main" count="11111" uniqueCount="448">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</sst>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8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>
      <c r="A1" s="162" t="s">
        <v>0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</row>
    <row r="2" spans="1:12" ht="30" customHeight="1">
      <c r="A2" s="163"/>
      <c r="B2" s="16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58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58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58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58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>
      <c r="A35" s="164" t="s">
        <v>16</v>
      </c>
      <c r="B35" s="164"/>
      <c r="C35" s="30">
        <f t="shared" ref="C35:I35" si="1">IFERROR(SUM(C4:C34),"")</f>
        <v>92854610</v>
      </c>
      <c r="D35" s="30">
        <f t="shared" si="1"/>
        <v>28721100</v>
      </c>
      <c r="E35" s="30">
        <f t="shared" si="1"/>
        <v>16255620</v>
      </c>
      <c r="F35" s="30">
        <f t="shared" si="1"/>
        <v>39349890</v>
      </c>
      <c r="G35" s="30">
        <f t="shared" si="1"/>
        <v>84326610</v>
      </c>
      <c r="H35" s="31">
        <f t="shared" si="1"/>
        <v>9287.3725946384147</v>
      </c>
      <c r="I35" s="31">
        <f t="shared" si="1"/>
        <v>9156.869999999999</v>
      </c>
      <c r="J35" s="32">
        <f>IFERROR(IF(H35&gt;I35,MAX(0,2-H35/I35),H35/I35),"")</f>
        <v>0.98574812194140393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25" zoomScale="85" zoomScaleNormal="85" workbookViewId="0">
      <selection activeCell="R61" sqref="R6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5" t="s">
        <v>17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6"/>
      <c r="N1" s="167" t="s">
        <v>18</v>
      </c>
      <c r="O1" s="167"/>
      <c r="P1" s="167"/>
      <c r="Q1" s="167"/>
      <c r="R1" s="167"/>
    </row>
    <row r="2" spans="1:18" ht="4.5" customHeight="1">
      <c r="M2" s="16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6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66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6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6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6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>
      <c r="A12" s="36"/>
      <c r="C12" s="36"/>
      <c r="J12" s="36"/>
      <c r="L12" s="36" t="s">
        <v>84</v>
      </c>
      <c r="M12" s="166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>
      <c r="A13" s="39"/>
      <c r="C13" s="39"/>
      <c r="J13" s="39"/>
      <c r="L13" s="39" t="s">
        <v>89</v>
      </c>
      <c r="M13" s="166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>
      <c r="A14" s="36"/>
      <c r="C14" s="36"/>
      <c r="J14" s="36"/>
      <c r="L14" s="36" t="s">
        <v>94</v>
      </c>
      <c r="M14" s="166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>
      <c r="A15" s="39"/>
      <c r="C15" s="39"/>
      <c r="J15" s="39"/>
      <c r="L15" s="39" t="s">
        <v>100</v>
      </c>
      <c r="M15" s="166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>
      <c r="A16" s="36"/>
      <c r="C16" s="36"/>
      <c r="J16" s="36"/>
      <c r="L16" s="36" t="s">
        <v>106</v>
      </c>
      <c r="M16" s="166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>
      <c r="A17" s="39"/>
      <c r="C17" s="39"/>
      <c r="J17" s="39"/>
      <c r="L17" s="39" t="s">
        <v>112</v>
      </c>
      <c r="M17" s="166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>
      <c r="A18" s="36"/>
      <c r="C18" s="36"/>
      <c r="J18" s="36"/>
      <c r="L18" s="36" t="s">
        <v>118</v>
      </c>
      <c r="M18" s="166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>
      <c r="A19" s="39"/>
      <c r="C19" s="39"/>
      <c r="J19" s="39"/>
      <c r="L19" s="39" t="s">
        <v>124</v>
      </c>
      <c r="M19" s="166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>
      <c r="A20" s="36"/>
      <c r="C20" s="36"/>
      <c r="J20" s="36"/>
      <c r="L20" s="36" t="s">
        <v>129</v>
      </c>
      <c r="M20" s="166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>
      <c r="A21" s="39"/>
      <c r="C21" s="39"/>
      <c r="J21" s="39"/>
      <c r="L21" s="39" t="s">
        <v>133</v>
      </c>
      <c r="M21" s="166"/>
      <c r="N21" s="39"/>
      <c r="O21" s="39" t="s">
        <v>134</v>
      </c>
      <c r="P21" s="39" t="s">
        <v>135</v>
      </c>
      <c r="Q21" s="39"/>
      <c r="R21" s="39" t="s">
        <v>136</v>
      </c>
    </row>
    <row r="22" spans="1:18" ht="15.75" customHeight="1">
      <c r="A22" s="36"/>
      <c r="C22" s="36"/>
      <c r="J22" s="36"/>
      <c r="L22" s="36" t="s">
        <v>137</v>
      </c>
      <c r="M22" s="166"/>
      <c r="N22" s="36"/>
      <c r="O22" s="36"/>
      <c r="P22" s="36" t="s">
        <v>138</v>
      </c>
      <c r="Q22" s="36"/>
      <c r="R22" s="36" t="s">
        <v>139</v>
      </c>
    </row>
    <row r="23" spans="1:18" ht="15.75" customHeight="1">
      <c r="A23" s="39"/>
      <c r="C23" s="39"/>
      <c r="J23" s="39"/>
      <c r="L23" s="39" t="s">
        <v>140</v>
      </c>
      <c r="M23" s="166"/>
      <c r="N23" s="39"/>
      <c r="O23" s="39"/>
      <c r="P23" s="39" t="s">
        <v>141</v>
      </c>
      <c r="Q23" s="39"/>
      <c r="R23" s="39" t="s">
        <v>142</v>
      </c>
    </row>
    <row r="24" spans="1:18" ht="15.75" customHeight="1">
      <c r="A24" s="36"/>
      <c r="C24" s="36"/>
      <c r="J24" s="36"/>
      <c r="L24" s="36" t="s">
        <v>143</v>
      </c>
      <c r="M24" s="166"/>
      <c r="N24" s="36"/>
      <c r="O24" s="36"/>
      <c r="P24" s="36" t="s">
        <v>144</v>
      </c>
      <c r="Q24" s="36"/>
      <c r="R24" s="36" t="s">
        <v>145</v>
      </c>
    </row>
    <row r="25" spans="1:18" ht="15.75" customHeight="1">
      <c r="A25" s="39"/>
      <c r="C25" s="39"/>
      <c r="J25" s="39"/>
      <c r="L25" s="39" t="s">
        <v>146</v>
      </c>
      <c r="M25" s="166"/>
      <c r="N25" s="39"/>
      <c r="O25" s="39"/>
      <c r="P25" s="39" t="s">
        <v>147</v>
      </c>
      <c r="Q25" s="39"/>
      <c r="R25" s="39" t="s">
        <v>148</v>
      </c>
    </row>
    <row r="26" spans="1:18" ht="15.75" customHeight="1">
      <c r="A26" s="36"/>
      <c r="C26" s="36"/>
      <c r="J26" s="36"/>
      <c r="L26" s="36" t="s">
        <v>149</v>
      </c>
      <c r="M26" s="166"/>
      <c r="N26" s="36"/>
      <c r="O26" s="36"/>
      <c r="P26" s="36" t="s">
        <v>150</v>
      </c>
      <c r="Q26" s="36"/>
      <c r="R26" s="36"/>
    </row>
    <row r="27" spans="1:18" ht="15.75" customHeight="1">
      <c r="A27" s="39"/>
      <c r="C27" s="39"/>
      <c r="J27" s="39"/>
      <c r="L27" s="39" t="s">
        <v>151</v>
      </c>
      <c r="M27" s="166"/>
      <c r="N27" s="39"/>
      <c r="O27" s="39"/>
      <c r="P27" s="39" t="s">
        <v>142</v>
      </c>
      <c r="Q27" s="39"/>
      <c r="R27" s="39" t="s">
        <v>71</v>
      </c>
    </row>
    <row r="28" spans="1:18" ht="15.75" customHeight="1">
      <c r="A28" s="36"/>
      <c r="C28" s="36"/>
      <c r="J28" s="36"/>
      <c r="L28" s="36" t="s">
        <v>152</v>
      </c>
      <c r="M28" s="166"/>
      <c r="N28" s="36"/>
      <c r="O28" s="36"/>
      <c r="P28" s="36" t="s">
        <v>121</v>
      </c>
      <c r="Q28" s="36"/>
      <c r="R28" s="36" t="s">
        <v>153</v>
      </c>
    </row>
    <row r="29" spans="1:18" ht="15.75" customHeight="1">
      <c r="A29" s="39"/>
      <c r="C29" s="39"/>
      <c r="J29" s="39"/>
      <c r="L29" s="39" t="s">
        <v>154</v>
      </c>
      <c r="M29" s="166"/>
      <c r="N29" s="39"/>
      <c r="O29" s="39"/>
      <c r="P29" s="39" t="s">
        <v>155</v>
      </c>
      <c r="Q29" s="39"/>
      <c r="R29" s="39" t="s">
        <v>156</v>
      </c>
    </row>
    <row r="30" spans="1:18" ht="15.75" customHeight="1">
      <c r="A30" s="36"/>
      <c r="C30" s="36"/>
      <c r="J30" s="36"/>
      <c r="L30" s="36" t="s">
        <v>157</v>
      </c>
      <c r="M30" s="166"/>
      <c r="N30" s="36"/>
      <c r="O30" s="36"/>
      <c r="P30" s="36" t="s">
        <v>158</v>
      </c>
      <c r="Q30" s="36"/>
      <c r="R30" s="36" t="s">
        <v>159</v>
      </c>
    </row>
    <row r="31" spans="1:18" ht="15.75" customHeight="1">
      <c r="A31" s="39"/>
      <c r="C31" s="39"/>
      <c r="J31" s="39"/>
      <c r="L31" s="39" t="s">
        <v>160</v>
      </c>
      <c r="M31" s="166"/>
      <c r="N31" s="39"/>
      <c r="O31" s="39"/>
      <c r="P31" s="39" t="s">
        <v>161</v>
      </c>
      <c r="Q31" s="39"/>
      <c r="R31" s="39" t="s">
        <v>162</v>
      </c>
    </row>
    <row r="32" spans="1:18" ht="15.75" customHeight="1">
      <c r="A32" s="36"/>
      <c r="C32" s="36"/>
      <c r="J32" s="36"/>
      <c r="L32" s="36" t="s">
        <v>163</v>
      </c>
      <c r="M32" s="166"/>
      <c r="N32" s="36"/>
      <c r="O32" s="36"/>
      <c r="P32" s="36" t="s">
        <v>164</v>
      </c>
      <c r="Q32" s="36"/>
      <c r="R32" t="s">
        <v>165</v>
      </c>
    </row>
    <row r="33" spans="1:18" ht="15.75" customHeight="1">
      <c r="A33" s="39"/>
      <c r="C33" s="49" t="s">
        <v>166</v>
      </c>
      <c r="E33" s="50">
        <v>1000</v>
      </c>
      <c r="J33" s="39"/>
      <c r="L33" s="39" t="s">
        <v>167</v>
      </c>
      <c r="M33" s="166"/>
      <c r="N33" s="39"/>
      <c r="O33" s="39"/>
      <c r="P33" s="39" t="s">
        <v>168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169</v>
      </c>
      <c r="M34" s="166"/>
      <c r="N34" s="36"/>
      <c r="O34" s="36"/>
      <c r="P34" s="36" t="s">
        <v>88</v>
      </c>
      <c r="Q34" s="36"/>
      <c r="R34" s="36" t="s">
        <v>170</v>
      </c>
    </row>
    <row r="35" spans="1:18" ht="15.75" customHeight="1">
      <c r="A35" s="39"/>
      <c r="C35" s="39"/>
      <c r="J35" s="39"/>
      <c r="L35" s="39" t="s">
        <v>171</v>
      </c>
      <c r="M35" s="166"/>
      <c r="N35" s="39"/>
      <c r="O35" s="39"/>
      <c r="P35" s="39" t="s">
        <v>172</v>
      </c>
      <c r="Q35" s="39"/>
      <c r="R35" s="39" t="s">
        <v>173</v>
      </c>
    </row>
    <row r="36" spans="1:18" ht="15.75" customHeight="1">
      <c r="A36" s="36"/>
      <c r="C36" s="36"/>
      <c r="J36" s="36"/>
      <c r="L36" s="36" t="s">
        <v>174</v>
      </c>
      <c r="M36" s="166"/>
      <c r="N36" s="36"/>
      <c r="O36" s="36"/>
      <c r="P36" s="36" t="s">
        <v>175</v>
      </c>
      <c r="Q36" s="36"/>
      <c r="R36" s="36" t="s">
        <v>176</v>
      </c>
    </row>
    <row r="37" spans="1:18" ht="15.75" customHeight="1">
      <c r="A37" s="39"/>
      <c r="C37" s="39"/>
      <c r="J37" s="39"/>
      <c r="L37" s="39" t="s">
        <v>177</v>
      </c>
      <c r="M37" s="166"/>
      <c r="N37" s="39"/>
      <c r="O37" s="39"/>
      <c r="P37" s="39" t="s">
        <v>178</v>
      </c>
      <c r="Q37" s="39"/>
      <c r="R37" s="39" t="s">
        <v>179</v>
      </c>
    </row>
    <row r="38" spans="1:18" ht="15.75" customHeight="1">
      <c r="A38" s="36"/>
      <c r="C38" s="36"/>
      <c r="J38" s="36"/>
      <c r="L38" s="36" t="s">
        <v>180</v>
      </c>
      <c r="M38" s="166"/>
      <c r="N38" s="36"/>
      <c r="O38" s="36"/>
      <c r="P38" s="36" t="s">
        <v>181</v>
      </c>
      <c r="Q38" s="36"/>
      <c r="R38" s="36" t="s">
        <v>182</v>
      </c>
    </row>
    <row r="39" spans="1:18" ht="15.75" customHeight="1">
      <c r="A39" s="39"/>
      <c r="C39" s="39"/>
      <c r="J39" s="39"/>
      <c r="L39" s="39" t="s">
        <v>183</v>
      </c>
      <c r="M39" s="166"/>
      <c r="N39" s="39"/>
      <c r="O39" s="39"/>
      <c r="P39" s="39" t="s">
        <v>184</v>
      </c>
      <c r="Q39" s="39"/>
      <c r="R39" s="39" t="s">
        <v>185</v>
      </c>
    </row>
    <row r="40" spans="1:18" ht="15.75" customHeight="1">
      <c r="A40" s="36"/>
      <c r="C40" s="36"/>
      <c r="J40" s="36"/>
      <c r="L40" s="36"/>
      <c r="M40" s="166"/>
      <c r="N40" s="36"/>
      <c r="O40" s="36"/>
      <c r="P40" s="36" t="s">
        <v>186</v>
      </c>
      <c r="Q40" s="36"/>
      <c r="R40" s="36" t="s">
        <v>187</v>
      </c>
    </row>
    <row r="41" spans="1:18" ht="15.75" customHeight="1">
      <c r="A41" s="39"/>
      <c r="C41" s="39"/>
      <c r="J41" s="39"/>
      <c r="L41" s="39"/>
      <c r="M41" s="166"/>
      <c r="N41" s="39"/>
      <c r="O41" s="39"/>
      <c r="P41" s="39" t="s">
        <v>188</v>
      </c>
      <c r="Q41" s="39"/>
      <c r="R41" s="39" t="s">
        <v>189</v>
      </c>
    </row>
    <row r="42" spans="1:18" ht="15.75" customHeight="1">
      <c r="A42" s="36"/>
      <c r="C42" s="36"/>
      <c r="J42" s="36"/>
      <c r="L42" s="36"/>
      <c r="M42" s="166"/>
      <c r="N42" s="36"/>
      <c r="O42" s="36"/>
      <c r="P42" s="36" t="s">
        <v>190</v>
      </c>
      <c r="Q42" s="36"/>
      <c r="R42" s="36" t="s">
        <v>191</v>
      </c>
    </row>
    <row r="43" spans="1:18" ht="15.75" customHeight="1">
      <c r="A43" s="39"/>
      <c r="C43" s="39"/>
      <c r="J43" s="39"/>
      <c r="L43" s="39"/>
      <c r="M43" s="166"/>
      <c r="N43" s="39"/>
      <c r="O43" s="39"/>
      <c r="P43" s="39" t="s">
        <v>192</v>
      </c>
      <c r="Q43" s="39"/>
      <c r="R43" s="39" t="s">
        <v>193</v>
      </c>
    </row>
    <row r="44" spans="1:18" ht="15.75" customHeight="1">
      <c r="A44" s="36"/>
      <c r="C44" s="36"/>
      <c r="J44" s="36"/>
      <c r="L44" s="36"/>
      <c r="M44" s="166"/>
      <c r="N44" s="36"/>
      <c r="O44" s="36"/>
      <c r="P44" s="36" t="s">
        <v>194</v>
      </c>
      <c r="Q44" s="36"/>
      <c r="R44" s="36" t="s">
        <v>195</v>
      </c>
    </row>
    <row r="45" spans="1:18" ht="15.75" customHeight="1">
      <c r="A45" s="39"/>
      <c r="C45" s="39"/>
      <c r="J45" s="39"/>
      <c r="L45" s="39"/>
      <c r="M45" s="166"/>
      <c r="N45" s="39"/>
      <c r="O45" s="39"/>
      <c r="P45" s="39" t="s">
        <v>196</v>
      </c>
      <c r="Q45" s="39"/>
      <c r="R45" s="39" t="s">
        <v>197</v>
      </c>
    </row>
    <row r="46" spans="1:18" ht="15.75" customHeight="1">
      <c r="A46" s="36"/>
      <c r="C46" s="36"/>
      <c r="J46" s="36"/>
      <c r="L46" s="36"/>
      <c r="M46" s="166"/>
      <c r="N46" s="36"/>
      <c r="O46" s="36"/>
      <c r="P46" s="36" t="s">
        <v>198</v>
      </c>
      <c r="Q46" s="36"/>
      <c r="R46" s="36" t="s">
        <v>199</v>
      </c>
    </row>
    <row r="47" spans="1:18" ht="15.75" customHeight="1">
      <c r="A47" s="39"/>
      <c r="C47" s="39"/>
      <c r="J47" s="39"/>
      <c r="L47" s="39"/>
      <c r="M47" s="166"/>
      <c r="N47" s="39"/>
      <c r="O47" s="39"/>
      <c r="P47" s="39" t="s">
        <v>200</v>
      </c>
      <c r="Q47" s="39"/>
      <c r="R47" s="39" t="s">
        <v>201</v>
      </c>
    </row>
    <row r="48" spans="1:18" ht="15.75" customHeight="1">
      <c r="A48" s="36"/>
      <c r="C48" s="36"/>
      <c r="J48" s="36"/>
      <c r="L48" s="36"/>
      <c r="M48" s="166"/>
      <c r="N48" s="36"/>
      <c r="O48" s="36"/>
      <c r="P48" s="36" t="s">
        <v>202</v>
      </c>
      <c r="Q48" s="36"/>
      <c r="R48" s="36" t="s">
        <v>203</v>
      </c>
    </row>
    <row r="49" spans="1:18" ht="18" customHeight="1">
      <c r="M49" s="166"/>
      <c r="N49" s="39"/>
      <c r="O49" s="39"/>
      <c r="P49" s="39" t="s">
        <v>204</v>
      </c>
      <c r="Q49" s="39"/>
      <c r="R49" s="39" t="s">
        <v>205</v>
      </c>
    </row>
    <row r="50" spans="1:18" ht="21" customHeight="1">
      <c r="A50" s="51" t="s">
        <v>206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6"/>
      <c r="N50" s="36"/>
      <c r="O50" s="36"/>
      <c r="P50" s="36" t="s">
        <v>207</v>
      </c>
      <c r="Q50" s="36"/>
      <c r="R50" s="36" t="s">
        <v>208</v>
      </c>
    </row>
    <row r="51" spans="1:18" ht="24" customHeight="1">
      <c r="M51" s="166"/>
      <c r="N51" s="39"/>
      <c r="O51" s="39"/>
      <c r="P51" s="39" t="s">
        <v>209</v>
      </c>
      <c r="Q51" s="39"/>
      <c r="R51" s="39" t="s">
        <v>210</v>
      </c>
    </row>
    <row r="52" spans="1:18" ht="24" customHeight="1">
      <c r="M52" s="166"/>
      <c r="N52" s="36"/>
      <c r="O52" s="36"/>
      <c r="P52" s="36" t="s">
        <v>211</v>
      </c>
      <c r="Q52" s="36"/>
      <c r="R52" s="36" t="s">
        <v>212</v>
      </c>
    </row>
    <row r="53" spans="1:18" ht="36" customHeight="1">
      <c r="M53" s="166"/>
      <c r="N53" s="39"/>
      <c r="O53" s="39"/>
      <c r="P53" s="39" t="s">
        <v>213</v>
      </c>
      <c r="Q53" s="39"/>
      <c r="R53" s="39" t="s">
        <v>214</v>
      </c>
    </row>
    <row r="54" spans="1:18" ht="15" customHeight="1">
      <c r="M54" s="166"/>
      <c r="N54" s="36"/>
      <c r="O54" s="36"/>
      <c r="P54" s="36" t="s">
        <v>215</v>
      </c>
      <c r="Q54" s="36"/>
      <c r="R54" s="36" t="s">
        <v>216</v>
      </c>
    </row>
    <row r="55" spans="1:18" ht="15" customHeight="1">
      <c r="M55" s="166"/>
      <c r="N55" s="39"/>
      <c r="O55" s="39"/>
      <c r="P55" s="39" t="s">
        <v>217</v>
      </c>
      <c r="Q55" s="39"/>
      <c r="R55" s="39" t="s">
        <v>218</v>
      </c>
    </row>
    <row r="56" spans="1:18" ht="15" customHeight="1">
      <c r="M56" s="166"/>
      <c r="N56" s="36"/>
      <c r="O56" s="36"/>
      <c r="P56" s="36" t="s">
        <v>219</v>
      </c>
      <c r="Q56" s="36"/>
      <c r="R56" s="36" t="s">
        <v>220</v>
      </c>
    </row>
    <row r="57" spans="1:18" ht="15" customHeight="1">
      <c r="M57" s="166"/>
      <c r="N57" s="39"/>
      <c r="O57" s="39"/>
      <c r="P57" s="39" t="s">
        <v>59</v>
      </c>
      <c r="Q57" s="39"/>
      <c r="R57" s="39" t="s">
        <v>221</v>
      </c>
    </row>
    <row r="58" spans="1:18" ht="15" customHeight="1">
      <c r="M58" s="166"/>
      <c r="N58" s="36"/>
      <c r="O58" s="36"/>
      <c r="P58" s="36" t="s">
        <v>222</v>
      </c>
      <c r="Q58" s="36"/>
      <c r="R58" s="36" t="s">
        <v>223</v>
      </c>
    </row>
    <row r="59" spans="1:18" ht="15" customHeight="1">
      <c r="M59" s="166"/>
      <c r="N59" s="39"/>
      <c r="O59" s="39"/>
      <c r="P59" s="39" t="s">
        <v>224</v>
      </c>
      <c r="Q59" s="39"/>
      <c r="R59" s="39" t="s">
        <v>225</v>
      </c>
    </row>
    <row r="60" spans="1:18" ht="15" customHeight="1">
      <c r="M60" s="166"/>
      <c r="N60" s="36"/>
      <c r="O60" s="36"/>
      <c r="P60" s="52" t="s">
        <v>114</v>
      </c>
      <c r="Q60" s="36"/>
      <c r="R60" s="36" t="s">
        <v>226</v>
      </c>
    </row>
    <row r="61" spans="1:18" ht="15" customHeight="1">
      <c r="M61" s="166"/>
      <c r="N61" s="39"/>
      <c r="O61" s="39"/>
      <c r="P61" s="39" t="s">
        <v>227</v>
      </c>
      <c r="Q61" s="39"/>
      <c r="R61" s="39"/>
    </row>
    <row r="62" spans="1:18" ht="15" customHeight="1">
      <c r="M62" s="166"/>
      <c r="N62" s="36"/>
      <c r="O62" s="36"/>
      <c r="P62" s="36" t="s">
        <v>228</v>
      </c>
      <c r="Q62" s="36"/>
      <c r="R62" s="36"/>
    </row>
    <row r="63" spans="1:18" ht="15" customHeight="1">
      <c r="M63" s="166"/>
      <c r="N63" s="39"/>
      <c r="O63" s="39"/>
      <c r="P63" s="39" t="s">
        <v>229</v>
      </c>
      <c r="Q63" s="39"/>
      <c r="R63" s="39"/>
    </row>
    <row r="64" spans="1:18" ht="15" customHeight="1">
      <c r="M64" s="166"/>
      <c r="N64" s="36"/>
      <c r="O64" s="36"/>
      <c r="P64" s="36" t="s">
        <v>230</v>
      </c>
      <c r="Q64" s="36"/>
      <c r="R64" s="36"/>
    </row>
    <row r="65" spans="13:18" ht="15" customHeight="1">
      <c r="M65" s="166"/>
      <c r="N65" s="39"/>
      <c r="O65" s="39"/>
      <c r="P65" s="39" t="s">
        <v>231</v>
      </c>
      <c r="Q65" s="39"/>
      <c r="R65" s="39"/>
    </row>
    <row r="66" spans="13:18" ht="15" customHeight="1">
      <c r="M66" s="166"/>
      <c r="N66" s="36"/>
      <c r="O66" s="36"/>
      <c r="P66" s="36" t="s">
        <v>232</v>
      </c>
      <c r="Q66" s="36"/>
      <c r="R66" s="36"/>
    </row>
    <row r="67" spans="13:18" ht="15" customHeight="1">
      <c r="M67" s="166"/>
      <c r="N67" s="39"/>
      <c r="O67" s="39"/>
      <c r="P67" s="39" t="s">
        <v>233</v>
      </c>
      <c r="Q67" s="39"/>
      <c r="R67" s="39"/>
    </row>
    <row r="68" spans="13:18" ht="15" customHeight="1">
      <c r="M68" s="166"/>
      <c r="N68" s="36"/>
      <c r="O68" s="36"/>
      <c r="P68" s="36" t="s">
        <v>234</v>
      </c>
      <c r="Q68" s="36"/>
      <c r="R68" s="36"/>
    </row>
    <row r="69" spans="13:18" ht="15" customHeight="1">
      <c r="M69" s="166"/>
      <c r="N69" s="39"/>
      <c r="O69" s="39"/>
      <c r="P69" s="39" t="s">
        <v>235</v>
      </c>
      <c r="Q69" s="39"/>
      <c r="R69" s="39"/>
    </row>
    <row r="70" spans="13:18" ht="15" customHeight="1">
      <c r="M70" s="166"/>
      <c r="N70" s="36"/>
      <c r="O70" s="36"/>
      <c r="P70" s="36" t="s">
        <v>236</v>
      </c>
      <c r="Q70" s="36"/>
      <c r="R70" s="36"/>
    </row>
    <row r="71" spans="13:18" ht="15" customHeight="1">
      <c r="M71" s="166"/>
      <c r="N71" s="39"/>
      <c r="O71" s="39"/>
      <c r="P71" s="39" t="s">
        <v>237</v>
      </c>
      <c r="Q71" s="39"/>
      <c r="R71" s="39"/>
    </row>
    <row r="72" spans="13:18" ht="15" customHeight="1">
      <c r="M72" s="166"/>
      <c r="N72" s="36"/>
      <c r="O72" s="36"/>
      <c r="P72" s="36" t="s">
        <v>238</v>
      </c>
      <c r="Q72" s="36"/>
      <c r="R72" s="36"/>
    </row>
    <row r="73" spans="13:18" ht="15" customHeight="1">
      <c r="M73" s="166"/>
      <c r="N73" s="39"/>
      <c r="O73" s="39"/>
      <c r="P73" s="39" t="s">
        <v>239</v>
      </c>
      <c r="Q73" s="39"/>
      <c r="R73" s="39"/>
    </row>
    <row r="74" spans="13:18" ht="15" customHeight="1">
      <c r="M74" s="166"/>
      <c r="N74" s="36"/>
      <c r="O74" s="36"/>
      <c r="P74" s="36" t="s">
        <v>240</v>
      </c>
      <c r="Q74" s="36"/>
      <c r="R74" s="36"/>
    </row>
    <row r="75" spans="13:18" ht="15" customHeight="1">
      <c r="M75" s="166"/>
      <c r="N75" s="39"/>
      <c r="O75" s="39"/>
      <c r="P75" s="39" t="s">
        <v>241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242</v>
      </c>
      <c r="C1" s="137" t="s">
        <v>243</v>
      </c>
      <c r="D1" s="137" t="s">
        <v>19</v>
      </c>
      <c r="E1" s="137" t="s">
        <v>244</v>
      </c>
      <c r="F1" s="137" t="s">
        <v>245</v>
      </c>
      <c r="G1" s="137" t="s">
        <v>246</v>
      </c>
      <c r="H1" s="137" t="s">
        <v>247</v>
      </c>
      <c r="I1" s="137" t="s">
        <v>248</v>
      </c>
      <c r="J1" s="137" t="s">
        <v>249</v>
      </c>
      <c r="K1" s="137" t="s">
        <v>250</v>
      </c>
    </row>
    <row r="2" spans="1:11" ht="15.75" customHeight="1">
      <c r="A2" s="138">
        <v>46235</v>
      </c>
      <c r="B2" s="139" t="s">
        <v>251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252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68" t="s">
        <v>253</v>
      </c>
      <c r="B4" s="168"/>
      <c r="C4" s="168"/>
      <c r="D4" s="16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251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252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68" t="s">
        <v>253</v>
      </c>
      <c r="B7" s="168"/>
      <c r="C7" s="168"/>
      <c r="D7" s="16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251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252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68" t="s">
        <v>253</v>
      </c>
      <c r="B10" s="168"/>
      <c r="C10" s="168"/>
      <c r="D10" s="16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251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252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68" t="s">
        <v>253</v>
      </c>
      <c r="B13" s="168"/>
      <c r="C13" s="168"/>
      <c r="D13" s="16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251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252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68" t="s">
        <v>253</v>
      </c>
      <c r="B16" s="168"/>
      <c r="C16" s="168"/>
      <c r="D16" s="16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251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252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68" t="s">
        <v>253</v>
      </c>
      <c r="B19" s="168"/>
      <c r="C19" s="168"/>
      <c r="D19" s="16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251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252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68" t="s">
        <v>253</v>
      </c>
      <c r="B22" s="168"/>
      <c r="C22" s="168"/>
      <c r="D22" s="16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251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252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68" t="s">
        <v>253</v>
      </c>
      <c r="B25" s="168"/>
      <c r="C25" s="168"/>
      <c r="D25" s="16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251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252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68" t="s">
        <v>253</v>
      </c>
      <c r="B28" s="168"/>
      <c r="C28" s="168"/>
      <c r="D28" s="16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251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252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68" t="s">
        <v>253</v>
      </c>
      <c r="B31" s="168"/>
      <c r="C31" s="168"/>
      <c r="D31" s="16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251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252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68" t="s">
        <v>253</v>
      </c>
      <c r="B34" s="168"/>
      <c r="C34" s="168"/>
      <c r="D34" s="16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251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252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68" t="s">
        <v>253</v>
      </c>
      <c r="B37" s="168"/>
      <c r="C37" s="168"/>
      <c r="D37" s="16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251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252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68" t="s">
        <v>253</v>
      </c>
      <c r="B40" s="168"/>
      <c r="C40" s="168"/>
      <c r="D40" s="16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251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252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68" t="s">
        <v>253</v>
      </c>
      <c r="B43" s="168"/>
      <c r="C43" s="168"/>
      <c r="D43" s="16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251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252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68" t="s">
        <v>253</v>
      </c>
      <c r="B46" s="168"/>
      <c r="C46" s="168"/>
      <c r="D46" s="16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251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252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68" t="s">
        <v>253</v>
      </c>
      <c r="B49" s="168"/>
      <c r="C49" s="168"/>
      <c r="D49" s="16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251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252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68" t="s">
        <v>253</v>
      </c>
      <c r="B52" s="168"/>
      <c r="C52" s="168"/>
      <c r="D52" s="16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251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252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68" t="s">
        <v>253</v>
      </c>
      <c r="B55" s="168"/>
      <c r="C55" s="168"/>
      <c r="D55" s="16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251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252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68" t="s">
        <v>253</v>
      </c>
      <c r="B58" s="168"/>
      <c r="C58" s="168"/>
      <c r="D58" s="16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251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252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68" t="s">
        <v>253</v>
      </c>
      <c r="B61" s="168"/>
      <c r="C61" s="168"/>
      <c r="D61" s="16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251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252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68" t="s">
        <v>253</v>
      </c>
      <c r="B64" s="168"/>
      <c r="C64" s="168"/>
      <c r="D64" s="16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251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252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68" t="s">
        <v>253</v>
      </c>
      <c r="B67" s="168"/>
      <c r="C67" s="168"/>
      <c r="D67" s="16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251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252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68" t="s">
        <v>253</v>
      </c>
      <c r="B70" s="168"/>
      <c r="C70" s="168"/>
      <c r="D70" s="16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251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252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68" t="s">
        <v>253</v>
      </c>
      <c r="B73" s="168"/>
      <c r="C73" s="168"/>
      <c r="D73" s="16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251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252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68" t="s">
        <v>253</v>
      </c>
      <c r="B76" s="168"/>
      <c r="C76" s="168"/>
      <c r="D76" s="16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251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252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68" t="s">
        <v>253</v>
      </c>
      <c r="B79" s="168"/>
      <c r="C79" s="168"/>
      <c r="D79" s="16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251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252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68" t="s">
        <v>253</v>
      </c>
      <c r="B82" s="168"/>
      <c r="C82" s="168"/>
      <c r="D82" s="16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251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252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68" t="s">
        <v>253</v>
      </c>
      <c r="B85" s="168"/>
      <c r="C85" s="168"/>
      <c r="D85" s="16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251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252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68" t="s">
        <v>253</v>
      </c>
      <c r="B88" s="168"/>
      <c r="C88" s="168"/>
      <c r="D88" s="16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251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252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68" t="s">
        <v>253</v>
      </c>
      <c r="B91" s="168"/>
      <c r="C91" s="168"/>
      <c r="D91" s="16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251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252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68" t="s">
        <v>253</v>
      </c>
      <c r="B94" s="168"/>
      <c r="C94" s="168"/>
      <c r="D94" s="16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55" activePane="bottomLeft" state="frozen"/>
      <selection pane="bottomLeft" activeCell="D677" sqref="D677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56" t="s">
        <v>256</v>
      </c>
      <c r="G1" s="56" t="s">
        <v>257</v>
      </c>
      <c r="H1" s="56" t="s">
        <v>23</v>
      </c>
      <c r="I1" s="56" t="s">
        <v>24</v>
      </c>
      <c r="J1" s="56" t="s">
        <v>258</v>
      </c>
      <c r="K1" s="56" t="s">
        <v>259</v>
      </c>
      <c r="L1" s="56" t="s">
        <v>260</v>
      </c>
      <c r="M1" s="57" t="s">
        <v>261</v>
      </c>
      <c r="N1" s="56" t="s">
        <v>250</v>
      </c>
      <c r="O1" s="56" t="s">
        <v>262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263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263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263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263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263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263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263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263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263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263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263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263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60" t="s">
        <v>264</v>
      </c>
      <c r="B14" s="160"/>
      <c r="C14" s="160"/>
      <c r="D14" s="160"/>
      <c r="E14" s="160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265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263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142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263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263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266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263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263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263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263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263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263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263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263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263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60" t="s">
        <v>267</v>
      </c>
      <c r="B27" s="160"/>
      <c r="C27" s="160"/>
      <c r="D27" s="160"/>
      <c r="E27" s="160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265</v>
      </c>
      <c r="O27" s="73">
        <v>997910</v>
      </c>
    </row>
    <row r="28" spans="1:15" ht="18" customHeight="1">
      <c r="A28" s="161" t="s">
        <v>253</v>
      </c>
      <c r="B28" s="161"/>
      <c r="C28" s="161"/>
      <c r="D28" s="161"/>
      <c r="E28" s="161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263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168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263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141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269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263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266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263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263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263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263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263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263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263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263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263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60" t="s">
        <v>264</v>
      </c>
      <c r="B41" s="160"/>
      <c r="C41" s="160"/>
      <c r="D41" s="160"/>
      <c r="E41" s="160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265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263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270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263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263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263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263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263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263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263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263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263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263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60" t="s">
        <v>267</v>
      </c>
      <c r="B54" s="160"/>
      <c r="C54" s="160"/>
      <c r="D54" s="160"/>
      <c r="E54" s="160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265</v>
      </c>
      <c r="O54" s="73">
        <v>981310</v>
      </c>
    </row>
    <row r="55" spans="1:15" ht="18" customHeight="1">
      <c r="A55" s="161" t="s">
        <v>253</v>
      </c>
      <c r="B55" s="161"/>
      <c r="C55" s="161"/>
      <c r="D55" s="161"/>
      <c r="E55" s="161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263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168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263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145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263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263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263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263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263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263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263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263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263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263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60" t="s">
        <v>264</v>
      </c>
      <c r="B68" s="160"/>
      <c r="C68" s="160"/>
      <c r="D68" s="160"/>
      <c r="E68" s="160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265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263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263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271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263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263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263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263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263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263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263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263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263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263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60" t="s">
        <v>267</v>
      </c>
      <c r="B81" s="160"/>
      <c r="C81" s="160"/>
      <c r="D81" s="160"/>
      <c r="E81" s="160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265</v>
      </c>
      <c r="O81" s="73">
        <v>1547910</v>
      </c>
    </row>
    <row r="82" spans="1:15" ht="18" customHeight="1">
      <c r="A82" s="161" t="s">
        <v>253</v>
      </c>
      <c r="B82" s="161"/>
      <c r="C82" s="161"/>
      <c r="D82" s="161"/>
      <c r="E82" s="161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263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263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145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263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156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272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263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263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263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263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263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263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263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263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263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60" t="s">
        <v>264</v>
      </c>
      <c r="B95" s="160"/>
      <c r="C95" s="160"/>
      <c r="D95" s="160"/>
      <c r="E95" s="160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265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263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263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263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263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263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263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273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263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263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263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263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263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263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60" t="s">
        <v>267</v>
      </c>
      <c r="B108" s="160"/>
      <c r="C108" s="160"/>
      <c r="D108" s="160"/>
      <c r="E108" s="160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265</v>
      </c>
      <c r="O108" s="73">
        <v>3156240</v>
      </c>
    </row>
    <row r="109" spans="1:15" ht="18" customHeight="1">
      <c r="A109" s="161" t="s">
        <v>253</v>
      </c>
      <c r="B109" s="161"/>
      <c r="C109" s="161"/>
      <c r="D109" s="161"/>
      <c r="E109" s="161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263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263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263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263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263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263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263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263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263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263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263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263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60" t="s">
        <v>264</v>
      </c>
      <c r="B122" s="160"/>
      <c r="C122" s="160"/>
      <c r="D122" s="160"/>
      <c r="E122" s="160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265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263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263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263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263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263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263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263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263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263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263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263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263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60" t="s">
        <v>267</v>
      </c>
      <c r="B135" s="160"/>
      <c r="C135" s="160"/>
      <c r="D135" s="160"/>
      <c r="E135" s="160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265</v>
      </c>
      <c r="O135" s="73">
        <v>2875180</v>
      </c>
    </row>
    <row r="136" spans="1:15" ht="18" customHeight="1">
      <c r="A136" s="161" t="s">
        <v>253</v>
      </c>
      <c r="B136" s="161"/>
      <c r="C136" s="161"/>
      <c r="D136" s="161"/>
      <c r="E136" s="161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263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274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263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263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263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263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263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263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263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263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263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263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263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60" t="s">
        <v>264</v>
      </c>
      <c r="B149" s="160"/>
      <c r="C149" s="160"/>
      <c r="D149" s="160"/>
      <c r="E149" s="160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265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263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145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263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275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263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145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263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263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156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263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263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263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263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263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263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263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60" t="s">
        <v>267</v>
      </c>
      <c r="B162" s="160"/>
      <c r="C162" s="160"/>
      <c r="D162" s="160"/>
      <c r="E162" s="160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265</v>
      </c>
      <c r="O162" s="78">
        <v>842000</v>
      </c>
    </row>
    <row r="163" spans="1:15" ht="18" customHeight="1">
      <c r="A163" s="161" t="s">
        <v>253</v>
      </c>
      <c r="B163" s="161"/>
      <c r="C163" s="161"/>
      <c r="D163" s="161"/>
      <c r="E163" s="161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263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240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276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263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263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263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263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263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263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263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263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263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263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263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60" t="s">
        <v>264</v>
      </c>
      <c r="B176" s="160"/>
      <c r="C176" s="160"/>
      <c r="D176" s="160"/>
      <c r="E176" s="160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265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263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277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263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263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263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263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263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263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263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278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263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263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263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60" t="s">
        <v>267</v>
      </c>
      <c r="B189" s="160"/>
      <c r="C189" s="160"/>
      <c r="D189" s="160"/>
      <c r="E189" s="160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265</v>
      </c>
      <c r="O189" s="73">
        <v>1901630</v>
      </c>
    </row>
    <row r="190" spans="1:15" ht="18" customHeight="1">
      <c r="A190" s="161" t="s">
        <v>253</v>
      </c>
      <c r="B190" s="161"/>
      <c r="C190" s="161"/>
      <c r="D190" s="161"/>
      <c r="E190" s="161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263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263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263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279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263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263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263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263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263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263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263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263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263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60" t="s">
        <v>264</v>
      </c>
      <c r="B203" s="160"/>
      <c r="C203" s="160"/>
      <c r="D203" s="160"/>
      <c r="E203" s="160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265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263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263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263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263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263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263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263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263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263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263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263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263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60" t="s">
        <v>267</v>
      </c>
      <c r="B216" s="160"/>
      <c r="C216" s="160"/>
      <c r="D216" s="160"/>
      <c r="E216" s="160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265</v>
      </c>
      <c r="O216" s="73">
        <v>1852295</v>
      </c>
    </row>
    <row r="217" spans="1:15" ht="18" customHeight="1">
      <c r="A217" s="161" t="s">
        <v>253</v>
      </c>
      <c r="B217" s="161"/>
      <c r="C217" s="161"/>
      <c r="D217" s="161"/>
      <c r="E217" s="161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268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263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178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263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263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216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280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263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263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263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263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263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263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263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263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263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60" t="s">
        <v>264</v>
      </c>
      <c r="B230" s="160"/>
      <c r="C230" s="160"/>
      <c r="D230" s="160"/>
      <c r="E230" s="160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265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263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216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263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156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263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156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281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281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281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281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281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281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281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281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281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60" t="s">
        <v>267</v>
      </c>
      <c r="B243" s="160"/>
      <c r="C243" s="160"/>
      <c r="D243" s="160"/>
      <c r="E243" s="160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265</v>
      </c>
      <c r="O243" s="73">
        <v>991010</v>
      </c>
    </row>
    <row r="244" spans="1:15" ht="18" customHeight="1">
      <c r="A244" s="161" t="s">
        <v>253</v>
      </c>
      <c r="B244" s="161"/>
      <c r="C244" s="161"/>
      <c r="D244" s="161"/>
      <c r="E244" s="161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268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263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221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263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263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263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263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282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263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263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263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263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263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263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263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60" t="s">
        <v>264</v>
      </c>
      <c r="B257" s="160"/>
      <c r="C257" s="160"/>
      <c r="D257" s="160"/>
      <c r="E257" s="160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265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283</v>
      </c>
      <c r="E258" s="74" t="s">
        <v>263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283</v>
      </c>
      <c r="E259" s="74" t="s">
        <v>263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145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283</v>
      </c>
      <c r="E260" s="74" t="s">
        <v>263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283</v>
      </c>
      <c r="E261" s="74" t="s">
        <v>263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283</v>
      </c>
      <c r="E262" s="74" t="s">
        <v>263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283</v>
      </c>
      <c r="E263" s="74" t="s">
        <v>263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283</v>
      </c>
      <c r="E264" s="74" t="s">
        <v>263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283</v>
      </c>
      <c r="E265" s="74" t="s">
        <v>263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283</v>
      </c>
      <c r="E266" s="74" t="s">
        <v>263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283</v>
      </c>
      <c r="E267" s="74" t="s">
        <v>263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283</v>
      </c>
      <c r="E268" s="74" t="s">
        <v>263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283</v>
      </c>
      <c r="E269" s="74" t="s">
        <v>263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60" t="s">
        <v>267</v>
      </c>
      <c r="B270" s="160"/>
      <c r="C270" s="160"/>
      <c r="D270" s="160"/>
      <c r="E270" s="160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265</v>
      </c>
      <c r="O270" s="73">
        <v>1544700</v>
      </c>
    </row>
    <row r="271" spans="1:15" ht="18" customHeight="1">
      <c r="A271" s="161" t="s">
        <v>253</v>
      </c>
      <c r="B271" s="161"/>
      <c r="C271" s="161"/>
      <c r="D271" s="161"/>
      <c r="E271" s="161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268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283</v>
      </c>
      <c r="E272" s="61" t="s">
        <v>263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178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283</v>
      </c>
      <c r="E273" s="61" t="s">
        <v>263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145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283</v>
      </c>
      <c r="E274" s="61" t="s">
        <v>263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283</v>
      </c>
      <c r="E275" s="61" t="s">
        <v>263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221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283</v>
      </c>
      <c r="E276" s="61" t="s">
        <v>263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283</v>
      </c>
      <c r="E277" s="61" t="s">
        <v>263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284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283</v>
      </c>
      <c r="E278" s="61" t="s">
        <v>263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283</v>
      </c>
      <c r="E279" s="61" t="s">
        <v>263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283</v>
      </c>
      <c r="E280" s="61" t="s">
        <v>263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283</v>
      </c>
      <c r="E281" s="61" t="s">
        <v>263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283</v>
      </c>
      <c r="E282" s="61" t="s">
        <v>263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283</v>
      </c>
      <c r="E283" s="61" t="s">
        <v>263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60" t="s">
        <v>264</v>
      </c>
      <c r="B284" s="160"/>
      <c r="C284" s="160"/>
      <c r="D284" s="160"/>
      <c r="E284" s="160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265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283</v>
      </c>
      <c r="E285" s="74" t="s">
        <v>278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283</v>
      </c>
      <c r="E286" s="74" t="s">
        <v>278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283</v>
      </c>
      <c r="E287" s="74" t="s">
        <v>278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283</v>
      </c>
      <c r="E288" s="74" t="s">
        <v>278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283</v>
      </c>
      <c r="E289" s="74" t="s">
        <v>278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283</v>
      </c>
      <c r="E290" s="74" t="s">
        <v>278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283</v>
      </c>
      <c r="E291" s="74" t="s">
        <v>278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283</v>
      </c>
      <c r="E292" s="74" t="s">
        <v>278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283</v>
      </c>
      <c r="E293" s="74" t="s">
        <v>278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283</v>
      </c>
      <c r="E294" s="74" t="s">
        <v>278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283</v>
      </c>
      <c r="E295" s="74" t="s">
        <v>278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283</v>
      </c>
      <c r="E296" s="74" t="s">
        <v>278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60" t="s">
        <v>267</v>
      </c>
      <c r="B297" s="160"/>
      <c r="C297" s="160"/>
      <c r="D297" s="160"/>
      <c r="E297" s="160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265</v>
      </c>
      <c r="O297" s="73">
        <v>1715230</v>
      </c>
    </row>
    <row r="298" spans="1:15" ht="18" customHeight="1">
      <c r="A298" s="161" t="s">
        <v>253</v>
      </c>
      <c r="B298" s="161"/>
      <c r="C298" s="161"/>
      <c r="D298" s="161"/>
      <c r="E298" s="161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268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263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240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263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145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263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263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285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263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263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263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263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263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263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263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263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60" t="s">
        <v>264</v>
      </c>
      <c r="B311" s="160"/>
      <c r="C311" s="160"/>
      <c r="D311" s="160"/>
      <c r="E311" s="160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265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263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263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263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263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263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263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263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263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263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263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263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263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60" t="s">
        <v>267</v>
      </c>
      <c r="B324" s="160"/>
      <c r="C324" s="160"/>
      <c r="D324" s="160"/>
      <c r="E324" s="160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265</v>
      </c>
      <c r="O324" s="73">
        <v>2216340</v>
      </c>
    </row>
    <row r="325" spans="1:15" ht="18" customHeight="1">
      <c r="A325" s="161" t="s">
        <v>253</v>
      </c>
      <c r="B325" s="161"/>
      <c r="C325" s="161"/>
      <c r="D325" s="161"/>
      <c r="E325" s="161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268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145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216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286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263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263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263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287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263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263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263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263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60" t="s">
        <v>264</v>
      </c>
      <c r="B338" s="160"/>
      <c r="C338" s="160"/>
      <c r="D338" s="160"/>
      <c r="E338" s="160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265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263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263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263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263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263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263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263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263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263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263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263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263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60" t="s">
        <v>267</v>
      </c>
      <c r="B351" s="160"/>
      <c r="C351" s="160"/>
      <c r="D351" s="160"/>
      <c r="E351" s="160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265</v>
      </c>
      <c r="O351" s="73">
        <v>2154990</v>
      </c>
    </row>
    <row r="352" spans="1:15" ht="18" customHeight="1">
      <c r="A352" s="161" t="s">
        <v>253</v>
      </c>
      <c r="B352" s="161"/>
      <c r="C352" s="161"/>
      <c r="D352" s="161"/>
      <c r="E352" s="161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268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263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263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145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263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263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263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263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278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263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263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263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263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263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60" t="s">
        <v>264</v>
      </c>
      <c r="B365" s="160"/>
      <c r="C365" s="160"/>
      <c r="D365" s="160"/>
      <c r="E365" s="160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265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263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263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263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263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263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263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263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263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263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263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263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263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60" t="s">
        <v>267</v>
      </c>
      <c r="B378" s="160"/>
      <c r="C378" s="160"/>
      <c r="D378" s="160"/>
      <c r="E378" s="160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265</v>
      </c>
      <c r="O378" s="73">
        <v>2614830</v>
      </c>
    </row>
    <row r="379" spans="1:15" ht="18" customHeight="1">
      <c r="A379" s="161" t="s">
        <v>253</v>
      </c>
      <c r="B379" s="161"/>
      <c r="C379" s="161"/>
      <c r="D379" s="161"/>
      <c r="E379" s="161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268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263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263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263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263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263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263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263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263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263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263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263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263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60" t="s">
        <v>264</v>
      </c>
      <c r="B392" s="160"/>
      <c r="C392" s="160"/>
      <c r="D392" s="160"/>
      <c r="E392" s="160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265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263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168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288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263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263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263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263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263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263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263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263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263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263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263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60" t="s">
        <v>267</v>
      </c>
      <c r="B405" s="160"/>
      <c r="C405" s="160"/>
      <c r="D405" s="160"/>
      <c r="E405" s="160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265</v>
      </c>
      <c r="O405" s="73">
        <v>2612000</v>
      </c>
    </row>
    <row r="406" spans="1:15" ht="18" customHeight="1">
      <c r="A406" s="161" t="s">
        <v>253</v>
      </c>
      <c r="B406" s="161"/>
      <c r="C406" s="161"/>
      <c r="D406" s="161"/>
      <c r="E406" s="161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268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263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263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263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263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263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263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263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263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263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263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263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263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60" t="s">
        <v>264</v>
      </c>
      <c r="B419" s="160"/>
      <c r="C419" s="160"/>
      <c r="D419" s="160"/>
      <c r="E419" s="160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265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263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234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263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145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289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263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145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289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263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263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263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263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263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263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263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263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263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60" t="s">
        <v>267</v>
      </c>
      <c r="B432" s="160"/>
      <c r="C432" s="160"/>
      <c r="D432" s="160"/>
      <c r="E432" s="160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265</v>
      </c>
      <c r="O432" s="73">
        <v>2266710</v>
      </c>
    </row>
    <row r="433" spans="1:15" ht="18" customHeight="1">
      <c r="A433" s="161" t="s">
        <v>253</v>
      </c>
      <c r="B433" s="161"/>
      <c r="C433" s="161"/>
      <c r="D433" s="161"/>
      <c r="E433" s="161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268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263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168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263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263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263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263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263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263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263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263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263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263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263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60" t="s">
        <v>264</v>
      </c>
      <c r="B446" s="160"/>
      <c r="C446" s="160"/>
      <c r="D446" s="160"/>
      <c r="E446" s="160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265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263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145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290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263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291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263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263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263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263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292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263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293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263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294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263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263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263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263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60" t="s">
        <v>267</v>
      </c>
      <c r="B459" s="160"/>
      <c r="C459" s="160"/>
      <c r="D459" s="160"/>
      <c r="E459" s="160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265</v>
      </c>
      <c r="O459" s="73">
        <v>2361680</v>
      </c>
    </row>
    <row r="460" spans="1:15" ht="18" customHeight="1">
      <c r="A460" s="161" t="s">
        <v>253</v>
      </c>
      <c r="B460" s="161"/>
      <c r="C460" s="161"/>
      <c r="D460" s="161"/>
      <c r="E460" s="161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268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263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295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263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263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263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263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263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263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263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263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263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263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263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60" t="s">
        <v>264</v>
      </c>
      <c r="B473" s="160"/>
      <c r="C473" s="160"/>
      <c r="D473" s="160"/>
      <c r="E473" s="160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265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263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263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263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145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296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263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263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263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263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263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263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263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263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263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60" t="s">
        <v>267</v>
      </c>
      <c r="B486" s="160"/>
      <c r="C486" s="160"/>
      <c r="D486" s="160"/>
      <c r="E486" s="160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265</v>
      </c>
      <c r="O486" s="73">
        <v>1798670</v>
      </c>
    </row>
    <row r="487" spans="1:15" ht="18" customHeight="1">
      <c r="A487" s="161" t="s">
        <v>253</v>
      </c>
      <c r="B487" s="161"/>
      <c r="C487" s="161"/>
      <c r="D487" s="161"/>
      <c r="E487" s="161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268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263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141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263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297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263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263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263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263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263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263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263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263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263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263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60" t="s">
        <v>264</v>
      </c>
      <c r="B500" s="160"/>
      <c r="C500" s="160"/>
      <c r="D500" s="160"/>
      <c r="E500" s="160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265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263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263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168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298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263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263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263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263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263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263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263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263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263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278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60" t="s">
        <v>267</v>
      </c>
      <c r="B513" s="160"/>
      <c r="C513" s="160"/>
      <c r="D513" s="160"/>
      <c r="E513" s="160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265</v>
      </c>
      <c r="O513" s="73">
        <v>2435830</v>
      </c>
    </row>
    <row r="514" spans="1:15" ht="18" customHeight="1">
      <c r="A514" s="161" t="s">
        <v>253</v>
      </c>
      <c r="B514" s="161"/>
      <c r="C514" s="161"/>
      <c r="D514" s="161"/>
      <c r="E514" s="161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268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263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263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263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263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263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278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278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278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278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278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278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278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60" t="s">
        <v>264</v>
      </c>
      <c r="B527" s="160"/>
      <c r="C527" s="160"/>
      <c r="D527" s="160"/>
      <c r="E527" s="160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265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263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299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263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263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178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263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263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263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263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263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263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263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263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263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60" t="s">
        <v>267</v>
      </c>
      <c r="B540" s="160"/>
      <c r="C540" s="160"/>
      <c r="D540" s="160"/>
      <c r="E540" s="160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265</v>
      </c>
      <c r="O540" s="73">
        <v>667100</v>
      </c>
    </row>
    <row r="541" spans="1:15" ht="18" customHeight="1">
      <c r="A541" s="161" t="s">
        <v>253</v>
      </c>
      <c r="B541" s="161"/>
      <c r="C541" s="161"/>
      <c r="D541" s="161"/>
      <c r="E541" s="161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268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300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60" t="s">
        <v>264</v>
      </c>
      <c r="B554" s="160"/>
      <c r="C554" s="160"/>
      <c r="D554" s="160"/>
      <c r="E554" s="160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265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263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300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263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168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266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263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301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263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178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263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302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263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263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303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263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263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263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263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263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60" t="s">
        <v>267</v>
      </c>
      <c r="B567" s="160"/>
      <c r="C567" s="160"/>
      <c r="D567" s="160"/>
      <c r="E567" s="160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265</v>
      </c>
      <c r="O567" s="73">
        <v>1031030</v>
      </c>
    </row>
    <row r="568" spans="1:15" ht="18" customHeight="1">
      <c r="A568" s="161" t="s">
        <v>253</v>
      </c>
      <c r="B568" s="161"/>
      <c r="C568" s="161"/>
      <c r="D568" s="161"/>
      <c r="E568" s="161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268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263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178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263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178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263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217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304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263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263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263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263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263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263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263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263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263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60" t="s">
        <v>264</v>
      </c>
      <c r="B581" s="160"/>
      <c r="C581" s="160"/>
      <c r="D581" s="160"/>
      <c r="E581" s="160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265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263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145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305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263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306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263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263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263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263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263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263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263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263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263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263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60" t="s">
        <v>267</v>
      </c>
      <c r="B594" s="160"/>
      <c r="C594" s="160"/>
      <c r="D594" s="160"/>
      <c r="E594" s="160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265</v>
      </c>
      <c r="O594" s="73">
        <v>2100270</v>
      </c>
    </row>
    <row r="595" spans="1:15" ht="18" customHeight="1">
      <c r="A595" s="161" t="s">
        <v>253</v>
      </c>
      <c r="B595" s="161"/>
      <c r="C595" s="161"/>
      <c r="D595" s="161"/>
      <c r="E595" s="161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268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263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263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263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263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263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263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263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263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263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263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263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263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60" t="s">
        <v>264</v>
      </c>
      <c r="B608" s="160"/>
      <c r="C608" s="160"/>
      <c r="D608" s="160"/>
      <c r="E608" s="160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265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263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187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263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307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263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263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263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263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263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263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263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263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263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263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60" t="s">
        <v>267</v>
      </c>
      <c r="B621" s="160"/>
      <c r="C621" s="160"/>
      <c r="D621" s="160"/>
      <c r="E621" s="160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265</v>
      </c>
      <c r="O621" s="73">
        <v>2354670</v>
      </c>
    </row>
    <row r="622" spans="1:15" ht="18" customHeight="1">
      <c r="A622" s="161" t="s">
        <v>253</v>
      </c>
      <c r="B622" s="161"/>
      <c r="C622" s="161"/>
      <c r="D622" s="161"/>
      <c r="E622" s="161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268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263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183</v>
      </c>
      <c r="J623" s="69" t="s">
        <v>147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263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263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263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263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263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263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263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263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263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263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263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60" t="s">
        <v>264</v>
      </c>
      <c r="B635" s="160"/>
      <c r="C635" s="160"/>
      <c r="D635" s="160"/>
      <c r="E635" s="160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265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263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145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308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263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263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263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263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263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263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263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263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263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263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263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60" t="s">
        <v>267</v>
      </c>
      <c r="B648" s="160"/>
      <c r="C648" s="160"/>
      <c r="D648" s="160"/>
      <c r="E648" s="160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265</v>
      </c>
      <c r="O648" s="73">
        <v>2128400</v>
      </c>
    </row>
    <row r="649" spans="1:15" ht="18" customHeight="1">
      <c r="A649" s="161" t="s">
        <v>253</v>
      </c>
      <c r="B649" s="161"/>
      <c r="C649" s="161"/>
      <c r="D649" s="161"/>
      <c r="E649" s="161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268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263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145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309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263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178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263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263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263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263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263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263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263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263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263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263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60" t="s">
        <v>264</v>
      </c>
      <c r="B662" s="160"/>
      <c r="C662" s="160"/>
      <c r="D662" s="160"/>
      <c r="E662" s="160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265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263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263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236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263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263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263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263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263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263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278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263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263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69" t="s">
        <v>54</v>
      </c>
      <c r="D674" s="61" t="s">
        <v>31</v>
      </c>
      <c r="E674" s="61" t="s">
        <v>263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60" t="s">
        <v>267</v>
      </c>
      <c r="B675" s="160"/>
      <c r="C675" s="160"/>
      <c r="D675" s="160"/>
      <c r="E675" s="160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265</v>
      </c>
      <c r="O675" s="73">
        <v>2408840</v>
      </c>
    </row>
    <row r="676" spans="1:15" ht="18" customHeight="1">
      <c r="A676" s="161" t="s">
        <v>253</v>
      </c>
      <c r="B676" s="161"/>
      <c r="C676" s="161"/>
      <c r="D676" s="161"/>
      <c r="E676" s="161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268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74" t="s">
        <v>263</v>
      </c>
      <c r="F677" s="62">
        <v>9</v>
      </c>
      <c r="G677" s="68">
        <f t="shared" ref="G677:G688" si="146">IF(F677="","",IF(E677="PC 17",F677*4.2,IF(E677="PC 19",F677*5,IF(E677="CB",F677*35,""))))</f>
        <v>45</v>
      </c>
      <c r="H677" s="69"/>
      <c r="I677" s="69"/>
      <c r="J677" s="69"/>
      <c r="K677" s="64"/>
      <c r="L677" s="64"/>
      <c r="M677" s="70" t="str">
        <f t="shared" ref="M677:M688" ca="1" si="147">IFERROR(IF(K677="","",IF(L677="",MOD(NOW()-K677,1),IF(L677&gt;=K677,L677-K677,L677+1-K677))),"")</f>
        <v/>
      </c>
      <c r="N677" s="79"/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/>
      <c r="E678" s="74"/>
      <c r="F678" s="62"/>
      <c r="G678" s="63" t="str">
        <f t="shared" si="146"/>
        <v/>
      </c>
      <c r="H678" s="60"/>
      <c r="I678" s="60"/>
      <c r="J678" s="60"/>
      <c r="K678" s="64"/>
      <c r="L678" s="64"/>
      <c r="M678" s="65" t="str">
        <f t="shared" ca="1" si="147"/>
        <v/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/>
      <c r="E679" s="74"/>
      <c r="F679" s="62"/>
      <c r="G679" s="68" t="str">
        <f t="shared" si="146"/>
        <v/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/>
      <c r="E680" s="74"/>
      <c r="F680" s="62"/>
      <c r="G680" s="63" t="str">
        <f t="shared" si="146"/>
        <v/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/>
      <c r="E681" s="74"/>
      <c r="F681" s="62"/>
      <c r="G681" s="68" t="str">
        <f t="shared" si="146"/>
        <v/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/>
      <c r="E682" s="74"/>
      <c r="F682" s="62"/>
      <c r="G682" s="63" t="str">
        <f t="shared" si="146"/>
        <v/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/>
      <c r="E683" s="74"/>
      <c r="F683" s="62"/>
      <c r="G683" s="68" t="str">
        <f t="shared" si="146"/>
        <v/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/>
      <c r="E684" s="74"/>
      <c r="F684" s="62"/>
      <c r="G684" s="63" t="str">
        <f t="shared" si="146"/>
        <v/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/>
      <c r="E685" s="74"/>
      <c r="F685" s="62"/>
      <c r="G685" s="68" t="str">
        <f t="shared" si="146"/>
        <v/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/>
      <c r="E686" s="74"/>
      <c r="F686" s="62"/>
      <c r="G686" s="63" t="str">
        <f t="shared" si="146"/>
        <v/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/>
      <c r="E687" s="74"/>
      <c r="F687" s="62"/>
      <c r="G687" s="68" t="str">
        <f t="shared" si="146"/>
        <v/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/>
      <c r="E688" s="74"/>
      <c r="F688" s="62"/>
      <c r="G688" s="63" t="str">
        <f t="shared" si="146"/>
        <v/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60" t="s">
        <v>264</v>
      </c>
      <c r="B689" s="160"/>
      <c r="C689" s="160"/>
      <c r="D689" s="160"/>
      <c r="E689" s="160"/>
      <c r="F689" s="2">
        <f>SUM(F677:F688)</f>
        <v>9</v>
      </c>
      <c r="G689" s="2">
        <f>SUM(G677:G688)</f>
        <v>45</v>
      </c>
      <c r="H689" s="71"/>
      <c r="I689" s="71"/>
      <c r="J689" s="71"/>
      <c r="K689" s="71"/>
      <c r="L689" s="71"/>
      <c r="M689" s="72">
        <f ca="1">IFERROR(SUM(M677:M688),"")</f>
        <v>0</v>
      </c>
      <c r="N689" s="2" t="s">
        <v>265</v>
      </c>
      <c r="O689" s="73"/>
    </row>
    <row r="690" spans="1:15" ht="15" customHeight="1">
      <c r="A690" s="58">
        <v>46260</v>
      </c>
      <c r="B690" s="59">
        <v>0.83333333333333304</v>
      </c>
      <c r="C690" s="60"/>
      <c r="D690" s="61"/>
      <c r="E690" s="61"/>
      <c r="F690" s="62"/>
      <c r="G690" s="63" t="str">
        <f t="shared" ref="G690:G701" si="149">IF(F690="","",IF(E690="PC 17",F690*4.2,IF(E690="PC 19",F690*5,IF(E690="CB",F690*35,""))))</f>
        <v/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/>
      <c r="D691" s="61"/>
      <c r="E691" s="61"/>
      <c r="F691" s="62"/>
      <c r="G691" s="68" t="str">
        <f t="shared" si="149"/>
        <v/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/>
      <c r="D692" s="61"/>
      <c r="E692" s="61"/>
      <c r="F692" s="62"/>
      <c r="G692" s="63" t="str">
        <f t="shared" si="149"/>
        <v/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/>
      <c r="D693" s="61"/>
      <c r="E693" s="61"/>
      <c r="F693" s="62"/>
      <c r="G693" s="68" t="str">
        <f t="shared" si="149"/>
        <v/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/>
      <c r="D694" s="61"/>
      <c r="E694" s="61"/>
      <c r="F694" s="62"/>
      <c r="G694" s="63" t="str">
        <f t="shared" si="149"/>
        <v/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/>
      <c r="D695" s="61"/>
      <c r="E695" s="61"/>
      <c r="F695" s="62"/>
      <c r="G695" s="68" t="str">
        <f t="shared" si="149"/>
        <v/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/>
      <c r="D696" s="61"/>
      <c r="E696" s="61"/>
      <c r="F696" s="62"/>
      <c r="G696" s="63" t="str">
        <f t="shared" si="149"/>
        <v/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/>
      <c r="D697" s="61"/>
      <c r="E697" s="61"/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/>
      <c r="D698" s="61"/>
      <c r="E698" s="61"/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/>
      <c r="D699" s="61"/>
      <c r="E699" s="61"/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/>
      <c r="D700" s="61"/>
      <c r="E700" s="61"/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/>
      <c r="D701" s="61"/>
      <c r="E701" s="61"/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60" t="s">
        <v>267</v>
      </c>
      <c r="B702" s="160"/>
      <c r="C702" s="160"/>
      <c r="D702" s="160"/>
      <c r="E702" s="160"/>
      <c r="F702" s="2">
        <f>SUM(F690:F701)</f>
        <v>0</v>
      </c>
      <c r="G702" s="2">
        <f>SUM(G690:G701)</f>
        <v>0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265</v>
      </c>
      <c r="O702" s="73"/>
    </row>
    <row r="703" spans="1:15" ht="18" customHeight="1">
      <c r="A703" s="161" t="s">
        <v>253</v>
      </c>
      <c r="B703" s="161"/>
      <c r="C703" s="161"/>
      <c r="D703" s="161"/>
      <c r="E703" s="161"/>
      <c r="F703" s="1">
        <f>F689+F702</f>
        <v>9</v>
      </c>
      <c r="G703" s="1">
        <f>G689+G702</f>
        <v>45</v>
      </c>
      <c r="H703" s="75"/>
      <c r="I703" s="75"/>
      <c r="J703" s="75"/>
      <c r="K703" s="75"/>
      <c r="L703" s="75"/>
      <c r="M703" s="76">
        <f ca="1">IFERROR(M689+M702,"")</f>
        <v>0</v>
      </c>
      <c r="N703" s="1" t="s">
        <v>268</v>
      </c>
      <c r="O703" s="81">
        <f>IFERROR(O689+O702,"")</f>
        <v>0</v>
      </c>
    </row>
    <row r="704" spans="1:15" ht="15" customHeight="1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60" t="s">
        <v>264</v>
      </c>
      <c r="B716" s="160"/>
      <c r="C716" s="160"/>
      <c r="D716" s="160"/>
      <c r="E716" s="160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265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60" t="s">
        <v>267</v>
      </c>
      <c r="B729" s="160"/>
      <c r="C729" s="160"/>
      <c r="D729" s="160"/>
      <c r="E729" s="160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265</v>
      </c>
      <c r="O729" s="73"/>
    </row>
    <row r="730" spans="1:15" ht="18" customHeight="1">
      <c r="A730" s="161" t="s">
        <v>253</v>
      </c>
      <c r="B730" s="161"/>
      <c r="C730" s="161"/>
      <c r="D730" s="161"/>
      <c r="E730" s="161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268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60" t="s">
        <v>264</v>
      </c>
      <c r="B743" s="160"/>
      <c r="C743" s="160"/>
      <c r="D743" s="160"/>
      <c r="E743" s="160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265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60" t="s">
        <v>267</v>
      </c>
      <c r="B756" s="160"/>
      <c r="C756" s="160"/>
      <c r="D756" s="160"/>
      <c r="E756" s="160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265</v>
      </c>
      <c r="O756" s="73"/>
    </row>
    <row r="757" spans="1:15" ht="18" customHeight="1">
      <c r="A757" s="161" t="s">
        <v>253</v>
      </c>
      <c r="B757" s="161"/>
      <c r="C757" s="161"/>
      <c r="D757" s="161"/>
      <c r="E757" s="161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268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60" t="s">
        <v>264</v>
      </c>
      <c r="B770" s="160"/>
      <c r="C770" s="160"/>
      <c r="D770" s="160"/>
      <c r="E770" s="160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265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60" t="s">
        <v>267</v>
      </c>
      <c r="B783" s="160"/>
      <c r="C783" s="160"/>
      <c r="D783" s="160"/>
      <c r="E783" s="160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265</v>
      </c>
      <c r="O783" s="73"/>
    </row>
    <row r="784" spans="1:15" ht="18" customHeight="1">
      <c r="A784" s="161" t="s">
        <v>253</v>
      </c>
      <c r="B784" s="161"/>
      <c r="C784" s="161"/>
      <c r="D784" s="161"/>
      <c r="E784" s="161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268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60" t="s">
        <v>264</v>
      </c>
      <c r="B797" s="160"/>
      <c r="C797" s="160"/>
      <c r="D797" s="160"/>
      <c r="E797" s="160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265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60" t="s">
        <v>267</v>
      </c>
      <c r="B810" s="160"/>
      <c r="C810" s="160"/>
      <c r="D810" s="160"/>
      <c r="E810" s="160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265</v>
      </c>
      <c r="O810" s="73"/>
    </row>
    <row r="811" spans="1:15" ht="18" customHeight="1">
      <c r="A811" s="161" t="s">
        <v>253</v>
      </c>
      <c r="B811" s="161"/>
      <c r="C811" s="161"/>
      <c r="D811" s="161"/>
      <c r="E811" s="161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60" t="s">
        <v>264</v>
      </c>
      <c r="B824" s="160"/>
      <c r="C824" s="160"/>
      <c r="D824" s="160"/>
      <c r="E824" s="160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265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60" t="s">
        <v>267</v>
      </c>
      <c r="B837" s="160"/>
      <c r="C837" s="160"/>
      <c r="D837" s="160"/>
      <c r="E837" s="160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265</v>
      </c>
      <c r="O837" s="73"/>
    </row>
    <row r="838" spans="1:15" ht="18" customHeight="1">
      <c r="A838" s="161" t="s">
        <v>253</v>
      </c>
      <c r="B838" s="161"/>
      <c r="C838" s="161"/>
      <c r="D838" s="161"/>
      <c r="E838" s="161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653" activePane="bottomLeft" state="frozen"/>
      <selection pane="bottomLeft" activeCell="C677" sqref="C677:C688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171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312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141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313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314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142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142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265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278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278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146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278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169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278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146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315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278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316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278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278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278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278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278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278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265</v>
      </c>
      <c r="S27" s="73">
        <v>549860</v>
      </c>
      <c r="T27" s="98"/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169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265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171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171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317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318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141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319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141</v>
      </c>
      <c r="O53" s="64">
        <v>0.121527777777778</v>
      </c>
      <c r="P53" s="64"/>
      <c r="Q53" s="65">
        <f t="shared" ca="1" si="10"/>
        <v>0.21422233796329238</v>
      </c>
      <c r="R53" s="79" t="s">
        <v>320</v>
      </c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0.3531112268521801</v>
      </c>
      <c r="R54" s="2" t="s">
        <v>265</v>
      </c>
      <c r="S54" s="112">
        <v>352430</v>
      </c>
      <c r="T54" s="113"/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0.43783344907440291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312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265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160</v>
      </c>
      <c r="N69" s="60" t="s">
        <v>199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146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169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169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214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321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278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278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265</v>
      </c>
      <c r="S81" s="114">
        <v>634210</v>
      </c>
      <c r="T81" s="115"/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278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149</v>
      </c>
      <c r="N83" s="69" t="s">
        <v>227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149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265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152</v>
      </c>
      <c r="N96" s="60" t="s">
        <v>127</v>
      </c>
      <c r="O96" s="64">
        <v>0.79166666666666696</v>
      </c>
      <c r="P96" s="64" t="s">
        <v>322</v>
      </c>
      <c r="Q96" s="65" t="str">
        <f t="shared" ref="Q96:Q107" ca="1" si="22">IFERROR(IF(O96="","",IF(P96="",MOD(NOW()-O96,1),IF(P96&gt;=O96,P96-O96,P96+1-O96))),"")</f>
        <v/>
      </c>
      <c r="R96" s="79" t="s">
        <v>323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324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197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325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266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265</v>
      </c>
      <c r="S108" s="114">
        <v>456830</v>
      </c>
      <c r="T108" s="115"/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168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326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168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265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171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168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146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146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265</v>
      </c>
      <c r="S135" s="114">
        <v>756720</v>
      </c>
      <c r="T135" s="115"/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327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328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171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329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265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330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265</v>
      </c>
      <c r="S162" s="114">
        <v>501750</v>
      </c>
      <c r="T162" s="115"/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278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278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278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169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169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278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278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278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278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278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278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278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265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278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278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160</v>
      </c>
      <c r="N180" s="60" t="s">
        <v>145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331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278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328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332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278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265</v>
      </c>
      <c r="S189" s="73">
        <v>362530</v>
      </c>
      <c r="T189" s="98"/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333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160</v>
      </c>
      <c r="N192" s="60" t="s">
        <v>195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160</v>
      </c>
      <c r="N193" s="60" t="s">
        <v>195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326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178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265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171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171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265</v>
      </c>
      <c r="S216" s="73">
        <v>609740</v>
      </c>
      <c r="T216" s="98"/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268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184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321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266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334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146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335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146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336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265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266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171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171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265</v>
      </c>
      <c r="S243" s="73">
        <v>825930</v>
      </c>
      <c r="T243" s="98"/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268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178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265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278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278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278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278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278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278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278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278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278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278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278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278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732130</v>
      </c>
      <c r="T270" s="98"/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268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278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278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278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278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263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278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263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263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278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278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263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263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263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263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263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990260</v>
      </c>
      <c r="T297" s="98"/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278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146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278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278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278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278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278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278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278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278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278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278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278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265</v>
      </c>
      <c r="S311" s="73">
        <v>754870</v>
      </c>
      <c r="T311" s="98">
        <f>IFERROR(J311,"")</f>
        <v>129.92697372781066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278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171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278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278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168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171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278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149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278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278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278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146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278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278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278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265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268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141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337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149</v>
      </c>
      <c r="N328" s="60" t="s">
        <v>141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338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149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339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137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149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340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184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341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265</v>
      </c>
      <c r="S338" s="73">
        <v>186890</v>
      </c>
      <c r="T338" s="98">
        <f>IFERROR(J338,"")</f>
        <v>39.246899999999989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333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178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210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328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168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168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146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146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265</v>
      </c>
      <c r="S351" s="73">
        <v>712170</v>
      </c>
      <c r="T351" s="98">
        <f>IFERROR(J351,"")</f>
        <v>149.5557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268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321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171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265</v>
      </c>
      <c r="S365" s="73">
        <v>622270</v>
      </c>
      <c r="T365" s="98">
        <f>IFERROR(J365,"")</f>
        <v>130.67669999999998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149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342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171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171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265</v>
      </c>
      <c r="S378" s="73">
        <v>806300</v>
      </c>
      <c r="T378" s="98">
        <f>IFERROR(J378,"")</f>
        <v>169.32299999999998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268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278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278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171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154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343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265</v>
      </c>
      <c r="S392" s="73">
        <v>820320</v>
      </c>
      <c r="T392" s="98">
        <f>IFERROR(J392,"")</f>
        <v>162.80881156626504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168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171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171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344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169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179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169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265</v>
      </c>
      <c r="S405" s="73">
        <v>774540</v>
      </c>
      <c r="T405" s="98">
        <f>IFERROR(J405,"")</f>
        <v>156.22852721311477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268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265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345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168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171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267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265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253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268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346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149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278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265</v>
      </c>
      <c r="S446" s="73">
        <v>449020</v>
      </c>
      <c r="T446" s="98">
        <f>IFERROR(J446,"")</f>
        <v>91.118987142857137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223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263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171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347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348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265</v>
      </c>
      <c r="S459" s="73">
        <v>738730</v>
      </c>
      <c r="T459" s="98">
        <f>IFERROR(J459,"")</f>
        <v>144.10511642857142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268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349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265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350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137</v>
      </c>
      <c r="N478" s="60" t="s">
        <v>196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351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220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265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268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185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328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171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295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265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171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137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220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267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265</v>
      </c>
      <c r="S513" s="73">
        <v>534790</v>
      </c>
      <c r="T513" s="98">
        <f>IFERROR(J513,"")</f>
        <v>91.764703770491792</v>
      </c>
    </row>
    <row r="514" spans="1:20" ht="18" customHeight="1">
      <c r="A514" s="121" t="s">
        <v>253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268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171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265</v>
      </c>
      <c r="S527" s="73">
        <v>742390</v>
      </c>
      <c r="T527" s="98">
        <f>IFERROR(J527,"")</f>
        <v>155.90189999999996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171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169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141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352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353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265</v>
      </c>
      <c r="S540" s="73">
        <v>399600</v>
      </c>
      <c r="T540" s="98">
        <f>IFERROR(J540,"")</f>
        <v>64.532992771084338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268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178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265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354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278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265</v>
      </c>
      <c r="S567" s="73">
        <v>0</v>
      </c>
      <c r="T567" s="98">
        <f>IFERROR(J567,"")</f>
        <v>0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268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278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265</v>
      </c>
      <c r="S581" s="73">
        <v>175540</v>
      </c>
      <c r="T581" s="98">
        <f>IFERROR(J581,"")</f>
        <v>36.863399999999999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171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355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137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171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263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265</v>
      </c>
      <c r="S594" s="73">
        <v>551160</v>
      </c>
      <c r="T594" s="98">
        <f>IFERROR(J594,"")</f>
        <v>115.74359999999999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268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210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265</v>
      </c>
      <c r="S608" s="73">
        <f>981900-413630+137530</f>
        <v>705800</v>
      </c>
      <c r="T608" s="98">
        <f>IFERROR(J608,"")</f>
        <v>148.21799999999999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356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169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171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168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278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265</v>
      </c>
      <c r="S621" s="73">
        <v>508500</v>
      </c>
      <c r="T621" s="98">
        <f>IFERROR(J621,"")</f>
        <v>106.785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268</v>
      </c>
      <c r="S622" s="81">
        <f>S608+S621</f>
        <v>1214300</v>
      </c>
      <c r="T622" s="117">
        <f>IFERROR(J622,"")</f>
        <v>255.00299999999999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328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171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169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265</v>
      </c>
      <c r="S635" s="73">
        <v>631780</v>
      </c>
      <c r="T635" s="98">
        <f>IFERROR(J635,"")</f>
        <v>132.6738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171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357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226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265</v>
      </c>
      <c r="S648" s="73">
        <v>692440</v>
      </c>
      <c r="T648" s="98">
        <f>IFERROR(J648,"")</f>
        <v>145.41239999999996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268</v>
      </c>
      <c r="S649" s="81">
        <f>S635+S648</f>
        <v>1324220</v>
      </c>
      <c r="T649" s="117">
        <f>IFERROR(J649,"")</f>
        <v>278.08619999999996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358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265</v>
      </c>
      <c r="S662" s="73">
        <v>261620</v>
      </c>
      <c r="T662" s="98">
        <f>IFERROR(J662,"")</f>
        <v>54.94019999999999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27.937835820895522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5.8669455223880584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359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11</v>
      </c>
      <c r="H664" s="87">
        <f>IFERROR(IF($G664="","",$G664*$S$675/$G$675/Cadastro!$E$33),"")</f>
        <v>43.902313432835818</v>
      </c>
      <c r="I664" s="89">
        <f>IFERROR(IF($D664="","",VLOOKUP($D664,Cadastro!$C$4:$G$7,5,FALSE())),"")</f>
        <v>0.6</v>
      </c>
      <c r="J664" s="90">
        <f t="shared" si="174"/>
        <v>9.219485820895521</v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5</v>
      </c>
      <c r="H665" s="87">
        <f>IFERROR(IF($G665="","",$G665*$S$675/$G$675/Cadastro!$E$33),"")</f>
        <v>19.955597014925374</v>
      </c>
      <c r="I665" s="89">
        <f>IFERROR(IF($D665="","",VLOOKUP($D665,Cadastro!$C$4:$G$7,5,FALSE())),"")</f>
        <v>0.6</v>
      </c>
      <c r="J665" s="90">
        <f t="shared" si="174"/>
        <v>4.1906753731343285</v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5</v>
      </c>
      <c r="H666" s="87">
        <f>IFERROR(IF($G666="","",$G666*$S$675/$G$675/Cadastro!$E$33),"")</f>
        <v>19.955597014925374</v>
      </c>
      <c r="I666" s="89">
        <f>IFERROR(IF($D666="","",VLOOKUP($D666,Cadastro!$C$4:$G$7,5,FALSE())),"")</f>
        <v>0.6</v>
      </c>
      <c r="J666" s="90">
        <f t="shared" si="174"/>
        <v>4.1906753731343285</v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24</v>
      </c>
      <c r="H667" s="87">
        <f>IFERROR(IF($G667="","",$G667*$S$675/$G$675/Cadastro!$E$33),"")</f>
        <v>95.786865671641792</v>
      </c>
      <c r="I667" s="89">
        <f>IFERROR(IF($D667="","",VLOOKUP($D667,Cadastro!$C$4:$G$7,5,FALSE())),"")</f>
        <v>0.6</v>
      </c>
      <c r="J667" s="90">
        <f t="shared" si="174"/>
        <v>20.115241791044777</v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179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360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16</v>
      </c>
      <c r="H668" s="87">
        <f>IFERROR(IF($G668="","",$G668*$S$675/$G$675/Cadastro!$E$33),"")</f>
        <v>63.857910447761192</v>
      </c>
      <c r="I668" s="89">
        <f>IFERROR(IF($D668="","",VLOOKUP($D668,Cadastro!$C$4:$G$7,5,FALSE())),"")</f>
        <v>0.6</v>
      </c>
      <c r="J668" s="90">
        <f t="shared" si="174"/>
        <v>13.410161194029849</v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11</v>
      </c>
      <c r="H669" s="87">
        <f>IFERROR(IF($G669="","",$G669*$S$675/$G$675/Cadastro!$E$33),"")</f>
        <v>43.902313432835818</v>
      </c>
      <c r="I669" s="89">
        <f>IFERROR(IF($D669="","",VLOOKUP($D669,Cadastro!$C$4:$G$7,5,FALSE())),"")</f>
        <v>0.6</v>
      </c>
      <c r="J669" s="90">
        <f t="shared" si="174"/>
        <v>9.219485820895521</v>
      </c>
      <c r="K669" s="68">
        <f t="shared" si="175"/>
        <v>46.2</v>
      </c>
      <c r="L669" s="69" t="s">
        <v>27</v>
      </c>
      <c r="M669" s="69" t="s">
        <v>48</v>
      </c>
      <c r="N669" s="69" t="s">
        <v>192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20</v>
      </c>
      <c r="H670" s="87">
        <f>IFERROR(IF($G670="","",$G670*$S$675/$G$675/Cadastro!$E$33),"")</f>
        <v>79.822388059701495</v>
      </c>
      <c r="I670" s="89">
        <f>IFERROR(IF($D670="","",VLOOKUP($D670,Cadastro!$C$4:$G$7,5,FALSE())),"")</f>
        <v>0.6</v>
      </c>
      <c r="J670" s="90">
        <f t="shared" si="174"/>
        <v>16.762701492537314</v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9</v>
      </c>
      <c r="H671" s="87">
        <f>IFERROR(IF($G671="","",$G671*$S$675/$G$675/Cadastro!$E$33),"")</f>
        <v>35.92007462686567</v>
      </c>
      <c r="I671" s="89">
        <f>IFERROR(IF($D671="","",VLOOKUP($D671,Cadastro!$C$4:$G$7,5,FALSE())),"")</f>
        <v>0.6</v>
      </c>
      <c r="J671" s="90">
        <f t="shared" si="174"/>
        <v>7.5432156716417902</v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14</v>
      </c>
      <c r="H672" s="87">
        <f>IFERROR(IF($G672="","",$G672*$S$675/$G$675/Cadastro!$E$33),"")</f>
        <v>55.875671641791044</v>
      </c>
      <c r="I672" s="89">
        <f>IFERROR(IF($D672="","",VLOOKUP($D672,Cadastro!$C$4:$G$7,5,FALSE())),"")</f>
        <v>0.6</v>
      </c>
      <c r="J672" s="90">
        <f t="shared" si="174"/>
        <v>11.733891044776117</v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31.928955223880596</v>
      </c>
      <c r="I673" s="89">
        <f>IFERROR(IF($D673="","",VLOOKUP($D673,Cadastro!$C$4:$G$7,5,FALSE())),"")</f>
        <v>0.6</v>
      </c>
      <c r="J673" s="90">
        <f t="shared" si="174"/>
        <v>6.7050805970149243</v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4</v>
      </c>
      <c r="H674" s="91">
        <f>IFERROR(IF($G674="","",$G674*$S$675/$G$675/Cadastro!$E$33),"")</f>
        <v>15.964477611940298</v>
      </c>
      <c r="I674" s="92">
        <f>IFERROR(IF($D674="","",VLOOKUP($D674,Cadastro!$C$4:$G$7,5,FALSE())),"")</f>
        <v>0.6</v>
      </c>
      <c r="J674" s="93">
        <f t="shared" si="174"/>
        <v>3.3525402985074622</v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112.31009999999999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265</v>
      </c>
      <c r="S675" s="73">
        <v>534810</v>
      </c>
      <c r="T675" s="98">
        <f>IFERROR(J675,"")</f>
        <v>112.31009999999999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167.25029999999998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268</v>
      </c>
      <c r="S676" s="81">
        <f>IFERROR(S662+S675,"")</f>
        <v>796430</v>
      </c>
      <c r="T676" s="117">
        <f>IFERROR(J676,"")</f>
        <v>167.25029999999998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 t="s">
        <v>27</v>
      </c>
      <c r="M677" s="69"/>
      <c r="N677" s="69" t="s">
        <v>155</v>
      </c>
      <c r="O677" s="64">
        <v>0.29166666666666669</v>
      </c>
      <c r="P677" s="64"/>
      <c r="Q677" s="70">
        <f t="shared" ref="Q677:Q688" ca="1" si="180">IFERROR(IF(O677="","",IF(P677="",MOD(NOW()-O677,1),IF(P677&gt;=O677,P677-O677,P677+1-O677))),"")</f>
        <v>4.4083449080062564E-2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70" t="str">
        <f t="shared" ca="1" si="180"/>
        <v/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70" t="str">
        <f t="shared" ca="1" si="180"/>
        <v/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4.4083449080062564E-2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79"/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79"/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4.4083449080062564E-2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112"/>
      <c r="T837" s="113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54" activePane="bottomLeft" state="frozen"/>
      <selection pane="bottomLeft" activeCell="P685" sqref="P685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265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361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146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169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146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315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173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362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278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278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265</v>
      </c>
      <c r="S27" s="73">
        <v>358000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265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179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321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361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361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169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145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265</v>
      </c>
      <c r="S54" s="73">
        <v>279980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278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278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278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278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278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141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363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278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278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278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278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265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364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160</v>
      </c>
      <c r="N70" s="60" t="s">
        <v>199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169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169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265</v>
      </c>
      <c r="S81" s="73">
        <v>185920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365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149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366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265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149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149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169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265</v>
      </c>
      <c r="S108" s="73">
        <v>434370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265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169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169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368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146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142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212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265</v>
      </c>
      <c r="S135" s="73">
        <v>416350</v>
      </c>
      <c r="T135" s="98">
        <f>IFERROR(J135,"")</f>
        <v>0</v>
      </c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369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218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149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329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265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321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265</v>
      </c>
      <c r="S162" s="73">
        <v>169760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370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169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169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265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371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160</v>
      </c>
      <c r="N181" s="69" t="s">
        <v>145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332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332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265</v>
      </c>
      <c r="S189" s="73">
        <v>72220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160</v>
      </c>
      <c r="N194" s="60" t="s">
        <v>195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160</v>
      </c>
      <c r="N195" s="60" t="s">
        <v>195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265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372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265</v>
      </c>
      <c r="S216" s="73">
        <v>148720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268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146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169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146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373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146</v>
      </c>
      <c r="N222" s="60" t="s">
        <v>70</v>
      </c>
      <c r="O222" s="64">
        <v>0.69930555555555596</v>
      </c>
      <c r="P222" s="64" t="s">
        <v>374</v>
      </c>
      <c r="Q222" s="65" t="str">
        <f t="shared" ca="1" si="49"/>
        <v/>
      </c>
      <c r="R222" s="62" t="s">
        <v>375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265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265</v>
      </c>
      <c r="S243" s="73">
        <v>352720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268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376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263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263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265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278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278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278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278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278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278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278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278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278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278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278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278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327900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268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263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462190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212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212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197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265</v>
      </c>
      <c r="S311" s="73">
        <v>567440</v>
      </c>
      <c r="T311" s="98">
        <f>IFERROR(J311,"")</f>
        <v>96.630879999999991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149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146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146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265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268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149</v>
      </c>
      <c r="N326" s="60" t="s">
        <v>141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339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149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377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137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149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340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278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265</v>
      </c>
      <c r="S338" s="73">
        <v>387310</v>
      </c>
      <c r="T338" s="98">
        <f>IFERROR(J338,"")</f>
        <v>81.335099999999983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146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146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265</v>
      </c>
      <c r="S351" s="73">
        <v>256170</v>
      </c>
      <c r="T351" s="98">
        <f>IFERROR(J351,"")</f>
        <v>53.795699999999997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268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321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169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146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265</v>
      </c>
      <c r="S365" s="73">
        <v>332130</v>
      </c>
      <c r="T365" s="98">
        <f>IFERROR(J365,"")</f>
        <v>69.747299999999981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146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218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265</v>
      </c>
      <c r="S378" s="73">
        <v>360560</v>
      </c>
      <c r="T378" s="98">
        <f>IFERROR(J378,"")</f>
        <v>75.71759999999999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268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378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343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265</v>
      </c>
      <c r="S392" s="73">
        <v>479620</v>
      </c>
      <c r="T392" s="98">
        <f>IFERROR(J392,"")</f>
        <v>100.72019999999998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169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169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265</v>
      </c>
      <c r="S405" s="73">
        <v>489360</v>
      </c>
      <c r="T405" s="98">
        <f>IFERROR(J405,"")</f>
        <v>99.305125714285708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268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379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265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380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169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265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268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381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381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265</v>
      </c>
      <c r="S446" s="73">
        <v>389280</v>
      </c>
      <c r="T446" s="98">
        <f>IFERROR(J446,"")</f>
        <v>74.494452705882338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137</v>
      </c>
      <c r="N447" s="69" t="s">
        <v>223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212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382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265</v>
      </c>
      <c r="S459" s="73">
        <v>471910</v>
      </c>
      <c r="T459" s="98">
        <f>IFERROR(J459,"")</f>
        <v>92.928007027027007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268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265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321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137</v>
      </c>
      <c r="N475" s="69" t="s">
        <v>196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169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141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383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265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268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278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368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265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384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212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168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385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265</v>
      </c>
      <c r="S513" s="73">
        <v>357140</v>
      </c>
      <c r="T513" s="98">
        <f>IFERROR(J513,"")</f>
        <v>61.810729999999992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268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386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265</v>
      </c>
      <c r="S527" s="73">
        <v>393130</v>
      </c>
      <c r="T527" s="98">
        <f>IFERROR(J527,"")</f>
        <v>82.557299999999998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169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321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387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265</v>
      </c>
      <c r="S540" s="73">
        <v>270460</v>
      </c>
      <c r="T540" s="98">
        <f>IFERROR(J540,"")</f>
        <v>46.847219016393439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268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388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225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265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137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212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212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220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321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210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212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389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263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361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263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265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268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141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321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178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160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265</v>
      </c>
      <c r="S581" s="73">
        <v>631330</v>
      </c>
      <c r="T581" s="98">
        <f>IFERROR(J581,"")</f>
        <v>132.57929999999996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384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137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263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265</v>
      </c>
      <c r="S594" s="73">
        <v>456490</v>
      </c>
      <c r="T594" s="98">
        <f>IFERROR(J594,"")</f>
        <v>95.862899999999996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268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321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265</v>
      </c>
      <c r="S608" s="73">
        <f>736040-425430+31060</f>
        <v>341670</v>
      </c>
      <c r="T608" s="98">
        <f>IFERROR(J608,"")</f>
        <v>71.750699999999995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381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178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390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390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390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265</v>
      </c>
      <c r="S621" s="73">
        <v>399510</v>
      </c>
      <c r="T621" s="98">
        <f>IFERROR(J621,"")</f>
        <v>83.897099999999995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268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366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212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212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265</v>
      </c>
      <c r="S635" s="73">
        <v>290880</v>
      </c>
      <c r="T635" s="98">
        <f>IFERROR(J635,"")</f>
        <v>61.084799999999987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391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210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226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265</v>
      </c>
      <c r="S648" s="73">
        <v>273070</v>
      </c>
      <c r="T648" s="98">
        <f>IFERROR(J648,"")</f>
        <v>57.344699999999989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268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265</v>
      </c>
      <c r="S662" s="73">
        <v>24120</v>
      </c>
      <c r="T662" s="98">
        <f>IFERROR(J662,"")</f>
        <v>5.0651999999999999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23.488356164383561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4.9325547945205477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210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6</v>
      </c>
      <c r="H664" s="87">
        <f>IFERROR(IF($G664="","",$G664*$S$675/$G$675/Cadastro!$E$33),"")</f>
        <v>28.186027397260272</v>
      </c>
      <c r="I664" s="89">
        <f>IFERROR(IF($D664="","",VLOOKUP($D664,Cadastro!$C$4:$G$7,5,FALSE())),"")</f>
        <v>0.6</v>
      </c>
      <c r="J664" s="90">
        <f t="shared" si="171"/>
        <v>5.9190657534246567</v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392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0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1"/>
        <v>0</v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</v>
      </c>
      <c r="H666" s="87">
        <f>IFERROR(IF($G666="","",$G666*$S$675/$G$675/Cadastro!$E$33),"")</f>
        <v>4.6976712328767123</v>
      </c>
      <c r="I666" s="89">
        <f>IFERROR(IF($D666="","",VLOOKUP($D666,Cadastro!$C$4:$G$7,5,FALSE())),"")</f>
        <v>0.6</v>
      </c>
      <c r="J666" s="90">
        <f t="shared" si="171"/>
        <v>0.98651095890410956</v>
      </c>
      <c r="K666" s="63">
        <f t="shared" si="172"/>
        <v>4.2</v>
      </c>
      <c r="L666" s="60" t="s">
        <v>27</v>
      </c>
      <c r="M666" s="60" t="s">
        <v>56</v>
      </c>
      <c r="N666" s="60" t="s">
        <v>141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393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4</v>
      </c>
      <c r="H667" s="87">
        <f>IFERROR(IF($G667="","",$G667*$S$675/$G$675/Cadastro!$E$33),"")</f>
        <v>18.790684931506849</v>
      </c>
      <c r="I667" s="89">
        <f>IFERROR(IF($D667="","",VLOOKUP($D667,Cadastro!$C$4:$G$7,5,FALSE())),"")</f>
        <v>0.6</v>
      </c>
      <c r="J667" s="90">
        <f t="shared" si="171"/>
        <v>3.9460438356164382</v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7</v>
      </c>
      <c r="H668" s="87">
        <f>IFERROR(IF($G668="","",$G668*$S$675/$G$675/Cadastro!$E$33),"")</f>
        <v>32.883698630136983</v>
      </c>
      <c r="I668" s="89">
        <f>IFERROR(IF($D668="","",VLOOKUP($D668,Cadastro!$C$4:$G$7,5,FALSE())),"")</f>
        <v>0.6</v>
      </c>
      <c r="J668" s="90">
        <f t="shared" si="171"/>
        <v>6.9055767123287657</v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6</v>
      </c>
      <c r="H669" s="87">
        <f>IFERROR(IF($G669="","",$G669*$S$675/$G$675/Cadastro!$E$33),"")</f>
        <v>28.186027397260272</v>
      </c>
      <c r="I669" s="89">
        <f>IFERROR(IF($D669="","",VLOOKUP($D669,Cadastro!$C$4:$G$7,5,FALSE())),"")</f>
        <v>0.6</v>
      </c>
      <c r="J669" s="90">
        <f t="shared" si="171"/>
        <v>5.9190657534246567</v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11</v>
      </c>
      <c r="H670" s="87">
        <f>IFERROR(IF($G670="","",$G670*$S$675/$G$675/Cadastro!$E$33),"")</f>
        <v>51.674383561643836</v>
      </c>
      <c r="I670" s="89">
        <f>IFERROR(IF($D670="","",VLOOKUP($D670,Cadastro!$C$4:$G$7,5,FALSE())),"")</f>
        <v>0.6</v>
      </c>
      <c r="J670" s="90">
        <f t="shared" si="171"/>
        <v>10.851620547945204</v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4</v>
      </c>
      <c r="H671" s="87">
        <f>IFERROR(IF($G671="","",$G671*$S$675/$G$675/Cadastro!$E$33),"")</f>
        <v>18.790684931506849</v>
      </c>
      <c r="I671" s="89">
        <f>IFERROR(IF($D671="","",VLOOKUP($D671,Cadastro!$C$4:$G$7,5,FALSE())),"")</f>
        <v>0.6</v>
      </c>
      <c r="J671" s="90">
        <f t="shared" si="171"/>
        <v>3.9460438356164382</v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13</v>
      </c>
      <c r="H672" s="87">
        <f>IFERROR(IF($G672="","",$G672*$S$675/$G$675/Cadastro!$E$33),"")</f>
        <v>61.069726027397259</v>
      </c>
      <c r="I672" s="89">
        <f>IFERROR(IF($D672="","",VLOOKUP($D672,Cadastro!$C$4:$G$7,5,FALSE())),"")</f>
        <v>0.6</v>
      </c>
      <c r="J672" s="90">
        <f t="shared" si="171"/>
        <v>12.824642465753424</v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37.581369863013698</v>
      </c>
      <c r="I673" s="89">
        <f>IFERROR(IF($D673="","",VLOOKUP($D673,Cadastro!$C$4:$G$7,5,FALSE())),"")</f>
        <v>0.6</v>
      </c>
      <c r="J673" s="90">
        <f t="shared" si="171"/>
        <v>7.8920876712328765</v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69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8</v>
      </c>
      <c r="H674" s="91">
        <f>IFERROR(IF($G674="","",$G674*$S$675/$G$675/Cadastro!$E$33),"")</f>
        <v>37.581369863013698</v>
      </c>
      <c r="I674" s="92">
        <f>IFERROR(IF($D674="","",VLOOKUP($D674,Cadastro!$C$4:$G$7,5,FALSE())),"")</f>
        <v>0.6</v>
      </c>
      <c r="J674" s="93">
        <f t="shared" si="171"/>
        <v>7.8920876712328765</v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72.015299999999982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265</v>
      </c>
      <c r="S675" s="73">
        <v>342930</v>
      </c>
      <c r="T675" s="98">
        <f>IFERROR(J675,"")</f>
        <v>72.015299999999982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77.080499999999986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268</v>
      </c>
      <c r="S676" s="81">
        <f>IFERROR(S662+S675,"")</f>
        <v>367050</v>
      </c>
      <c r="T676" s="117">
        <f>IFERROR(J676,"")</f>
        <v>77.080499999999986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5">IFERROR(IF($H677="","",$H677*$F677*$I677),"")</f>
        <v/>
      </c>
      <c r="K677" s="68" t="str">
        <f t="shared" ref="K677:K688" si="176">IF(G677="","",IF(E677="PC 17",G677*4.2,IF(E677="PC 19",G677*5,IF(E677="CB",G677*24,""))))</f>
        <v/>
      </c>
      <c r="L677" s="60" t="s">
        <v>29</v>
      </c>
      <c r="M677" s="69" t="s">
        <v>169</v>
      </c>
      <c r="N677" s="69" t="s">
        <v>83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5"/>
        <v/>
      </c>
      <c r="K678" s="63" t="str">
        <f t="shared" si="176"/>
        <v/>
      </c>
      <c r="M678" s="60"/>
      <c r="N678" s="60"/>
      <c r="O678" s="64"/>
      <c r="P678" s="64"/>
      <c r="Q678" s="65" t="str">
        <f t="shared" ca="1" si="177"/>
        <v/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5"/>
        <v/>
      </c>
      <c r="K679" s="68" t="str">
        <f t="shared" si="176"/>
        <v/>
      </c>
      <c r="L679" s="69"/>
      <c r="M679" s="69"/>
      <c r="N679" s="69"/>
      <c r="O679" s="64"/>
      <c r="P679" s="64"/>
      <c r="Q679" s="70" t="str">
        <f t="shared" ca="1" si="177"/>
        <v/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5"/>
        <v/>
      </c>
      <c r="K680" s="63" t="str">
        <f t="shared" si="176"/>
        <v/>
      </c>
      <c r="L680" s="60"/>
      <c r="M680" s="60"/>
      <c r="N680" s="60"/>
      <c r="O680" s="64"/>
      <c r="P680" s="64"/>
      <c r="Q680" s="65" t="str">
        <f t="shared" ca="1" si="177"/>
        <v/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5"/>
        <v/>
      </c>
      <c r="K681" s="68" t="str">
        <f t="shared" si="176"/>
        <v/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5"/>
        <v/>
      </c>
      <c r="K682" s="63" t="str">
        <f t="shared" si="176"/>
        <v/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5"/>
        <v/>
      </c>
      <c r="K683" s="68" t="str">
        <f t="shared" si="176"/>
        <v/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5"/>
        <v/>
      </c>
      <c r="K684" s="63" t="str">
        <f t="shared" si="176"/>
        <v/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5"/>
        <v/>
      </c>
      <c r="K685" s="68" t="str">
        <f t="shared" si="176"/>
        <v/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5"/>
        <v/>
      </c>
      <c r="K686" s="63" t="str">
        <f t="shared" si="176"/>
        <v/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5"/>
        <v/>
      </c>
      <c r="K687" s="68" t="str">
        <f t="shared" si="176"/>
        <v/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5"/>
        <v/>
      </c>
      <c r="K688" s="63" t="str">
        <f t="shared" si="176"/>
        <v/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8.3333333333333592E-3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79">IFERROR(IF($H690="","",$H690*$F690*$I690),"")</f>
        <v/>
      </c>
      <c r="K690" s="63" t="str">
        <f t="shared" ref="K690:K701" si="180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1">IFERROR(IF(O690="","",IF(P690="",MOD(NOW()-O690,1),IF(P690&gt;=O690,P690-O690,P690+1-O690))),"")</f>
        <v/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79"/>
        <v/>
      </c>
      <c r="K691" s="68" t="str">
        <f t="shared" si="180"/>
        <v/>
      </c>
      <c r="L691" s="69"/>
      <c r="M691" s="69"/>
      <c r="N691" s="69"/>
      <c r="O691" s="64"/>
      <c r="P691" s="64"/>
      <c r="Q691" s="70" t="str">
        <f t="shared" ca="1" si="181"/>
        <v/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79"/>
        <v/>
      </c>
      <c r="K692" s="63" t="str">
        <f t="shared" si="180"/>
        <v/>
      </c>
      <c r="L692" s="60"/>
      <c r="M692" s="60"/>
      <c r="N692" s="60"/>
      <c r="O692" s="64"/>
      <c r="P692" s="64"/>
      <c r="Q692" s="65" t="str">
        <f t="shared" ca="1" si="181"/>
        <v/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79"/>
        <v/>
      </c>
      <c r="K693" s="68" t="str">
        <f t="shared" si="180"/>
        <v/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79"/>
        <v/>
      </c>
      <c r="K694" s="63" t="str">
        <f t="shared" si="180"/>
        <v/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79"/>
        <v/>
      </c>
      <c r="K695" s="68" t="str">
        <f t="shared" si="180"/>
        <v/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79"/>
        <v/>
      </c>
      <c r="K696" s="63" t="str">
        <f t="shared" si="180"/>
        <v/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79"/>
        <v/>
      </c>
      <c r="K699" s="68" t="str">
        <f t="shared" si="180"/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79"/>
        <v/>
      </c>
      <c r="K700" s="63" t="str">
        <f t="shared" si="180"/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8.3333333333333592E-3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L317:L677 L679:L900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662" activePane="bottomLeft" state="frozen"/>
      <selection pane="bottomLeft" activeCell="P678" sqref="P678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265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278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394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318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141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361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141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395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173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396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278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278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265</v>
      </c>
      <c r="S27" s="73">
        <v>491520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268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278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278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278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278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278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278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278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278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278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278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278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265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397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265</v>
      </c>
      <c r="S54" s="73">
        <v>352430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268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220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398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141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399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265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234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400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141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361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220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278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265</v>
      </c>
      <c r="S81" s="73">
        <v>612410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268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174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265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174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141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361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265</v>
      </c>
      <c r="S108" s="73">
        <v>956070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268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174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234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239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239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174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401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265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220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402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321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141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361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265</v>
      </c>
      <c r="S135" s="73">
        <v>912240</v>
      </c>
      <c r="T135" s="98">
        <f>IFERROR(J135,"")</f>
        <v>0</v>
      </c>
    </row>
    <row r="136" spans="1:22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268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174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403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404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152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174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329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264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265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174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405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151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406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265</v>
      </c>
      <c r="S162" s="73">
        <v>573230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151</v>
      </c>
      <c r="N164" s="60" t="s">
        <v>145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174</v>
      </c>
      <c r="N165" s="69" t="s">
        <v>197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174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168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152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174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407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152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265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408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152</v>
      </c>
      <c r="N178" s="60" t="s">
        <v>141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174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265</v>
      </c>
      <c r="S189" s="73">
        <v>692750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174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168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409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169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265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410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411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412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265</v>
      </c>
      <c r="S216" s="73">
        <v>607180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268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413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414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265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415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416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163</v>
      </c>
      <c r="N233" s="69" t="s">
        <v>141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265</v>
      </c>
      <c r="S243" s="73">
        <v>795250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268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178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 t="s">
        <v>288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163</v>
      </c>
      <c r="N249" s="69" t="s">
        <v>141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417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265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278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278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278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278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278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278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278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278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278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278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278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278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265</v>
      </c>
      <c r="S270" s="73">
        <v>683360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268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278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265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265</v>
      </c>
      <c r="S297" s="73">
        <v>904710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268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197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265</v>
      </c>
      <c r="S311" s="73">
        <v>948950</v>
      </c>
      <c r="T311" s="98">
        <f>IFERROR(J311,"")</f>
        <v>159.15670781249997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169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174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265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268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174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278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265</v>
      </c>
      <c r="S338" s="73">
        <v>1211360</v>
      </c>
      <c r="T338" s="98">
        <f>IFERROR(J338,"")</f>
        <v>254.38559999999993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174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174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174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418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419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265</v>
      </c>
      <c r="S351" s="73">
        <v>1058130</v>
      </c>
      <c r="T351" s="98">
        <f>IFERROR(J351,"")</f>
        <v>222.20729999999995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268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152</v>
      </c>
      <c r="N354" s="69" t="s">
        <v>141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420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421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264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265</v>
      </c>
      <c r="S365" s="73">
        <v>885120</v>
      </c>
      <c r="T365" s="98">
        <f>IFERROR(J365,"")</f>
        <v>185.87519999999998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143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174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168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422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178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265</v>
      </c>
      <c r="S378" s="73">
        <v>1137080</v>
      </c>
      <c r="T378" s="98">
        <f>IFERROR(J378,"")</f>
        <v>238.78679999999994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268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143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278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140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174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343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423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265</v>
      </c>
      <c r="S392" s="73">
        <v>675670</v>
      </c>
      <c r="T392" s="98">
        <f>IFERROR(J392,"")</f>
        <v>141.89069999999998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234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174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424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265</v>
      </c>
      <c r="S405" s="73">
        <v>989450</v>
      </c>
      <c r="T405" s="98">
        <f>IFERROR(J405,"")</f>
        <v>195.72390675675675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268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241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425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174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174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141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265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174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426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140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174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265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268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278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174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168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265</v>
      </c>
      <c r="S446" s="73">
        <v>833920</v>
      </c>
      <c r="T446" s="98">
        <f>IFERROR(J446,"")</f>
        <v>161.58908852459015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174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427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178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214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421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265</v>
      </c>
      <c r="S459" s="73">
        <v>1024280</v>
      </c>
      <c r="T459" s="98">
        <f>IFERROR(J459,"")</f>
        <v>202.88866044052861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268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140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140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265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174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169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140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428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174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141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383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265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268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174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265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174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140</v>
      </c>
      <c r="N502" s="60" t="s">
        <v>211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174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429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278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265</v>
      </c>
      <c r="S513" s="73">
        <v>727700</v>
      </c>
      <c r="T513" s="98">
        <f>IFERROR(J513,"")</f>
        <v>123.69990375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268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174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265</v>
      </c>
      <c r="S527" s="73">
        <v>963090</v>
      </c>
      <c r="T527" s="98">
        <f>IFERROR(J527,"")</f>
        <v>202.24889999999996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263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174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278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174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265</v>
      </c>
      <c r="S540" s="73">
        <v>746110</v>
      </c>
      <c r="T540" s="98">
        <f>IFERROR(J540,"")</f>
        <v>126.60637832335328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268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169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179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430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431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265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432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174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433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174</v>
      </c>
      <c r="N560" s="60" t="s">
        <v>212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434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435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436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174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437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420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135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265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268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169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168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421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169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438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169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169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265</v>
      </c>
      <c r="S581" s="73">
        <v>759800</v>
      </c>
      <c r="T581" s="98">
        <f>IFERROR(J581,"")</f>
        <v>159.55799999999996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174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439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440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383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143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265</v>
      </c>
      <c r="S594" s="73">
        <v>985680</v>
      </c>
      <c r="T594" s="98">
        <f>IFERROR(J594,"")</f>
        <v>206.99279999999996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268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174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441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265</v>
      </c>
      <c r="S608" s="73">
        <f>1545300-910510+75170</f>
        <v>709960</v>
      </c>
      <c r="T608" s="98">
        <f>IFERROR(J608,"")</f>
        <v>149.09159999999997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383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420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141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442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437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174</v>
      </c>
      <c r="N614" s="60" t="s">
        <v>197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265</v>
      </c>
      <c r="S621" s="73">
        <v>715660</v>
      </c>
      <c r="T621" s="98">
        <f>IFERROR(J621,"")</f>
        <v>143.63866194690266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268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174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168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443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265</v>
      </c>
      <c r="S635" s="73">
        <v>1044100</v>
      </c>
      <c r="T635" s="98">
        <f>IFERROR(J635,"")</f>
        <v>219.26100000000002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174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240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444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174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445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174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446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226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265</v>
      </c>
      <c r="S648" s="73">
        <v>729520</v>
      </c>
      <c r="T648" s="98">
        <f>IFERROR(J648,"")</f>
        <v>153.19919999999999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268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447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169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169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174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263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265</v>
      </c>
      <c r="S662" s="73">
        <v>597370</v>
      </c>
      <c r="T662" s="98">
        <f>IFERROR(J662,"")</f>
        <v>125.4477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78.72926267281106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16.533145161290321</v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174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20</v>
      </c>
      <c r="H664" s="87">
        <f>IFERROR(IF($G664="","",$G664*$S$675/$G$675/Cadastro!$E$33),"")</f>
        <v>104.97235023041475</v>
      </c>
      <c r="I664" s="89">
        <f>IFERROR(IF($D664="","",VLOOKUP($D664,Cadastro!$C$4:$G$7,5,FALSE())),"")</f>
        <v>0.6</v>
      </c>
      <c r="J664" s="90">
        <f t="shared" si="174"/>
        <v>22.044193548387092</v>
      </c>
      <c r="K664" s="63">
        <f t="shared" si="175"/>
        <v>84</v>
      </c>
      <c r="L664" s="60" t="s">
        <v>28</v>
      </c>
      <c r="M664" s="60" t="s">
        <v>174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19</v>
      </c>
      <c r="H665" s="87">
        <f>IFERROR(IF($G665="","",$G665*$S$675/$G$675/Cadastro!$E$33),"")</f>
        <v>99.723732718894013</v>
      </c>
      <c r="I665" s="89">
        <f>IFERROR(IF($D665="","",VLOOKUP($D665,Cadastro!$C$4:$G$7,5,FALSE())),"")</f>
        <v>0.6</v>
      </c>
      <c r="J665" s="90">
        <f t="shared" si="174"/>
        <v>20.941983870967739</v>
      </c>
      <c r="K665" s="68">
        <f t="shared" si="175"/>
        <v>79.8</v>
      </c>
      <c r="L665" s="69" t="s">
        <v>27</v>
      </c>
      <c r="M665" s="69" t="s">
        <v>140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11</v>
      </c>
      <c r="H666" s="87">
        <f>IFERROR(IF($G666="","",$G666*$S$675/$G$675/Cadastro!$E$33),"")</f>
        <v>57.734792626728108</v>
      </c>
      <c r="I666" s="89">
        <f>IFERROR(IF($D666="","",VLOOKUP($D666,Cadastro!$C$4:$G$7,5,FALSE())),"")</f>
        <v>0.6</v>
      </c>
      <c r="J666" s="90">
        <f t="shared" si="174"/>
        <v>12.124306451612901</v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27</v>
      </c>
      <c r="H667" s="87">
        <f>IFERROR(IF($G667="","",$G667*$S$675/$G$675/Cadastro!$E$33),"")</f>
        <v>141.71267281105992</v>
      </c>
      <c r="I667" s="89">
        <f>IFERROR(IF($D667="","",VLOOKUP($D667,Cadastro!$C$4:$G$7,5,FALSE())),"")</f>
        <v>0.6</v>
      </c>
      <c r="J667" s="90">
        <f t="shared" si="174"/>
        <v>29.75966129032258</v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25</v>
      </c>
      <c r="H668" s="87">
        <f>IFERROR(IF($G668="","",$G668*$S$675/$G$675/Cadastro!$E$33),"")</f>
        <v>131.21543778801842</v>
      </c>
      <c r="I668" s="89">
        <f>IFERROR(IF($D668="","",VLOOKUP($D668,Cadastro!$C$4:$G$7,5,FALSE())),"")</f>
        <v>0.6</v>
      </c>
      <c r="J668" s="90">
        <f t="shared" si="174"/>
        <v>27.555241935483863</v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24</v>
      </c>
      <c r="H669" s="87">
        <f>IFERROR(IF($G669="","",$G669*$S$675/$G$675/Cadastro!$E$33),"")</f>
        <v>125.96682027649769</v>
      </c>
      <c r="I669" s="89">
        <f>IFERROR(IF($D669="","",VLOOKUP($D669,Cadastro!$C$4:$G$7,5,FALSE())),"")</f>
        <v>0.6</v>
      </c>
      <c r="J669" s="90">
        <f t="shared" si="174"/>
        <v>26.453032258064511</v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23</v>
      </c>
      <c r="H670" s="87">
        <f>IFERROR(IF($G670="","",$G670*$S$675/$G$675/Cadastro!$E$33),"")</f>
        <v>120.71820276497697</v>
      </c>
      <c r="I670" s="89">
        <f>IFERROR(IF($D670="","",VLOOKUP($D670,Cadastro!$C$4:$G$7,5,FALSE())),"")</f>
        <v>0.6</v>
      </c>
      <c r="J670" s="90">
        <f t="shared" si="174"/>
        <v>25.350822580645161</v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23</v>
      </c>
      <c r="H671" s="87">
        <f>IFERROR(IF($G671="","",$G671*$S$675/$G$675/Cadastro!$E$33),"")</f>
        <v>120.71820276497697</v>
      </c>
      <c r="I671" s="89">
        <f>IFERROR(IF($D671="","",VLOOKUP($D671,Cadastro!$C$4:$G$7,5,FALSE())),"")</f>
        <v>0.6</v>
      </c>
      <c r="J671" s="90">
        <f t="shared" si="174"/>
        <v>25.350822580645161</v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9</v>
      </c>
      <c r="H672" s="87">
        <f>IFERROR(IF($G672="","",$G672*$S$675/$G$675/Cadastro!$E$33),"")</f>
        <v>47.237557603686632</v>
      </c>
      <c r="I672" s="89">
        <f>IFERROR(IF($D672="","",VLOOKUP($D672,Cadastro!$C$4:$G$7,5,FALSE())),"")</f>
        <v>0.6</v>
      </c>
      <c r="J672" s="90">
        <f t="shared" si="174"/>
        <v>9.9198870967741914</v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5</v>
      </c>
      <c r="H673" s="87">
        <f>IFERROR(IF($G673="","",$G673*$S$675/$G$675/Cadastro!$E$33),"")</f>
        <v>26.243087557603687</v>
      </c>
      <c r="I673" s="89">
        <f>IFERROR(IF($D673="","",VLOOKUP($D673,Cadastro!$C$4:$G$7,5,FALSE())),"")</f>
        <v>0.6</v>
      </c>
      <c r="J673" s="90">
        <f t="shared" si="174"/>
        <v>5.511048387096773</v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16</v>
      </c>
      <c r="H674" s="91">
        <f>IFERROR(IF($G674="","",$G674*$S$675/$G$675/Cadastro!$E$33),"")</f>
        <v>83.977880184331795</v>
      </c>
      <c r="I674" s="92">
        <f>IFERROR(IF($D674="","",VLOOKUP($D674,Cadastro!$C$4:$G$7,5,FALSE())),"")</f>
        <v>0.6</v>
      </c>
      <c r="J674" s="93">
        <f t="shared" si="174"/>
        <v>17.635354838709677</v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239.17950000000002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265</v>
      </c>
      <c r="S675" s="73">
        <v>1138950</v>
      </c>
      <c r="T675" s="98">
        <f>IFERROR(J675,"")</f>
        <v>239.17950000000002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364.62720000000002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268</v>
      </c>
      <c r="S676" s="81">
        <f>IFERROR(S662+S675,"")</f>
        <v>1736320</v>
      </c>
      <c r="T676" s="117">
        <f>IFERROR(J676,"")</f>
        <v>364.62720000000002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 t="s">
        <v>29</v>
      </c>
      <c r="M677" s="69" t="s">
        <v>143</v>
      </c>
      <c r="N677" s="69" t="s">
        <v>123</v>
      </c>
      <c r="O677" s="64">
        <v>0.29166666666666669</v>
      </c>
      <c r="P677" s="64"/>
      <c r="Q677" s="70">
        <f t="shared" ref="Q677:Q688" ca="1" si="180">IFERROR(IF(O677="","",IF(P677="",MOD(NOW()-O677,1),IF(P677&gt;=O677,P677-O677,P677+1-O677))),"")</f>
        <v>4.4083449080062564E-2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65" t="str">
        <f t="shared" ca="1" si="180"/>
        <v/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62"/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65" t="str">
        <f t="shared" ca="1" si="180"/>
        <v/>
      </c>
      <c r="R680" s="62"/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65" t="str">
        <f t="shared" ca="1" si="180"/>
        <v/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133"/>
      <c r="P689" s="133"/>
      <c r="Q689" s="72">
        <f ca="1">IFERROR(SUM(Q677:Q688),"")</f>
        <v>4.4083449080062564E-2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62"/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133"/>
      <c r="P702" s="133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134"/>
      <c r="P703" s="134"/>
      <c r="Q703" s="76">
        <f ca="1">IFERROR(Q689+Q702,"")</f>
        <v>4.4083449080062564E-2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268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2026-08-26T12:03:56Z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