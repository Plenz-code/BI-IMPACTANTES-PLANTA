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656" documentId="8_{C51EB6CB-002B-4D6B-B68F-DDEBDB4460C0}" xr6:coauthVersionLast="47" xr6:coauthVersionMax="47" xr10:uidLastSave="{1E1EAFE2-17B7-468C-83C5-997C0FC5F80E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<sst xmlns="http://schemas.openxmlformats.org/spreadsheetml/2006/main" count="4700" uniqueCount="316">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</sst>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2165620</v>
      </c>
      <c r="D12" s="8">
        <f>IFERROR('Linha 1'!O244,"")</f>
        <v>503310</v>
      </c>
      <c r="E12" s="8">
        <f>IFERROR('Linha 2'!O244,"")</f>
        <v>329640</v>
      </c>
      <c r="F12" s="8">
        <f>IFERROR('Linha 3'!O244,"")</f>
        <v>755220</v>
      </c>
      <c r="G12" s="9">
        <f t="shared" si="0"/>
        <v>1588170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29446500</v>
      </c>
      <c r="D35" s="13">
        <f>IFERROR(SUM(D4:D34),"")</f>
        <v>8827170</v>
      </c>
      <c r="E35" s="13">
        <f>IFERROR(SUM(E4:E34),"")</f>
        <v>4207220</v>
      </c>
      <c r="F35" s="13">
        <f>IFERROR(SUM(F4:F34),"")</f>
        <v>11603970</v>
      </c>
      <c r="G35" s="13">
        <f>IFERROR(SUM(G4:G34),"")</f>
        <v>24638360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5" activePane="bottomLeft" state="frozen"/>
      <selection pane="bottomLeft" activeCell="F234" sqref="F23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239</v>
      </c>
      <c r="O244" s="48">
        <f>IFERROR(O230+O243,"")</f>
        <v>2165620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03" activePane="bottomLeft" state="frozen"/>
      <selection pane="bottomLeft" activeCell="F242" sqref="F24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0.129334837962233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0.26822372685112189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0.3529459490733442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/>
      <c r="M234" s="30">
        <f t="shared" ca="1" si="52"/>
        <v>3.0029282410396263E-2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134</v>
      </c>
      <c r="G243" s="36">
        <f>SUM(G231:G242)</f>
        <v>647.6</v>
      </c>
      <c r="H243" s="37"/>
      <c r="I243" s="37"/>
      <c r="J243" s="37"/>
      <c r="K243" s="37"/>
      <c r="L243" s="37"/>
      <c r="M243" s="38">
        <f ca="1">IFERROR(SUM(M231:M242),"")</f>
        <v>8.5584837965951871E-2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268</v>
      </c>
      <c r="G244" s="40">
        <f>G230+G243</f>
        <v>1214.4000000000001</v>
      </c>
      <c r="H244" s="41"/>
      <c r="I244" s="41"/>
      <c r="J244" s="41"/>
      <c r="K244" s="41"/>
      <c r="L244" s="41"/>
      <c r="M244" s="42">
        <f ca="1">IFERROR(M230+M243,"")</f>
        <v>0.23489039352150756</v>
      </c>
      <c r="N244" s="40" t="s">
        <v>239</v>
      </c>
      <c r="O244" s="83">
        <f>IFERROR(O230+O243,"")</f>
        <v>503310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42" sqref="F24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0.52655706018413184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0.58489039351746519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/>
      <c r="M231" s="35">
        <f t="shared" ref="M231:M242" ca="1" si="52">IFERROR(IF(K231="","",IF(L231="",MOD(NOW()-K231,1),IF(L231&gt;=K231,L231-K231,L231+1-K231))),"")</f>
        <v>1.3362615740334149E-2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76</v>
      </c>
      <c r="G243" s="36">
        <f>SUM(G231:G242)</f>
        <v>371.20000000000005</v>
      </c>
      <c r="H243" s="37"/>
      <c r="I243" s="37"/>
      <c r="J243" s="37"/>
      <c r="K243" s="37"/>
      <c r="L243" s="37"/>
      <c r="M243" s="38">
        <f ca="1">IFERROR(SUM(M231:M242),"")</f>
        <v>1.3362615740334149E-2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153</v>
      </c>
      <c r="G244" s="40">
        <f>G230+G243</f>
        <v>698.6</v>
      </c>
      <c r="H244" s="41"/>
      <c r="I244" s="41"/>
      <c r="J244" s="41"/>
      <c r="K244" s="41"/>
      <c r="L244" s="41"/>
      <c r="M244" s="42">
        <f ca="1">IFERROR(M230+M243,"")</f>
        <v>0.59825300925779934</v>
      </c>
      <c r="N244" s="40" t="s">
        <v>239</v>
      </c>
      <c r="O244" s="48">
        <f>IFERROR(O230+O243,"")</f>
        <v>329640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9" activePane="bottomLeft" state="frozen"/>
      <selection pane="bottomLeft" activeCell="F242" sqref="F24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314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315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13</v>
      </c>
      <c r="G241" s="34">
        <f t="shared" si="51"/>
        <v>65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135</v>
      </c>
      <c r="G243" s="36">
        <f>SUM(G231:G242)</f>
        <v>655</v>
      </c>
      <c r="H243" s="37"/>
      <c r="I243" s="37"/>
      <c r="J243" s="37"/>
      <c r="K243" s="61"/>
      <c r="L243" s="61"/>
      <c r="M243" s="38">
        <f ca="1">IFERROR(SUM(M231:M242),"")</f>
        <v>8.9583333333333348E-2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304</v>
      </c>
      <c r="G244" s="40">
        <f>G230+G243</f>
        <v>1380.8000000000002</v>
      </c>
      <c r="H244" s="41"/>
      <c r="I244" s="41"/>
      <c r="J244" s="41"/>
      <c r="K244" s="63"/>
      <c r="L244" s="63"/>
      <c r="M244" s="42">
        <f ca="1">IFERROR(M230+M243,"")</f>
        <v>0.1437500000000001</v>
      </c>
      <c r="N244" s="40" t="s">
        <v>239</v>
      </c>
      <c r="O244" s="48">
        <f>IFERROR(O230+O243,"")</f>
        <v>755220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2026-08-10T10:01:37Z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