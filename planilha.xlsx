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867" documentId="8_{AF585B22-221D-4780-BB9C-493D365A6A02}" xr6:coauthVersionLast="47" xr6:coauthVersionMax="47" xr10:uidLastSave="{25E3197A-2A80-427B-9A50-6DBCD145ED9F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<sst xmlns="http://schemas.openxmlformats.org/spreadsheetml/2006/main" count="10976" uniqueCount="410">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</sst>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1568140</v>
      </c>
      <c r="D30" s="8">
        <f>IFERROR('Linha 1'!O730,"")</f>
        <v>479760</v>
      </c>
      <c r="E30" s="8">
        <f>IFERROR('Linha 2'!O730,"")</f>
        <v>333820</v>
      </c>
      <c r="F30" s="8">
        <f>IFERROR('Linha 3'!O730,"")</f>
        <v>613260</v>
      </c>
      <c r="G30" s="9">
        <f t="shared" si="0"/>
        <v>1426840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81097358</v>
      </c>
      <c r="D35" s="13">
        <f>IFERROR(SUM(D4:D34),"")</f>
        <v>32568970</v>
      </c>
      <c r="E35" s="13">
        <f>IFERROR(SUM(E4:E34),"")</f>
        <v>19103080</v>
      </c>
      <c r="F35" s="13">
        <f>IFERROR(SUM(F4:F34),"")</f>
        <v>33969740</v>
      </c>
      <c r="G35" s="13">
        <f>IFERROR(SUM(G4:G34),"")</f>
        <v>85641790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01" activePane="bottomLeft" state="frozen"/>
      <selection pane="bottomLeft" activeCell="F727" sqref="F72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233</v>
      </c>
      <c r="B230" s="107"/>
      <c r="C230" s="107"/>
      <c r="D230" s="107"/>
      <c r="E230" s="108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233</v>
      </c>
      <c r="B338" s="107"/>
      <c r="C338" s="107"/>
      <c r="D338" s="107"/>
      <c r="E338" s="108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233</v>
      </c>
      <c r="B365" s="107"/>
      <c r="C365" s="107"/>
      <c r="D365" s="107"/>
      <c r="E365" s="108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231</v>
      </c>
      <c r="B662" s="107"/>
      <c r="C662" s="107"/>
      <c r="D662" s="107"/>
      <c r="E662" s="108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233</v>
      </c>
      <c r="B689" s="107"/>
      <c r="C689" s="107"/>
      <c r="D689" s="107"/>
      <c r="E689" s="108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30</v>
      </c>
      <c r="G726" s="28">
        <f t="shared" si="159"/>
        <v>150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231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197</v>
      </c>
      <c r="G729" s="36">
        <f>SUM(G717:G728)</f>
        <v>961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500</v>
      </c>
      <c r="G730" s="40">
        <f>G716+G729</f>
        <v>2476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1568140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7" activePane="bottomLeft" state="frozen"/>
      <selection pane="bottomLeft" activeCell="F727" sqref="F72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233</v>
      </c>
      <c r="B338" s="107"/>
      <c r="C338" s="107"/>
      <c r="D338" s="107"/>
      <c r="E338" s="108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233</v>
      </c>
      <c r="B365" s="107"/>
      <c r="C365" s="107"/>
      <c r="D365" s="107"/>
      <c r="E365" s="108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0.97956828703172505</v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1.1372071759206139</v>
      </c>
      <c r="N378" s="36" t="s">
        <v>234</v>
      </c>
      <c r="O378" s="77">
        <v>511980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1.2469293981428362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0.95804050925653428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1.1288738425898677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1.2740127314787566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233</v>
      </c>
      <c r="B662" s="107"/>
      <c r="C662" s="107"/>
      <c r="D662" s="107"/>
      <c r="E662" s="108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258</v>
      </c>
      <c r="F726" s="27">
        <v>12</v>
      </c>
      <c r="G726" s="28">
        <f t="shared" si="159"/>
        <v>50.400000000000006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142</v>
      </c>
      <c r="G729" s="36">
        <f>SUM(G717:G728)</f>
        <v>615.6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259</v>
      </c>
      <c r="G730" s="40">
        <f>G716+G729</f>
        <v>1107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479760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695" zoomScale="50" zoomScaleNormal="50" workbookViewId="0">
      <selection activeCell="K719" sqref="K71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233</v>
      </c>
      <c r="B230" s="107"/>
      <c r="C230" s="107"/>
      <c r="D230" s="107"/>
      <c r="E230" s="108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233</v>
      </c>
      <c r="B338" s="107"/>
      <c r="C338" s="107"/>
      <c r="D338" s="107"/>
      <c r="E338" s="108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233</v>
      </c>
      <c r="B365" s="107"/>
      <c r="C365" s="107"/>
      <c r="D365" s="107"/>
      <c r="E365" s="108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233</v>
      </c>
      <c r="B662" s="107"/>
      <c r="C662" s="107"/>
      <c r="D662" s="107"/>
      <c r="E662" s="108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233</v>
      </c>
      <c r="B689" s="107"/>
      <c r="C689" s="107"/>
      <c r="D689" s="107"/>
      <c r="E689" s="108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>
        <v>0.21666666666666667</v>
      </c>
      <c r="L718" s="29"/>
      <c r="M718" s="30">
        <f t="shared" ca="1" si="160"/>
        <v>2.484953700331971E-3</v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6</v>
      </c>
      <c r="G726" s="28">
        <f t="shared" si="159"/>
        <v>25.200000000000003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33</v>
      </c>
      <c r="G729" s="36">
        <f>SUM(G717:G728)</f>
        <v>143.4</v>
      </c>
      <c r="H729" s="37"/>
      <c r="I729" s="37"/>
      <c r="J729" s="37"/>
      <c r="K729" s="37"/>
      <c r="L729" s="37"/>
      <c r="M729" s="38">
        <f ca="1">IFERROR(SUM(M717:M728),"")</f>
        <v>1.6373842589220922E-2</v>
      </c>
      <c r="N729" s="36" t="s">
        <v>234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109</v>
      </c>
      <c r="G730" s="40">
        <f>G716+G729</f>
        <v>462.6</v>
      </c>
      <c r="H730" s="41"/>
      <c r="I730" s="41"/>
      <c r="J730" s="41"/>
      <c r="K730" s="41"/>
      <c r="L730" s="41"/>
      <c r="M730" s="42">
        <f ca="1">IFERROR(M716+M729,"")</f>
        <v>0.11984606481144316</v>
      </c>
      <c r="N730" s="40" t="s">
        <v>237</v>
      </c>
      <c r="O730" s="48">
        <f>IFERROR(O716+O729,"")</f>
        <v>333820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09" activePane="bottomLeft" state="frozen"/>
      <selection pane="bottomLeft" activeCell="L724" sqref="L72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0.96984606481419178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1.1691516203697474</v>
      </c>
      <c r="N135" s="36" t="s">
        <v>234</v>
      </c>
      <c r="O135" s="39">
        <v>729290</v>
      </c>
    </row>
    <row r="136" spans="1:18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1.5365127314808584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233</v>
      </c>
      <c r="B230" s="107"/>
      <c r="C230" s="107"/>
      <c r="D230" s="107"/>
      <c r="E230" s="108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233</v>
      </c>
      <c r="B338" s="107"/>
      <c r="C338" s="107"/>
      <c r="D338" s="107"/>
      <c r="E338" s="108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233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233</v>
      </c>
      <c r="B689" s="107"/>
      <c r="C689" s="107"/>
      <c r="D689" s="107"/>
      <c r="E689" s="108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409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11</v>
      </c>
      <c r="G726" s="28">
        <f t="shared" si="159"/>
        <v>46.2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157</v>
      </c>
      <c r="G729" s="36">
        <f>SUM(G717:G728)</f>
        <v>685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289</v>
      </c>
      <c r="G730" s="40">
        <f>G716+G729</f>
        <v>1239.4000000000001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613260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2026-07-28T09:15:53Z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