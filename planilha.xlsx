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69" documentId="8_{C51EB6CB-002B-4D6B-B68F-DDEBDB4460C0}" xr6:coauthVersionLast="47" xr6:coauthVersionMax="47" xr10:uidLastSave="{C6D634B1-4657-4B96-A1BC-32E0EB326F86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<sst xmlns="http://schemas.openxmlformats.org/spreadsheetml/2006/main" count="3045" uniqueCount="276">
  <si>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</si>
  <si>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</si>
  <si>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</si>
  <si>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</si>
  <si>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</si>
  <si>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</si>
  <si>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</si>
  <si>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</si>
  <si>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</si>
  <si>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</si>
  <si>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</si>
  <si>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</si>
  <si>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</si>
  <si>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</si>
  <si>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</si>
  <si>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</si>
  <si>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</si>
  <si>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</si>
  <si>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</si>
  <si>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</si>
  <si>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</si>
  <si>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</si>
  <si>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</si>
  <si>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</si>
  <si>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</si>
  <si>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</si>
  <si>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</si>
  <si>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</si>
  <si>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</si>
  <si>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</si>
  <si>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</si>
  <si>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</si>
  <si>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</si>
  <si>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</si>
  <si>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</si>
  <si>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</si>
  <si>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</si>
  <si>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</si>
  <si>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</si>
  <si>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</si>
  <si>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</si>
  <si>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</si>
  <si>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</si>
  <si>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</si>
  <si>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</si>
  <si>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</si>
  <si>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</si>
  <si>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</si>
  <si>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</si>
  <si>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</si>
  <si>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</si>
  <si>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</si>
  <si>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</si>
  <si>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</si>
  <si>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</si>
  <si>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</si>
  <si>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</si>
  <si>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</si>
  <si>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</si>
  <si>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</si>
  <si>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</si>
  <si>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</si>
  <si>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</si>
  <si>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</si>
  <si>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</si>
  <si>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</si>
  <si>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</si>
  <si>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</si>
  <si>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</si>
  <si>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</si>
  <si>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</si>
  <si>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</si>
  <si>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</si>
  <si>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</si>
  <si>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</si>
  <si>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</si>
  <si>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</si>
  <si>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</si>
  <si>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</si>
  <si>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</si>
  <si>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</si>
  <si>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</si>
  <si>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</si>
  <si>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</si>
  <si>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</si>
  <si>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</si>
  <si>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</si>
  <si>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</si>
  <si>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</si>
  <si>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</si>
  <si>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</si>
  <si>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</si>
  <si>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</si>
  <si>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</si>
  <si>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</si>
  <si>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</si>
  <si>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</si>
  <si>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</si>
  <si>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</si>
  <si>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</si>
  <si>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</si>
  <si>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</si>
  <si>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</si>
  <si>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</si>
  <si>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</si>
  <si>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</si>
  <si>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</si>
  <si>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</si>
  <si>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</si>
  <si>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</si>
  <si>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</si>
  <si>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</si>
  <si>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</si>
  <si>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</si>
  <si>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</si>
  <si>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</si>
  <si>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</si>
  <si>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</si>
  <si>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</si>
  <si>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</si>
  <si>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</si>
  <si>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</si>
  <si>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</si>
  <si>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</si>
  <si>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</si>
  <si>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</si>
  <si>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</si>
  <si>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</si>
  <si>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</si>
  <si>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</si>
  <si>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</si>
  <si>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</si>
  <si>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</si>
  <si>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</si>
  <si>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</si>
  <si>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</si>
  <si>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</si>
  <si>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</si>
  <si>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</si>
  <si>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</si>
  <si>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</si>
  <si>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</si>
  <si>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</si>
  <si>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</si>
  <si>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</si>
  <si>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</si>
  <si>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</si>
  <si>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</si>
  <si>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</si>
  <si>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</si>
  <si>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</si>
  <si>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</si>
  <si>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</si>
  <si>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</si>
  <si>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</si>
  <si>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</si>
  <si>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</si>
  <si>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</si>
  <si>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</si>
  <si>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</si>
  <si>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</si>
  <si>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</si>
  <si>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</si>
  <si>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</si>
  <si>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</si>
  <si>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</si>
  <si>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</si>
  <si>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</si>
  <si>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</si>
  <si>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</si>
  <si>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</si>
  <si>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</si>
  <si>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</si>
  <si>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</si>
  <si>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</si>
  <si>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</si>
  <si>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</si>
  <si>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</si>
  <si>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</si>
  <si>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</si>
  <si>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</si>
  <si>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</si>
  <si>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</si>
  <si>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</si>
  <si>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</si>
  <si>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</si>
  <si>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</si>
  <si>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</si>
  <si>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</si>
  <si>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</si>
  <si>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</si>
  <si>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</si>
  <si>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</si>
  <si>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</si>
  <si>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</si>
  <si>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</si>
  <si>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</si>
  <si>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</si>
  <si>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</si>
  <si>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</si>
  <si>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</si>
  <si>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</si>
  <si>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</si>
  <si>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</si>
  <si>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</si>
  <si>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</si>
  <si>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</si>
  <si>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</si>
  <si>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</si>
  <si>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</si>
  <si>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</si>
  <si>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</si>
  <si>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</si>
  <si>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</si>
  <si>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</si>
  <si>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</si>
  <si>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</si>
  <si>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</si>
  <si>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</si>
  <si>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</si>
  <si>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</si>
  <si>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</si>
  <si>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</si>
  <si>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</si>
  <si>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</si>
  <si>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</si>
  <si>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</si>
  <si>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</si>
  <si>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</si>
  <si>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</si>
  <si>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</si>
  <si>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</si>
  <si>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</si>
  <si>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</si>
  <si>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</si>
  <si>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</si>
  <si>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</si>
  <si>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</si>
  <si>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</si>
  <si>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</si>
  <si>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</si>
  <si>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</si>
  <si>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</si>
  <si>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</si>
  <si>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</si>
  <si>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</si>
  <si>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</si>
  <si>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</si>
  <si>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</si>
  <si>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</si>
  <si>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</si>
  <si>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</si>
  <si>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</si>
  <si>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</si>
  <si>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</si>
  <si>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</si>
  <si>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</si>
  <si>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</si>
  <si>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2;57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</si>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</sst>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229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229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229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297</v>
      </c>
      <c r="G135" s="36">
        <f>SUM(G123:G134)</f>
        <v>1485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419</v>
      </c>
      <c r="G136" s="40">
        <f>G122+G135</f>
        <v>2095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8.2533564782352187E-3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0.14714224536712411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0.23186446758934642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120</v>
      </c>
      <c r="J127" s="33" t="s">
        <v>113</v>
      </c>
      <c r="K127" s="29">
        <v>4.1666666666666664E-2</v>
      </c>
      <c r="L127" s="29" t="s">
        <v>258</v>
      </c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17</v>
      </c>
      <c r="G128" s="28">
        <f t="shared" si="27"/>
        <v>71.400000000000006</v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6</v>
      </c>
      <c r="G129" s="34">
        <f t="shared" si="27"/>
        <v>25.200000000000003</v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112</v>
      </c>
      <c r="G135" s="36">
        <f>SUM(G123:G134)</f>
        <v>470.4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296</v>
      </c>
      <c r="G136" s="40">
        <f>G122+G135</f>
        <v>1243.2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F131" sqref="F1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5</v>
      </c>
      <c r="G129" s="34">
        <f t="shared" si="27"/>
        <v>21</v>
      </c>
      <c r="H129" s="33" t="s">
        <v>20</v>
      </c>
      <c r="I129" s="33" t="s">
        <v>120</v>
      </c>
      <c r="J129" s="33" t="s">
        <v>113</v>
      </c>
      <c r="K129" s="29">
        <v>4.1666666666666664E-2</v>
      </c>
      <c r="L129" s="29">
        <v>5.8333333333333334E-2</v>
      </c>
      <c r="M129" s="35">
        <f t="shared" ca="1" si="28"/>
        <v>1.666666666666667E-2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7</v>
      </c>
      <c r="G130" s="28">
        <f t="shared" si="27"/>
        <v>29.400000000000002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78</v>
      </c>
      <c r="G135" s="36">
        <f>SUM(G123:G134)</f>
        <v>327.60000000000002</v>
      </c>
      <c r="H135" s="37"/>
      <c r="I135" s="37"/>
      <c r="J135" s="37"/>
      <c r="K135" s="37"/>
      <c r="L135" s="37"/>
      <c r="M135" s="38">
        <f ca="1">IFERROR(SUM(M123:M134),"")</f>
        <v>7.9861111111111105E-2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156</v>
      </c>
      <c r="G136" s="40">
        <f>G122+G135</f>
        <v>655.20000000000005</v>
      </c>
      <c r="H136" s="41"/>
      <c r="I136" s="41"/>
      <c r="J136" s="41"/>
      <c r="K136" s="41"/>
      <c r="L136" s="41"/>
      <c r="M136" s="42">
        <f ca="1">IFERROR(M122+M135,"")</f>
        <v>7.9861111111111105E-2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3" activePane="bottomLeft" state="frozen"/>
      <selection pane="bottomLeft" activeCell="F131" sqref="F1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>
        <v>16</v>
      </c>
      <c r="G128" s="28">
        <f t="shared" si="27"/>
        <v>67.2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>
        <v>25</v>
      </c>
      <c r="G129" s="34">
        <f t="shared" si="27"/>
        <v>105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241</v>
      </c>
      <c r="F130" s="27">
        <v>13</v>
      </c>
      <c r="G130" s="28">
        <f t="shared" si="27"/>
        <v>54.6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141</v>
      </c>
      <c r="G135" s="36">
        <f>SUM(G123:G134)</f>
        <v>491.40000000000003</v>
      </c>
      <c r="H135" s="37"/>
      <c r="I135" s="37"/>
      <c r="J135" s="37"/>
      <c r="K135" s="61"/>
      <c r="L135" s="61"/>
      <c r="M135" s="38">
        <f ca="1">IFERROR(SUM(M123:M134),"")</f>
        <v>3.8888888888888973E-2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311</v>
      </c>
      <c r="G136" s="40">
        <f>G122+G135</f>
        <v>1205.4000000000001</v>
      </c>
      <c r="H136" s="41"/>
      <c r="I136" s="41"/>
      <c r="J136" s="41"/>
      <c r="K136" s="63"/>
      <c r="L136" s="63"/>
      <c r="M136" s="42">
        <f ca="1">IFERROR(M122+M135,"")</f>
        <v>0.1631944444444447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2026-08-06T07:07:23Z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