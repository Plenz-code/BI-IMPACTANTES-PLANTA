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241" documentId="13_ncr:1_{0A10D8D4-8450-4366-8075-B53B08E6B7EA}" xr6:coauthVersionLast="47" xr6:coauthVersionMax="47" xr10:uidLastSave="{6CF793BF-E473-437E-B4D7-6A9FB3DD546B}"/>
  <bookViews>
    <workbookView xWindow="-28920" yWindow="-6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13" i="6" l="1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339" i="6"/>
  <c r="J340" i="6"/>
  <c r="J341" i="6"/>
  <c r="J342" i="6"/>
  <c r="J343" i="6"/>
  <c r="J344" i="6"/>
  <c r="J34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39" i="6"/>
  <c r="H340" i="6"/>
  <c r="H341" i="6"/>
  <c r="H342" i="6"/>
  <c r="H343" i="6"/>
  <c r="H344" i="6"/>
  <c r="H345" i="6"/>
  <c r="H346" i="6"/>
  <c r="J346" i="6" s="1"/>
  <c r="H347" i="6"/>
  <c r="J347" i="6" s="1"/>
  <c r="H348" i="6"/>
  <c r="J348" i="6" s="1"/>
  <c r="H349" i="6"/>
  <c r="J349" i="6" s="1"/>
  <c r="H350" i="6"/>
  <c r="J350" i="6" s="1"/>
  <c r="H329" i="6"/>
  <c r="J329" i="6" s="1"/>
  <c r="H330" i="6"/>
  <c r="J330" i="6" s="1"/>
  <c r="H331" i="6"/>
  <c r="J331" i="6" s="1"/>
  <c r="H332" i="6"/>
  <c r="J332" i="6" s="1"/>
  <c r="H333" i="6"/>
  <c r="J333" i="6" s="1"/>
  <c r="H334" i="6"/>
  <c r="J334" i="6" s="1"/>
  <c r="H335" i="6"/>
  <c r="J335" i="6" s="1"/>
  <c r="H336" i="6"/>
  <c r="J336" i="6" s="1"/>
  <c r="H337" i="6"/>
  <c r="J33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29" i="5"/>
  <c r="J329" i="5" s="1"/>
  <c r="H330" i="5"/>
  <c r="J330" i="5" s="1"/>
  <c r="H331" i="5"/>
  <c r="J331" i="5" s="1"/>
  <c r="H332" i="5"/>
  <c r="J332" i="5" s="1"/>
  <c r="H333" i="5"/>
  <c r="J333" i="5" s="1"/>
  <c r="H334" i="5"/>
  <c r="J334" i="5" s="1"/>
  <c r="H335" i="5"/>
  <c r="J335" i="5" s="1"/>
  <c r="H336" i="5"/>
  <c r="J336" i="5" s="1"/>
  <c r="H337" i="5"/>
  <c r="J33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29" i="4"/>
  <c r="J329" i="4" s="1"/>
  <c r="H330" i="4"/>
  <c r="J330" i="4" s="1"/>
  <c r="H331" i="4"/>
  <c r="J331" i="4" s="1"/>
  <c r="H332" i="4"/>
  <c r="J332" i="4" s="1"/>
  <c r="H333" i="4"/>
  <c r="J333" i="4" s="1"/>
  <c r="H334" i="4"/>
  <c r="J334" i="4" s="1"/>
  <c r="H335" i="4"/>
  <c r="J335" i="4" s="1"/>
  <c r="H336" i="4"/>
  <c r="J336" i="4" s="1"/>
  <c r="H337" i="4"/>
  <c r="J33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51" i="6"/>
  <c r="T351" i="6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351" i="4"/>
  <c r="T351" i="4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351" i="5"/>
  <c r="T351" i="5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5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51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51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H328" i="5" s="1"/>
  <c r="J328" i="5" s="1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H328" i="4" s="1"/>
  <c r="J328" i="4" s="1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27" i="6" l="1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<sst xmlns="http://schemas.openxmlformats.org/spreadsheetml/2006/main" count="5867" uniqueCount="334">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</sst>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2" sqref="G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0</v>
      </c>
      <c r="D16" s="8">
        <f>IFERROR('Linha 1'!S352,"")</f>
        <v>0</v>
      </c>
      <c r="E16" s="8">
        <f>IFERROR('Linha 2'!S352,"")</f>
        <v>0</v>
      </c>
      <c r="F16" s="8">
        <f>IFERROR('Linha 3'!S352,"")</f>
        <v>0</v>
      </c>
      <c r="G16" s="9">
        <f t="shared" si="0"/>
        <v>0</v>
      </c>
      <c r="H16" s="96">
        <f>IFERROR('Linha 1'!T352+'Linha 2'!T352+'Linha 3'!T352,0)</f>
        <v>0</v>
      </c>
      <c r="I16" s="96"/>
      <c r="J16" s="129" t="str">
        <f t="shared" si="1"/>
        <v>-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8" t="s">
        <v>12</v>
      </c>
      <c r="B35" s="158"/>
      <c r="C35" s="13">
        <f t="shared" ref="C35:H35" si="2">IFERROR(SUM(C4:C34),"")</f>
        <v>42278010</v>
      </c>
      <c r="D35" s="13">
        <f t="shared" si="2"/>
        <v>14325530</v>
      </c>
      <c r="E35" s="13">
        <f t="shared" si="2"/>
        <v>7129520</v>
      </c>
      <c r="F35" s="13">
        <f t="shared" si="2"/>
        <v>17552120</v>
      </c>
      <c r="G35" s="13">
        <f t="shared" si="2"/>
        <v>39007170</v>
      </c>
      <c r="H35" s="97">
        <f t="shared" si="2"/>
        <v>682.96512154031052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>
      <c r="M2" s="162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2"/>
      <c r="N58" s="16"/>
      <c r="O58" s="16"/>
      <c r="P58" s="16" t="s">
        <v>214</v>
      </c>
      <c r="Q58" s="16"/>
      <c r="R58" s="16"/>
    </row>
    <row r="59" spans="1:18" ht="15" customHeight="1">
      <c r="M59" s="162"/>
      <c r="N59" s="17"/>
      <c r="O59" s="17"/>
      <c r="P59" s="17" t="s">
        <v>215</v>
      </c>
      <c r="Q59" s="17"/>
      <c r="R59" s="17"/>
    </row>
    <row r="60" spans="1:18" ht="15" customHeight="1">
      <c r="M60" s="162"/>
      <c r="N60" s="16"/>
      <c r="O60" s="16"/>
      <c r="P60" s="77" t="s">
        <v>110</v>
      </c>
      <c r="Q60" s="16"/>
      <c r="R60" s="16"/>
    </row>
    <row r="61" spans="1:18" ht="15" customHeight="1">
      <c r="M61" s="162"/>
      <c r="N61" s="17"/>
      <c r="O61" s="17"/>
      <c r="P61" s="17" t="s">
        <v>216</v>
      </c>
      <c r="Q61" s="17"/>
      <c r="R61" s="17"/>
    </row>
    <row r="62" spans="1:18" ht="15" customHeight="1">
      <c r="M62" s="162"/>
      <c r="N62" s="16"/>
      <c r="O62" s="16"/>
      <c r="P62" s="16" t="s">
        <v>217</v>
      </c>
      <c r="Q62" s="16"/>
      <c r="R62" s="16"/>
    </row>
    <row r="63" spans="1:18" ht="15" customHeight="1">
      <c r="M63" s="162"/>
      <c r="N63" s="17"/>
      <c r="O63" s="17"/>
      <c r="P63" s="17" t="s">
        <v>218</v>
      </c>
      <c r="Q63" s="17"/>
      <c r="R63" s="17"/>
    </row>
    <row r="64" spans="1:18" ht="15" customHeight="1">
      <c r="M64" s="162"/>
      <c r="N64" s="16"/>
      <c r="O64" s="16"/>
      <c r="P64" s="16" t="s">
        <v>219</v>
      </c>
      <c r="Q64" s="16"/>
      <c r="R64" s="16"/>
    </row>
    <row r="65" spans="13:18" ht="15" customHeight="1">
      <c r="M65" s="162"/>
      <c r="N65" s="17"/>
      <c r="O65" s="17"/>
      <c r="P65" s="17" t="s">
        <v>220</v>
      </c>
      <c r="Q65" s="17"/>
      <c r="R65" s="17"/>
    </row>
    <row r="66" spans="13:18" ht="15" customHeight="1">
      <c r="M66" s="162"/>
      <c r="N66" s="16"/>
      <c r="O66" s="16"/>
      <c r="P66" s="16" t="s">
        <v>221</v>
      </c>
      <c r="Q66" s="16"/>
      <c r="R66" s="16"/>
    </row>
    <row r="67" spans="13:18" ht="15" customHeight="1">
      <c r="M67" s="162"/>
      <c r="N67" s="17"/>
      <c r="O67" s="17"/>
      <c r="P67" s="17" t="s">
        <v>222</v>
      </c>
      <c r="Q67" s="17"/>
      <c r="R67" s="17"/>
    </row>
    <row r="68" spans="13:18" ht="15" customHeight="1">
      <c r="M68" s="162"/>
      <c r="N68" s="16"/>
      <c r="O68" s="16"/>
      <c r="P68" s="16" t="s">
        <v>223</v>
      </c>
      <c r="Q68" s="16"/>
      <c r="R68" s="16"/>
    </row>
    <row r="69" spans="13:18" ht="15" customHeight="1">
      <c r="M69" s="162"/>
      <c r="N69" s="17"/>
      <c r="O69" s="17"/>
      <c r="P69" s="17" t="s">
        <v>224</v>
      </c>
      <c r="Q69" s="17"/>
      <c r="R69" s="17"/>
    </row>
    <row r="70" spans="13:18" ht="15" customHeight="1">
      <c r="M70" s="162"/>
      <c r="N70" s="16"/>
      <c r="O70" s="16"/>
      <c r="P70" s="16" t="s">
        <v>225</v>
      </c>
      <c r="Q70" s="16"/>
      <c r="R70" s="16"/>
    </row>
    <row r="71" spans="13:18" ht="15" customHeight="1">
      <c r="M71" s="162"/>
      <c r="N71" s="17"/>
      <c r="O71" s="17"/>
      <c r="P71" s="17" t="s">
        <v>226</v>
      </c>
      <c r="Q71" s="17"/>
      <c r="R71" s="17"/>
    </row>
    <row r="72" spans="13:18" ht="15" customHeight="1">
      <c r="M72" s="162"/>
      <c r="N72" s="16"/>
      <c r="O72" s="16"/>
      <c r="P72" s="16" t="s">
        <v>227</v>
      </c>
      <c r="Q72" s="16"/>
      <c r="R72" s="16"/>
    </row>
    <row r="73" spans="13:18" ht="15" customHeight="1">
      <c r="M73" s="162"/>
      <c r="N73" s="17"/>
      <c r="O73" s="17"/>
      <c r="P73" s="17" t="s">
        <v>228</v>
      </c>
      <c r="Q73" s="17"/>
      <c r="R73" s="17"/>
    </row>
    <row r="74" spans="13:18" ht="15" customHeight="1">
      <c r="M74" s="162"/>
      <c r="N74" s="16"/>
      <c r="O74" s="16"/>
      <c r="P74" s="16" t="s">
        <v>229</v>
      </c>
      <c r="Q74" s="16"/>
      <c r="R74" s="16"/>
    </row>
    <row r="75" spans="13:18" ht="15" customHeight="1">
      <c r="M75" s="162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13" activePane="bottomLeft" state="frozen"/>
      <selection pane="bottomLeft" activeCell="N329" sqref="N32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3" t="s">
        <v>245</v>
      </c>
      <c r="B28" s="154"/>
      <c r="C28" s="154"/>
      <c r="D28" s="15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3" t="s">
        <v>245</v>
      </c>
      <c r="B55" s="154"/>
      <c r="C55" s="154"/>
      <c r="D55" s="15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3" t="s">
        <v>245</v>
      </c>
      <c r="B82" s="154"/>
      <c r="C82" s="154"/>
      <c r="D82" s="15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3" t="s">
        <v>245</v>
      </c>
      <c r="B109" s="154"/>
      <c r="C109" s="154"/>
      <c r="D109" s="15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3" t="s">
        <v>245</v>
      </c>
      <c r="B136" s="154"/>
      <c r="C136" s="154"/>
      <c r="D136" s="15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3" t="s">
        <v>245</v>
      </c>
      <c r="B163" s="154"/>
      <c r="C163" s="154"/>
      <c r="D163" s="15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3" t="s">
        <v>245</v>
      </c>
      <c r="B190" s="154"/>
      <c r="C190" s="154"/>
      <c r="D190" s="15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3" t="s">
        <v>245</v>
      </c>
      <c r="B217" s="154"/>
      <c r="C217" s="154"/>
      <c r="D217" s="15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5" t="s">
        <v>241</v>
      </c>
      <c r="B230" s="156"/>
      <c r="C230" s="156"/>
      <c r="D230" s="156"/>
      <c r="E230" s="16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3" t="s">
        <v>245</v>
      </c>
      <c r="B244" s="154"/>
      <c r="C244" s="154"/>
      <c r="D244" s="15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3" t="s">
        <v>245</v>
      </c>
      <c r="B271" s="154"/>
      <c r="C271" s="154"/>
      <c r="D271" s="15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3" t="s">
        <v>245</v>
      </c>
      <c r="B298" s="154"/>
      <c r="C298" s="154"/>
      <c r="D298" s="15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1" t="s">
        <v>241</v>
      </c>
      <c r="B311" s="152"/>
      <c r="C311" s="152"/>
      <c r="D311" s="152"/>
      <c r="E311" s="16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3" t="s">
        <v>245</v>
      </c>
      <c r="B325" s="154"/>
      <c r="C325" s="154"/>
      <c r="D325" s="15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68">IFERROR(IF(K326="","",IF(L326="",MOD(NOW()-K326,1),IF(L326&gt;=K326,L326-K326,L326+1-K326))),"")</f>
        <v/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/>
      <c r="I327" s="33"/>
      <c r="J327" s="33"/>
      <c r="K327" s="29"/>
      <c r="L327" s="29"/>
      <c r="M327" s="35" t="str">
        <f t="shared" ca="1" si="68"/>
        <v/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/>
      <c r="F331" s="27"/>
      <c r="G331" s="34" t="str">
        <f t="shared" si="67"/>
        <v/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/>
      <c r="F332" s="27"/>
      <c r="G332" s="28" t="str">
        <f t="shared" si="67"/>
        <v/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/>
      <c r="F333" s="27"/>
      <c r="G333" s="34" t="str">
        <f t="shared" si="67"/>
        <v/>
      </c>
      <c r="H333" s="33"/>
      <c r="I333" s="33"/>
      <c r="J333" s="33"/>
      <c r="K333" s="29"/>
      <c r="L333" s="29"/>
      <c r="M333" s="35" t="str">
        <f t="shared" ca="1" si="68"/>
        <v/>
      </c>
      <c r="N333" s="46"/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/>
      <c r="F334" s="27"/>
      <c r="G334" s="28" t="str">
        <f t="shared" si="67"/>
        <v/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/>
      <c r="F335" s="27"/>
      <c r="G335" s="34" t="str">
        <f t="shared" si="67"/>
        <v/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/>
      <c r="F336" s="27"/>
      <c r="G336" s="28" t="str">
        <f t="shared" si="67"/>
        <v/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/>
      <c r="F337" s="27"/>
      <c r="G337" s="34" t="str">
        <f t="shared" si="67"/>
        <v/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242</v>
      </c>
      <c r="O338" s="39"/>
    </row>
    <row r="339" spans="1:15" ht="15" customHeight="1">
      <c r="A339" s="68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0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1">IFERROR(IF(K339="","",IF(L339="",MOD(NOW()-K339,1),IF(L339&gt;=K339,L339-K339,L339+1-K339))),"")</f>
        <v/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/>
      <c r="D340" s="62"/>
      <c r="E340" s="62"/>
      <c r="F340" s="27"/>
      <c r="G340" s="28" t="str">
        <f t="shared" si="70"/>
        <v/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/>
      <c r="D341" s="62"/>
      <c r="E341" s="62"/>
      <c r="F341" s="27"/>
      <c r="G341" s="34" t="str">
        <f t="shared" si="70"/>
        <v/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/>
      <c r="D342" s="62"/>
      <c r="E342" s="62"/>
      <c r="F342" s="27"/>
      <c r="G342" s="28" t="str">
        <f t="shared" si="70"/>
        <v/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/>
      <c r="D343" s="62"/>
      <c r="E343" s="62"/>
      <c r="F343" s="27"/>
      <c r="G343" s="34" t="str">
        <f t="shared" si="70"/>
        <v/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/>
      <c r="D344" s="62"/>
      <c r="E344" s="62"/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/>
      <c r="D345" s="62"/>
      <c r="E345" s="62"/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/>
      <c r="D346" s="62"/>
      <c r="E346" s="62"/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/>
      <c r="D347" s="62"/>
      <c r="E347" s="62"/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/>
      <c r="D348" s="62"/>
      <c r="E348" s="62"/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/>
      <c r="D349" s="62"/>
      <c r="E349" s="62"/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/>
      <c r="D350" s="62"/>
      <c r="E350" s="62"/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242</v>
      </c>
      <c r="O351" s="39"/>
    </row>
    <row r="352" spans="1:15" ht="18" customHeight="1">
      <c r="A352" s="153" t="s">
        <v>245</v>
      </c>
      <c r="B352" s="154"/>
      <c r="C352" s="154"/>
      <c r="D352" s="154"/>
      <c r="E352" s="16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246</v>
      </c>
      <c r="O352" s="48">
        <f>IFERROR(O338+O351,"")</f>
        <v>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3" t="s">
        <v>245</v>
      </c>
      <c r="B379" s="154"/>
      <c r="C379" s="154"/>
      <c r="D379" s="154"/>
      <c r="E379" s="16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3" t="s">
        <v>245</v>
      </c>
      <c r="B406" s="154"/>
      <c r="C406" s="154"/>
      <c r="D406" s="154"/>
      <c r="E406" s="16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3" t="s">
        <v>245</v>
      </c>
      <c r="B433" s="154"/>
      <c r="C433" s="154"/>
      <c r="D433" s="154"/>
      <c r="E433" s="16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3" t="s">
        <v>245</v>
      </c>
      <c r="B460" s="154"/>
      <c r="C460" s="154"/>
      <c r="D460" s="154"/>
      <c r="E460" s="16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3" t="s">
        <v>245</v>
      </c>
      <c r="B487" s="154"/>
      <c r="C487" s="154"/>
      <c r="D487" s="15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3" t="s">
        <v>245</v>
      </c>
      <c r="B514" s="154"/>
      <c r="C514" s="154"/>
      <c r="D514" s="15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3" t="s">
        <v>245</v>
      </c>
      <c r="B541" s="154"/>
      <c r="C541" s="154"/>
      <c r="D541" s="15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3" t="s">
        <v>245</v>
      </c>
      <c r="B568" s="154"/>
      <c r="C568" s="154"/>
      <c r="D568" s="15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3" t="s">
        <v>245</v>
      </c>
      <c r="B595" s="154"/>
      <c r="C595" s="154"/>
      <c r="D595" s="15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3" t="s">
        <v>245</v>
      </c>
      <c r="B622" s="154"/>
      <c r="C622" s="154"/>
      <c r="D622" s="15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3" t="s">
        <v>245</v>
      </c>
      <c r="B649" s="154"/>
      <c r="C649" s="154"/>
      <c r="D649" s="15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3" t="s">
        <v>245</v>
      </c>
      <c r="B676" s="154"/>
      <c r="C676" s="154"/>
      <c r="D676" s="15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3" t="s">
        <v>245</v>
      </c>
      <c r="B703" s="154"/>
      <c r="C703" s="154"/>
      <c r="D703" s="15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3" t="s">
        <v>245</v>
      </c>
      <c r="B730" s="154"/>
      <c r="C730" s="154"/>
      <c r="D730" s="15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3" t="s">
        <v>245</v>
      </c>
      <c r="B757" s="154"/>
      <c r="C757" s="154"/>
      <c r="D757" s="15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3" t="s">
        <v>245</v>
      </c>
      <c r="B784" s="154"/>
      <c r="C784" s="154"/>
      <c r="D784" s="15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7" t="s">
        <v>245</v>
      </c>
      <c r="B811" s="168"/>
      <c r="C811" s="168"/>
      <c r="D811" s="168"/>
      <c r="E811" s="16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3" t="s">
        <v>245</v>
      </c>
      <c r="B838" s="154"/>
      <c r="C838" s="154"/>
      <c r="D838" s="15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17" activePane="bottomLeft" state="frozen"/>
      <selection pane="bottomLeft" activeCell="G329" sqref="G32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267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268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269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270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271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272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273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274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0.31715231481211958</v>
      </c>
      <c r="R53" s="46" t="s">
        <v>275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0.45604120370100848</v>
      </c>
      <c r="R54" s="36" t="s">
        <v>242</v>
      </c>
      <c r="S54" s="75">
        <v>352430</v>
      </c>
      <c r="T54" s="117"/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0.54076342592323079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267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276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277</v>
      </c>
      <c r="Q96" s="30" t="str">
        <f t="shared" ref="Q96:Q107" ca="1" si="22">IFERROR(IF(O96="","",IF(P96="",MOD(NOW()-O96,1),IF(P96&gt;=O96,P96-O96,P96+1-O96))),"")</f>
        <v/>
      </c>
      <c r="R96" s="46" t="s">
        <v>278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279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280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281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282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283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284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286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287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288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281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276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289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290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291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292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4"/>
        <v>0</v>
      </c>
      <c r="K328" s="28">
        <f t="shared" si="75"/>
        <v>20</v>
      </c>
      <c r="L328" s="26"/>
      <c r="M328" s="26"/>
      <c r="N328" s="26"/>
      <c r="O328" s="29"/>
      <c r="P328" s="29"/>
      <c r="Q328" s="30" t="str">
        <f t="shared" ca="1" si="76"/>
        <v/>
      </c>
      <c r="R328" s="46"/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/>
      <c r="H329" s="134" t="str">
        <f>IFERROR(IF($G329="","",$G329*$S$338/$G$338/Cadastro!$E$33),"")</f>
        <v/>
      </c>
      <c r="I329" s="135">
        <f>IFERROR(IF($D329="","",VLOOKUP($D329,Cadastro!$C$4:$G$7,5,FALSE)),"")</f>
        <v>0.6</v>
      </c>
      <c r="J329" s="136" t="str">
        <f t="shared" si="74"/>
        <v/>
      </c>
      <c r="K329" s="34" t="str">
        <f t="shared" si="75"/>
        <v/>
      </c>
      <c r="L329" s="33"/>
      <c r="M329" s="33"/>
      <c r="N329" s="33"/>
      <c r="O329" s="29"/>
      <c r="P329" s="29"/>
      <c r="Q329" s="35" t="str">
        <f t="shared" ca="1" si="76"/>
        <v/>
      </c>
      <c r="R329" s="46"/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/>
      <c r="H330" s="134" t="str">
        <f>IFERROR(IF($G330="","",$G330*$S$338/$G$338/Cadastro!$E$33),"")</f>
        <v/>
      </c>
      <c r="I330" s="135">
        <f>IFERROR(IF($D330="","",VLOOKUP($D330,Cadastro!$C$4:$G$7,5,FALSE)),"")</f>
        <v>0.6</v>
      </c>
      <c r="J330" s="136" t="str">
        <f t="shared" si="74"/>
        <v/>
      </c>
      <c r="K330" s="28" t="str">
        <f t="shared" si="75"/>
        <v/>
      </c>
      <c r="L330" s="26"/>
      <c r="M330" s="26"/>
      <c r="N330" s="26"/>
      <c r="O330" s="29"/>
      <c r="P330" s="29"/>
      <c r="Q330" s="30" t="str">
        <f t="shared" ca="1" si="76"/>
        <v/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/>
      <c r="H331" s="134" t="str">
        <f>IFERROR(IF($G331="","",$G331*$S$338/$G$338/Cadastro!$E$33),"")</f>
        <v/>
      </c>
      <c r="I331" s="135">
        <f>IFERROR(IF($D331="","",VLOOKUP($D331,Cadastro!$C$4:$G$7,5,FALSE)),"")</f>
        <v>0.6</v>
      </c>
      <c r="J331" s="136" t="str">
        <f t="shared" si="74"/>
        <v/>
      </c>
      <c r="K331" s="34" t="str">
        <f t="shared" si="75"/>
        <v/>
      </c>
      <c r="L331" s="33"/>
      <c r="M331" s="33"/>
      <c r="N331" s="33"/>
      <c r="O331" s="29"/>
      <c r="P331" s="29"/>
      <c r="Q331" s="35" t="str">
        <f t="shared" ca="1" si="76"/>
        <v/>
      </c>
      <c r="R331" s="46"/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240</v>
      </c>
      <c r="F332" s="134">
        <f>IFERROR(IF($D332="","",VLOOKUP($D332,Cadastro!$C$4:$E$7,3,FALSE)),"")</f>
        <v>0.24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4"/>
        <v/>
      </c>
      <c r="K332" s="28" t="str">
        <f t="shared" si="75"/>
        <v/>
      </c>
      <c r="L332" s="26"/>
      <c r="M332" s="26"/>
      <c r="N332" s="26"/>
      <c r="O332" s="29"/>
      <c r="P332" s="29"/>
      <c r="Q332" s="30" t="str">
        <f t="shared" ca="1" si="76"/>
        <v/>
      </c>
      <c r="R332" s="46"/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/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4"/>
        <v/>
      </c>
      <c r="K333" s="34" t="str">
        <f t="shared" si="75"/>
        <v/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4"/>
        <v/>
      </c>
      <c r="K334" s="28" t="str">
        <f t="shared" si="75"/>
        <v/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4"/>
        <v/>
      </c>
      <c r="K335" s="34" t="str">
        <f t="shared" si="75"/>
        <v/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4"/>
        <v/>
      </c>
      <c r="K336" s="28" t="str">
        <f t="shared" si="75"/>
        <v/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5"/>
        <v/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8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40</v>
      </c>
      <c r="L338" s="37"/>
      <c r="M338" s="37"/>
      <c r="N338" s="37"/>
      <c r="O338" s="37"/>
      <c r="P338" s="37"/>
      <c r="Q338" s="38">
        <f ca="1">IFERROR(SUM(Q326:Q337),"")</f>
        <v>7.291666666666663E-2</v>
      </c>
      <c r="R338" s="36" t="s">
        <v>242</v>
      </c>
      <c r="S338" s="45"/>
      <c r="T338" s="122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46"/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8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40</v>
      </c>
      <c r="L352" s="41"/>
      <c r="M352" s="41"/>
      <c r="N352" s="41"/>
      <c r="O352" s="41"/>
      <c r="P352" s="41"/>
      <c r="Q352" s="42">
        <f ca="1">IFERROR(Q338+Q351,"")</f>
        <v>7.291666666666663E-2</v>
      </c>
      <c r="R352" s="40" t="s">
        <v>246</v>
      </c>
      <c r="S352" s="143">
        <f>IFERROR(S338+S351,"")</f>
        <v>0</v>
      </c>
      <c r="T352" s="144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11" activePane="bottomLeft" state="frozen"/>
      <selection pane="bottomLeft" activeCell="G329" sqref="G32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293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270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294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276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293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293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295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296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297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298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299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300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301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284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276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302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303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287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304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305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306</v>
      </c>
      <c r="Q222" s="30" t="str">
        <f t="shared" ca="1" si="49"/>
        <v/>
      </c>
      <c r="R222" s="27" t="s">
        <v>307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308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0</v>
      </c>
      <c r="K326" s="28">
        <f t="shared" ref="K326:K337" si="73">IF(G326="","",IF(E326="PC 17",G326*4.2,IF(E326="PC 19",G326*5,IF(E326="CB",G326*24,""))))</f>
        <v>60</v>
      </c>
      <c r="L326" s="26"/>
      <c r="M326" s="26"/>
      <c r="N326" s="26"/>
      <c r="O326" s="29"/>
      <c r="P326" s="29"/>
      <c r="Q326" s="30" t="str">
        <f t="shared" ref="Q326:Q337" ca="1" si="74">IFERROR(IF(O326="","",IF(P326="",MOD(NOW()-O326,1),IF(P326&gt;=O326,P326-O326,P326+1-O326))),"")</f>
        <v/>
      </c>
      <c r="R326" s="27"/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2"/>
        <v>0</v>
      </c>
      <c r="K327" s="34">
        <f t="shared" si="73"/>
        <v>55</v>
      </c>
      <c r="L327" s="26"/>
      <c r="M327" s="26"/>
      <c r="N327" s="26"/>
      <c r="O327" s="29"/>
      <c r="P327" s="29"/>
      <c r="Q327" s="35" t="str">
        <f t="shared" ca="1" si="74"/>
        <v/>
      </c>
      <c r="R327" s="27"/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2"/>
        <v>0</v>
      </c>
      <c r="K328" s="28">
        <f t="shared" si="73"/>
        <v>55</v>
      </c>
      <c r="L328" s="26"/>
      <c r="M328" s="26"/>
      <c r="N328" s="26"/>
      <c r="O328" s="29"/>
      <c r="P328" s="29"/>
      <c r="Q328" s="30" t="str">
        <f t="shared" ca="1" si="74"/>
        <v/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/>
      <c r="H329" s="134" t="str">
        <f>IFERROR(IF($G329="","",$G329*$S$338/$G$338/Cadastro!$E$33),"")</f>
        <v/>
      </c>
      <c r="I329" s="135">
        <f>IFERROR(IF($D329="","",VLOOKUP($D329,Cadastro!$C$4:$G$7,5,FALSE)),"")</f>
        <v>0.6</v>
      </c>
      <c r="J329" s="136" t="str">
        <f t="shared" si="72"/>
        <v/>
      </c>
      <c r="K329" s="34" t="str">
        <f t="shared" si="73"/>
        <v/>
      </c>
      <c r="L329" s="33"/>
      <c r="M329" s="33"/>
      <c r="N329" s="33"/>
      <c r="O329" s="29"/>
      <c r="P329" s="29"/>
      <c r="Q329" s="35" t="str">
        <f t="shared" ca="1" si="74"/>
        <v/>
      </c>
      <c r="R329" s="27"/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/>
      <c r="F330" s="134">
        <f>IFERROR(IF($D330="","",VLOOKUP($D330,Cadastro!$C$4:$E$7,3,FALSE)),"")</f>
        <v>0.24</v>
      </c>
      <c r="G330" s="105"/>
      <c r="H330" s="134" t="str">
        <f>IFERROR(IF($G330="","",$G330*$S$338/$G$338/Cadastro!$E$33),"")</f>
        <v/>
      </c>
      <c r="I330" s="135">
        <f>IFERROR(IF($D330="","",VLOOKUP($D330,Cadastro!$C$4:$G$7,5,FALSE)),"")</f>
        <v>0.6</v>
      </c>
      <c r="J330" s="136" t="str">
        <f t="shared" si="72"/>
        <v/>
      </c>
      <c r="K330" s="28" t="str">
        <f t="shared" si="73"/>
        <v/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/>
      <c r="F331" s="134">
        <f>IFERROR(IF($D331="","",VLOOKUP($D331,Cadastro!$C$4:$E$7,3,FALSE)),"")</f>
        <v>0.24</v>
      </c>
      <c r="G331" s="105"/>
      <c r="H331" s="134" t="str">
        <f>IFERROR(IF($G331="","",$G331*$S$338/$G$338/Cadastro!$E$33),"")</f>
        <v/>
      </c>
      <c r="I331" s="135">
        <f>IFERROR(IF($D331="","",VLOOKUP($D331,Cadastro!$C$4:$G$7,5,FALSE)),"")</f>
        <v>0.6</v>
      </c>
      <c r="J331" s="136" t="str">
        <f t="shared" si="72"/>
        <v/>
      </c>
      <c r="K331" s="34" t="str">
        <f t="shared" si="73"/>
        <v/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/>
      <c r="F332" s="134">
        <f>IFERROR(IF($D332="","",VLOOKUP($D332,Cadastro!$C$4:$E$7,3,FALSE)),"")</f>
        <v>0.24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2"/>
        <v/>
      </c>
      <c r="K332" s="28" t="str">
        <f t="shared" si="73"/>
        <v/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/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2"/>
        <v/>
      </c>
      <c r="K333" s="34" t="str">
        <f t="shared" si="73"/>
        <v/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2"/>
        <v/>
      </c>
      <c r="K334" s="28" t="str">
        <f t="shared" si="73"/>
        <v/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2"/>
        <v/>
      </c>
      <c r="K335" s="34" t="str">
        <f t="shared" si="73"/>
        <v/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2"/>
        <v/>
      </c>
      <c r="K336" s="28" t="str">
        <f t="shared" si="73"/>
        <v/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2"/>
        <v/>
      </c>
      <c r="K337" s="34" t="str">
        <f t="shared" si="73"/>
        <v/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34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170</v>
      </c>
      <c r="L338" s="37"/>
      <c r="M338" s="37"/>
      <c r="N338" s="37"/>
      <c r="O338" s="37"/>
      <c r="P338" s="37"/>
      <c r="Q338" s="38">
        <f ca="1">IFERROR(SUM(Q326:Q337),"")</f>
        <v>0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6">IFERROR(IF($H339="","",$H339*$F339*$I339),"")</f>
        <v/>
      </c>
      <c r="K339" s="34" t="str">
        <f t="shared" ref="K339:K350" si="77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78">IFERROR(IF(O339="","",IF(P339="",MOD(NOW()-O339,1),IF(P339&gt;=O339,P339-O339,P339+1-O339))),"")</f>
        <v/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6"/>
        <v/>
      </c>
      <c r="K340" s="28" t="str">
        <f t="shared" si="77"/>
        <v/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6"/>
        <v/>
      </c>
      <c r="K341" s="34" t="str">
        <f t="shared" si="77"/>
        <v/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6"/>
        <v/>
      </c>
      <c r="K342" s="28" t="str">
        <f t="shared" si="77"/>
        <v/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6"/>
        <v/>
      </c>
      <c r="K343" s="34" t="str">
        <f t="shared" si="77"/>
        <v/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34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170</v>
      </c>
      <c r="L352" s="41"/>
      <c r="M352" s="41"/>
      <c r="N352" s="41"/>
      <c r="O352" s="41"/>
      <c r="P352" s="41"/>
      <c r="Q352" s="42">
        <f ca="1">IFERROR(Q338+Q351,"")</f>
        <v>0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08" activePane="bottomLeft" state="frozen"/>
      <selection pane="bottomLeft" activeCell="P327" sqref="P327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309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273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293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310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311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312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313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314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315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293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293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316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317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276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293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318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319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284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320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322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323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324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325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326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327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328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329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330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331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332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>IF(G326="","",IF(E327="PC 17",G326*4.2,IF(E327="PC 19",G326*5,"")))</f>
        <v>65</v>
      </c>
      <c r="L326" s="26" t="s">
        <v>24</v>
      </c>
      <c r="M326" s="26" t="s">
        <v>57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/>
      <c r="L327" s="33"/>
      <c r="M327" s="33"/>
      <c r="N327" s="33"/>
      <c r="O327" s="29"/>
      <c r="P327" s="29"/>
      <c r="Q327" s="35" t="str">
        <f t="shared" ca="1" si="75"/>
        <v/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4"/>
        <v>0</v>
      </c>
      <c r="K328" s="28">
        <f t="shared" ref="K328:K337" si="77">IF(G328="","",IF(E328="PC 17",G328*4.2,IF(E328="PC 19",G328*5,IF(E328="CB",G328*24,""))))</f>
        <v>75</v>
      </c>
      <c r="L328" s="26"/>
      <c r="M328" s="26"/>
      <c r="N328" s="26"/>
      <c r="O328" s="29"/>
      <c r="P328" s="29"/>
      <c r="Q328" s="30" t="str">
        <f t="shared" ca="1" si="75"/>
        <v/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/>
      <c r="H329" s="134" t="str">
        <f>IFERROR(IF($G329="","",$G329*$S$338/$G$338/Cadastro!$E$33),"")</f>
        <v/>
      </c>
      <c r="I329" s="135">
        <f>IFERROR(IF($D329="","",VLOOKUP($D329,Cadastro!$C$4:$G$7,5,FALSE)),"")</f>
        <v>0.6</v>
      </c>
      <c r="J329" s="136" t="str">
        <f t="shared" si="74"/>
        <v/>
      </c>
      <c r="K329" s="34" t="str">
        <f t="shared" si="77"/>
        <v/>
      </c>
      <c r="L329" s="33"/>
      <c r="M329" s="33"/>
      <c r="N329" s="33"/>
      <c r="O329" s="29"/>
      <c r="P329" s="29"/>
      <c r="Q329" s="35" t="str">
        <f t="shared" ca="1" si="75"/>
        <v/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/>
      <c r="H330" s="134" t="str">
        <f>IFERROR(IF($G330="","",$G330*$S$338/$G$338/Cadastro!$E$33),"")</f>
        <v/>
      </c>
      <c r="I330" s="135">
        <f>IFERROR(IF($D330="","",VLOOKUP($D330,Cadastro!$C$4:$G$7,5,FALSE)),"")</f>
        <v>0.6</v>
      </c>
      <c r="J330" s="136" t="str">
        <f t="shared" si="74"/>
        <v/>
      </c>
      <c r="K330" s="28" t="str">
        <f t="shared" si="77"/>
        <v/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/>
      <c r="H331" s="134" t="str">
        <f>IFERROR(IF($G331="","",$G331*$S$338/$G$338/Cadastro!$E$33),"")</f>
        <v/>
      </c>
      <c r="I331" s="135">
        <f>IFERROR(IF($D331="","",VLOOKUP($D331,Cadastro!$C$4:$G$7,5,FALSE)),"")</f>
        <v>0.6</v>
      </c>
      <c r="J331" s="136" t="str">
        <f t="shared" si="74"/>
        <v/>
      </c>
      <c r="K331" s="34" t="str">
        <f t="shared" si="77"/>
        <v/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240</v>
      </c>
      <c r="F332" s="134">
        <f>IFERROR(IF($D332="","",VLOOKUP($D332,Cadastro!$C$4:$E$7,3,FALSE)),"")</f>
        <v>0.24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4"/>
        <v/>
      </c>
      <c r="K332" s="28" t="str">
        <f t="shared" si="77"/>
        <v/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/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4"/>
        <v/>
      </c>
      <c r="K333" s="34" t="str">
        <f t="shared" si="77"/>
        <v/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4"/>
        <v/>
      </c>
      <c r="K334" s="28" t="str">
        <f t="shared" si="77"/>
        <v/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4"/>
        <v/>
      </c>
      <c r="K335" s="34" t="str">
        <f t="shared" si="77"/>
        <v/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4"/>
        <v/>
      </c>
      <c r="K336" s="28" t="str">
        <f t="shared" si="77"/>
        <v/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7"/>
        <v/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45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140</v>
      </c>
      <c r="L338" s="37"/>
      <c r="M338" s="37"/>
      <c r="N338" s="37"/>
      <c r="O338" s="61"/>
      <c r="P338" s="61"/>
      <c r="Q338" s="38">
        <f ca="1">IFERROR(SUM(Q326:Q337),"")</f>
        <v>1.1805555555555569E-2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61"/>
      <c r="P351" s="61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45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140</v>
      </c>
      <c r="L352" s="41"/>
      <c r="M352" s="41"/>
      <c r="N352" s="41"/>
      <c r="O352" s="63"/>
      <c r="P352" s="63"/>
      <c r="Q352" s="42">
        <f ca="1">IFERROR(Q338+Q351,"")</f>
        <v>1.1805555555555569E-2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YPNsgUZzWF5Z2UpUABOC41cXpg+zhro2Bo2xdzs488TKhp9TyEoFF+PSsPnQcv/Mo4htwrcxxEriihPk8NmPTQ==" saltValue="5zojkPkW3B8Rckog4FXVc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2026-08-13T14:31:46Z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