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948" documentId="13_ncr:1_{0A10D8D4-8450-4366-8075-B53B08E6B7EA}" xr6:coauthVersionLast="47" xr6:coauthVersionMax="47" xr10:uidLastSave="{E149BD9B-0D0B-4463-A104-B49DCE62E85E}"/>
  <bookViews>
    <workbookView xWindow="-28920" yWindow="-60" windowWidth="29040" windowHeight="1572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403" i="6"/>
  <c r="J403" i="6" s="1"/>
  <c r="H404" i="6"/>
  <c r="J40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03" i="5"/>
  <c r="J403" i="5" s="1"/>
  <c r="H404" i="5"/>
  <c r="J404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03" i="4"/>
  <c r="J403" i="4" s="1"/>
  <c r="H404" i="4"/>
  <c r="J404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01" i="6" l="1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<sst xmlns="http://schemas.openxmlformats.org/spreadsheetml/2006/main" count="6940" uniqueCount="353">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</sst>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3" sqref="F23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2491620</v>
      </c>
      <c r="D18" s="8">
        <f>IFERROR('Linha 1'!S406,"")</f>
        <v>820320</v>
      </c>
      <c r="E18" s="8">
        <f>IFERROR('Linha 2'!S406,"")</f>
        <v>479620</v>
      </c>
      <c r="F18" s="8">
        <f>IFERROR('Linha 3'!S406,"")</f>
        <v>675670</v>
      </c>
      <c r="G18" s="9">
        <f>IFERROR(D18+E18+F18,"")</f>
        <v>1975610</v>
      </c>
      <c r="H18" s="96">
        <f>IFERROR('Linha 1'!T406+'Linha 2'!T406+'Linha 3'!T406,0)</f>
        <v>405.41971156626499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53780520</v>
      </c>
      <c r="D35" s="13">
        <f t="shared" si="2"/>
        <v>17473480</v>
      </c>
      <c r="E35" s="13">
        <f t="shared" si="2"/>
        <v>8945310</v>
      </c>
      <c r="F35" s="13">
        <f t="shared" si="2"/>
        <v>22519480</v>
      </c>
      <c r="G35" s="13">
        <f t="shared" si="2"/>
        <v>48938270</v>
      </c>
      <c r="H35" s="97">
        <f t="shared" si="2"/>
        <v>2759.0377331065752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377" activePane="bottomLeft" state="frozen"/>
      <selection pane="bottomLeft" activeCell="F404" sqref="F404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243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246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60" t="s">
        <v>247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243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246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60" t="s">
        <v>247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243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246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60" t="s">
        <v>247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243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246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60" t="s">
        <v>247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243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246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60" t="s">
        <v>247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243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246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60" t="s">
        <v>247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243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246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60" t="s">
        <v>247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243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246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60" t="s">
        <v>247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243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246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60" t="s">
        <v>247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243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246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60" t="s">
        <v>247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243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246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60" t="s">
        <v>247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243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246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60" t="s">
        <v>247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243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246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60" t="s">
        <v>247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243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246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>
      <c r="A379" s="160" t="s">
        <v>247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243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242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268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242</v>
      </c>
      <c r="F394" s="27">
        <v>20</v>
      </c>
      <c r="G394" s="28">
        <f t="shared" si="82"/>
        <v>100</v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242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242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242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242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242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242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242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242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242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242</v>
      </c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246</v>
      </c>
      <c r="B405" s="159"/>
      <c r="C405" s="159"/>
      <c r="D405" s="159"/>
      <c r="E405" s="176">
        <f>SUM(E393:E404)</f>
        <v>0</v>
      </c>
      <c r="F405" s="36">
        <f>SUM(F393:F404)</f>
        <v>380</v>
      </c>
      <c r="G405" s="36">
        <f>SUM(G393:G404)</f>
        <v>1900</v>
      </c>
      <c r="H405" s="37"/>
      <c r="I405" s="37"/>
      <c r="J405" s="37"/>
      <c r="K405" s="37"/>
      <c r="L405" s="37"/>
      <c r="M405" s="38">
        <f ca="1">IFERROR(SUM(M393:M404),"")</f>
        <v>4.4444444444444509E-2</v>
      </c>
      <c r="N405" s="36" t="s">
        <v>244</v>
      </c>
      <c r="O405" s="39"/>
    </row>
    <row r="406" spans="1:15" ht="18" customHeight="1">
      <c r="A406" s="160" t="s">
        <v>247</v>
      </c>
      <c r="B406" s="161"/>
      <c r="C406" s="161"/>
      <c r="D406" s="161"/>
      <c r="E406" s="175">
        <f>E392+E405</f>
        <v>0</v>
      </c>
      <c r="F406" s="40">
        <f>F392+F405</f>
        <v>660</v>
      </c>
      <c r="G406" s="40">
        <f>G392+G405</f>
        <v>3315</v>
      </c>
      <c r="H406" s="41"/>
      <c r="I406" s="41"/>
      <c r="J406" s="41"/>
      <c r="K406" s="41"/>
      <c r="L406" s="41"/>
      <c r="M406" s="42">
        <f ca="1">IFERROR(M392+M405,"")</f>
        <v>4.4444444444444509E-2</v>
      </c>
      <c r="N406" s="40" t="s">
        <v>248</v>
      </c>
      <c r="O406" s="48">
        <f>IFERROR(O392+O405,"")</f>
        <v>2491620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243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246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60" t="s">
        <v>247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243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246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60" t="s">
        <v>247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243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246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60" t="s">
        <v>247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243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246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60" t="s">
        <v>247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243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246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60" t="s">
        <v>247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243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246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60" t="s">
        <v>247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243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246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60" t="s">
        <v>247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243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246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60" t="s">
        <v>247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243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246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60" t="s">
        <v>247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243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246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60" t="s">
        <v>247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243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246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60" t="s">
        <v>247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243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246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60" t="s">
        <v>247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243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246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60" t="s">
        <v>247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243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246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60" t="s">
        <v>247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243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246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72" t="s">
        <v>247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243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246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60" t="s">
        <v>247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75" activePane="bottomLeft" state="frozen"/>
      <selection pane="bottomLeft" activeCell="P400" sqref="P40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0.12735682869970333</v>
      </c>
      <c r="R53" s="46" t="s">
        <v>279</v>
      </c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0.26624571758859222</v>
      </c>
      <c r="R54" s="36" t="s">
        <v>244</v>
      </c>
      <c r="S54" s="75">
        <v>352430</v>
      </c>
      <c r="T54" s="117"/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0.35096793981081453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243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244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4"/>
        <v>0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4"/>
        <v>0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4"/>
        <v>0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303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0</v>
      </c>
      <c r="I397" s="135">
        <f>IFERROR(IF($D397="","",VLOOKUP($D397,Cadastro!$C$4:$G$7,5,FALSE)),"")</f>
        <v>0.6</v>
      </c>
      <c r="J397" s="136">
        <f t="shared" si="94"/>
        <v>0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0</v>
      </c>
      <c r="I398" s="135">
        <f>IFERROR(IF($D398="","",VLOOKUP($D398,Cadastro!$C$4:$G$7,5,FALSE)),"")</f>
        <v>0.6</v>
      </c>
      <c r="J398" s="136">
        <f t="shared" si="94"/>
        <v>0</v>
      </c>
      <c r="K398" s="28">
        <f t="shared" si="95"/>
        <v>25.200000000000003</v>
      </c>
      <c r="L398" s="26" t="s">
        <v>27</v>
      </c>
      <c r="M398" s="26"/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0</v>
      </c>
      <c r="I399" s="135">
        <f>IFERROR(IF($D399="","",VLOOKUP($D399,Cadastro!$C$4:$G$7,5,FALSE)),"")</f>
        <v>0.6</v>
      </c>
      <c r="J399" s="136">
        <f t="shared" si="94"/>
        <v>0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0</v>
      </c>
      <c r="I400" s="135">
        <f>IFERROR(IF($D400="","",VLOOKUP($D400,Cadastro!$C$4:$G$7,5,FALSE)),"")</f>
        <v>0.6</v>
      </c>
      <c r="J400" s="136">
        <f t="shared" si="94"/>
        <v>0</v>
      </c>
      <c r="K400" s="28">
        <f t="shared" si="95"/>
        <v>100.80000000000001</v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0</v>
      </c>
      <c r="I401" s="135">
        <f>IFERROR(IF($D401="","",VLOOKUP($D401,Cadastro!$C$4:$G$7,5,FALSE)),"")</f>
        <v>0.6</v>
      </c>
      <c r="J401" s="136">
        <f t="shared" si="94"/>
        <v>0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258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0</v>
      </c>
      <c r="I402" s="135">
        <f>IFERROR(IF($D402="","",VLOOKUP($D402,Cadastro!$C$4:$G$7,5,FALSE)),"")</f>
        <v>0.6</v>
      </c>
      <c r="J402" s="136">
        <f t="shared" si="94"/>
        <v>0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258</v>
      </c>
      <c r="F403" s="134">
        <f>IFERROR(IF($D403="","",VLOOKUP($D403,Cadastro!$C$4:$E$7,3,FALSE)),"")</f>
        <v>0.24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258</v>
      </c>
      <c r="F404" s="137">
        <f>IFERROR(IF($D404="","",VLOOKUP($D404,Cadastro!$C$4:$E$7,3,FALSE)),"")</f>
        <v>0.24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171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718.2</v>
      </c>
      <c r="L405" s="37"/>
      <c r="M405" s="37"/>
      <c r="N405" s="37"/>
      <c r="O405" s="37"/>
      <c r="P405" s="37"/>
      <c r="Q405" s="38">
        <f ca="1">IFERROR(SUM(Q393:Q404),"")</f>
        <v>0.11458333333333341</v>
      </c>
      <c r="R405" s="36" t="s">
        <v>244</v>
      </c>
      <c r="S405" s="45"/>
      <c r="T405" s="122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337</v>
      </c>
      <c r="H406" s="112">
        <f>IFERROR(H392+H405,"")</f>
        <v>820.31999999999994</v>
      </c>
      <c r="I406" s="116"/>
      <c r="J406" s="125">
        <f>IFERROR(J392+J405,"")</f>
        <v>162.80881156626504</v>
      </c>
      <c r="K406" s="40">
        <f>K392+K405</f>
        <v>1415.4</v>
      </c>
      <c r="L406" s="41"/>
      <c r="M406" s="41"/>
      <c r="N406" s="41"/>
      <c r="O406" s="41"/>
      <c r="P406" s="41"/>
      <c r="Q406" s="42">
        <f ca="1">IFERROR(Q392+Q405,"")</f>
        <v>0.18680555555555561</v>
      </c>
      <c r="R406" s="40" t="s">
        <v>248</v>
      </c>
      <c r="S406" s="143">
        <f>IFERROR(S392+S405,"")</f>
        <v>820320</v>
      </c>
      <c r="T406" s="144">
        <f>IFERROR(J406,"")</f>
        <v>162.80881156626504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82" activePane="bottomLeft" state="frozen"/>
      <selection pane="bottomLeft" activeCell="G403" sqref="G403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304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305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304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304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306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307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308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309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310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311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312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313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314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315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317</v>
      </c>
      <c r="Q222" s="30" t="str">
        <f t="shared" ca="1" si="49"/>
        <v/>
      </c>
      <c r="R222" s="27" t="s">
        <v>318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319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320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321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244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0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2"/>
        <v>0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2"/>
        <v>0</v>
      </c>
      <c r="K395" s="34">
        <f t="shared" si="93"/>
        <v>25.200000000000003</v>
      </c>
      <c r="L395" s="33" t="s">
        <v>27</v>
      </c>
      <c r="M395" s="33"/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2"/>
        <v>0</v>
      </c>
      <c r="K396" s="28">
        <f t="shared" si="93"/>
        <v>29.400000000000002</v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0</v>
      </c>
      <c r="I397" s="135">
        <f>IFERROR(IF($D397="","",VLOOKUP($D397,Cadastro!$C$4:$G$7,5,FALSE)),"")</f>
        <v>0.6</v>
      </c>
      <c r="J397" s="136">
        <f t="shared" si="92"/>
        <v>0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0</v>
      </c>
      <c r="I398" s="135">
        <f>IFERROR(IF($D398="","",VLOOKUP($D398,Cadastro!$C$4:$G$7,5,FALSE)),"")</f>
        <v>0.6</v>
      </c>
      <c r="J398" s="136">
        <f t="shared" si="92"/>
        <v>0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0</v>
      </c>
      <c r="I399" s="135">
        <f>IFERROR(IF($D399="","",VLOOKUP($D399,Cadastro!$C$4:$G$7,5,FALSE)),"")</f>
        <v>0.6</v>
      </c>
      <c r="J399" s="136">
        <f t="shared" si="92"/>
        <v>0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0</v>
      </c>
      <c r="I400" s="135">
        <f>IFERROR(IF($D400="","",VLOOKUP($D400,Cadastro!$C$4:$G$7,5,FALSE)),"")</f>
        <v>0.6</v>
      </c>
      <c r="J400" s="136">
        <f t="shared" si="92"/>
        <v>0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0</v>
      </c>
      <c r="I401" s="135">
        <f>IFERROR(IF($D401="","",VLOOKUP($D401,Cadastro!$C$4:$G$7,5,FALSE)),"")</f>
        <v>0.6</v>
      </c>
      <c r="J401" s="136">
        <f t="shared" si="92"/>
        <v>0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258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0</v>
      </c>
      <c r="I402" s="135">
        <f>IFERROR(IF($D402="","",VLOOKUP($D402,Cadastro!$C$4:$G$7,5,FALSE)),"")</f>
        <v>0.6</v>
      </c>
      <c r="J402" s="136">
        <f t="shared" si="92"/>
        <v>0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258</v>
      </c>
      <c r="F403" s="134">
        <f>IFERROR(IF($D403="","",VLOOKUP($D403,Cadastro!$C$4:$E$7,3,FALSE)),"")</f>
        <v>0.24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258</v>
      </c>
      <c r="F404" s="137">
        <f>IFERROR(IF($D404="","",VLOOKUP($D404,Cadastro!$C$4:$E$7,3,FALSE)),"")</f>
        <v>0.24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106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445.20000000000005</v>
      </c>
      <c r="L405" s="37"/>
      <c r="M405" s="37"/>
      <c r="N405" s="37"/>
      <c r="O405" s="37"/>
      <c r="P405" s="37"/>
      <c r="Q405" s="38">
        <f ca="1">IFERROR(SUM(Q393:Q404),"")</f>
        <v>3.2638888888888828E-2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198</v>
      </c>
      <c r="H406" s="112">
        <f>IFERROR(H392+H405,"")</f>
        <v>479.62000000000006</v>
      </c>
      <c r="I406" s="116"/>
      <c r="J406" s="125">
        <f>IFERROR(J392+J405,"")</f>
        <v>100.72019999999998</v>
      </c>
      <c r="K406" s="40">
        <f>K392+K405</f>
        <v>802.2</v>
      </c>
      <c r="L406" s="41"/>
      <c r="M406" s="41"/>
      <c r="N406" s="41"/>
      <c r="O406" s="41"/>
      <c r="P406" s="41"/>
      <c r="Q406" s="42">
        <f ca="1">IFERROR(Q392+Q405,"")</f>
        <v>0.10625000000000001</v>
      </c>
      <c r="R406" s="40" t="s">
        <v>248</v>
      </c>
      <c r="S406" s="48">
        <f>IFERROR(S392+S405,"")</f>
        <v>479620</v>
      </c>
      <c r="T406" s="121">
        <f>IFERROR(J406,"")</f>
        <v>100.72019999999998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72" activePane="bottomLeft" state="frozen"/>
      <selection pane="bottomLeft" activeCell="G403" sqref="G403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322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304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323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324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243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325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326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327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328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304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304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329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330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304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331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332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333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334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335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336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337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338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339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340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341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342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343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344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268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345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243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346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347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348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349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350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0.62110682870115852</v>
      </c>
      <c r="R385" s="27" t="s">
        <v>351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0.68569016203449173</v>
      </c>
      <c r="R392" s="36" t="s">
        <v>244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4"/>
        <v>0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352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4"/>
        <v>0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4"/>
        <v>0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0</v>
      </c>
      <c r="I397" s="135">
        <f>IFERROR(IF($D397="","",VLOOKUP($D397,Cadastro!$C$4:$G$7,5,FALSE)),"")</f>
        <v>0.6</v>
      </c>
      <c r="J397" s="136">
        <f t="shared" si="94"/>
        <v>0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0</v>
      </c>
      <c r="I398" s="135">
        <f>IFERROR(IF($D398="","",VLOOKUP($D398,Cadastro!$C$4:$G$7,5,FALSE)),"")</f>
        <v>0.6</v>
      </c>
      <c r="J398" s="136">
        <f t="shared" si="94"/>
        <v>0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0</v>
      </c>
      <c r="I399" s="135">
        <f>IFERROR(IF($D399="","",VLOOKUP($D399,Cadastro!$C$4:$G$7,5,FALSE)),"")</f>
        <v>0.6</v>
      </c>
      <c r="J399" s="136">
        <f t="shared" si="94"/>
        <v>0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0</v>
      </c>
      <c r="I400" s="135">
        <f>IFERROR(IF($D400="","",VLOOKUP($D400,Cadastro!$C$4:$G$7,5,FALSE)),"")</f>
        <v>0.6</v>
      </c>
      <c r="J400" s="136">
        <f t="shared" si="94"/>
        <v>0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0</v>
      </c>
      <c r="I401" s="135">
        <f>IFERROR(IF($D401="","",VLOOKUP($D401,Cadastro!$C$4:$G$7,5,FALSE)),"")</f>
        <v>0.6</v>
      </c>
      <c r="J401" s="136">
        <f t="shared" si="94"/>
        <v>0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258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0</v>
      </c>
      <c r="I402" s="135">
        <f>IFERROR(IF($D402="","",VLOOKUP($D402,Cadastro!$C$4:$G$7,5,FALSE)),"")</f>
        <v>0.6</v>
      </c>
      <c r="J402" s="136">
        <f t="shared" si="94"/>
        <v>0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258</v>
      </c>
      <c r="F403" s="134">
        <f>IFERROR(IF($D403="","",VLOOKUP($D403,Cadastro!$C$4:$E$7,3,FALSE)),"")</f>
        <v>0.24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258</v>
      </c>
      <c r="F404" s="137">
        <f>IFERROR(IF($D404="","",VLOOKUP($D404,Cadastro!$C$4:$E$7,3,FALSE)),"")</f>
        <v>0.24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202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848.40000000000009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342</v>
      </c>
      <c r="H406" s="112">
        <f>IFERROR(H392+H405,"")</f>
        <v>675.67000000000007</v>
      </c>
      <c r="I406" s="116"/>
      <c r="J406" s="125">
        <f>IFERROR(J392+J405,"")</f>
        <v>141.89069999999998</v>
      </c>
      <c r="K406" s="40">
        <f>K392+K405</f>
        <v>1436.4</v>
      </c>
      <c r="L406" s="41"/>
      <c r="M406" s="41"/>
      <c r="N406" s="41"/>
      <c r="O406" s="63"/>
      <c r="P406" s="63"/>
      <c r="Q406" s="42">
        <f ca="1">IFERROR(Q392+Q405,"")</f>
        <v>0.74541238425671397</v>
      </c>
      <c r="R406" s="40" t="s">
        <v>248</v>
      </c>
      <c r="S406" s="48">
        <f>IFERROR(S392+S405,"")</f>
        <v>675670</v>
      </c>
      <c r="T406" s="121">
        <f>IFERROR(J406,"")</f>
        <v>141.89069999999998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2026-08-16T09:58:54Z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