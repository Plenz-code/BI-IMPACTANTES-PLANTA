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08" documentId="13_ncr:1_{A6DBCFB4-28D9-4249-9038-216934055CA6}" xr6:coauthVersionLast="47" xr6:coauthVersionMax="47" xr10:uidLastSave="{3BF02A0E-C1FA-441F-BCF9-08718A7BCC82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<sst xmlns="http://schemas.openxmlformats.org/spreadsheetml/2006/main" count="9478" uniqueCount="417">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</sst>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D563" sqref="D56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29</v>
      </c>
      <c r="I559" s="70" t="s">
        <v>32</v>
      </c>
      <c r="J559" s="70" t="s">
        <v>175</v>
      </c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103</v>
      </c>
      <c r="G567" s="2">
        <f>SUM(G555:G566)</f>
        <v>515</v>
      </c>
      <c r="H567" s="72"/>
      <c r="I567" s="72"/>
      <c r="J567" s="72"/>
      <c r="K567" s="72"/>
      <c r="L567" s="72"/>
      <c r="M567" s="73">
        <f ca="1">IFERROR(SUM(M555:M566),"")</f>
        <v>0.2236111111111112</v>
      </c>
      <c r="N567" s="2" t="s">
        <v>262</v>
      </c>
      <c r="O567" s="74"/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103</v>
      </c>
      <c r="G568" s="1">
        <f>G554+G567</f>
        <v>515</v>
      </c>
      <c r="H568" s="76"/>
      <c r="I568" s="76"/>
      <c r="J568" s="76"/>
      <c r="K568" s="76"/>
      <c r="L568" s="76"/>
      <c r="M568" s="77">
        <f ca="1">IFERROR(M554+M567,"")</f>
        <v>0.7236111111111112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1" activePane="bottomLeft" state="frozen"/>
      <selection pane="bottomLeft" activeCell="L564" sqref="L56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5.3653240735002328E-2</v>
      </c>
      <c r="R53" s="80" t="s">
        <v>309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0.19254212962389006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0.27726435184611287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311</v>
      </c>
      <c r="Q96" s="66" t="str">
        <f t="shared" ref="Q96:Q107" ca="1" si="22">IFERROR(IF(O96="","",IF(P96="",MOD(NOW()-O96,1),IF(P96&gt;=O96,P96-O96,P96+1-O96))),"")</f>
        <v/>
      </c>
      <c r="R96" s="80" t="s">
        <v>312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0.38351435185177252</v>
      </c>
      <c r="R555" s="80" t="s">
        <v>343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0.38351435185177252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0.70504212962955015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2" activePane="bottomLeft" state="frozen"/>
      <selection pane="bottomLeft" activeCell="E564" sqref="E56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357</v>
      </c>
      <c r="Q222" s="66" t="str">
        <f t="shared" ca="1" si="49"/>
        <v/>
      </c>
      <c r="R222" s="63" t="s">
        <v>358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39"/>
        <v>0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39"/>
        <v>0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/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39"/>
        <v/>
      </c>
      <c r="K563" s="69" t="str">
        <f t="shared" si="140"/>
        <v/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 t="s">
        <v>275</v>
      </c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>
        <v>0.17291666666666666</v>
      </c>
      <c r="P565" s="65"/>
      <c r="Q565" s="71">
        <f t="shared" ca="1" si="141"/>
        <v>2.2643518459517509E-3</v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347</v>
      </c>
      <c r="L567" s="72"/>
      <c r="M567" s="72"/>
      <c r="N567" s="72"/>
      <c r="O567" s="72"/>
      <c r="P567" s="72"/>
      <c r="Q567" s="73">
        <f ca="1">IFERROR(SUM(Q555:Q566),"")</f>
        <v>7.0319907401507453E-2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88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384.8</v>
      </c>
      <c r="L568" s="76"/>
      <c r="M568" s="76"/>
      <c r="N568" s="76"/>
      <c r="O568" s="76"/>
      <c r="P568" s="76"/>
      <c r="Q568" s="77">
        <f ca="1">IFERROR(Q554+Q567,"")</f>
        <v>0.48073657406817416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E566" sqref="E56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299</v>
      </c>
      <c r="I1" s="86" t="s">
        <v>22</v>
      </c>
      <c r="J1" s="86" t="s">
        <v>300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373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374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375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376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377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378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379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380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381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382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383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384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386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387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388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389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391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392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393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394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395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396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397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398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399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400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401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402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403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404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405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406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400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407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408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409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410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411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412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413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414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415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/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 t="str">
        <f t="shared" si="143"/>
        <v/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/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 t="str">
        <f t="shared" si="143"/>
        <v/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416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/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/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77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325.8</v>
      </c>
      <c r="L567" s="72"/>
      <c r="M567" s="72"/>
      <c r="N567" s="72"/>
      <c r="O567" s="134"/>
      <c r="P567" s="134"/>
      <c r="Q567" s="73">
        <f ca="1">IFERROR(SUM(Q555:Q566),"")</f>
        <v>0.13124999999999987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208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876</v>
      </c>
      <c r="L568" s="76"/>
      <c r="M568" s="76"/>
      <c r="N568" s="76"/>
      <c r="O568" s="135"/>
      <c r="P568" s="135"/>
      <c r="Q568" s="77">
        <f ca="1">IFERROR(Q554+Q567,"")</f>
        <v>0.28749999999999992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2026-08-22T08:12:17Z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