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3" documentId="13_ncr:1_{A6DBCFB4-28D9-4249-9038-216934055CA6}" xr6:coauthVersionLast="47" xr6:coauthVersionMax="47" xr10:uidLastSave="{CCF23E92-A362-4B15-B05F-3933E4B9FF9B}"/>
  <bookViews>
    <workbookView xWindow="-110" yWindow="-110" windowWidth="25820" windowHeight="15500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91" i="3" l="1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F508" i="5"/>
  <c r="Q507" i="5"/>
  <c r="K507" i="5"/>
  <c r="I507" i="5"/>
  <c r="H507" i="5"/>
  <c r="J507" i="5" s="1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J533" i="4"/>
  <c r="I533" i="4"/>
  <c r="H533" i="4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J511" i="4" s="1"/>
  <c r="F511" i="4"/>
  <c r="Q510" i="4"/>
  <c r="K510" i="4"/>
  <c r="I510" i="4"/>
  <c r="H510" i="4"/>
  <c r="J510" i="4" s="1"/>
  <c r="F510" i="4"/>
  <c r="Q509" i="4"/>
  <c r="K509" i="4"/>
  <c r="I509" i="4"/>
  <c r="H509" i="4"/>
  <c r="J509" i="4" s="1"/>
  <c r="F509" i="4"/>
  <c r="Q508" i="4"/>
  <c r="K508" i="4"/>
  <c r="I508" i="4"/>
  <c r="H508" i="4"/>
  <c r="J508" i="4" s="1"/>
  <c r="F508" i="4"/>
  <c r="Q507" i="4"/>
  <c r="K507" i="4"/>
  <c r="I507" i="4"/>
  <c r="H507" i="4"/>
  <c r="J507" i="4" s="1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J504" i="4" s="1"/>
  <c r="F504" i="4"/>
  <c r="Q503" i="4"/>
  <c r="K503" i="4"/>
  <c r="I503" i="4"/>
  <c r="H503" i="4"/>
  <c r="J503" i="4" s="1"/>
  <c r="F503" i="4"/>
  <c r="Q502" i="4"/>
  <c r="K502" i="4"/>
  <c r="I502" i="4"/>
  <c r="H502" i="4"/>
  <c r="J502" i="4" s="1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J499" i="4" s="1"/>
  <c r="F499" i="4"/>
  <c r="Q498" i="4"/>
  <c r="K498" i="4"/>
  <c r="I498" i="4"/>
  <c r="H498" i="4"/>
  <c r="J498" i="4" s="1"/>
  <c r="F498" i="4"/>
  <c r="Q497" i="4"/>
  <c r="K497" i="4"/>
  <c r="I497" i="4"/>
  <c r="H497" i="4"/>
  <c r="J497" i="4" s="1"/>
  <c r="F497" i="4"/>
  <c r="Q496" i="4"/>
  <c r="K496" i="4"/>
  <c r="I496" i="4"/>
  <c r="H496" i="4"/>
  <c r="J496" i="4" s="1"/>
  <c r="F496" i="4"/>
  <c r="Q495" i="4"/>
  <c r="K495" i="4"/>
  <c r="I495" i="4"/>
  <c r="H495" i="4"/>
  <c r="J495" i="4" s="1"/>
  <c r="F495" i="4"/>
  <c r="Q494" i="4"/>
  <c r="K494" i="4"/>
  <c r="I494" i="4"/>
  <c r="H494" i="4"/>
  <c r="J494" i="4" s="1"/>
  <c r="F494" i="4"/>
  <c r="Q493" i="4"/>
  <c r="K493" i="4"/>
  <c r="I493" i="4"/>
  <c r="H493" i="4"/>
  <c r="J493" i="4" s="1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J485" i="4" s="1"/>
  <c r="F485" i="4"/>
  <c r="Q484" i="4"/>
  <c r="K484" i="4"/>
  <c r="I484" i="4"/>
  <c r="H484" i="4"/>
  <c r="J484" i="4" s="1"/>
  <c r="F484" i="4"/>
  <c r="Q483" i="4"/>
  <c r="K483" i="4"/>
  <c r="I483" i="4"/>
  <c r="H483" i="4"/>
  <c r="J483" i="4" s="1"/>
  <c r="F483" i="4"/>
  <c r="Q482" i="4"/>
  <c r="K482" i="4"/>
  <c r="I482" i="4"/>
  <c r="H482" i="4"/>
  <c r="J482" i="4" s="1"/>
  <c r="F482" i="4"/>
  <c r="Q481" i="4"/>
  <c r="K481" i="4"/>
  <c r="I481" i="4"/>
  <c r="H481" i="4"/>
  <c r="J481" i="4" s="1"/>
  <c r="F481" i="4"/>
  <c r="Q480" i="4"/>
  <c r="K480" i="4"/>
  <c r="I480" i="4"/>
  <c r="H480" i="4"/>
  <c r="J480" i="4" s="1"/>
  <c r="F480" i="4"/>
  <c r="Q479" i="4"/>
  <c r="K479" i="4"/>
  <c r="I479" i="4"/>
  <c r="H479" i="4"/>
  <c r="J479" i="4" s="1"/>
  <c r="F479" i="4"/>
  <c r="Q478" i="4"/>
  <c r="K478" i="4"/>
  <c r="I478" i="4"/>
  <c r="H478" i="4"/>
  <c r="J478" i="4" s="1"/>
  <c r="F478" i="4"/>
  <c r="Q477" i="4"/>
  <c r="K477" i="4"/>
  <c r="I477" i="4"/>
  <c r="H477" i="4"/>
  <c r="J477" i="4" s="1"/>
  <c r="F477" i="4"/>
  <c r="Q476" i="4"/>
  <c r="K476" i="4"/>
  <c r="I476" i="4"/>
  <c r="H476" i="4"/>
  <c r="J476" i="4" s="1"/>
  <c r="F476" i="4"/>
  <c r="Q475" i="4"/>
  <c r="K475" i="4"/>
  <c r="I475" i="4"/>
  <c r="H475" i="4"/>
  <c r="J475" i="4" s="1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J472" i="4" s="1"/>
  <c r="F472" i="4"/>
  <c r="Q471" i="4"/>
  <c r="K471" i="4"/>
  <c r="I471" i="4"/>
  <c r="H471" i="4"/>
  <c r="J471" i="4" s="1"/>
  <c r="F471" i="4"/>
  <c r="Q470" i="4"/>
  <c r="K470" i="4"/>
  <c r="I470" i="4"/>
  <c r="H470" i="4"/>
  <c r="J470" i="4" s="1"/>
  <c r="F470" i="4"/>
  <c r="Q469" i="4"/>
  <c r="K469" i="4"/>
  <c r="I469" i="4"/>
  <c r="H469" i="4"/>
  <c r="J469" i="4" s="1"/>
  <c r="F469" i="4"/>
  <c r="Q468" i="4"/>
  <c r="K468" i="4"/>
  <c r="I468" i="4"/>
  <c r="H468" i="4"/>
  <c r="J468" i="4" s="1"/>
  <c r="F468" i="4"/>
  <c r="Q467" i="4"/>
  <c r="K467" i="4"/>
  <c r="I467" i="4"/>
  <c r="H467" i="4"/>
  <c r="J467" i="4" s="1"/>
  <c r="F467" i="4"/>
  <c r="Q466" i="4"/>
  <c r="K466" i="4"/>
  <c r="I466" i="4"/>
  <c r="H466" i="4"/>
  <c r="J466" i="4" s="1"/>
  <c r="F466" i="4"/>
  <c r="Q465" i="4"/>
  <c r="K465" i="4"/>
  <c r="I465" i="4"/>
  <c r="H465" i="4"/>
  <c r="J465" i="4" s="1"/>
  <c r="F465" i="4"/>
  <c r="Q464" i="4"/>
  <c r="K464" i="4"/>
  <c r="I464" i="4"/>
  <c r="H464" i="4"/>
  <c r="J464" i="4" s="1"/>
  <c r="F464" i="4"/>
  <c r="Q463" i="4"/>
  <c r="K463" i="4"/>
  <c r="I463" i="4"/>
  <c r="H463" i="4"/>
  <c r="J463" i="4" s="1"/>
  <c r="F463" i="4"/>
  <c r="Q462" i="4"/>
  <c r="K462" i="4"/>
  <c r="I462" i="4"/>
  <c r="H462" i="4"/>
  <c r="J462" i="4" s="1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J458" i="4" s="1"/>
  <c r="F458" i="4"/>
  <c r="Q457" i="4"/>
  <c r="K457" i="4"/>
  <c r="I457" i="4"/>
  <c r="H457" i="4"/>
  <c r="J457" i="4" s="1"/>
  <c r="F457" i="4"/>
  <c r="Q456" i="4"/>
  <c r="K456" i="4"/>
  <c r="I456" i="4"/>
  <c r="H456" i="4"/>
  <c r="J456" i="4" s="1"/>
  <c r="F456" i="4"/>
  <c r="Q455" i="4"/>
  <c r="K455" i="4"/>
  <c r="I455" i="4"/>
  <c r="H455" i="4"/>
  <c r="J455" i="4" s="1"/>
  <c r="F455" i="4"/>
  <c r="Q454" i="4"/>
  <c r="K454" i="4"/>
  <c r="I454" i="4"/>
  <c r="H454" i="4"/>
  <c r="J454" i="4" s="1"/>
  <c r="F454" i="4"/>
  <c r="Q453" i="4"/>
  <c r="K453" i="4"/>
  <c r="I453" i="4"/>
  <c r="H453" i="4"/>
  <c r="J453" i="4" s="1"/>
  <c r="F453" i="4"/>
  <c r="Q452" i="4"/>
  <c r="K452" i="4"/>
  <c r="I452" i="4"/>
  <c r="H452" i="4"/>
  <c r="J452" i="4" s="1"/>
  <c r="F452" i="4"/>
  <c r="Q451" i="4"/>
  <c r="K451" i="4"/>
  <c r="I451" i="4"/>
  <c r="H451" i="4"/>
  <c r="J451" i="4" s="1"/>
  <c r="F451" i="4"/>
  <c r="Q450" i="4"/>
  <c r="K450" i="4"/>
  <c r="I450" i="4"/>
  <c r="H450" i="4"/>
  <c r="J450" i="4" s="1"/>
  <c r="F450" i="4"/>
  <c r="Q449" i="4"/>
  <c r="K449" i="4"/>
  <c r="I449" i="4"/>
  <c r="H449" i="4"/>
  <c r="J449" i="4" s="1"/>
  <c r="F449" i="4"/>
  <c r="Q448" i="4"/>
  <c r="K448" i="4"/>
  <c r="I448" i="4"/>
  <c r="H448" i="4"/>
  <c r="J448" i="4" s="1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J445" i="4" s="1"/>
  <c r="F445" i="4"/>
  <c r="Q444" i="4"/>
  <c r="K444" i="4"/>
  <c r="I444" i="4"/>
  <c r="H444" i="4"/>
  <c r="J444" i="4" s="1"/>
  <c r="F444" i="4"/>
  <c r="Q443" i="4"/>
  <c r="K443" i="4"/>
  <c r="I443" i="4"/>
  <c r="H443" i="4"/>
  <c r="J443" i="4" s="1"/>
  <c r="F443" i="4"/>
  <c r="Q442" i="4"/>
  <c r="K442" i="4"/>
  <c r="I442" i="4"/>
  <c r="H442" i="4"/>
  <c r="J442" i="4" s="1"/>
  <c r="F442" i="4"/>
  <c r="Q441" i="4"/>
  <c r="K441" i="4"/>
  <c r="I441" i="4"/>
  <c r="H441" i="4"/>
  <c r="J441" i="4" s="1"/>
  <c r="F441" i="4"/>
  <c r="Q440" i="4"/>
  <c r="K440" i="4"/>
  <c r="I440" i="4"/>
  <c r="H440" i="4"/>
  <c r="J440" i="4" s="1"/>
  <c r="F440" i="4"/>
  <c r="Q439" i="4"/>
  <c r="K439" i="4"/>
  <c r="I439" i="4"/>
  <c r="H439" i="4"/>
  <c r="J439" i="4" s="1"/>
  <c r="F439" i="4"/>
  <c r="Q438" i="4"/>
  <c r="K438" i="4"/>
  <c r="I438" i="4"/>
  <c r="H438" i="4"/>
  <c r="J438" i="4" s="1"/>
  <c r="F438" i="4"/>
  <c r="Q437" i="4"/>
  <c r="K437" i="4"/>
  <c r="I437" i="4"/>
  <c r="H437" i="4"/>
  <c r="J437" i="4" s="1"/>
  <c r="F437" i="4"/>
  <c r="Q436" i="4"/>
  <c r="K436" i="4"/>
  <c r="I436" i="4"/>
  <c r="H436" i="4"/>
  <c r="J436" i="4" s="1"/>
  <c r="F436" i="4"/>
  <c r="Q435" i="4"/>
  <c r="K435" i="4"/>
  <c r="I435" i="4"/>
  <c r="H435" i="4"/>
  <c r="J435" i="4" s="1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J431" i="4" s="1"/>
  <c r="F431" i="4"/>
  <c r="Q430" i="4"/>
  <c r="K430" i="4"/>
  <c r="I430" i="4"/>
  <c r="H430" i="4"/>
  <c r="J430" i="4" s="1"/>
  <c r="F430" i="4"/>
  <c r="Q429" i="4"/>
  <c r="K429" i="4"/>
  <c r="I429" i="4"/>
  <c r="H429" i="4"/>
  <c r="J429" i="4" s="1"/>
  <c r="F429" i="4"/>
  <c r="Q428" i="4"/>
  <c r="K428" i="4"/>
  <c r="I428" i="4"/>
  <c r="H428" i="4"/>
  <c r="J428" i="4" s="1"/>
  <c r="F428" i="4"/>
  <c r="Q427" i="4"/>
  <c r="K427" i="4"/>
  <c r="I427" i="4"/>
  <c r="H427" i="4"/>
  <c r="J427" i="4" s="1"/>
  <c r="F427" i="4"/>
  <c r="Q426" i="4"/>
  <c r="K426" i="4"/>
  <c r="I426" i="4"/>
  <c r="H426" i="4"/>
  <c r="J426" i="4" s="1"/>
  <c r="F426" i="4"/>
  <c r="Q425" i="4"/>
  <c r="K425" i="4"/>
  <c r="I425" i="4"/>
  <c r="H425" i="4"/>
  <c r="J425" i="4" s="1"/>
  <c r="F425" i="4"/>
  <c r="Q424" i="4"/>
  <c r="K424" i="4"/>
  <c r="I424" i="4"/>
  <c r="H424" i="4"/>
  <c r="J424" i="4" s="1"/>
  <c r="F424" i="4"/>
  <c r="Q423" i="4"/>
  <c r="K423" i="4"/>
  <c r="I423" i="4"/>
  <c r="H423" i="4"/>
  <c r="J423" i="4" s="1"/>
  <c r="F423" i="4"/>
  <c r="Q422" i="4"/>
  <c r="K422" i="4"/>
  <c r="I422" i="4"/>
  <c r="H422" i="4"/>
  <c r="J422" i="4" s="1"/>
  <c r="F422" i="4"/>
  <c r="Q421" i="4"/>
  <c r="K421" i="4"/>
  <c r="I421" i="4"/>
  <c r="H421" i="4"/>
  <c r="J421" i="4" s="1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J418" i="4" s="1"/>
  <c r="F418" i="4"/>
  <c r="Q417" i="4"/>
  <c r="K417" i="4"/>
  <c r="I417" i="4"/>
  <c r="H417" i="4"/>
  <c r="J417" i="4" s="1"/>
  <c r="F417" i="4"/>
  <c r="Q416" i="4"/>
  <c r="K416" i="4"/>
  <c r="I416" i="4"/>
  <c r="H416" i="4"/>
  <c r="J416" i="4" s="1"/>
  <c r="F416" i="4"/>
  <c r="Q415" i="4"/>
  <c r="K415" i="4"/>
  <c r="I415" i="4"/>
  <c r="H415" i="4"/>
  <c r="J415" i="4" s="1"/>
  <c r="F415" i="4"/>
  <c r="Q414" i="4"/>
  <c r="K414" i="4"/>
  <c r="I414" i="4"/>
  <c r="H414" i="4"/>
  <c r="J414" i="4" s="1"/>
  <c r="F414" i="4"/>
  <c r="Q413" i="4"/>
  <c r="K413" i="4"/>
  <c r="I413" i="4"/>
  <c r="H413" i="4"/>
  <c r="J413" i="4" s="1"/>
  <c r="F413" i="4"/>
  <c r="Q412" i="4"/>
  <c r="K412" i="4"/>
  <c r="I412" i="4"/>
  <c r="H412" i="4"/>
  <c r="J412" i="4" s="1"/>
  <c r="F412" i="4"/>
  <c r="Q411" i="4"/>
  <c r="K411" i="4"/>
  <c r="I411" i="4"/>
  <c r="H411" i="4"/>
  <c r="J411" i="4" s="1"/>
  <c r="F411" i="4"/>
  <c r="Q410" i="4"/>
  <c r="K410" i="4"/>
  <c r="I410" i="4"/>
  <c r="H410" i="4"/>
  <c r="J410" i="4" s="1"/>
  <c r="F410" i="4"/>
  <c r="Q409" i="4"/>
  <c r="K409" i="4"/>
  <c r="I409" i="4"/>
  <c r="H409" i="4"/>
  <c r="J409" i="4" s="1"/>
  <c r="F409" i="4"/>
  <c r="Q408" i="4"/>
  <c r="K408" i="4"/>
  <c r="I408" i="4"/>
  <c r="H408" i="4"/>
  <c r="J408" i="4" s="1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J404" i="4" s="1"/>
  <c r="F404" i="4"/>
  <c r="Q403" i="4"/>
  <c r="K403" i="4"/>
  <c r="I403" i="4"/>
  <c r="H403" i="4"/>
  <c r="J403" i="4" s="1"/>
  <c r="F403" i="4"/>
  <c r="Q402" i="4"/>
  <c r="K402" i="4"/>
  <c r="I402" i="4"/>
  <c r="H402" i="4"/>
  <c r="J402" i="4" s="1"/>
  <c r="F402" i="4"/>
  <c r="Q401" i="4"/>
  <c r="K401" i="4"/>
  <c r="I401" i="4"/>
  <c r="H401" i="4"/>
  <c r="J401" i="4" s="1"/>
  <c r="F401" i="4"/>
  <c r="Q400" i="4"/>
  <c r="K400" i="4"/>
  <c r="I400" i="4"/>
  <c r="H400" i="4"/>
  <c r="J400" i="4" s="1"/>
  <c r="F400" i="4"/>
  <c r="Q399" i="4"/>
  <c r="K399" i="4"/>
  <c r="I399" i="4"/>
  <c r="H399" i="4"/>
  <c r="J399" i="4" s="1"/>
  <c r="F399" i="4"/>
  <c r="Q398" i="4"/>
  <c r="K398" i="4"/>
  <c r="I398" i="4"/>
  <c r="H398" i="4"/>
  <c r="J398" i="4" s="1"/>
  <c r="F398" i="4"/>
  <c r="Q397" i="4"/>
  <c r="K397" i="4"/>
  <c r="I397" i="4"/>
  <c r="H397" i="4"/>
  <c r="J397" i="4" s="1"/>
  <c r="F397" i="4"/>
  <c r="Q396" i="4"/>
  <c r="K396" i="4"/>
  <c r="I396" i="4"/>
  <c r="H396" i="4"/>
  <c r="J396" i="4" s="1"/>
  <c r="F396" i="4"/>
  <c r="Q395" i="4"/>
  <c r="K395" i="4"/>
  <c r="I395" i="4"/>
  <c r="H395" i="4"/>
  <c r="J395" i="4" s="1"/>
  <c r="F395" i="4"/>
  <c r="Q394" i="4"/>
  <c r="K394" i="4"/>
  <c r="I394" i="4"/>
  <c r="H394" i="4"/>
  <c r="J394" i="4" s="1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J391" i="4" s="1"/>
  <c r="F391" i="4"/>
  <c r="Q390" i="4"/>
  <c r="K390" i="4"/>
  <c r="I390" i="4"/>
  <c r="H390" i="4"/>
  <c r="J390" i="4" s="1"/>
  <c r="F390" i="4"/>
  <c r="Q389" i="4"/>
  <c r="K389" i="4"/>
  <c r="I389" i="4"/>
  <c r="H389" i="4"/>
  <c r="J389" i="4" s="1"/>
  <c r="F389" i="4"/>
  <c r="Q388" i="4"/>
  <c r="K388" i="4"/>
  <c r="I388" i="4"/>
  <c r="H388" i="4"/>
  <c r="J388" i="4" s="1"/>
  <c r="F388" i="4"/>
  <c r="Q387" i="4"/>
  <c r="K387" i="4"/>
  <c r="I387" i="4"/>
  <c r="H387" i="4"/>
  <c r="J387" i="4" s="1"/>
  <c r="F387" i="4"/>
  <c r="Q386" i="4"/>
  <c r="K386" i="4"/>
  <c r="I386" i="4"/>
  <c r="H386" i="4"/>
  <c r="J386" i="4" s="1"/>
  <c r="F386" i="4"/>
  <c r="Q385" i="4"/>
  <c r="K385" i="4"/>
  <c r="I385" i="4"/>
  <c r="H385" i="4"/>
  <c r="J385" i="4" s="1"/>
  <c r="F385" i="4"/>
  <c r="Q384" i="4"/>
  <c r="K384" i="4"/>
  <c r="I384" i="4"/>
  <c r="H384" i="4"/>
  <c r="J384" i="4" s="1"/>
  <c r="F384" i="4"/>
  <c r="Q383" i="4"/>
  <c r="K383" i="4"/>
  <c r="I383" i="4"/>
  <c r="H383" i="4"/>
  <c r="J383" i="4" s="1"/>
  <c r="F383" i="4"/>
  <c r="Q382" i="4"/>
  <c r="K382" i="4"/>
  <c r="I382" i="4"/>
  <c r="H382" i="4"/>
  <c r="J382" i="4" s="1"/>
  <c r="F382" i="4"/>
  <c r="Q381" i="4"/>
  <c r="K381" i="4"/>
  <c r="I381" i="4"/>
  <c r="H381" i="4"/>
  <c r="J381" i="4" s="1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J377" i="4" s="1"/>
  <c r="F377" i="4"/>
  <c r="Q376" i="4"/>
  <c r="K376" i="4"/>
  <c r="I376" i="4"/>
  <c r="H376" i="4"/>
  <c r="J376" i="4" s="1"/>
  <c r="F376" i="4"/>
  <c r="Q375" i="4"/>
  <c r="K375" i="4"/>
  <c r="I375" i="4"/>
  <c r="H375" i="4"/>
  <c r="J375" i="4" s="1"/>
  <c r="F375" i="4"/>
  <c r="Q374" i="4"/>
  <c r="K374" i="4"/>
  <c r="I374" i="4"/>
  <c r="H374" i="4"/>
  <c r="J374" i="4" s="1"/>
  <c r="F374" i="4"/>
  <c r="Q373" i="4"/>
  <c r="K373" i="4"/>
  <c r="I373" i="4"/>
  <c r="H373" i="4"/>
  <c r="J373" i="4" s="1"/>
  <c r="F373" i="4"/>
  <c r="Q372" i="4"/>
  <c r="K372" i="4"/>
  <c r="I372" i="4"/>
  <c r="H372" i="4"/>
  <c r="J372" i="4" s="1"/>
  <c r="F372" i="4"/>
  <c r="Q371" i="4"/>
  <c r="K371" i="4"/>
  <c r="I371" i="4"/>
  <c r="H371" i="4"/>
  <c r="J371" i="4" s="1"/>
  <c r="F371" i="4"/>
  <c r="Q370" i="4"/>
  <c r="K370" i="4"/>
  <c r="I370" i="4"/>
  <c r="H370" i="4"/>
  <c r="J370" i="4" s="1"/>
  <c r="F370" i="4"/>
  <c r="Q369" i="4"/>
  <c r="K369" i="4"/>
  <c r="I369" i="4"/>
  <c r="H369" i="4"/>
  <c r="J369" i="4" s="1"/>
  <c r="F369" i="4"/>
  <c r="Q368" i="4"/>
  <c r="K368" i="4"/>
  <c r="I368" i="4"/>
  <c r="H368" i="4"/>
  <c r="J368" i="4" s="1"/>
  <c r="F368" i="4"/>
  <c r="Q367" i="4"/>
  <c r="K367" i="4"/>
  <c r="I367" i="4"/>
  <c r="H367" i="4"/>
  <c r="J367" i="4" s="1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J364" i="4" s="1"/>
  <c r="F364" i="4"/>
  <c r="Q363" i="4"/>
  <c r="K363" i="4"/>
  <c r="I363" i="4"/>
  <c r="H363" i="4"/>
  <c r="J363" i="4" s="1"/>
  <c r="F363" i="4"/>
  <c r="Q362" i="4"/>
  <c r="K362" i="4"/>
  <c r="I362" i="4"/>
  <c r="H362" i="4"/>
  <c r="J362" i="4" s="1"/>
  <c r="F362" i="4"/>
  <c r="Q361" i="4"/>
  <c r="K361" i="4"/>
  <c r="I361" i="4"/>
  <c r="H361" i="4"/>
  <c r="J361" i="4" s="1"/>
  <c r="F361" i="4"/>
  <c r="Q360" i="4"/>
  <c r="K360" i="4"/>
  <c r="I360" i="4"/>
  <c r="H360" i="4"/>
  <c r="J360" i="4" s="1"/>
  <c r="F360" i="4"/>
  <c r="Q359" i="4"/>
  <c r="K359" i="4"/>
  <c r="I359" i="4"/>
  <c r="H359" i="4"/>
  <c r="J359" i="4" s="1"/>
  <c r="F359" i="4"/>
  <c r="Q358" i="4"/>
  <c r="K358" i="4"/>
  <c r="I358" i="4"/>
  <c r="H358" i="4"/>
  <c r="J358" i="4" s="1"/>
  <c r="F358" i="4"/>
  <c r="Q357" i="4"/>
  <c r="K357" i="4"/>
  <c r="I357" i="4"/>
  <c r="H357" i="4"/>
  <c r="J357" i="4" s="1"/>
  <c r="F357" i="4"/>
  <c r="Q356" i="4"/>
  <c r="K356" i="4"/>
  <c r="I356" i="4"/>
  <c r="H356" i="4"/>
  <c r="J356" i="4" s="1"/>
  <c r="F356" i="4"/>
  <c r="Q355" i="4"/>
  <c r="K355" i="4"/>
  <c r="I355" i="4"/>
  <c r="H355" i="4"/>
  <c r="J355" i="4" s="1"/>
  <c r="F355" i="4"/>
  <c r="Q354" i="4"/>
  <c r="K354" i="4"/>
  <c r="I354" i="4"/>
  <c r="H354" i="4"/>
  <c r="J354" i="4" s="1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J350" i="4" s="1"/>
  <c r="F350" i="4"/>
  <c r="Q349" i="4"/>
  <c r="K349" i="4"/>
  <c r="I349" i="4"/>
  <c r="H349" i="4"/>
  <c r="J349" i="4" s="1"/>
  <c r="F349" i="4"/>
  <c r="Q348" i="4"/>
  <c r="K348" i="4"/>
  <c r="I348" i="4"/>
  <c r="H348" i="4"/>
  <c r="J348" i="4" s="1"/>
  <c r="F348" i="4"/>
  <c r="Q347" i="4"/>
  <c r="K347" i="4"/>
  <c r="I347" i="4"/>
  <c r="H347" i="4"/>
  <c r="J347" i="4" s="1"/>
  <c r="F347" i="4"/>
  <c r="Q346" i="4"/>
  <c r="K346" i="4"/>
  <c r="I346" i="4"/>
  <c r="H346" i="4"/>
  <c r="J346" i="4" s="1"/>
  <c r="F346" i="4"/>
  <c r="Q345" i="4"/>
  <c r="K345" i="4"/>
  <c r="I345" i="4"/>
  <c r="H345" i="4"/>
  <c r="J345" i="4" s="1"/>
  <c r="F345" i="4"/>
  <c r="Q344" i="4"/>
  <c r="K344" i="4"/>
  <c r="I344" i="4"/>
  <c r="H344" i="4"/>
  <c r="J344" i="4" s="1"/>
  <c r="F344" i="4"/>
  <c r="Q343" i="4"/>
  <c r="K343" i="4"/>
  <c r="I343" i="4"/>
  <c r="H343" i="4"/>
  <c r="J343" i="4" s="1"/>
  <c r="F343" i="4"/>
  <c r="Q342" i="4"/>
  <c r="K342" i="4"/>
  <c r="I342" i="4"/>
  <c r="H342" i="4"/>
  <c r="J342" i="4" s="1"/>
  <c r="F342" i="4"/>
  <c r="Q341" i="4"/>
  <c r="K341" i="4"/>
  <c r="I341" i="4"/>
  <c r="H341" i="4"/>
  <c r="J341" i="4" s="1"/>
  <c r="F341" i="4"/>
  <c r="Q340" i="4"/>
  <c r="K340" i="4"/>
  <c r="I340" i="4"/>
  <c r="H340" i="4"/>
  <c r="J340" i="4" s="1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J337" i="4" s="1"/>
  <c r="F337" i="4"/>
  <c r="Q336" i="4"/>
  <c r="K336" i="4"/>
  <c r="I336" i="4"/>
  <c r="H336" i="4"/>
  <c r="J336" i="4" s="1"/>
  <c r="F336" i="4"/>
  <c r="Q335" i="4"/>
  <c r="K335" i="4"/>
  <c r="I335" i="4"/>
  <c r="H335" i="4"/>
  <c r="J335" i="4" s="1"/>
  <c r="F335" i="4"/>
  <c r="Q334" i="4"/>
  <c r="K334" i="4"/>
  <c r="I334" i="4"/>
  <c r="H334" i="4"/>
  <c r="J334" i="4" s="1"/>
  <c r="F334" i="4"/>
  <c r="Q333" i="4"/>
  <c r="K333" i="4"/>
  <c r="I333" i="4"/>
  <c r="H333" i="4"/>
  <c r="J333" i="4" s="1"/>
  <c r="F333" i="4"/>
  <c r="Q332" i="4"/>
  <c r="K332" i="4"/>
  <c r="I332" i="4"/>
  <c r="H332" i="4"/>
  <c r="J332" i="4" s="1"/>
  <c r="F332" i="4"/>
  <c r="Q331" i="4"/>
  <c r="K331" i="4"/>
  <c r="I331" i="4"/>
  <c r="H331" i="4"/>
  <c r="J331" i="4" s="1"/>
  <c r="F331" i="4"/>
  <c r="Q330" i="4"/>
  <c r="K330" i="4"/>
  <c r="I330" i="4"/>
  <c r="H330" i="4"/>
  <c r="J330" i="4" s="1"/>
  <c r="F330" i="4"/>
  <c r="Q329" i="4"/>
  <c r="K329" i="4"/>
  <c r="I329" i="4"/>
  <c r="H329" i="4"/>
  <c r="J329" i="4" s="1"/>
  <c r="F329" i="4"/>
  <c r="Q328" i="4"/>
  <c r="K328" i="4"/>
  <c r="I328" i="4"/>
  <c r="H328" i="4"/>
  <c r="J328" i="4" s="1"/>
  <c r="F328" i="4"/>
  <c r="Q327" i="4"/>
  <c r="K327" i="4"/>
  <c r="I327" i="4"/>
  <c r="H327" i="4"/>
  <c r="J327" i="4" s="1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J323" i="4" s="1"/>
  <c r="F323" i="4"/>
  <c r="Q322" i="4"/>
  <c r="K322" i="4"/>
  <c r="I322" i="4"/>
  <c r="H322" i="4"/>
  <c r="J322" i="4" s="1"/>
  <c r="F322" i="4"/>
  <c r="Q321" i="4"/>
  <c r="K321" i="4"/>
  <c r="I321" i="4"/>
  <c r="H321" i="4"/>
  <c r="J321" i="4" s="1"/>
  <c r="F321" i="4"/>
  <c r="Q320" i="4"/>
  <c r="K320" i="4"/>
  <c r="I320" i="4"/>
  <c r="H320" i="4"/>
  <c r="J320" i="4" s="1"/>
  <c r="F320" i="4"/>
  <c r="Q319" i="4"/>
  <c r="K319" i="4"/>
  <c r="I319" i="4"/>
  <c r="H319" i="4"/>
  <c r="J319" i="4" s="1"/>
  <c r="F319" i="4"/>
  <c r="Q318" i="4"/>
  <c r="K318" i="4"/>
  <c r="I318" i="4"/>
  <c r="H318" i="4"/>
  <c r="J318" i="4" s="1"/>
  <c r="F318" i="4"/>
  <c r="Q317" i="4"/>
  <c r="K317" i="4"/>
  <c r="I317" i="4"/>
  <c r="H317" i="4"/>
  <c r="J317" i="4" s="1"/>
  <c r="F317" i="4"/>
  <c r="Q316" i="4"/>
  <c r="K316" i="4"/>
  <c r="I316" i="4"/>
  <c r="H316" i="4"/>
  <c r="J316" i="4" s="1"/>
  <c r="F316" i="4"/>
  <c r="Q315" i="4"/>
  <c r="K315" i="4"/>
  <c r="I315" i="4"/>
  <c r="H315" i="4"/>
  <c r="J315" i="4" s="1"/>
  <c r="F315" i="4"/>
  <c r="Q314" i="4"/>
  <c r="K314" i="4"/>
  <c r="I314" i="4"/>
  <c r="H314" i="4"/>
  <c r="J314" i="4" s="1"/>
  <c r="F314" i="4"/>
  <c r="Q313" i="4"/>
  <c r="K313" i="4"/>
  <c r="I313" i="4"/>
  <c r="H313" i="4"/>
  <c r="J313" i="4" s="1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J310" i="4" s="1"/>
  <c r="F310" i="4"/>
  <c r="Q309" i="4"/>
  <c r="K309" i="4"/>
  <c r="I309" i="4"/>
  <c r="H309" i="4"/>
  <c r="J309" i="4" s="1"/>
  <c r="F309" i="4"/>
  <c r="Q308" i="4"/>
  <c r="K308" i="4"/>
  <c r="I308" i="4"/>
  <c r="H308" i="4"/>
  <c r="J308" i="4" s="1"/>
  <c r="F308" i="4"/>
  <c r="Q307" i="4"/>
  <c r="K307" i="4"/>
  <c r="I307" i="4"/>
  <c r="H307" i="4"/>
  <c r="J307" i="4" s="1"/>
  <c r="F307" i="4"/>
  <c r="Q306" i="4"/>
  <c r="K306" i="4"/>
  <c r="I306" i="4"/>
  <c r="H306" i="4"/>
  <c r="J306" i="4" s="1"/>
  <c r="F306" i="4"/>
  <c r="Q305" i="4"/>
  <c r="K305" i="4"/>
  <c r="I305" i="4"/>
  <c r="H305" i="4"/>
  <c r="J305" i="4" s="1"/>
  <c r="F305" i="4"/>
  <c r="Q304" i="4"/>
  <c r="K304" i="4"/>
  <c r="I304" i="4"/>
  <c r="H304" i="4"/>
  <c r="J304" i="4" s="1"/>
  <c r="F304" i="4"/>
  <c r="Q303" i="4"/>
  <c r="K303" i="4"/>
  <c r="I303" i="4"/>
  <c r="H303" i="4"/>
  <c r="J303" i="4" s="1"/>
  <c r="F303" i="4"/>
  <c r="Q302" i="4"/>
  <c r="K302" i="4"/>
  <c r="I302" i="4"/>
  <c r="H302" i="4"/>
  <c r="J302" i="4" s="1"/>
  <c r="F302" i="4"/>
  <c r="Q301" i="4"/>
  <c r="K301" i="4"/>
  <c r="I301" i="4"/>
  <c r="H301" i="4"/>
  <c r="J301" i="4" s="1"/>
  <c r="F301" i="4"/>
  <c r="Q300" i="4"/>
  <c r="K300" i="4"/>
  <c r="I300" i="4"/>
  <c r="H300" i="4"/>
  <c r="J300" i="4" s="1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8" i="6" l="1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<sst xmlns="http://schemas.openxmlformats.org/spreadsheetml/2006/main" count="8601" uniqueCount="398">
  <si>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</si>
  <si>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</si>
  <si>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</si>
  <si>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</si>
  <si>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</si>
  <si>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</si>
  <si>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</si>
  <si>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</si>
  <si>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</si>
  <si>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</si>
  <si>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</si>
  <si>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</si>
  <si>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</si>
  <si>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</si>
  <si>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</si>
  <si>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</si>
  <si>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</si>
  <si>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</si>
  <si>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</si>
  <si>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</si>
  <si>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</si>
  <si>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</si>
  <si>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</si>
  <si>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</si>
  <si>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</si>
  <si>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</si>
  <si>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</si>
  <si>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</si>
  <si>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</si>
  <si>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</si>
  <si>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</si>
  <si>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</si>
  <si>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</si>
  <si>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</si>
  <si>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</si>
  <si>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</si>
  <si>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</si>
  <si>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</si>
  <si>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</si>
  <si>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</si>
  <si>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</si>
  <si>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</si>
  <si>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</si>
  <si>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</si>
  <si>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</si>
  <si>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</si>
  <si>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</si>
  <si>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</si>
  <si>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</si>
  <si>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</si>
  <si>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</si>
  <si>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</si>
  <si>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</si>
  <si>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</si>
  <si>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</si>
  <si>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</si>
  <si>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</si>
  <si>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</si>
  <si>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</si>
  <si>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</si>
  <si>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</si>
  <si>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</si>
  <si>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</si>
  <si>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</si>
  <si>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</si>
  <si>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</si>
  <si>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</si>
  <si>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</si>
  <si>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</si>
  <si>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</si>
  <si>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</si>
  <si>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</si>
  <si>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</si>
  <si>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</si>
  <si>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</si>
  <si>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</si>
  <si>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</si>
  <si>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</si>
  <si>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</si>
  <si>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</si>
  <si>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</si>
  <si>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</si>
  <si>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</si>
  <si>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</si>
  <si>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</si>
  <si>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</si>
  <si>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</si>
  <si>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</si>
  <si>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</si>
  <si>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</si>
  <si>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</si>
  <si>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</si>
  <si>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</si>
  <si>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</si>
  <si>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</si>
  <si>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</si>
  <si>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</si>
  <si>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</si>
  <si>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</si>
  <si>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</si>
  <si>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</si>
  <si>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</si>
  <si>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</si>
  <si>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</si>
  <si>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</si>
  <si>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</si>
  <si>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</si>
  <si>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</si>
  <si>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</si>
  <si>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</si>
  <si>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</si>
  <si>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</si>
  <si>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</si>
  <si>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</si>
  <si>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</si>
  <si>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</si>
  <si>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</si>
  <si>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</si>
  <si>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</si>
  <si>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</si>
  <si>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</si>
  <si>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</si>
  <si>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</si>
  <si>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</si>
  <si>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</si>
  <si>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</si>
  <si>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</si>
  <si>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</si>
  <si>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</si>
  <si>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</si>
  <si>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</si>
  <si>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</si>
  <si>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</si>
  <si>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</si>
  <si>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</si>
  <si>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</si>
  <si>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</si>
  <si>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</si>
  <si>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</si>
  <si>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</si>
  <si>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</si>
  <si>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</si>
  <si>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</si>
  <si>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</si>
  <si>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</si>
  <si>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</si>
  <si>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</si>
  <si>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</si>
  <si>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</si>
  <si>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</si>
  <si>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</si>
  <si>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</si>
  <si>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</si>
  <si>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</si>
  <si>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</si>
  <si>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</si>
  <si>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</si>
  <si>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</si>
  <si>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</si>
  <si>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</si>
  <si>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</si>
  <si>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</si>
  <si>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</si>
  <si>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</si>
  <si>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</si>
  <si>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</si>
  <si>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</si>
  <si>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</si>
  <si>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</si>
  <si>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</si>
  <si>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</si>
  <si>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</si>
  <si>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</si>
  <si>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</si>
  <si>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</si>
  <si>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</si>
  <si>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</si>
  <si>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</si>
  <si>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</si>
  <si>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</si>
  <si>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</si>
  <si>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</si>
  <si>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</si>
  <si>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</si>
  <si>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</si>
  <si>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</si>
  <si>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</si>
  <si>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</si>
  <si>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</si>
  <si>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</si>
  <si>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</si>
  <si>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</si>
  <si>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</si>
  <si>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</si>
  <si>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</si>
  <si>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</si>
  <si>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</si>
  <si>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</si>
  <si>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</si>
  <si>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</si>
  <si>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</si>
  <si>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</si>
  <si>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</si>
  <si>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</si>
  <si>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</si>
  <si>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</si>
  <si>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</si>
  <si>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</si>
  <si>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</si>
  <si>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</si>
  <si>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</si>
  <si>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</si>
  <si>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</si>
  <si>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</si>
  <si>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</si>
  <si>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</si>
  <si>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</si>
  <si>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</si>
  <si>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</si>
  <si>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</si>
  <si>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</si>
  <si>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</si>
  <si>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</si>
  <si>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</si>
  <si>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</si>
  <si>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</si>
  <si>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</si>
  <si>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</si>
  <si>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</si>
  <si>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</si>
  <si>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</si>
  <si>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</si>
  <si>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</si>
  <si>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</si>
  <si>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</si>
  <si>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</si>
  <si>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</si>
  <si>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</si>
  <si>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</si>
  <si>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</si>
  <si>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</si>
  <si>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</si>
  <si>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</si>
  <si>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</si>
  <si>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</si>
  <si>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</si>
  <si>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</si>
  <si>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</si>
  <si>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</si>
  <si>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</si>
  <si>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</si>
  <si>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</si>
  <si>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</si>
  <si>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</si>
  <si>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</si>
  <si>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</si>
  <si>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</si>
  <si>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</si>
  <si>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</si>
  <si>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</si>
  <si>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</si>
  <si>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</si>
  <si>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</si>
  <si>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</si>
  <si>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</si>
  <si>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</si>
  <si>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</si>
  <si>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</si>
  <si>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</si>
  <si>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</si>
  <si>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</si>
  <si>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</si>
  <si>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</si>
  <si>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</si>
  <si>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</si>
  <si>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</si>
  <si>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</si>
  <si>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</si>
  <si>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</si>
  <si>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</si>
  <si>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</si>
  <si>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</si>
  <si>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</si>
  <si>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</si>
  <si>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</si>
  <si>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</si>
  <si>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</si>
  <si>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</si>
  <si>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</si>
  <si>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</si>
  <si>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</si>
  <si>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</si>
  <si>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</si>
  <si>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</si>
  <si>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</si>
  <si>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</si>
  <si>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</si>
  <si>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</si>
  <si>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</si>
  <si>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</si>
  <si>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</si>
  <si>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</si>
  <si>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</si>
  <si>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</si>
  <si>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</si>
  <si>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</si>
  <si>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</si>
  <si>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</si>
  <si>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</si>
  <si>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</si>
  <si>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</si>
  <si>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</si>
  <si>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</si>
  <si>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</si>
  <si>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</si>
  <si>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</si>
  <si>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</si>
  <si>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</si>
  <si>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</si>
  <si>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</si>
  <si>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</si>
  <si>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</si>
  <si>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</si>
  <si>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</si>
  <si>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</si>
  <si>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</si>
  <si>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</si>
  <si>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</si>
  <si>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</si>
  <si>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</si>
  <si>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</si>
  <si>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</si>
  <si>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</si>
  <si>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</si>
  <si>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</si>
  <si>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</si>
  <si>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</si>
  <si>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</si>
  <si>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</si>
  <si>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</si>
  <si>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</si>
  <si>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</si>
  <si>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</si>
  <si>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</si>
  <si>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</si>
  <si>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</si>
  <si>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</si>
  <si>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</si>
  <si>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</si>
  <si>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</si>
  <si>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</si>
  <si>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</si>
  <si>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</si>
  <si>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</si>
  <si>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</si>
  <si>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</si>
  <si>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</si>
  <si>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</si>
  <si>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</si>
  <si>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</si>
  <si>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</si>
  <si>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</si>
  <si>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</si>
  <si>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</si>
  <si>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</si>
  <si>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</si>
  <si>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</si>
  <si>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</si>
  <si>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</si>
  <si>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</si>
  <si>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</si>
  <si>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</si>
  <si>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</si>
  <si>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</si>
  <si>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</si>
  <si>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</si>
  <si>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</si>
  <si>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</si>
  <si>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</si>
  <si>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</si>
  <si>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</si>
  <si>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</si>
  <si>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</si>
  <si>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</si>
  <si>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</si>
  <si>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</si>
  <si>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</si>
  <si>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</si>
  <si>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</si>
  <si>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</si>
  <si>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</si>
  <si>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</si>
  <si>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</si>
  <si>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</si>
  <si>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</si>
  <si>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</si>
  <si>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</si>
  <si>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>pc17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</si>
</sst>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1474930</v>
      </c>
      <c r="D22" s="19">
        <f>IFERROR('Linha 1'!S514,"")</f>
        <v>598340</v>
      </c>
      <c r="E22" s="19">
        <f>IFERROR('Linha 2'!S514,"")</f>
        <v>372250</v>
      </c>
      <c r="F22" s="19">
        <f>IFERROR('Linha 3'!S514,"")</f>
        <v>864280</v>
      </c>
      <c r="G22" s="20">
        <f t="shared" si="0"/>
        <v>1834870</v>
      </c>
      <c r="H22" s="21">
        <f>IFERROR('Linha 1'!T514+'Linha 2'!T514+'Linha 3'!T514,0)</f>
        <v>264.22127999999998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59" t="s">
        <v>16</v>
      </c>
      <c r="B35" s="159"/>
      <c r="C35" s="30">
        <f t="shared" ref="C35:I35" si="2">IFERROR(SUM(C4:C34),"")</f>
        <v>69393780</v>
      </c>
      <c r="D35" s="30">
        <f t="shared" si="2"/>
        <v>22765740</v>
      </c>
      <c r="E35" s="30">
        <f t="shared" si="2"/>
        <v>11910920</v>
      </c>
      <c r="F35" s="30">
        <f t="shared" si="2"/>
        <v>28979710</v>
      </c>
      <c r="G35" s="30">
        <f t="shared" si="2"/>
        <v>63656370</v>
      </c>
      <c r="H35" s="31">
        <f t="shared" si="2"/>
        <v>5209.7154450601884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>
      <c r="M2" s="16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1"/>
      <c r="N59" s="40"/>
      <c r="O59" s="40"/>
      <c r="P59" s="40" t="s">
        <v>222</v>
      </c>
      <c r="Q59" s="40"/>
      <c r="R59" s="40"/>
    </row>
    <row r="60" spans="1:18" ht="15" customHeight="1">
      <c r="M60" s="161"/>
      <c r="N60" s="37"/>
      <c r="O60" s="37"/>
      <c r="P60" s="53" t="s">
        <v>114</v>
      </c>
      <c r="Q60" s="37"/>
      <c r="R60" s="37"/>
    </row>
    <row r="61" spans="1:18" ht="15" customHeight="1">
      <c r="M61" s="161"/>
      <c r="N61" s="40"/>
      <c r="O61" s="40"/>
      <c r="P61" s="40" t="s">
        <v>223</v>
      </c>
      <c r="Q61" s="40"/>
      <c r="R61" s="40"/>
    </row>
    <row r="62" spans="1:18" ht="15" customHeight="1">
      <c r="M62" s="161"/>
      <c r="N62" s="37"/>
      <c r="O62" s="37"/>
      <c r="P62" s="37" t="s">
        <v>224</v>
      </c>
      <c r="Q62" s="37"/>
      <c r="R62" s="37"/>
    </row>
    <row r="63" spans="1:18" ht="15" customHeight="1">
      <c r="M63" s="161"/>
      <c r="N63" s="40"/>
      <c r="O63" s="40"/>
      <c r="P63" s="40" t="s">
        <v>225</v>
      </c>
      <c r="Q63" s="40"/>
      <c r="R63" s="40"/>
    </row>
    <row r="64" spans="1:18" ht="15" customHeight="1">
      <c r="M64" s="161"/>
      <c r="N64" s="37"/>
      <c r="O64" s="37"/>
      <c r="P64" s="37" t="s">
        <v>226</v>
      </c>
      <c r="Q64" s="37"/>
      <c r="R64" s="37"/>
    </row>
    <row r="65" spans="13:18" ht="15" customHeight="1">
      <c r="M65" s="161"/>
      <c r="N65" s="40"/>
      <c r="O65" s="40"/>
      <c r="P65" s="40" t="s">
        <v>227</v>
      </c>
      <c r="Q65" s="40"/>
      <c r="R65" s="40"/>
    </row>
    <row r="66" spans="13:18" ht="15" customHeight="1">
      <c r="M66" s="161"/>
      <c r="N66" s="37"/>
      <c r="O66" s="37"/>
      <c r="P66" s="37" t="s">
        <v>228</v>
      </c>
      <c r="Q66" s="37"/>
      <c r="R66" s="37"/>
    </row>
    <row r="67" spans="13:18" ht="15" customHeight="1">
      <c r="M67" s="161"/>
      <c r="N67" s="40"/>
      <c r="O67" s="40"/>
      <c r="P67" s="40" t="s">
        <v>229</v>
      </c>
      <c r="Q67" s="40"/>
      <c r="R67" s="40"/>
    </row>
    <row r="68" spans="13:18" ht="15" customHeight="1">
      <c r="M68" s="161"/>
      <c r="N68" s="37"/>
      <c r="O68" s="37"/>
      <c r="P68" s="37" t="s">
        <v>230</v>
      </c>
      <c r="Q68" s="37"/>
      <c r="R68" s="37"/>
    </row>
    <row r="69" spans="13:18" ht="15" customHeight="1">
      <c r="M69" s="161"/>
      <c r="N69" s="40"/>
      <c r="O69" s="40"/>
      <c r="P69" s="40" t="s">
        <v>231</v>
      </c>
      <c r="Q69" s="40"/>
      <c r="R69" s="40"/>
    </row>
    <row r="70" spans="13:18" ht="15" customHeight="1">
      <c r="M70" s="161"/>
      <c r="N70" s="37"/>
      <c r="O70" s="37"/>
      <c r="P70" s="37" t="s">
        <v>232</v>
      </c>
      <c r="Q70" s="37"/>
      <c r="R70" s="37"/>
    </row>
    <row r="71" spans="13:18" ht="15" customHeight="1">
      <c r="M71" s="161"/>
      <c r="N71" s="40"/>
      <c r="O71" s="40"/>
      <c r="P71" s="40" t="s">
        <v>233</v>
      </c>
      <c r="Q71" s="40"/>
      <c r="R71" s="40"/>
    </row>
    <row r="72" spans="13:18" ht="15" customHeight="1">
      <c r="M72" s="161"/>
      <c r="N72" s="37"/>
      <c r="O72" s="37"/>
      <c r="P72" s="37" t="s">
        <v>234</v>
      </c>
      <c r="Q72" s="37"/>
      <c r="R72" s="37"/>
    </row>
    <row r="73" spans="13:18" ht="15" customHeight="1">
      <c r="M73" s="161"/>
      <c r="N73" s="40"/>
      <c r="O73" s="40"/>
      <c r="P73" s="40" t="s">
        <v>235</v>
      </c>
      <c r="Q73" s="40"/>
      <c r="R73" s="40"/>
    </row>
    <row r="74" spans="13:18" ht="15" customHeight="1">
      <c r="M74" s="161"/>
      <c r="N74" s="37"/>
      <c r="O74" s="37"/>
      <c r="P74" s="37" t="s">
        <v>236</v>
      </c>
      <c r="Q74" s="37"/>
      <c r="R74" s="37"/>
    </row>
    <row r="75" spans="13:18" ht="15" customHeight="1">
      <c r="M75" s="161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80" activePane="bottomLeft" state="frozen"/>
      <selection pane="bottomLeft" activeCell="D508" sqref="D508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/>
      <c r="I502" s="61"/>
      <c r="J502" s="61"/>
      <c r="K502" s="65"/>
      <c r="L502" s="65"/>
      <c r="M502" s="66" t="str">
        <f t="shared" ca="1" si="108"/>
        <v/>
      </c>
      <c r="N502" s="80"/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/>
      <c r="E509" s="75"/>
      <c r="F509" s="63"/>
      <c r="G509" s="69" t="str">
        <f t="shared" si="107"/>
        <v/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/>
      <c r="E510" s="75"/>
      <c r="F510" s="63"/>
      <c r="G510" s="64" t="str">
        <f t="shared" si="107"/>
        <v/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/>
      <c r="E511" s="75"/>
      <c r="F511" s="63"/>
      <c r="G511" s="69" t="str">
        <f t="shared" si="107"/>
        <v/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/>
      <c r="E512" s="75"/>
      <c r="F512" s="63"/>
      <c r="G512" s="64" t="str">
        <f t="shared" si="107"/>
        <v/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5" t="s">
        <v>263</v>
      </c>
      <c r="B513" s="155"/>
      <c r="C513" s="155"/>
      <c r="D513" s="155"/>
      <c r="E513" s="155"/>
      <c r="F513" s="2">
        <f>SUM(F501:F512)</f>
        <v>267</v>
      </c>
      <c r="G513" s="2">
        <f>SUM(G501:G512)</f>
        <v>1335</v>
      </c>
      <c r="H513" s="72"/>
      <c r="I513" s="72"/>
      <c r="J513" s="72"/>
      <c r="K513" s="72"/>
      <c r="L513" s="72"/>
      <c r="M513" s="73">
        <f ca="1">IFERROR(SUM(M501:M512),"")</f>
        <v>6.2500000000000056E-3</v>
      </c>
      <c r="N513" s="2" t="s">
        <v>261</v>
      </c>
      <c r="O513" s="74"/>
    </row>
    <row r="514" spans="1:15" ht="18" customHeight="1">
      <c r="A514" s="156" t="s">
        <v>249</v>
      </c>
      <c r="B514" s="156"/>
      <c r="C514" s="156"/>
      <c r="D514" s="156"/>
      <c r="E514" s="156"/>
      <c r="F514" s="1">
        <f>F500+F513</f>
        <v>549</v>
      </c>
      <c r="G514" s="1">
        <f>G500+G513</f>
        <v>2745</v>
      </c>
      <c r="H514" s="76"/>
      <c r="I514" s="76"/>
      <c r="J514" s="76"/>
      <c r="K514" s="76"/>
      <c r="L514" s="76"/>
      <c r="M514" s="77">
        <f ca="1">IFERROR(M500+M513,"")</f>
        <v>0.11805555555555566</v>
      </c>
      <c r="N514" s="1" t="s">
        <v>264</v>
      </c>
      <c r="O514" s="82">
        <f>IFERROR(O500+O513,"")</f>
        <v>1474930</v>
      </c>
    </row>
    <row r="515" spans="1:15" ht="15" customHeight="1">
      <c r="A515" s="18">
        <v>46254</v>
      </c>
      <c r="B515" s="68">
        <v>0.33333333333333298</v>
      </c>
      <c r="C515" s="70"/>
      <c r="D515" s="75"/>
      <c r="E515" s="75"/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/>
      <c r="D516" s="75"/>
      <c r="E516" s="75"/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/>
      <c r="D517" s="75"/>
      <c r="E517" s="75"/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/>
      <c r="D518" s="75"/>
      <c r="E518" s="75"/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/>
      <c r="D519" s="75"/>
      <c r="E519" s="75"/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/>
      <c r="D520" s="75"/>
      <c r="E520" s="75"/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/>
      <c r="D521" s="75"/>
      <c r="E521" s="75"/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/>
      <c r="D522" s="75"/>
      <c r="E522" s="75"/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/>
      <c r="D523" s="75"/>
      <c r="E523" s="75"/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/>
      <c r="D524" s="75"/>
      <c r="E524" s="75"/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/>
      <c r="D525" s="75"/>
      <c r="E525" s="75"/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/>
      <c r="D526" s="75"/>
      <c r="E526" s="75"/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1" activePane="bottomLeft" state="frozen"/>
      <selection pane="bottomLeft" activeCell="G508" sqref="G508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296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297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298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299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300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301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302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303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5.341377314471174E-2</v>
      </c>
      <c r="R53" s="80" t="s">
        <v>304</v>
      </c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0.19230266203359947</v>
      </c>
      <c r="R54" s="2" t="s">
        <v>261</v>
      </c>
      <c r="S54" s="113">
        <v>352430</v>
      </c>
      <c r="T54" s="114"/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0.27702488425582228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296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305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306</v>
      </c>
      <c r="Q96" s="66" t="str">
        <f t="shared" ref="Q96:Q107" ca="1" si="22">IFERROR(IF(O96="","",IF(P96="",MOD(NOW()-O96,1),IF(P96&gt;=O96,P96-O96,P96+1-O96))),"")</f>
        <v/>
      </c>
      <c r="R96" s="80" t="s">
        <v>307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308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309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310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311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312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313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315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312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316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317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310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305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318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319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320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321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322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323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324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325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317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312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305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326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327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328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329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330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331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332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333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334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335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336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312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12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7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5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10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33.6</v>
      </c>
      <c r="L505" s="70"/>
      <c r="M505" s="70"/>
      <c r="N505" s="70"/>
      <c r="O505" s="65"/>
      <c r="P505" s="65"/>
      <c r="Q505" s="71" t="str">
        <f t="shared" ca="1" si="128"/>
        <v/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 t="shared" si="127"/>
        <v>50.400000000000006</v>
      </c>
      <c r="L506" s="61"/>
      <c r="M506" s="61"/>
      <c r="N506" s="61"/>
      <c r="O506" s="65"/>
      <c r="P506" s="65"/>
      <c r="Q506" s="66" t="str">
        <f t="shared" ca="1" si="128"/>
        <v/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>
        <f t="shared" si="127"/>
        <v>71.400000000000006</v>
      </c>
      <c r="L507" s="70"/>
      <c r="M507" s="70"/>
      <c r="N507" s="70"/>
      <c r="O507" s="65"/>
      <c r="P507" s="65"/>
      <c r="Q507" s="71" t="str">
        <f t="shared" ca="1" si="128"/>
        <v/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25.200000000000003</v>
      </c>
      <c r="L508" s="61"/>
      <c r="M508" s="61"/>
      <c r="N508" s="61"/>
      <c r="O508" s="65"/>
      <c r="P508" s="65"/>
      <c r="Q508" s="66" t="str">
        <f t="shared" ca="1" si="128"/>
        <v/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77</v>
      </c>
      <c r="H513" s="105">
        <f>IFERROR(SUM(H501:H512),"")</f>
        <v>0</v>
      </c>
      <c r="I513" s="106"/>
      <c r="J513" s="107">
        <f>IFERROR(SUM(J501:J512),"")</f>
        <v>0</v>
      </c>
      <c r="K513" s="83">
        <f>SUM(K501:K512)</f>
        <v>323.40000000000003</v>
      </c>
      <c r="L513" s="72"/>
      <c r="M513" s="72"/>
      <c r="N513" s="72"/>
      <c r="O513" s="72"/>
      <c r="P513" s="72"/>
      <c r="Q513" s="73">
        <f ca="1">IFERROR(SUM(Q501:Q512),"")</f>
        <v>6.5277777777777643E-2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219</v>
      </c>
      <c r="H514" s="108">
        <f>IFERROR(H500+H513,"")</f>
        <v>598.33999999999992</v>
      </c>
      <c r="I514" s="110"/>
      <c r="J514" s="111">
        <f>IFERROR(J500+J513,"")</f>
        <v>86.160960000000003</v>
      </c>
      <c r="K514" s="125">
        <f>K500+K513</f>
        <v>928.60000000000014</v>
      </c>
      <c r="L514" s="76"/>
      <c r="M514" s="76"/>
      <c r="N514" s="76"/>
      <c r="O514" s="76"/>
      <c r="P514" s="76"/>
      <c r="Q514" s="77">
        <f ca="1">IFERROR(Q500+Q513,"")</f>
        <v>0.15694444444444428</v>
      </c>
      <c r="R514" s="1" t="s">
        <v>264</v>
      </c>
      <c r="S514" s="82">
        <f>IFERROR(S500+S513,"")</f>
        <v>598340</v>
      </c>
      <c r="T514" s="118">
        <f>IFERROR(J514,"")</f>
        <v>86.160960000000003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77" activePane="bottomLeft" state="frozen"/>
      <selection pane="bottomLeft" activeCell="P505" sqref="P505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299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305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339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313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5" t="s">
        <v>260</v>
      </c>
      <c r="B149" s="165"/>
      <c r="C149" s="165"/>
      <c r="D149" s="165"/>
      <c r="E149" s="165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305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316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349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350</v>
      </c>
      <c r="Q222" s="66" t="str">
        <f t="shared" ca="1" si="49"/>
        <v/>
      </c>
      <c r="R222" s="63" t="s">
        <v>351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323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324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305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5" t="s">
        <v>260</v>
      </c>
      <c r="B365" s="165"/>
      <c r="C365" s="165"/>
      <c r="D365" s="165"/>
      <c r="E365" s="165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327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305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359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7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0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9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3"/>
        <v>0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7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3"/>
        <v>0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6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3"/>
        <v>0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3"/>
        <v>0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/>
      <c r="M506" s="61"/>
      <c r="N506" s="61"/>
      <c r="O506" s="65"/>
      <c r="P506" s="65"/>
      <c r="Q506" s="66" t="str">
        <f t="shared" ca="1" si="125"/>
        <v/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3"/>
        <v>0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3"/>
        <v>0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3"/>
        <v/>
      </c>
      <c r="K509" s="69" t="str">
        <f t="shared" si="124"/>
        <v/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3"/>
        <v/>
      </c>
      <c r="K510" s="64" t="str">
        <f t="shared" si="124"/>
        <v/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3"/>
        <v/>
      </c>
      <c r="K511" s="69" t="str">
        <f t="shared" si="124"/>
        <v/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3"/>
        <v/>
      </c>
      <c r="K512" s="64" t="str">
        <f t="shared" si="124"/>
        <v/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52</v>
      </c>
      <c r="H513" s="105">
        <f>IFERROR(SUM(H501:H512),"")</f>
        <v>0</v>
      </c>
      <c r="I513" s="106"/>
      <c r="J513" s="107">
        <f>IFERROR(SUM(J501:J512),"")</f>
        <v>0</v>
      </c>
      <c r="K513" s="2">
        <f>SUM(K501:K512)</f>
        <v>218.4</v>
      </c>
      <c r="L513" s="72"/>
      <c r="M513" s="72"/>
      <c r="N513" s="72"/>
      <c r="O513" s="72"/>
      <c r="P513" s="72"/>
      <c r="Q513" s="73">
        <f ca="1">IFERROR(SUM(Q501:Q512),"")</f>
        <v>0.10277777777777766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124</v>
      </c>
      <c r="H514" s="108">
        <f>IFERROR(H500+H513,"")</f>
        <v>372.25</v>
      </c>
      <c r="I514" s="110"/>
      <c r="J514" s="111">
        <f>IFERROR(J500+J513,"")</f>
        <v>53.603999999999992</v>
      </c>
      <c r="K514" s="1">
        <f>K500+K513</f>
        <v>524.79999999999995</v>
      </c>
      <c r="L514" s="76"/>
      <c r="M514" s="76"/>
      <c r="N514" s="76"/>
      <c r="O514" s="76"/>
      <c r="P514" s="76"/>
      <c r="Q514" s="77">
        <f ca="1">IFERROR(Q500+Q513,"")</f>
        <v>0.1986111111111111</v>
      </c>
      <c r="R514" s="1" t="s">
        <v>264</v>
      </c>
      <c r="S514" s="82">
        <f>IFERROR(S500+S513,"")</f>
        <v>372250</v>
      </c>
      <c r="T514" s="118">
        <f>IFERROR(J514,"")</f>
        <v>53.603999999999992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>
      <c r="A516" s="59">
        <v>46254</v>
      </c>
      <c r="B516" s="60">
        <f t="shared" ref="B516:B526" si="130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>
      <c r="A517" s="18">
        <v>46254</v>
      </c>
      <c r="B517" s="68">
        <f t="shared" si="130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>
      <c r="A518" s="59">
        <v>46254</v>
      </c>
      <c r="B518" s="60">
        <f t="shared" si="130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>
      <c r="A519" s="18">
        <v>46254</v>
      </c>
      <c r="B519" s="68">
        <f t="shared" si="130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>
      <c r="A520" s="59">
        <v>46254</v>
      </c>
      <c r="B520" s="60">
        <f t="shared" si="130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>
      <c r="A521" s="18">
        <v>46254</v>
      </c>
      <c r="B521" s="68">
        <f t="shared" si="130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>
      <c r="A522" s="59">
        <v>46254</v>
      </c>
      <c r="B522" s="60">
        <f t="shared" si="130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>
      <c r="A523" s="18">
        <v>46254</v>
      </c>
      <c r="B523" s="68">
        <f t="shared" si="130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>
      <c r="A524" s="59">
        <v>46254</v>
      </c>
      <c r="B524" s="60">
        <f t="shared" si="130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>
      <c r="A525" s="18">
        <v>46254</v>
      </c>
      <c r="B525" s="68">
        <f t="shared" si="130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>
      <c r="A526" s="59">
        <v>46254</v>
      </c>
      <c r="B526" s="60">
        <f t="shared" si="130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479" activePane="bottomLeft" state="frozen"/>
      <selection pane="bottomLeft" activeCell="M503" sqref="M503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294</v>
      </c>
      <c r="I1" s="86" t="s">
        <v>22</v>
      </c>
      <c r="J1" s="86" t="s">
        <v>295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295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5" t="s">
        <v>260</v>
      </c>
      <c r="B14" s="165"/>
      <c r="C14" s="165"/>
      <c r="D14" s="165"/>
      <c r="E14" s="165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362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302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363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364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5" t="s">
        <v>263</v>
      </c>
      <c r="B27" s="165"/>
      <c r="C27" s="165"/>
      <c r="D27" s="165"/>
      <c r="E27" s="165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64" t="s">
        <v>249</v>
      </c>
      <c r="B28" s="164"/>
      <c r="C28" s="164"/>
      <c r="D28" s="164"/>
      <c r="E28" s="164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5" t="s">
        <v>260</v>
      </c>
      <c r="B41" s="165"/>
      <c r="C41" s="165"/>
      <c r="D41" s="165"/>
      <c r="E41" s="165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365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5" t="s">
        <v>263</v>
      </c>
      <c r="B54" s="165"/>
      <c r="C54" s="165"/>
      <c r="D54" s="165"/>
      <c r="E54" s="165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64" t="s">
        <v>249</v>
      </c>
      <c r="B55" s="164"/>
      <c r="C55" s="164"/>
      <c r="D55" s="164"/>
      <c r="E55" s="164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366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367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5" t="s">
        <v>260</v>
      </c>
      <c r="B68" s="165"/>
      <c r="C68" s="165"/>
      <c r="D68" s="165"/>
      <c r="E68" s="165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368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5" t="s">
        <v>263</v>
      </c>
      <c r="B81" s="165"/>
      <c r="C81" s="165"/>
      <c r="D81" s="165"/>
      <c r="E81" s="165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64" t="s">
        <v>249</v>
      </c>
      <c r="B82" s="164"/>
      <c r="C82" s="164"/>
      <c r="D82" s="164"/>
      <c r="E82" s="164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5" t="s">
        <v>260</v>
      </c>
      <c r="B95" s="165"/>
      <c r="C95" s="165"/>
      <c r="D95" s="165"/>
      <c r="E95" s="165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5" t="s">
        <v>263</v>
      </c>
      <c r="B108" s="165"/>
      <c r="C108" s="165"/>
      <c r="D108" s="165"/>
      <c r="E108" s="165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64" t="s">
        <v>249</v>
      </c>
      <c r="B109" s="164"/>
      <c r="C109" s="164"/>
      <c r="D109" s="164"/>
      <c r="E109" s="164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369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5" t="s">
        <v>260</v>
      </c>
      <c r="B122" s="165"/>
      <c r="C122" s="165"/>
      <c r="D122" s="165"/>
      <c r="E122" s="165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370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305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5" t="s">
        <v>263</v>
      </c>
      <c r="B135" s="165"/>
      <c r="C135" s="165"/>
      <c r="D135" s="165"/>
      <c r="E135" s="165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64" t="s">
        <v>249</v>
      </c>
      <c r="B136" s="164"/>
      <c r="C136" s="164"/>
      <c r="D136" s="164"/>
      <c r="E136" s="164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371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372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313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373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374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5" t="s">
        <v>263</v>
      </c>
      <c r="B162" s="165"/>
      <c r="C162" s="165"/>
      <c r="D162" s="165"/>
      <c r="E162" s="165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64" t="s">
        <v>249</v>
      </c>
      <c r="B163" s="164"/>
      <c r="C163" s="164"/>
      <c r="D163" s="164"/>
      <c r="E163" s="164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375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5" t="s">
        <v>260</v>
      </c>
      <c r="B176" s="165"/>
      <c r="C176" s="165"/>
      <c r="D176" s="165"/>
      <c r="E176" s="165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5" t="s">
        <v>263</v>
      </c>
      <c r="B189" s="165"/>
      <c r="C189" s="165"/>
      <c r="D189" s="165"/>
      <c r="E189" s="165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64" t="s">
        <v>249</v>
      </c>
      <c r="B190" s="164"/>
      <c r="C190" s="164"/>
      <c r="D190" s="164"/>
      <c r="E190" s="164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377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5" t="s">
        <v>260</v>
      </c>
      <c r="B203" s="165"/>
      <c r="C203" s="165"/>
      <c r="D203" s="165"/>
      <c r="E203" s="165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378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379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380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5" t="s">
        <v>263</v>
      </c>
      <c r="B216" s="165"/>
      <c r="C216" s="165"/>
      <c r="D216" s="165"/>
      <c r="E216" s="165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64" t="s">
        <v>249</v>
      </c>
      <c r="B217" s="164"/>
      <c r="C217" s="164"/>
      <c r="D217" s="164"/>
      <c r="E217" s="164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381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382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5" t="s">
        <v>260</v>
      </c>
      <c r="B230" s="165"/>
      <c r="C230" s="165"/>
      <c r="D230" s="165"/>
      <c r="E230" s="165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383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384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5" t="s">
        <v>263</v>
      </c>
      <c r="B243" s="165"/>
      <c r="C243" s="165"/>
      <c r="D243" s="165"/>
      <c r="E243" s="165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64" t="s">
        <v>249</v>
      </c>
      <c r="B244" s="164"/>
      <c r="C244" s="164"/>
      <c r="D244" s="164"/>
      <c r="E244" s="164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385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5" t="s">
        <v>260</v>
      </c>
      <c r="B257" s="165"/>
      <c r="C257" s="165"/>
      <c r="D257" s="165"/>
      <c r="E257" s="165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5" t="s">
        <v>263</v>
      </c>
      <c r="B270" s="165"/>
      <c r="C270" s="165"/>
      <c r="D270" s="165"/>
      <c r="E270" s="165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64" t="s">
        <v>249</v>
      </c>
      <c r="B271" s="164"/>
      <c r="C271" s="164"/>
      <c r="D271" s="164"/>
      <c r="E271" s="164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5" t="s">
        <v>260</v>
      </c>
      <c r="B284" s="165"/>
      <c r="C284" s="165"/>
      <c r="D284" s="165"/>
      <c r="E284" s="165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5" t="s">
        <v>263</v>
      </c>
      <c r="B297" s="165"/>
      <c r="C297" s="165"/>
      <c r="D297" s="165"/>
      <c r="E297" s="165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64" t="s">
        <v>249</v>
      </c>
      <c r="B298" s="164"/>
      <c r="C298" s="164"/>
      <c r="D298" s="164"/>
      <c r="E298" s="164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5" t="s">
        <v>260</v>
      </c>
      <c r="B311" s="165"/>
      <c r="C311" s="165"/>
      <c r="D311" s="165"/>
      <c r="E311" s="165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5" t="s">
        <v>263</v>
      </c>
      <c r="B324" s="165"/>
      <c r="C324" s="165"/>
      <c r="D324" s="165"/>
      <c r="E324" s="165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64" t="s">
        <v>249</v>
      </c>
      <c r="B325" s="164"/>
      <c r="C325" s="164"/>
      <c r="D325" s="164"/>
      <c r="E325" s="164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5" t="s">
        <v>260</v>
      </c>
      <c r="B338" s="165"/>
      <c r="C338" s="165"/>
      <c r="D338" s="165"/>
      <c r="E338" s="165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386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387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5" t="s">
        <v>263</v>
      </c>
      <c r="B351" s="165"/>
      <c r="C351" s="165"/>
      <c r="D351" s="165"/>
      <c r="E351" s="165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64" t="s">
        <v>249</v>
      </c>
      <c r="B352" s="164"/>
      <c r="C352" s="164"/>
      <c r="D352" s="164"/>
      <c r="E352" s="164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388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389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390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5" t="s">
        <v>263</v>
      </c>
      <c r="B378" s="165"/>
      <c r="C378" s="165"/>
      <c r="D378" s="165"/>
      <c r="E378" s="165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64" t="s">
        <v>249</v>
      </c>
      <c r="B379" s="164"/>
      <c r="C379" s="164"/>
      <c r="D379" s="164"/>
      <c r="E379" s="164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327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391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5" t="s">
        <v>260</v>
      </c>
      <c r="B392" s="165"/>
      <c r="C392" s="165"/>
      <c r="D392" s="165"/>
      <c r="E392" s="165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392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5" t="s">
        <v>263</v>
      </c>
      <c r="B405" s="165"/>
      <c r="C405" s="165"/>
      <c r="D405" s="165"/>
      <c r="E405" s="165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64" t="s">
        <v>249</v>
      </c>
      <c r="B406" s="164"/>
      <c r="C406" s="164"/>
      <c r="D406" s="164"/>
      <c r="E406" s="164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393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5" t="s">
        <v>260</v>
      </c>
      <c r="B419" s="165"/>
      <c r="C419" s="165"/>
      <c r="D419" s="165"/>
      <c r="E419" s="165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394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5" t="s">
        <v>263</v>
      </c>
      <c r="B432" s="165"/>
      <c r="C432" s="165"/>
      <c r="D432" s="165"/>
      <c r="E432" s="165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64" t="s">
        <v>249</v>
      </c>
      <c r="B433" s="164"/>
      <c r="C433" s="164"/>
      <c r="D433" s="164"/>
      <c r="E433" s="164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5" t="s">
        <v>260</v>
      </c>
      <c r="B446" s="165"/>
      <c r="C446" s="165"/>
      <c r="D446" s="165"/>
      <c r="E446" s="165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395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389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5" t="s">
        <v>263</v>
      </c>
      <c r="B459" s="165"/>
      <c r="C459" s="165"/>
      <c r="D459" s="165"/>
      <c r="E459" s="165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64" t="s">
        <v>249</v>
      </c>
      <c r="B460" s="164"/>
      <c r="C460" s="164"/>
      <c r="D460" s="164"/>
      <c r="E460" s="164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5" t="s">
        <v>260</v>
      </c>
      <c r="B473" s="165"/>
      <c r="C473" s="165"/>
      <c r="D473" s="165"/>
      <c r="E473" s="165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396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359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5" t="s">
        <v>263</v>
      </c>
      <c r="B486" s="165"/>
      <c r="C486" s="165"/>
      <c r="D486" s="165"/>
      <c r="E486" s="165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64" t="s">
        <v>249</v>
      </c>
      <c r="B487" s="164"/>
      <c r="C487" s="164"/>
      <c r="D487" s="164"/>
      <c r="E487" s="164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5" t="s">
        <v>260</v>
      </c>
      <c r="B500" s="165"/>
      <c r="C500" s="165"/>
      <c r="D500" s="165"/>
      <c r="E500" s="165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100" t="s">
        <v>274</v>
      </c>
      <c r="F501" s="101">
        <f>IFERROR(IF($D501="","",VLOOKUP($D501,Cadastro!$C$4:$E$7,3,FALSE())),"")</f>
        <v>0.35</v>
      </c>
      <c r="G501" s="89">
        <v>10</v>
      </c>
      <c r="H501" s="101">
        <f>IFERROR(IF($G501="","",$G501*$S$513/$G$513/Cadastro!$E$33),"")</f>
        <v>0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0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31</v>
      </c>
      <c r="E502" s="100" t="s">
        <v>274</v>
      </c>
      <c r="F502" s="88">
        <f>IFERROR(IF($D502="","",VLOOKUP($D502,Cadastro!$C$4:$E$7,3,FALSE())),"")</f>
        <v>0.35</v>
      </c>
      <c r="G502" s="89">
        <v>14</v>
      </c>
      <c r="H502" s="88">
        <f>IFERROR(IF($G502="","",$G502*$S$513/$G$513/Cadastro!$E$33),"")</f>
        <v>0</v>
      </c>
      <c r="I502" s="90">
        <f>IFERROR(IF($D502="","",VLOOKUP($D502,Cadastro!$C$4:$G$7,5,FALSE())),"")</f>
        <v>0.6</v>
      </c>
      <c r="J502" s="91">
        <f t="shared" si="126"/>
        <v>0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31</v>
      </c>
      <c r="E503" s="100" t="s">
        <v>274</v>
      </c>
      <c r="F503" s="88">
        <f>IFERROR(IF($D503="","",VLOOKUP($D503,Cadastro!$C$4:$E$7,3,FALSE())),"")</f>
        <v>0.35</v>
      </c>
      <c r="G503" s="89">
        <v>23</v>
      </c>
      <c r="H503" s="88">
        <f>IFERROR(IF($G503="","",$G503*$S$513/$G$513/Cadastro!$E$33),"")</f>
        <v>0</v>
      </c>
      <c r="I503" s="90">
        <f>IFERROR(IF($D503="","",VLOOKUP($D503,Cadastro!$C$4:$G$7,5,FALSE())),"")</f>
        <v>0.6</v>
      </c>
      <c r="J503" s="91">
        <f t="shared" si="126"/>
        <v>0</v>
      </c>
      <c r="K503" s="69">
        <f t="shared" si="127"/>
        <v>96.600000000000009</v>
      </c>
      <c r="L503" s="70" t="s">
        <v>29</v>
      </c>
      <c r="M503" s="70" t="s">
        <v>173</v>
      </c>
      <c r="N503" s="70"/>
      <c r="O503" s="65">
        <v>0.16319444444444445</v>
      </c>
      <c r="P503" s="65"/>
      <c r="Q503" s="71">
        <f t="shared" ca="1" si="128"/>
        <v>1.1747106480470393E-2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31</v>
      </c>
      <c r="E504" s="100" t="s">
        <v>274</v>
      </c>
      <c r="F504" s="88">
        <f>IFERROR(IF($D504="","",VLOOKUP($D504,Cadastro!$C$4:$E$7,3,FALSE())),"")</f>
        <v>0.35</v>
      </c>
      <c r="G504" s="89">
        <v>7</v>
      </c>
      <c r="H504" s="88">
        <f>IFERROR(IF($G504="","",$G504*$S$513/$G$513/Cadastro!$E$33),"")</f>
        <v>0</v>
      </c>
      <c r="I504" s="90">
        <f>IFERROR(IF($D504="","",VLOOKUP($D504,Cadastro!$C$4:$G$7,5,FALSE())),"")</f>
        <v>0.6</v>
      </c>
      <c r="J504" s="91">
        <f t="shared" si="126"/>
        <v>0</v>
      </c>
      <c r="K504" s="64">
        <f t="shared" si="127"/>
        <v>29.400000000000002</v>
      </c>
      <c r="L504" s="61"/>
      <c r="M504" s="61"/>
      <c r="N504" s="61"/>
      <c r="O504" s="65"/>
      <c r="P504" s="65"/>
      <c r="Q504" s="66" t="str">
        <f t="shared" ca="1" si="128"/>
        <v/>
      </c>
      <c r="R504" s="63"/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0</v>
      </c>
      <c r="I505" s="90">
        <f>IFERROR(IF($D505="","",VLOOKUP($D505,Cadastro!$C$4:$G$7,5,FALSE())),"")</f>
        <v>0.6</v>
      </c>
      <c r="J505" s="91">
        <f t="shared" si="126"/>
        <v>0</v>
      </c>
      <c r="K505" s="69">
        <f t="shared" si="127"/>
        <v>29.400000000000002</v>
      </c>
      <c r="L505" s="70"/>
      <c r="M505" s="70"/>
      <c r="N505" s="70"/>
      <c r="O505" s="65"/>
      <c r="P505" s="65"/>
      <c r="Q505" s="71" t="str">
        <f t="shared" ca="1" si="128"/>
        <v/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6"/>
        <v>0</v>
      </c>
      <c r="K506" s="64">
        <f>IF(G506="","",IF(E506="PC 17",G506*4.2,IF(E506="PC 19",G506*5,IF(E506="CB",G506*24,""))))</f>
        <v>58.800000000000004</v>
      </c>
      <c r="L506" s="61"/>
      <c r="M506" s="61"/>
      <c r="N506" s="61"/>
      <c r="O506" s="65"/>
      <c r="P506" s="65"/>
      <c r="Q506" s="66" t="str">
        <f t="shared" ca="1" si="128"/>
        <v/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397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0</v>
      </c>
      <c r="I507" s="90">
        <f>IFERROR(IF($D507="","",VLOOKUP($D507,Cadastro!$C$4:$G$7,5,FALSE())),"")</f>
        <v>0.6</v>
      </c>
      <c r="J507" s="91">
        <f t="shared" si="126"/>
        <v>0</v>
      </c>
      <c r="K507" s="69" t="e">
        <f>IF(G507="","",IF(#REF!="PC 17",G507*4.2,IF(#REF!="PC 19",G507*5,IF(#REF!="CB",G507*24,""))))</f>
        <v>#REF!</v>
      </c>
      <c r="L507" s="70"/>
      <c r="M507" s="70"/>
      <c r="N507" s="70"/>
      <c r="O507" s="65"/>
      <c r="P507" s="65"/>
      <c r="Q507" s="71" t="str">
        <f t="shared" ca="1" si="128"/>
        <v/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0</v>
      </c>
      <c r="I508" s="90">
        <f>IFERROR(IF($D508="","",VLOOKUP($D508,Cadastro!$C$4:$G$7,5,FALSE())),"")</f>
        <v>0.6</v>
      </c>
      <c r="J508" s="91">
        <f t="shared" si="126"/>
        <v>0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/>
      <c r="E509" s="100"/>
      <c r="F509" s="88" t="str">
        <f>IFERROR(IF($D509="","",VLOOKUP($D509,Cadastro!$C$4:$E$7,3,FALSE())),"")</f>
        <v/>
      </c>
      <c r="G509" s="89"/>
      <c r="H509" s="88" t="str">
        <f>IFERROR(IF($G509="","",$G509*$S$513/$G$513/Cadastro!$E$33),"")</f>
        <v/>
      </c>
      <c r="I509" s="90" t="str">
        <f>IFERROR(IF($D509="","",VLOOKUP($D509,Cadastro!$C$4:$G$7,5,FALSE())),"")</f>
        <v/>
      </c>
      <c r="J509" s="91" t="str">
        <f t="shared" si="126"/>
        <v/>
      </c>
      <c r="K509" s="69" t="str">
        <f t="shared" si="127"/>
        <v/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/>
      <c r="E510" s="100"/>
      <c r="F510" s="88" t="str">
        <f>IFERROR(IF($D510="","",VLOOKUP($D510,Cadastro!$C$4:$E$7,3,FALSE())),"")</f>
        <v/>
      </c>
      <c r="G510" s="89"/>
      <c r="H510" s="88" t="str">
        <f>IFERROR(IF($G510="","",$G510*$S$513/$G$513/Cadastro!$E$33),"")</f>
        <v/>
      </c>
      <c r="I510" s="90" t="str">
        <f>IFERROR(IF($D510="","",VLOOKUP($D510,Cadastro!$C$4:$G$7,5,FALSE())),"")</f>
        <v/>
      </c>
      <c r="J510" s="91" t="str">
        <f t="shared" si="126"/>
        <v/>
      </c>
      <c r="K510" s="64" t="str">
        <f t="shared" si="127"/>
        <v/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/>
      <c r="E511" s="100"/>
      <c r="F511" s="88" t="str">
        <f>IFERROR(IF($D511="","",VLOOKUP($D511,Cadastro!$C$4:$E$7,3,FALSE())),"")</f>
        <v/>
      </c>
      <c r="G511" s="89"/>
      <c r="H511" s="88" t="str">
        <f>IFERROR(IF($G511="","",$G511*$S$513/$G$513/Cadastro!$E$33),"")</f>
        <v/>
      </c>
      <c r="I511" s="90" t="str">
        <f>IFERROR(IF($D511="","",VLOOKUP($D511,Cadastro!$C$4:$G$7,5,FALSE())),"")</f>
        <v/>
      </c>
      <c r="J511" s="91" t="str">
        <f t="shared" si="126"/>
        <v/>
      </c>
      <c r="K511" s="69" t="str">
        <f t="shared" si="127"/>
        <v/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/>
      <c r="E512" s="100"/>
      <c r="F512" s="92" t="str">
        <f>IFERROR(IF($D512="","",VLOOKUP($D512,Cadastro!$C$4:$E$7,3,FALSE())),"")</f>
        <v/>
      </c>
      <c r="G512" s="89"/>
      <c r="H512" s="92" t="str">
        <f>IFERROR(IF($G512="","",$G512*$S$513/$G$513/Cadastro!$E$33),"")</f>
        <v/>
      </c>
      <c r="I512" s="93" t="str">
        <f>IFERROR(IF($D512="","",VLOOKUP($D512,Cadastro!$C$4:$G$7,5,FALSE())),"")</f>
        <v/>
      </c>
      <c r="J512" s="94" t="str">
        <f t="shared" si="126"/>
        <v/>
      </c>
      <c r="K512" s="64" t="str">
        <f t="shared" si="127"/>
        <v/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5" t="s">
        <v>263</v>
      </c>
      <c r="B513" s="165"/>
      <c r="C513" s="165"/>
      <c r="D513" s="165"/>
      <c r="E513" s="165"/>
      <c r="F513" s="105"/>
      <c r="G513" s="96">
        <f>SUM(G501:G512)</f>
        <v>118</v>
      </c>
      <c r="H513" s="105">
        <f>IFERROR(SUM(H501:H512),"")</f>
        <v>0</v>
      </c>
      <c r="I513" s="106"/>
      <c r="J513" s="107">
        <f>IFERROR(SUM(J501:J512),"")</f>
        <v>0</v>
      </c>
      <c r="K513" s="2" t="e">
        <f>SUM(K501:K512)</f>
        <v>#REF!</v>
      </c>
      <c r="L513" s="72"/>
      <c r="M513" s="72"/>
      <c r="N513" s="72"/>
      <c r="O513" s="134"/>
      <c r="P513" s="134"/>
      <c r="Q513" s="73">
        <f ca="1">IFERROR(SUM(Q501:Q512),"")</f>
        <v>6.7302662036026084E-2</v>
      </c>
      <c r="R513" s="2" t="s">
        <v>261</v>
      </c>
      <c r="S513" s="74"/>
      <c r="T513" s="99">
        <f>IFERROR(J513,"")</f>
        <v>0</v>
      </c>
    </row>
    <row r="514" spans="1:20" ht="18" customHeight="1">
      <c r="A514" s="164" t="s">
        <v>249</v>
      </c>
      <c r="B514" s="164"/>
      <c r="C514" s="164"/>
      <c r="D514" s="164"/>
      <c r="E514" s="164"/>
      <c r="F514" s="108"/>
      <c r="G514" s="109">
        <f>G500+G513</f>
        <v>320</v>
      </c>
      <c r="H514" s="108">
        <f>IFERROR(H500+H513,"")</f>
        <v>864.28</v>
      </c>
      <c r="I514" s="110"/>
      <c r="J514" s="111">
        <f>IFERROR(J500+J513,"")</f>
        <v>124.45631999999999</v>
      </c>
      <c r="K514" s="1" t="e">
        <f>K500+K513</f>
        <v>#REF!</v>
      </c>
      <c r="L514" s="76"/>
      <c r="M514" s="76"/>
      <c r="N514" s="76"/>
      <c r="O514" s="135"/>
      <c r="P514" s="135"/>
      <c r="Q514" s="77">
        <f ca="1">IFERROR(Q500+Q513,"")</f>
        <v>0.15202488425824762</v>
      </c>
      <c r="R514" s="1" t="s">
        <v>264</v>
      </c>
      <c r="S514" s="82">
        <f>IFERROR(S500+S513,"")</f>
        <v>864280</v>
      </c>
      <c r="T514" s="118">
        <f>IFERROR(J514,"")</f>
        <v>124.45631999999999</v>
      </c>
    </row>
    <row r="515" spans="1:20" ht="15" customHeight="1">
      <c r="A515" s="18">
        <v>46254</v>
      </c>
      <c r="B515" s="68">
        <v>0.33333333333333298</v>
      </c>
      <c r="C515" s="70"/>
      <c r="D515" s="75"/>
      <c r="E515" s="100"/>
      <c r="F515" s="101" t="str">
        <f>IFERROR(IF($D515="","",VLOOKUP($D515,Cadastro!$C$4:$E$7,3,FALSE())),"")</f>
        <v/>
      </c>
      <c r="G515" s="89"/>
      <c r="H515" s="101" t="str">
        <f>IFERROR(IF($G515="","",$G515*$S$527/$G$527/Cadastro!$E$33),"")</f>
        <v/>
      </c>
      <c r="I515" s="102" t="str">
        <f>IFERROR(IF($D515="","",VLOOKUP($D515,Cadastro!$C$4:$G$7,5,FALSE())),"")</f>
        <v/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/>
      <c r="D516" s="75"/>
      <c r="E516" s="100"/>
      <c r="F516" s="88" t="str">
        <f>IFERROR(IF($D516="","",VLOOKUP($D516,Cadastro!$C$4:$E$7,3,FALSE())),"")</f>
        <v/>
      </c>
      <c r="G516" s="89"/>
      <c r="H516" s="88" t="str">
        <f>IFERROR(IF($G516="","",$G516*$S$527/$G$527/Cadastro!$E$33),"")</f>
        <v/>
      </c>
      <c r="I516" s="90" t="str">
        <f>IFERROR(IF($D516="","",VLOOKUP($D516,Cadastro!$C$4:$G$7,5,FALSE())),"")</f>
        <v/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/>
      <c r="D517" s="75"/>
      <c r="E517" s="100"/>
      <c r="F517" s="88" t="str">
        <f>IFERROR(IF($D517="","",VLOOKUP($D517,Cadastro!$C$4:$E$7,3,FALSE())),"")</f>
        <v/>
      </c>
      <c r="G517" s="89"/>
      <c r="H517" s="88" t="str">
        <f>IFERROR(IF($G517="","",$G517*$S$527/$G$527/Cadastro!$E$33),"")</f>
        <v/>
      </c>
      <c r="I517" s="90" t="str">
        <f>IFERROR(IF($D517="","",VLOOKUP($D517,Cadastro!$C$4:$G$7,5,FALSE())),"")</f>
        <v/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/>
      <c r="D518" s="75"/>
      <c r="E518" s="100"/>
      <c r="F518" s="88" t="str">
        <f>IFERROR(IF($D518="","",VLOOKUP($D518,Cadastro!$C$4:$E$7,3,FALSE())),"")</f>
        <v/>
      </c>
      <c r="G518" s="89"/>
      <c r="H518" s="88" t="str">
        <f>IFERROR(IF($G518="","",$G518*$S$527/$G$527/Cadastro!$E$33),"")</f>
        <v/>
      </c>
      <c r="I518" s="90" t="str">
        <f>IFERROR(IF($D518="","",VLOOKUP($D518,Cadastro!$C$4:$G$7,5,FALSE())),"")</f>
        <v/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/>
      <c r="D519" s="75"/>
      <c r="E519" s="100"/>
      <c r="F519" s="88" t="str">
        <f>IFERROR(IF($D519="","",VLOOKUP($D519,Cadastro!$C$4:$E$7,3,FALSE())),"")</f>
        <v/>
      </c>
      <c r="G519" s="89"/>
      <c r="H519" s="88" t="str">
        <f>IFERROR(IF($G519="","",$G519*$S$527/$G$527/Cadastro!$E$33),"")</f>
        <v/>
      </c>
      <c r="I519" s="90" t="str">
        <f>IFERROR(IF($D519="","",VLOOKUP($D519,Cadastro!$C$4:$G$7,5,FALSE())),"")</f>
        <v/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/>
      <c r="D520" s="75"/>
      <c r="E520" s="100"/>
      <c r="F520" s="88" t="str">
        <f>IFERROR(IF($D520="","",VLOOKUP($D520,Cadastro!$C$4:$E$7,3,FALSE())),"")</f>
        <v/>
      </c>
      <c r="G520" s="89"/>
      <c r="H520" s="88" t="str">
        <f>IFERROR(IF($G520="","",$G520*$S$527/$G$527/Cadastro!$E$33),"")</f>
        <v/>
      </c>
      <c r="I520" s="90" t="str">
        <f>IFERROR(IF($D520="","",VLOOKUP($D520,Cadastro!$C$4:$G$7,5,FALSE())),"")</f>
        <v/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/>
      <c r="D521" s="75"/>
      <c r="E521" s="100"/>
      <c r="F521" s="88" t="str">
        <f>IFERROR(IF($D521="","",VLOOKUP($D521,Cadastro!$C$4:$E$7,3,FALSE())),"")</f>
        <v/>
      </c>
      <c r="G521" s="89"/>
      <c r="H521" s="88" t="str">
        <f>IFERROR(IF($G521="","",$G521*$S$527/$G$527/Cadastro!$E$33),"")</f>
        <v/>
      </c>
      <c r="I521" s="90" t="str">
        <f>IFERROR(IF($D521="","",VLOOKUP($D521,Cadastro!$C$4:$G$7,5,FALSE())),"")</f>
        <v/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/>
      <c r="D522" s="75"/>
      <c r="E522" s="100"/>
      <c r="F522" s="88" t="str">
        <f>IFERROR(IF($D522="","",VLOOKUP($D522,Cadastro!$C$4:$E$7,3,FALSE())),"")</f>
        <v/>
      </c>
      <c r="G522" s="89"/>
      <c r="H522" s="88" t="str">
        <f>IFERROR(IF($G522="","",$G522*$S$527/$G$527/Cadastro!$E$33),"")</f>
        <v/>
      </c>
      <c r="I522" s="90" t="str">
        <f>IFERROR(IF($D522="","",VLOOKUP($D522,Cadastro!$C$4:$G$7,5,FALSE())),"")</f>
        <v/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/>
      <c r="D523" s="75"/>
      <c r="E523" s="100"/>
      <c r="F523" s="88" t="str">
        <f>IFERROR(IF($D523="","",VLOOKUP($D523,Cadastro!$C$4:$E$7,3,FALSE())),"")</f>
        <v/>
      </c>
      <c r="G523" s="89"/>
      <c r="H523" s="88" t="str">
        <f>IFERROR(IF($G523="","",$G523*$S$527/$G$527/Cadastro!$E$33),"")</f>
        <v/>
      </c>
      <c r="I523" s="90" t="str">
        <f>IFERROR(IF($D523="","",VLOOKUP($D523,Cadastro!$C$4:$G$7,5,FALSE())),"")</f>
        <v/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/>
      <c r="D524" s="75"/>
      <c r="E524" s="100"/>
      <c r="F524" s="88" t="str">
        <f>IFERROR(IF($D524="","",VLOOKUP($D524,Cadastro!$C$4:$E$7,3,FALSE())),"")</f>
        <v/>
      </c>
      <c r="G524" s="89"/>
      <c r="H524" s="88" t="str">
        <f>IFERROR(IF($G524="","",$G524*$S$527/$G$527/Cadastro!$E$33),"")</f>
        <v/>
      </c>
      <c r="I524" s="90" t="str">
        <f>IFERROR(IF($D524="","",VLOOKUP($D524,Cadastro!$C$4:$G$7,5,FALSE())),"")</f>
        <v/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/>
      <c r="D525" s="75"/>
      <c r="E525" s="100"/>
      <c r="F525" s="88" t="str">
        <f>IFERROR(IF($D525="","",VLOOKUP($D525,Cadastro!$C$4:$E$7,3,FALSE())),"")</f>
        <v/>
      </c>
      <c r="G525" s="89"/>
      <c r="H525" s="88" t="str">
        <f>IFERROR(IF($G525="","",$G525*$S$527/$G$527/Cadastro!$E$33),"")</f>
        <v/>
      </c>
      <c r="I525" s="90" t="str">
        <f>IFERROR(IF($D525="","",VLOOKUP($D525,Cadastro!$C$4:$G$7,5,FALSE())),"")</f>
        <v/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/>
      <c r="D526" s="75"/>
      <c r="E526" s="100"/>
      <c r="F526" s="92" t="str">
        <f>IFERROR(IF($D526="","",VLOOKUP($D526,Cadastro!$C$4:$E$7,3,FALSE())),"")</f>
        <v/>
      </c>
      <c r="G526" s="89"/>
      <c r="H526" s="92" t="str">
        <f>IFERROR(IF($G526="","",$G526*$S$527/$G$527/Cadastro!$E$33),"")</f>
        <v/>
      </c>
      <c r="I526" s="93" t="str">
        <f>IFERROR(IF($D526="","",VLOOKUP($D526,Cadastro!$C$4:$G$7,5,FALSE())),"")</f>
        <v/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5" t="s">
        <v>260</v>
      </c>
      <c r="B527" s="165"/>
      <c r="C527" s="165"/>
      <c r="D527" s="165"/>
      <c r="E527" s="165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5" t="s">
        <v>263</v>
      </c>
      <c r="B540" s="165"/>
      <c r="C540" s="165"/>
      <c r="D540" s="165"/>
      <c r="E540" s="165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64" t="s">
        <v>249</v>
      </c>
      <c r="B541" s="164"/>
      <c r="C541" s="164"/>
      <c r="D541" s="164"/>
      <c r="E541" s="164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65" t="s">
        <v>260</v>
      </c>
      <c r="B554" s="165"/>
      <c r="C554" s="165"/>
      <c r="D554" s="165"/>
      <c r="E554" s="165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5" t="s">
        <v>263</v>
      </c>
      <c r="B567" s="165"/>
      <c r="C567" s="165"/>
      <c r="D567" s="165"/>
      <c r="E567" s="165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64" t="s">
        <v>249</v>
      </c>
      <c r="B568" s="164"/>
      <c r="C568" s="164"/>
      <c r="D568" s="164"/>
      <c r="E568" s="164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5" t="s">
        <v>260</v>
      </c>
      <c r="B581" s="165"/>
      <c r="C581" s="165"/>
      <c r="D581" s="165"/>
      <c r="E581" s="165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5" t="s">
        <v>263</v>
      </c>
      <c r="B594" s="165"/>
      <c r="C594" s="165"/>
      <c r="D594" s="165"/>
      <c r="E594" s="165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64" t="s">
        <v>249</v>
      </c>
      <c r="B595" s="164"/>
      <c r="C595" s="164"/>
      <c r="D595" s="164"/>
      <c r="E595" s="164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5" t="s">
        <v>260</v>
      </c>
      <c r="B608" s="165"/>
      <c r="C608" s="165"/>
      <c r="D608" s="165"/>
      <c r="E608" s="165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5" t="s">
        <v>263</v>
      </c>
      <c r="B621" s="165"/>
      <c r="C621" s="165"/>
      <c r="D621" s="165"/>
      <c r="E621" s="165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64" t="s">
        <v>249</v>
      </c>
      <c r="B622" s="164"/>
      <c r="C622" s="164"/>
      <c r="D622" s="164"/>
      <c r="E622" s="164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5" t="s">
        <v>260</v>
      </c>
      <c r="B635" s="165"/>
      <c r="C635" s="165"/>
      <c r="D635" s="165"/>
      <c r="E635" s="165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5" t="s">
        <v>263</v>
      </c>
      <c r="B648" s="165"/>
      <c r="C648" s="165"/>
      <c r="D648" s="165"/>
      <c r="E648" s="165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64" t="s">
        <v>249</v>
      </c>
      <c r="B649" s="164"/>
      <c r="C649" s="164"/>
      <c r="D649" s="164"/>
      <c r="E649" s="164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5" t="s">
        <v>260</v>
      </c>
      <c r="B662" s="165"/>
      <c r="C662" s="165"/>
      <c r="D662" s="165"/>
      <c r="E662" s="165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5" t="s">
        <v>263</v>
      </c>
      <c r="B675" s="165"/>
      <c r="C675" s="165"/>
      <c r="D675" s="165"/>
      <c r="E675" s="165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64" t="s">
        <v>249</v>
      </c>
      <c r="B676" s="164"/>
      <c r="C676" s="164"/>
      <c r="D676" s="164"/>
      <c r="E676" s="164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5" t="s">
        <v>260</v>
      </c>
      <c r="B689" s="165"/>
      <c r="C689" s="165"/>
      <c r="D689" s="165"/>
      <c r="E689" s="165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5" t="s">
        <v>263</v>
      </c>
      <c r="B702" s="165"/>
      <c r="C702" s="165"/>
      <c r="D702" s="165"/>
      <c r="E702" s="165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64" t="s">
        <v>249</v>
      </c>
      <c r="B703" s="164"/>
      <c r="C703" s="164"/>
      <c r="D703" s="164"/>
      <c r="E703" s="164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5" t="s">
        <v>260</v>
      </c>
      <c r="B716" s="165"/>
      <c r="C716" s="165"/>
      <c r="D716" s="165"/>
      <c r="E716" s="165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5" t="s">
        <v>263</v>
      </c>
      <c r="B729" s="165"/>
      <c r="C729" s="165"/>
      <c r="D729" s="165"/>
      <c r="E729" s="165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64" t="s">
        <v>249</v>
      </c>
      <c r="B730" s="164"/>
      <c r="C730" s="164"/>
      <c r="D730" s="164"/>
      <c r="E730" s="164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5" t="s">
        <v>260</v>
      </c>
      <c r="B743" s="165"/>
      <c r="C743" s="165"/>
      <c r="D743" s="165"/>
      <c r="E743" s="165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5" t="s">
        <v>263</v>
      </c>
      <c r="B756" s="165"/>
      <c r="C756" s="165"/>
      <c r="D756" s="165"/>
      <c r="E756" s="165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64" t="s">
        <v>249</v>
      </c>
      <c r="B757" s="164"/>
      <c r="C757" s="164"/>
      <c r="D757" s="164"/>
      <c r="E757" s="164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5" t="s">
        <v>260</v>
      </c>
      <c r="B770" s="165"/>
      <c r="C770" s="165"/>
      <c r="D770" s="165"/>
      <c r="E770" s="165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5" t="s">
        <v>263</v>
      </c>
      <c r="B783" s="165"/>
      <c r="C783" s="165"/>
      <c r="D783" s="165"/>
      <c r="E783" s="165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64" t="s">
        <v>249</v>
      </c>
      <c r="B784" s="164"/>
      <c r="C784" s="164"/>
      <c r="D784" s="164"/>
      <c r="E784" s="164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5" t="s">
        <v>260</v>
      </c>
      <c r="B797" s="165"/>
      <c r="C797" s="165"/>
      <c r="D797" s="165"/>
      <c r="E797" s="165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5" t="s">
        <v>263</v>
      </c>
      <c r="B810" s="165"/>
      <c r="C810" s="165"/>
      <c r="D810" s="165"/>
      <c r="E810" s="165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64" t="s">
        <v>249</v>
      </c>
      <c r="B811" s="164"/>
      <c r="C811" s="164"/>
      <c r="D811" s="164"/>
      <c r="E811" s="164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5" t="s">
        <v>260</v>
      </c>
      <c r="B824" s="165"/>
      <c r="C824" s="165"/>
      <c r="D824" s="165"/>
      <c r="E824" s="165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5" t="s">
        <v>263</v>
      </c>
      <c r="B837" s="165"/>
      <c r="C837" s="165"/>
      <c r="D837" s="165"/>
      <c r="E837" s="165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64" t="s">
        <v>249</v>
      </c>
      <c r="B838" s="164"/>
      <c r="C838" s="164"/>
      <c r="D838" s="164"/>
      <c r="E838" s="164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dfRPgXhTQwsFGwHGTBGCfrGej3jH2dpuWbMlNWIVOIidfYQ287ObjJ2finMWh23loXamaW1R3AISQcwSy5UzcA==" saltValue="w5BbqAfU/RjRcT0QW6msh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2026-08-20T08:12:02Z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