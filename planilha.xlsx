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0586" documentId="8_{AF585B22-221D-4780-BB9C-493D365A6A02}" xr6:coauthVersionLast="47" xr6:coauthVersionMax="47" xr10:uidLastSave="{D7E39C57-2639-42F3-A8CC-F63494811E4E}"/>
  <bookViews>
    <workbookView xWindow="-110" yWindow="-110" windowWidth="25820" windowHeight="15500" tabRatio="500" firstSheet="4" activeTab="1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O595" i="6" l="1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<sst xmlns="http://schemas.openxmlformats.org/spreadsheetml/2006/main" count="9232" uniqueCount="378">
  <si>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</si>
  <si>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</si>
  <si>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</si>
  <si>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</si>
  <si>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</si>
  <si>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</si>
  <si>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</si>
  <si>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</si>
  <si>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</si>
  <si>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</si>
  <si>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</si>
  <si>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</si>
  <si>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</si>
  <si>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</si>
  <si>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</si>
  <si>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</si>
  <si>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</si>
  <si>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</si>
  <si>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</si>
  <si>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</si>
  <si>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</si>
  <si>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</si>
  <si>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</si>
  <si>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</si>
  <si>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</si>
  <si>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</si>
  <si>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</si>
  <si>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</si>
  <si>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</si>
  <si>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</si>
  <si>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</si>
  <si>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</si>
  <si>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</si>
  <si>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</si>
  <si>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</si>
  <si>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</si>
  <si>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</si>
  <si>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</si>
  <si>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</si>
  <si>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</si>
  <si>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</si>
  <si>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</si>
  <si>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</si>
  <si>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</si>
  <si>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</si>
  <si>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</si>
  <si>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</si>
  <si>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</si>
  <si>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</si>
  <si>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</si>
  <si>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</si>
  <si>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</si>
  <si>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</si>
  <si>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</si>
  <si>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</si>
  <si>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</si>
  <si>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</si>
  <si>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</si>
  <si>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</si>
  <si>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</si>
  <si>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</si>
  <si>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</si>
  <si>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</si>
  <si>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</si>
  <si>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</si>
  <si>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</si>
  <si>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</si>
  <si>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</si>
  <si>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</si>
  <si>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</si>
  <si>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</si>
  <si>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</si>
  <si>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</si>
  <si>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</si>
  <si>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</si>
  <si>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</si>
  <si>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</si>
  <si>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</si>
  <si>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</si>
  <si>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</si>
  <si>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</si>
  <si>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</si>
  <si>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</si>
  <si>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</si>
  <si>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</si>
  <si>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</si>
  <si>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</si>
  <si>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</si>
  <si>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</si>
  <si>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</si>
  <si>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</si>
  <si>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</si>
  <si>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</si>
  <si>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</si>
  <si>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</si>
  <si>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</si>
  <si>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</si>
  <si>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</si>
  <si>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</si>
  <si>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</si>
  <si>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</si>
  <si>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</si>
  <si>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</si>
  <si>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</si>
  <si>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</si>
  <si>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</si>
  <si>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</si>
  <si>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</si>
  <si>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</si>
  <si>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</si>
  <si>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</si>
  <si>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</si>
  <si>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</si>
  <si>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</si>
  <si>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</si>
  <si>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</si>
  <si>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</si>
  <si>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</si>
  <si>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</si>
  <si>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</si>
  <si>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</si>
  <si>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</si>
  <si>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</si>
  <si>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</si>
  <si>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</si>
  <si>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</si>
  <si>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</si>
  <si>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</si>
  <si>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</si>
  <si>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</si>
  <si>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</si>
  <si>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</si>
  <si>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</si>
  <si>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</si>
  <si>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</si>
  <si>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</si>
  <si>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</si>
  <si>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</si>
  <si>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</si>
  <si>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</si>
  <si>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</si>
  <si>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</si>
  <si>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</si>
  <si>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</si>
  <si>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</si>
  <si>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</si>
  <si>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</si>
  <si>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</si>
  <si>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</si>
  <si>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</si>
  <si>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</si>
  <si>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</si>
  <si>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</si>
  <si>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</si>
  <si>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</si>
  <si>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</si>
  <si>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</si>
  <si>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</si>
  <si>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</si>
  <si>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</si>
  <si>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</si>
  <si>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</si>
  <si>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</si>
  <si>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</si>
  <si>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</si>
  <si>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</si>
  <si>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</si>
  <si>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</si>
  <si>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</si>
  <si>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</si>
  <si>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</si>
  <si>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</si>
  <si>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</si>
  <si>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</si>
  <si>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</si>
  <si>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</si>
  <si>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</si>
  <si>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</si>
  <si>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</si>
  <si>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</si>
  <si>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</si>
  <si>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</si>
  <si>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</si>
  <si>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</si>
  <si>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</si>
  <si>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</si>
  <si>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</si>
  <si>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</si>
  <si>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</si>
  <si>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</si>
  <si>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</si>
  <si>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</si>
  <si>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</si>
  <si>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</si>
  <si>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</si>
  <si>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</si>
  <si>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</si>
  <si>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</si>
  <si>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</si>
  <si>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</si>
  <si>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</si>
  <si>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</si>
  <si>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</si>
  <si>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</si>
  <si>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</si>
  <si>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</si>
  <si>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</si>
  <si>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</si>
  <si>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</si>
  <si>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</si>
  <si>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</si>
  <si>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</si>
  <si>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</si>
  <si>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</si>
  <si>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</si>
  <si>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</si>
  <si>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</si>
  <si>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</si>
  <si>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</si>
  <si>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</si>
  <si>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</si>
  <si>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</si>
  <si>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</si>
  <si>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</si>
  <si>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</si>
  <si>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</si>
  <si>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</si>
  <si>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</si>
  <si>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</si>
  <si>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</si>
  <si>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</si>
  <si>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</si>
  <si>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</si>
  <si>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</si>
  <si>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</si>
  <si>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</si>
  <si>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</si>
  <si>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</si>
  <si>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</si>
  <si>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</si>
  <si>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</si>
  <si>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</si>
  <si>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</si>
  <si>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</si>
  <si>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</si>
  <si>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</si>
  <si>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</si>
  <si>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</si>
  <si>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</si>
  <si>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</si>
  <si>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</si>
  <si>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</si>
  <si>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</si>
  <si>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</si>
  <si>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</si>
  <si>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</si>
  <si>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</si>
  <si>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</si>
  <si>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</si>
  <si>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</si>
  <si>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</si>
  <si>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</si>
  <si>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</si>
  <si>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</si>
  <si>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</si>
  <si>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</si>
  <si>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</si>
  <si>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</si>
  <si>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</si>
  <si>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</si>
  <si>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</si>
  <si>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</si>
  <si>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</si>
  <si>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</si>
  <si>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</si>
  <si>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</si>
  <si>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</si>
  <si>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</si>
  <si>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</si>
  <si>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</si>
  <si>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</si>
  <si>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</si>
  <si>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</si>
  <si>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</si>
  <si>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</si>
  <si>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</si>
  <si>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</si>
  <si>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</si>
  <si>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</si>
  <si>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</si>
  <si>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</si>
  <si>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</si>
  <si>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</si>
  <si>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</si>
  <si>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</si>
  <si>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</si>
  <si>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</si>
  <si>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</si>
  <si>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</si>
  <si>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</si>
  <si>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</si>
  <si>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</si>
  <si>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</si>
  <si>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</si>
  <si>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</si>
  <si>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</si>
  <si>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</si>
  <si>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</si>
  <si>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</si>
  <si>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</si>
  <si>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</si>
  <si>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</si>
  <si>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</si>
  <si>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</si>
  <si>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</si>
  <si>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</si>
  <si>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</si>
  <si>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</si>
  <si>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</si>
  <si>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</si>
  <si>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</si>
  <si>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</si>
  <si>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</si>
  <si>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</si>
  <si>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</si>
  <si>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</si>
  <si>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</si>
  <si>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</si>
  <si>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</si>
  <si>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</si>
  <si>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</si>
  <si>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</si>
  <si>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</si>
  <si>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</si>
  <si>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</si>
  <si>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</si>
  <si>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</si>
  <si>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</si>
  <si>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</si>
  <si>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</si>
  <si>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</si>
  <si>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</si>
  <si>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</si>
  <si>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</si>
  <si>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</si>
  <si>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</si>
  <si>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</si>
  <si>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</si>
  <si>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</si>
  <si>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</si>
  <si>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</si>
  <si>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</si>
  <si>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</si>
  <si>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</si>
  <si>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</si>
  <si>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</si>
  <si>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</si>
  <si>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</si>
  <si>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</si>
  <si>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</si>
  <si>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</si>
  <si>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</si>
  <si>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</si>
  <si>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</si>
  <si>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</si>
  <si>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</si>
  <si>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</si>
  <si>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pc19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</si>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</sst>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1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N29" sqref="N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67260151</v>
      </c>
      <c r="D35" s="13">
        <f>IFERROR(SUM(D4:D34),"")</f>
        <v>27105150</v>
      </c>
      <c r="E35" s="13">
        <f>IFERROR(SUM(E4:E34),"")</f>
        <v>14975420</v>
      </c>
      <c r="F35" s="13">
        <f>IFERROR(SUM(F4:F34),"")</f>
        <v>29297020</v>
      </c>
      <c r="G35" s="13">
        <f>IFERROR(SUM(G4:G34),"")</f>
        <v>71377590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abSelected="1" topLeftCell="D38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594" activePane="bottomLeft" state="frozen"/>
      <selection pane="bottomLeft" activeCell="L599" sqref="L599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9.285156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/>
      <c r="G596" s="28" t="str">
        <f t="shared" ref="G596:G607" si="132">IF(F596="","",IF(E596="PC 17",F596*4.2,IF(E596="PC 19",F596*5,"")))</f>
        <v/>
      </c>
      <c r="H596" s="26" t="s">
        <v>20</v>
      </c>
      <c r="I596" s="26" t="s">
        <v>23</v>
      </c>
      <c r="J596" s="26" t="s">
        <v>203</v>
      </c>
      <c r="K596" s="29">
        <v>0.29166666666666669</v>
      </c>
      <c r="L596" s="29"/>
      <c r="M596" s="30">
        <f t="shared" ref="M596:M607" ca="1" si="133">IFERROR(IF(K596="","",IF(L596="",MOD(NOW()-K596,1),IF(L596&gt;=K596,L596-K596,L596+1-K596))),"")</f>
        <v>4.5156250002037268E-2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4.5156250002037268E-2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4.5156250002037268E-2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568" activePane="bottomLeft" state="frozen"/>
      <selection pane="bottomLeft" activeCell="E603" sqref="E60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9.42578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262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263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264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265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266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267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268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269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270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271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273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275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277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278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279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280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281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275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283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284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285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286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286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288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289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290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291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9.7239583330519963E-2</v>
      </c>
      <c r="N377" s="46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0.25487847221940885</v>
      </c>
      <c r="N378" s="36" t="s">
        <v>233</v>
      </c>
      <c r="O378" s="77">
        <v>511980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0.36460069444163101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275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292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293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7.5711805555329192E-2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0.24654513888866256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0.3916840277775514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295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296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297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298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299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300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301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302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303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304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305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306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77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77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83">
        <f>O608+O621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77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77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83">
        <f>O635+O648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568" zoomScale="50" zoomScaleNormal="50" workbookViewId="0">
      <selection activeCell="D596" sqref="D596:D60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8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307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308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309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310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297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311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312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274</v>
      </c>
      <c r="K141" s="29">
        <v>0.71597222222222223</v>
      </c>
      <c r="L141" s="29" t="s">
        <v>313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314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276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315</v>
      </c>
      <c r="N166" s="27" t="s">
        <v>316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317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318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319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320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321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322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323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324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325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297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312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2" t="s">
        <v>232</v>
      </c>
      <c r="B338" s="103"/>
      <c r="C338" s="103"/>
      <c r="D338" s="103"/>
      <c r="E338" s="104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2" t="s">
        <v>232</v>
      </c>
      <c r="B365" s="103"/>
      <c r="C365" s="103"/>
      <c r="D365" s="103"/>
      <c r="E365" s="104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294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326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327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328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329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330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331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332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333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568" activePane="bottomLeft" state="frozen"/>
      <selection pane="bottomLeft" activeCell="J596" sqref="J596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48.710937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334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297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2" t="s">
        <v>232</v>
      </c>
      <c r="B14" s="103"/>
      <c r="C14" s="103"/>
      <c r="D14" s="103"/>
      <c r="E14" s="10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335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2" t="s">
        <v>234</v>
      </c>
      <c r="B27" s="103"/>
      <c r="C27" s="103"/>
      <c r="D27" s="103"/>
      <c r="E27" s="10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99" t="s">
        <v>235</v>
      </c>
      <c r="B28" s="100"/>
      <c r="C28" s="100"/>
      <c r="D28" s="100"/>
      <c r="E28" s="10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336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337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2" t="s">
        <v>232</v>
      </c>
      <c r="B41" s="103"/>
      <c r="C41" s="103"/>
      <c r="D41" s="103"/>
      <c r="E41" s="10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2" t="s">
        <v>234</v>
      </c>
      <c r="B54" s="103"/>
      <c r="C54" s="103"/>
      <c r="D54" s="103"/>
      <c r="E54" s="10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99" t="s">
        <v>235</v>
      </c>
      <c r="B55" s="100"/>
      <c r="C55" s="100"/>
      <c r="D55" s="100"/>
      <c r="E55" s="10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338</v>
      </c>
      <c r="L58" s="29">
        <v>0.54097222222222219</v>
      </c>
      <c r="M58" s="30" t="str">
        <f t="shared" ca="1" si="13"/>
        <v/>
      </c>
      <c r="N58" s="27" t="s">
        <v>339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2" t="s">
        <v>232</v>
      </c>
      <c r="B68" s="103"/>
      <c r="C68" s="103"/>
      <c r="D68" s="103"/>
      <c r="E68" s="10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307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340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341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342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343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2" t="s">
        <v>234</v>
      </c>
      <c r="B81" s="103"/>
      <c r="C81" s="103"/>
      <c r="D81" s="103"/>
      <c r="E81" s="104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99" t="s">
        <v>235</v>
      </c>
      <c r="B82" s="100"/>
      <c r="C82" s="100"/>
      <c r="D82" s="100"/>
      <c r="E82" s="10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344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2" t="s">
        <v>232</v>
      </c>
      <c r="B95" s="103"/>
      <c r="C95" s="103"/>
      <c r="D95" s="103"/>
      <c r="E95" s="104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2" t="s">
        <v>234</v>
      </c>
      <c r="B108" s="103"/>
      <c r="C108" s="103"/>
      <c r="D108" s="103"/>
      <c r="E108" s="104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99" t="s">
        <v>235</v>
      </c>
      <c r="B109" s="100"/>
      <c r="C109" s="100"/>
      <c r="D109" s="100"/>
      <c r="E109" s="10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345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2" t="s">
        <v>232</v>
      </c>
      <c r="B122" s="103"/>
      <c r="C122" s="103"/>
      <c r="D122" s="103"/>
      <c r="E122" s="104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346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347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8.7517361112986691E-2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272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2" t="s">
        <v>234</v>
      </c>
      <c r="B135" s="103"/>
      <c r="C135" s="103"/>
      <c r="D135" s="103"/>
      <c r="E135" s="104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0.28682291666854232</v>
      </c>
      <c r="N135" s="36" t="s">
        <v>233</v>
      </c>
      <c r="O135" s="39">
        <v>729290</v>
      </c>
    </row>
    <row r="136" spans="1:18" ht="18" customHeight="1">
      <c r="A136" s="99" t="s">
        <v>235</v>
      </c>
      <c r="B136" s="100"/>
      <c r="C136" s="100"/>
      <c r="D136" s="100"/>
      <c r="E136" s="10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0.65418402777965334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348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274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2" t="s">
        <v>232</v>
      </c>
      <c r="B149" s="103"/>
      <c r="C149" s="103"/>
      <c r="D149" s="103"/>
      <c r="E149" s="104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312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349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2" t="s">
        <v>234</v>
      </c>
      <c r="B162" s="103"/>
      <c r="C162" s="103"/>
      <c r="D162" s="103"/>
      <c r="E162" s="104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99" t="s">
        <v>235</v>
      </c>
      <c r="B163" s="100"/>
      <c r="C163" s="100"/>
      <c r="D163" s="100"/>
      <c r="E163" s="101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350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2" t="s">
        <v>232</v>
      </c>
      <c r="B176" s="103"/>
      <c r="C176" s="103"/>
      <c r="D176" s="103"/>
      <c r="E176" s="104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2" t="s">
        <v>234</v>
      </c>
      <c r="B189" s="103"/>
      <c r="C189" s="103"/>
      <c r="D189" s="103"/>
      <c r="E189" s="104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99" t="s">
        <v>235</v>
      </c>
      <c r="B190" s="100"/>
      <c r="C190" s="100"/>
      <c r="D190" s="100"/>
      <c r="E190" s="101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351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352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2" t="s">
        <v>232</v>
      </c>
      <c r="B203" s="103"/>
      <c r="C203" s="103"/>
      <c r="D203" s="103"/>
      <c r="E203" s="104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353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2" t="s">
        <v>234</v>
      </c>
      <c r="B216" s="103"/>
      <c r="C216" s="103"/>
      <c r="D216" s="103"/>
      <c r="E216" s="104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99" t="s">
        <v>235</v>
      </c>
      <c r="B217" s="100"/>
      <c r="C217" s="100"/>
      <c r="D217" s="100"/>
      <c r="E217" s="101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354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355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356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2" t="s">
        <v>232</v>
      </c>
      <c r="B230" s="103"/>
      <c r="C230" s="103"/>
      <c r="D230" s="103"/>
      <c r="E230" s="104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357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2" t="s">
        <v>234</v>
      </c>
      <c r="B243" s="103"/>
      <c r="C243" s="103"/>
      <c r="D243" s="103"/>
      <c r="E243" s="104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99" t="s">
        <v>235</v>
      </c>
      <c r="B244" s="100"/>
      <c r="C244" s="100"/>
      <c r="D244" s="100"/>
      <c r="E244" s="101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358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2" t="s">
        <v>232</v>
      </c>
      <c r="B257" s="103"/>
      <c r="C257" s="103"/>
      <c r="D257" s="103"/>
      <c r="E257" s="104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2" t="s">
        <v>234</v>
      </c>
      <c r="B270" s="103"/>
      <c r="C270" s="103"/>
      <c r="D270" s="103"/>
      <c r="E270" s="104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99" t="s">
        <v>235</v>
      </c>
      <c r="B271" s="100"/>
      <c r="C271" s="100"/>
      <c r="D271" s="100"/>
      <c r="E271" s="101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2" t="s">
        <v>232</v>
      </c>
      <c r="B284" s="103"/>
      <c r="C284" s="103"/>
      <c r="D284" s="103"/>
      <c r="E284" s="104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2" t="s">
        <v>234</v>
      </c>
      <c r="B297" s="103"/>
      <c r="C297" s="103"/>
      <c r="D297" s="103"/>
      <c r="E297" s="104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99" t="s">
        <v>235</v>
      </c>
      <c r="B298" s="100"/>
      <c r="C298" s="100"/>
      <c r="D298" s="100"/>
      <c r="E298" s="101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359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2" t="s">
        <v>232</v>
      </c>
      <c r="B311" s="103"/>
      <c r="C311" s="103"/>
      <c r="D311" s="103"/>
      <c r="E311" s="104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269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2" t="s">
        <v>234</v>
      </c>
      <c r="B324" s="103"/>
      <c r="C324" s="103"/>
      <c r="D324" s="103"/>
      <c r="E324" s="104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99" t="s">
        <v>235</v>
      </c>
      <c r="B325" s="100"/>
      <c r="C325" s="100"/>
      <c r="D325" s="100"/>
      <c r="E325" s="101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297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2" t="s">
        <v>232</v>
      </c>
      <c r="B338" s="103"/>
      <c r="C338" s="103"/>
      <c r="D338" s="103"/>
      <c r="E338" s="104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360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361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2" t="s">
        <v>234</v>
      </c>
      <c r="B351" s="103"/>
      <c r="C351" s="103"/>
      <c r="D351" s="103"/>
      <c r="E351" s="104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99" t="s">
        <v>235</v>
      </c>
      <c r="B352" s="100"/>
      <c r="C352" s="100"/>
      <c r="D352" s="100"/>
      <c r="E352" s="101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312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362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2" t="s">
        <v>234</v>
      </c>
      <c r="B378" s="103"/>
      <c r="C378" s="103"/>
      <c r="D378" s="103"/>
      <c r="E378" s="104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99" t="s">
        <v>235</v>
      </c>
      <c r="B379" s="100"/>
      <c r="C379" s="100"/>
      <c r="D379" s="100"/>
      <c r="E379" s="101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363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350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2" t="s">
        <v>232</v>
      </c>
      <c r="B392" s="103"/>
      <c r="C392" s="103"/>
      <c r="D392" s="103"/>
      <c r="E392" s="104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364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365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2" t="s">
        <v>234</v>
      </c>
      <c r="B405" s="103"/>
      <c r="C405" s="103"/>
      <c r="D405" s="103"/>
      <c r="E405" s="104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99" t="s">
        <v>235</v>
      </c>
      <c r="B406" s="100"/>
      <c r="C406" s="100"/>
      <c r="D406" s="100"/>
      <c r="E406" s="101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2" t="s">
        <v>232</v>
      </c>
      <c r="B419" s="103"/>
      <c r="C419" s="103"/>
      <c r="D419" s="103"/>
      <c r="E419" s="104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366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2" t="s">
        <v>234</v>
      </c>
      <c r="B432" s="103"/>
      <c r="C432" s="103"/>
      <c r="D432" s="103"/>
      <c r="E432" s="104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99" t="s">
        <v>235</v>
      </c>
      <c r="B433" s="100"/>
      <c r="C433" s="100"/>
      <c r="D433" s="100"/>
      <c r="E433" s="101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2" t="s">
        <v>232</v>
      </c>
      <c r="B446" s="103"/>
      <c r="C446" s="103"/>
      <c r="D446" s="103"/>
      <c r="E446" s="104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367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2" t="s">
        <v>234</v>
      </c>
      <c r="B459" s="103"/>
      <c r="C459" s="103"/>
      <c r="D459" s="103"/>
      <c r="E459" s="104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99" t="s">
        <v>235</v>
      </c>
      <c r="B460" s="100"/>
      <c r="C460" s="100"/>
      <c r="D460" s="100"/>
      <c r="E460" s="101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368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369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343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2" t="s">
        <v>232</v>
      </c>
      <c r="B473" s="103"/>
      <c r="C473" s="103"/>
      <c r="D473" s="103"/>
      <c r="E473" s="104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2" t="s">
        <v>234</v>
      </c>
      <c r="B486" s="103"/>
      <c r="C486" s="103"/>
      <c r="D486" s="103"/>
      <c r="E486" s="104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99" t="s">
        <v>235</v>
      </c>
      <c r="B487" s="100"/>
      <c r="C487" s="100"/>
      <c r="D487" s="100"/>
      <c r="E487" s="101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343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2" t="s">
        <v>232</v>
      </c>
      <c r="B500" s="103"/>
      <c r="C500" s="103"/>
      <c r="D500" s="103"/>
      <c r="E500" s="104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370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2" t="s">
        <v>234</v>
      </c>
      <c r="B513" s="103"/>
      <c r="C513" s="103"/>
      <c r="D513" s="103"/>
      <c r="E513" s="104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99" t="s">
        <v>235</v>
      </c>
      <c r="B514" s="100"/>
      <c r="C514" s="100"/>
      <c r="D514" s="100"/>
      <c r="E514" s="101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371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372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2" t="s">
        <v>232</v>
      </c>
      <c r="B527" s="103"/>
      <c r="C527" s="103"/>
      <c r="D527" s="103"/>
      <c r="E527" s="104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2" t="s">
        <v>234</v>
      </c>
      <c r="B540" s="103"/>
      <c r="C540" s="103"/>
      <c r="D540" s="103"/>
      <c r="E540" s="104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99" t="s">
        <v>235</v>
      </c>
      <c r="B541" s="100"/>
      <c r="C541" s="100"/>
      <c r="D541" s="100"/>
      <c r="E541" s="101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373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374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375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2" t="s">
        <v>232</v>
      </c>
      <c r="B554" s="103"/>
      <c r="C554" s="103"/>
      <c r="D554" s="103"/>
      <c r="E554" s="104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376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2" t="s">
        <v>234</v>
      </c>
      <c r="B567" s="103"/>
      <c r="C567" s="103"/>
      <c r="D567" s="103"/>
      <c r="E567" s="104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99" t="s">
        <v>235</v>
      </c>
      <c r="B568" s="100"/>
      <c r="C568" s="100"/>
      <c r="D568" s="100"/>
      <c r="E568" s="101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377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2" t="s">
        <v>232</v>
      </c>
      <c r="B581" s="103"/>
      <c r="C581" s="103"/>
      <c r="D581" s="103"/>
      <c r="E581" s="10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2" t="s">
        <v>234</v>
      </c>
      <c r="B594" s="103"/>
      <c r="C594" s="103"/>
      <c r="D594" s="103"/>
      <c r="E594" s="104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99" t="s">
        <v>235</v>
      </c>
      <c r="B595" s="100"/>
      <c r="C595" s="100"/>
      <c r="D595" s="100"/>
      <c r="E595" s="101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/>
      <c r="F596" s="27"/>
      <c r="G596" s="28" t="str">
        <f t="shared" ref="G596:G607" si="132">IF(F596="","",IF(E596="PC 17",F596*4.2,IF(E596="PC 19",F596*5,"")))</f>
        <v/>
      </c>
      <c r="H596" s="26" t="s">
        <v>20</v>
      </c>
      <c r="I596" s="26" t="s">
        <v>75</v>
      </c>
      <c r="J596" s="26"/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2" t="s">
        <v>232</v>
      </c>
      <c r="B608" s="103"/>
      <c r="C608" s="103"/>
      <c r="D608" s="103"/>
      <c r="E608" s="10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1.5277777777777779E-2</v>
      </c>
      <c r="N608" s="36" t="s">
        <v>233</v>
      </c>
      <c r="O608" s="39"/>
    </row>
    <row r="609" spans="1:15" ht="15" customHeight="1">
      <c r="A609" s="69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2" t="s">
        <v>234</v>
      </c>
      <c r="B621" s="103"/>
      <c r="C621" s="103"/>
      <c r="D621" s="103"/>
      <c r="E621" s="10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233</v>
      </c>
      <c r="O621" s="39"/>
    </row>
    <row r="622" spans="1:15" ht="18" customHeight="1">
      <c r="A622" s="99" t="s">
        <v>235</v>
      </c>
      <c r="B622" s="100"/>
      <c r="C622" s="100"/>
      <c r="D622" s="100"/>
      <c r="E622" s="10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1.5277777777777779E-2</v>
      </c>
      <c r="N622" s="40" t="s">
        <v>236</v>
      </c>
      <c r="O622" s="48">
        <f>IFERROR(O608+O621,"")</f>
        <v>0</v>
      </c>
    </row>
    <row r="623" spans="1:15" ht="15" customHeight="1">
      <c r="A623" s="69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2" t="s">
        <v>232</v>
      </c>
      <c r="B635" s="103"/>
      <c r="C635" s="103"/>
      <c r="D635" s="103"/>
      <c r="E635" s="10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233</v>
      </c>
      <c r="O635" s="39"/>
    </row>
    <row r="636" spans="1:15" ht="15" customHeight="1">
      <c r="A636" s="68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2" t="s">
        <v>234</v>
      </c>
      <c r="B648" s="103"/>
      <c r="C648" s="103"/>
      <c r="D648" s="103"/>
      <c r="E648" s="10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233</v>
      </c>
      <c r="O648" s="39"/>
    </row>
    <row r="649" spans="1:15" ht="18" customHeight="1">
      <c r="A649" s="99" t="s">
        <v>235</v>
      </c>
      <c r="B649" s="100"/>
      <c r="C649" s="100"/>
      <c r="D649" s="100"/>
      <c r="E649" s="10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236</v>
      </c>
      <c r="O649" s="48">
        <f>IFERROR(O635+O648,"")</f>
        <v>0</v>
      </c>
    </row>
    <row r="650" spans="1:15" ht="15" customHeight="1">
      <c r="A650" s="68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2" t="s">
        <v>232</v>
      </c>
      <c r="B662" s="103"/>
      <c r="C662" s="103"/>
      <c r="D662" s="103"/>
      <c r="E662" s="10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2" t="s">
        <v>234</v>
      </c>
      <c r="B675" s="103"/>
      <c r="C675" s="103"/>
      <c r="D675" s="103"/>
      <c r="E675" s="10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99" t="s">
        <v>235</v>
      </c>
      <c r="B676" s="100"/>
      <c r="C676" s="100"/>
      <c r="D676" s="100"/>
      <c r="E676" s="10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2" t="s">
        <v>232</v>
      </c>
      <c r="B689" s="103"/>
      <c r="C689" s="103"/>
      <c r="D689" s="103"/>
      <c r="E689" s="10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2" t="s">
        <v>234</v>
      </c>
      <c r="B702" s="103"/>
      <c r="C702" s="103"/>
      <c r="D702" s="103"/>
      <c r="E702" s="10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99" t="s">
        <v>235</v>
      </c>
      <c r="B703" s="100"/>
      <c r="C703" s="100"/>
      <c r="D703" s="100"/>
      <c r="E703" s="10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2" t="s">
        <v>232</v>
      </c>
      <c r="B716" s="103"/>
      <c r="C716" s="103"/>
      <c r="D716" s="103"/>
      <c r="E716" s="10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2" t="s">
        <v>234</v>
      </c>
      <c r="B729" s="103"/>
      <c r="C729" s="103"/>
      <c r="D729" s="103"/>
      <c r="E729" s="10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99" t="s">
        <v>235</v>
      </c>
      <c r="B730" s="100"/>
      <c r="C730" s="100"/>
      <c r="D730" s="100"/>
      <c r="E730" s="10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2" t="s">
        <v>232</v>
      </c>
      <c r="B743" s="103"/>
      <c r="C743" s="103"/>
      <c r="D743" s="103"/>
      <c r="E743" s="10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2" t="s">
        <v>234</v>
      </c>
      <c r="B756" s="103"/>
      <c r="C756" s="103"/>
      <c r="D756" s="103"/>
      <c r="E756" s="10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99" t="s">
        <v>235</v>
      </c>
      <c r="B757" s="100"/>
      <c r="C757" s="100"/>
      <c r="D757" s="100"/>
      <c r="E757" s="10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2" t="s">
        <v>232</v>
      </c>
      <c r="B770" s="103"/>
      <c r="C770" s="103"/>
      <c r="D770" s="103"/>
      <c r="E770" s="10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2" t="s">
        <v>234</v>
      </c>
      <c r="B783" s="103"/>
      <c r="C783" s="103"/>
      <c r="D783" s="103"/>
      <c r="E783" s="10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99" t="s">
        <v>235</v>
      </c>
      <c r="B784" s="100"/>
      <c r="C784" s="100"/>
      <c r="D784" s="100"/>
      <c r="E784" s="10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2" t="s">
        <v>232</v>
      </c>
      <c r="B797" s="103"/>
      <c r="C797" s="103"/>
      <c r="D797" s="103"/>
      <c r="E797" s="10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2" t="s">
        <v>234</v>
      </c>
      <c r="B810" s="103"/>
      <c r="C810" s="103"/>
      <c r="D810" s="103"/>
      <c r="E810" s="10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99" t="s">
        <v>235</v>
      </c>
      <c r="B811" s="100"/>
      <c r="C811" s="100"/>
      <c r="D811" s="100"/>
      <c r="E811" s="10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2026-07-23T12:05:25Z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