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05" documentId="8_{AF585B22-221D-4780-BB9C-493D365A6A02}" xr6:coauthVersionLast="47" xr6:coauthVersionMax="47" xr10:uidLastSave="{E302580F-64FF-4F1B-8337-0A1FDAC83090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<sst xmlns="http://schemas.openxmlformats.org/spreadsheetml/2006/main" count="6868" uniqueCount="332">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</sst>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15" activePane="bottomLeft" state="frozen"/>
      <selection pane="bottomLeft" activeCell="F424" sqref="F4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27</v>
      </c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46</v>
      </c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42</v>
      </c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135</v>
      </c>
      <c r="G432" s="36">
        <f>SUM(G420:G431)</f>
        <v>100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356</v>
      </c>
      <c r="G433" s="40">
        <f>G419+G432</f>
        <v>1205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K421" sqref="K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0.71805497685272712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0.87569386574161601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0.98541608796383817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/>
      <c r="M420" s="30">
        <f t="shared" ref="M420:M431" ca="1" si="94">IFERROR(IF(K420="","",IF(L420="",MOD(NOW()-K420,1),IF(L420&gt;=K420,L420-K420,L420+1-K420))),"")</f>
        <v>0.14097164352278924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</v>
      </c>
      <c r="G432" s="36">
        <f>SUM(G420:G431)</f>
        <v>16.8</v>
      </c>
      <c r="H432" s="37"/>
      <c r="I432" s="37"/>
      <c r="J432" s="37"/>
      <c r="K432" s="37"/>
      <c r="L432" s="37"/>
      <c r="M432" s="38">
        <f ca="1">IFERROR(SUM(M420:M431),"")</f>
        <v>0.14097164352278924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143</v>
      </c>
      <c r="G433" s="40">
        <f>G419+G432</f>
        <v>613.40000000000009</v>
      </c>
      <c r="H433" s="41"/>
      <c r="I433" s="41"/>
      <c r="J433" s="41"/>
      <c r="K433" s="41"/>
      <c r="L433" s="41"/>
      <c r="M433" s="42">
        <f ca="1">IFERROR(M419+M432,"")</f>
        <v>0.28611053241167811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7" zoomScale="50" zoomScaleNormal="50" workbookViewId="0">
      <selection activeCell="E431" sqref="E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/>
      <c r="M420" s="30">
        <f t="shared" ref="M420:M431" ca="1" si="94">IFERROR(IF(K420="","",IF(L420="",MOD(NOW()-K420,1),IF(L420&gt;=K420,L420-K420,L420+1-K420))),"")</f>
        <v>0.14097164352278924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</v>
      </c>
      <c r="G432" s="36">
        <f>SUM(G420:G431)</f>
        <v>15</v>
      </c>
      <c r="H432" s="37"/>
      <c r="I432" s="37"/>
      <c r="J432" s="37"/>
      <c r="K432" s="37"/>
      <c r="L432" s="37"/>
      <c r="M432" s="38">
        <f ca="1">IFERROR(SUM(M420:M431),"")</f>
        <v>0.14097164352278924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64</v>
      </c>
      <c r="G433" s="40">
        <f>G419+G432</f>
        <v>275.2</v>
      </c>
      <c r="H433" s="41"/>
      <c r="I433" s="41"/>
      <c r="J433" s="41"/>
      <c r="K433" s="41"/>
      <c r="L433" s="41"/>
      <c r="M433" s="42">
        <f ca="1">IFERROR(M419+M432,"")</f>
        <v>0.23263831018945591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L421" sqref="L4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0.70833275463519385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0.90763831019074948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1.2749994213018605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0.13472222222222219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0.36874999999999997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2026-07-17T02:59:28Z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