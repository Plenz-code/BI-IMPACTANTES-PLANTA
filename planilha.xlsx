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05" documentId="8_{AF585B22-221D-4780-BB9C-493D365A6A02}" xr6:coauthVersionLast="47" xr6:coauthVersionMax="47" xr10:uidLastSave="{271C8C90-6075-4E59-8F21-ED09CD732A2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<sst xmlns="http://schemas.openxmlformats.org/spreadsheetml/2006/main" count="12600" uniqueCount="445">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</sst>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J827" sqref="J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/>
      <c r="M827" s="79">
        <f ca="1">IFERROR(IF(K827="","",IF(L827="",MOD(NOW()-K827,1),IF(L827&gt;=K827,L827-K827,L827+1-K827))),"")</f>
        <v>5.1527777395676821E-4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1.3709722218401291E-2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0.17343194444062349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2.4820833328703884E-2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0.18245972221759277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0.29218194443981493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3.2930555535131134E-3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0.17412638888684648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0.31926527777573532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190</v>
      </c>
      <c r="G837" s="109">
        <f>SUM(G825:G836)</f>
        <v>810.80000000000007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359</v>
      </c>
      <c r="G838" s="111">
        <f>G824+G837</f>
        <v>1520.6000000000001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F836" sqref="F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136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231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6" sqref="F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1.5098611111170612E-2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0.21440416666672624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0.58176527777783726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2.6904166661552154E-2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7</v>
      </c>
      <c r="G836" s="104">
        <f>IF(F836="","",IF(E836="PC 17",F836*4.2,IF(E836="PC 19",F836*5,"")))</f>
        <v>29.400000000000002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146</v>
      </c>
      <c r="G837" s="109">
        <f>SUM(G825:G836)</f>
        <v>613.19999999999993</v>
      </c>
      <c r="H837" s="37"/>
      <c r="I837" s="37"/>
      <c r="J837" s="37"/>
      <c r="K837" s="37"/>
      <c r="L837" s="37"/>
      <c r="M837" s="110">
        <f ca="1">IFERROR(SUM(M825:M836),"")</f>
        <v>7.5515277772663272E-2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265</v>
      </c>
      <c r="G838" s="111">
        <f>G824+G837</f>
        <v>1113</v>
      </c>
      <c r="H838" s="41"/>
      <c r="I838" s="41"/>
      <c r="J838" s="41"/>
      <c r="K838" s="41"/>
      <c r="L838" s="41"/>
      <c r="M838" s="112">
        <f ca="1">IFERROR(M824+M837,"")</f>
        <v>0.1914874999948854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2026-08-01T10:21:06Z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