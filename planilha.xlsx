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88" documentId="8_{AF585B22-221D-4780-BB9C-493D365A6A02}" xr6:coauthVersionLast="47" xr6:coauthVersionMax="47" xr10:uidLastSave="{8C4B6781-7534-4DC8-9BBF-8BEBB1171D4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<sst xmlns="http://schemas.openxmlformats.org/spreadsheetml/2006/main" count="7263" uniqueCount="344">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</sst>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J447" sqref="J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/>
      <c r="M447" s="35">
        <f t="shared" ref="M447:M458" ca="1" si="100">IFERROR(IF(K447="","",IF(L447="",MOD(NOW()-K447,1),IF(L447&gt;=K447,L447-K447,L447+1-K447))),"")</f>
        <v>1.6153587959706783E-2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25</v>
      </c>
      <c r="G459" s="36">
        <f>SUM(G447:G458)</f>
        <v>105</v>
      </c>
      <c r="H459" s="37"/>
      <c r="I459" s="37"/>
      <c r="J459" s="37"/>
      <c r="K459" s="37"/>
      <c r="L459" s="37"/>
      <c r="M459" s="38">
        <f ca="1">IFERROR(SUM(M447:M458),"")</f>
        <v>1.6153587959706783E-2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204</v>
      </c>
      <c r="G460" s="40">
        <f>G446+G459</f>
        <v>1000</v>
      </c>
      <c r="H460" s="41"/>
      <c r="I460" s="41"/>
      <c r="J460" s="41"/>
      <c r="K460" s="41"/>
      <c r="L460" s="41"/>
      <c r="M460" s="42">
        <f ca="1">IFERROR(M446+M459,"")</f>
        <v>0.25365358795970683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F448" sqref="F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0.6029591435144539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0.76059803240334278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0.87032025462556495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0.58143136573926313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0.75226469907259652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0.89740358796148545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/>
      <c r="M447" s="35">
        <f t="shared" ref="M447:M458" ca="1" si="100">IFERROR(IF(K447="","",IF(L447="",MOD(NOW()-K447,1),IF(L447&gt;=K447,L447-K447,L447+1-K447))),"")</f>
        <v>1.9625810185971204E-2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1.9625810185971204E-2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8.9070254630415679E-2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48" sqref="F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2.083333333333437E-3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0.20000000000000018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J450" sqref="J4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0.59323692129692063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0.79254247685247625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1.1599035879635873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/>
      <c r="G448" s="28" t="str">
        <f t="shared" si="99"/>
        <v/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/>
      <c r="M449" s="35">
        <f t="shared" ca="1" si="100"/>
        <v>2.3098032404959667E-2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343</v>
      </c>
      <c r="F450" s="27"/>
      <c r="G450" s="28" t="str">
        <f>IF(F450="","",IF(E451="PC 17",F450*4.2,IF(E451="PC 19",F450*5,"")))</f>
        <v/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/>
      <c r="M450" s="30">
        <f t="shared" ca="1" si="100"/>
        <v>8.7581018306082115E-4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4.2723842588020533E-2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9.341828703246513E-2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2026-07-18T00:13:37Z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