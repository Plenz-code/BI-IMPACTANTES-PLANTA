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9" documentId="8_{AF585B22-221D-4780-BB9C-493D365A6A02}" xr6:coauthVersionLast="47" xr6:coauthVersionMax="47" xr10:uidLastSave="{91E1D159-D555-4A8D-B96C-BCBC3DA63EB1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9" i="4" l="1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<sst xmlns="http://schemas.openxmlformats.org/spreadsheetml/2006/main" count="1150" uniqueCount="201">
  <si>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</si>
  <si>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</si>
  <si>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</si>
  <si>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</si>
  <si>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</si>
  <si>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</si>
  <si>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</si>
  <si>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</si>
  <si>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</si>
  <si>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</si>
  <si>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</si>
  <si>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</si>
  <si>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</si>
  <si>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</si>
  <si>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</si>
  <si>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</si>
  <si>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</si>
  <si>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</si>
  <si>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</si>
  <si>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</si>
  <si>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</si>
  <si>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</si>
  <si>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</si>
  <si>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</si>
  <si>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</si>
  <si>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</si>
  <si>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</si>
  <si>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</si>
  <si>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</si>
  <si>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</si>
  <si>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</si>
  <si>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</si>
  <si>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</si>
  <si>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</si>
  <si>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</si>
  <si>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</si>
  <si>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</si>
  <si>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</si>
  <si>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</si>
  <si>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</si>
  <si>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</si>
  <si>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</si>
  <si>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</si>
  <si>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</si>
  <si>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</si>
  <si>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</si>
  <si>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</si>
  <si>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</si>
  <si>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</si>
  <si>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</si>
  <si>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</si>
  <si>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</si>
  <si>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</si>
  <si>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</si>
  <si>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</si>
  <si>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</si>
  <si>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</si>
  <si>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</si>
  <si>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</si>
  <si>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</si>
  <si>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</si>
  <si>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</si>
  <si>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</si>
  <si>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</si>
  <si>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</si>
  <si>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</si>
  <si>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</si>
  <si>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</si>
  <si>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</si>
  <si>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</si>
  <si>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</si>
  <si>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</si>
  <si>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</si>
  <si>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</si>
  <si>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</si>
  <si>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</si>
  <si>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</si>
  <si>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</si>
  <si>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</si>
  <si>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</si>
  <si>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</si>
  <si>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</si>
  <si>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</si>
  <si>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</si>
  <si>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</si>
  <si>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</si>
  <si>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</si>
  <si>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</si>
  <si>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</si>
  <si>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</si>
  <si>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</si>
  <si>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</si>
  <si>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</si>
  <si>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</si>
  <si>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</si>
  <si>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</si>
  <si>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</si>
  <si>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</si>
  <si>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</si>
  <si>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</si>
  <si>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</si>
  <si>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</si>
  <si>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</si>
  <si>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</si>
  <si>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</si>
  <si>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</si>
  <si>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</si>
  <si>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</si>
  <si>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</si>
  <si>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</si>
  <si>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</si>
  <si>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</si>
  <si>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</si>
  <si>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</si>
  <si>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</si>
  <si>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</si>
  <si>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</si>
  <si>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</si>
  <si>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</si>
  <si>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</si>
  <si>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</si>
  <si>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</si>
  <si>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</si>
  <si>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</si>
  <si>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</si>
  <si>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</si>
  <si>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</si>
  <si>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</si>
  <si>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</si>
  <si>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</si>
  <si>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</si>
  <si>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</si>
  <si>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</si>
  <si>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</si>
  <si>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</si>
  <si>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</si>
  <si>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</si>
  <si>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</si>
  <si>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</si>
  <si>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</si>
  <si>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</si>
  <si>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</si>
  <si>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</si>
  <si>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</si>
  <si>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</si>
  <si>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</si>
  <si>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</si>
  <si>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</si>
  <si>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</si>
  <si>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</si>
  <si>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</si>
  <si>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</si>
  <si>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</si>
  <si>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</si>
  <si>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</si>
  <si>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</si>
  <si>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</si>
  <si>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</si>
  <si>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</si>
  <si>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</si>
  <si>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</si>
  <si>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</si>
  <si>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</si>
  <si>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</si>
  <si>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</si>
  <si>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</si>
  <si>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</si>
  <si>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</si>
  <si>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</si>
  <si>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</si>
  <si>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</si>
  <si>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</si>
  <si>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</si>
  <si>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</si>
  <si>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</si>
  <si>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</si>
  <si>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</si>
  <si>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</si>
  <si>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</si>
  <si>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</si>
  <si>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</si>
  <si>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</si>
  <si>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</si>
  <si>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</si>
  <si>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</si>
  <si>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</si>
  <si>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</si>
  <si>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</si>
  <si>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</si>
  <si>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</si>
  <si>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</si>
  <si>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</si>
  <si>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</si>
  <si>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</si>
  <si>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</si>
  <si>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</si>
  <si>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14;00</t>
  </si>
  <si>
    <t>14;21</t>
  </si>
  <si>
    <t>9;10</t>
  </si>
  <si>
    <t>manutençao no rolamento do moinho 4</t>
  </si>
  <si>
    <t>15;30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</si>
</sst>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202</v>
      </c>
      <c r="G14" s="36">
        <f>SUM(G2:G13)</f>
        <v>1010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202</v>
      </c>
      <c r="G28" s="40">
        <f>G14+G27</f>
        <v>1010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28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28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112</v>
      </c>
      <c r="G14" s="36">
        <f>SUM(G2:G13)</f>
        <v>470.4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112</v>
      </c>
      <c r="G28" s="40">
        <f>G14+G27</f>
        <v>470.4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J6" sqref="J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 t="s">
        <v>196</v>
      </c>
      <c r="L5" s="29">
        <v>0.5854166666666667</v>
      </c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 t="s">
        <v>197</v>
      </c>
      <c r="L6" s="29">
        <v>0.68611111111111112</v>
      </c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45</v>
      </c>
      <c r="G14" s="36">
        <f>SUM(G2:G13)</f>
        <v>189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45</v>
      </c>
      <c r="G28" s="40">
        <f>G14+G27</f>
        <v>189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11" sqref="F1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198</v>
      </c>
      <c r="M2" s="30" t="str">
        <f t="shared" ref="M2:M13" ca="1" si="1">IFERROR(IF(K2="","",IF(L2="",MOD(NOW()-K2,1),IF(L2&gt;=K2,L2-K2,L2+1-K2))),"")</f>
        <v/>
      </c>
      <c r="N2" s="27" t="s">
        <v>199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 t="s">
        <v>200</v>
      </c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59</v>
      </c>
      <c r="G14" s="36">
        <f>SUM(G2:G13)</f>
        <v>247.79999999999998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59</v>
      </c>
      <c r="G28" s="40">
        <f>G14+G27</f>
        <v>247.79999999999998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2026-07-01T20:30:02Z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