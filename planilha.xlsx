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51" documentId="8_{AF585B22-221D-4780-BB9C-493D365A6A02}" xr6:coauthVersionLast="47" xr6:coauthVersionMax="47" xr10:uidLastSave="{059951C4-AB7E-4BE7-9E30-4E4CFCB05CC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<sst xmlns="http://schemas.openxmlformats.org/spreadsheetml/2006/main" count="12520" uniqueCount="445">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</sst>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28" sqref="F8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66</v>
      </c>
      <c r="G837" s="109">
        <f>SUM(G825:G836)</f>
        <v>330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199</v>
      </c>
      <c r="G838" s="111">
        <f>G824+G837</f>
        <v>330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0.72093368055357132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0.87857256944246021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0.98829479166468237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0.69940590277838055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0.87023923611171394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1.0153781250006029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62</v>
      </c>
      <c r="G837" s="109">
        <f>SUM(G825:G836)</f>
        <v>273.20000000000005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231</v>
      </c>
      <c r="G838" s="111">
        <f>G824+G837</f>
        <v>983.00000000000011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38</v>
      </c>
      <c r="G837" s="109">
        <f>SUM(G825:G836)</f>
        <v>168.4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133</v>
      </c>
      <c r="G838" s="111">
        <f>G824+G837</f>
        <v>567.4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K829" sqref="K8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0.71121145833603805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0.91051701389159367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1.2778781250027047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/>
      <c r="M828" s="78">
        <f ca="1">IFERROR(IF(K828="","",IF(L828="",MOD(NOW()-K828,1),IF(L828&gt;=K828,L828-K828,L828+1-K828))),"")</f>
        <v>9.1281249988242052E-3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28</v>
      </c>
      <c r="G837" s="109">
        <f>SUM(G825:G836)</f>
        <v>117.6</v>
      </c>
      <c r="H837" s="37"/>
      <c r="I837" s="37"/>
      <c r="J837" s="37"/>
      <c r="K837" s="37"/>
      <c r="L837" s="37"/>
      <c r="M837" s="110">
        <f ca="1">IFERROR(SUM(M825:M836),"")</f>
        <v>2.9267013887713023E-2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147</v>
      </c>
      <c r="G838" s="111">
        <f>G824+G837</f>
        <v>617.40000000000009</v>
      </c>
      <c r="H838" s="41"/>
      <c r="I838" s="41"/>
      <c r="J838" s="41"/>
      <c r="K838" s="41"/>
      <c r="L838" s="41"/>
      <c r="M838" s="112">
        <f ca="1">IFERROR(M824+M837,"")</f>
        <v>0.14523923610993517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2026-08-01T03:03:35Z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