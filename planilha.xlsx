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91" documentId="8_{AF585B22-221D-4780-BB9C-493D365A6A02}" xr6:coauthVersionLast="47" xr6:coauthVersionMax="47" xr10:uidLastSave="{BF7215E5-577F-43BA-9071-13440804F7D2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<sst xmlns="http://schemas.openxmlformats.org/spreadsheetml/2006/main" count="5686" uniqueCount="309">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</sst>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16" activePane="bottomLeft" state="frozen"/>
      <selection pane="bottomLeft" activeCell="N342" sqref="N34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9.7916666666666652E-2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H341" sqref="H3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22</v>
      </c>
      <c r="G351" s="36">
        <f>SUM(G339:G350)</f>
        <v>92.4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219</v>
      </c>
      <c r="G352" s="40">
        <f>G338+G351</f>
        <v>929.40000000000009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17" zoomScale="50" zoomScaleNormal="50" workbookViewId="0">
      <selection activeCell="K340" sqref="K3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/>
      <c r="I339" s="33"/>
      <c r="J339" s="33"/>
      <c r="K339" s="29">
        <v>0.8666666666666667</v>
      </c>
      <c r="L339" s="29"/>
      <c r="M339" s="35">
        <f t="shared" ref="M339:M350" ca="1" si="76">IFERROR(IF(K339="","",IF(L339="",MOD(NOW()-K339,1),IF(L339&gt;=K339,L339-K339,L339+1-K339))),"")</f>
        <v>5.4918981186347082E-4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17</v>
      </c>
      <c r="G351" s="36">
        <f>SUM(G339:G350)</f>
        <v>71.400000000000006</v>
      </c>
      <c r="H351" s="37"/>
      <c r="I351" s="37"/>
      <c r="J351" s="37"/>
      <c r="K351" s="37"/>
      <c r="L351" s="37"/>
      <c r="M351" s="38">
        <f ca="1">IFERROR(SUM(M339:M350),"")</f>
        <v>5.4918981186347082E-4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57</v>
      </c>
      <c r="G352" s="40">
        <f>G338+G351</f>
        <v>239.40000000000003</v>
      </c>
      <c r="H352" s="41"/>
      <c r="I352" s="41"/>
      <c r="J352" s="41"/>
      <c r="K352" s="41"/>
      <c r="L352" s="41"/>
      <c r="M352" s="42">
        <f ca="1">IFERROR(M338+M351,"")</f>
        <v>0.23457696758964136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21" activePane="bottomLeft" state="frozen"/>
      <selection pane="bottomLeft" activeCell="G344" sqref="G34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0.61791030092717847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0.81721585648273409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1.1845769675938451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/>
      <c r="G340" s="28" t="str">
        <f t="shared" si="75"/>
        <v/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10</v>
      </c>
      <c r="G351" s="36">
        <f>SUM(G339:G350)</f>
        <v>42</v>
      </c>
      <c r="H351" s="37"/>
      <c r="I351" s="37"/>
      <c r="J351" s="37"/>
      <c r="K351" s="61"/>
      <c r="L351" s="61"/>
      <c r="M351" s="38">
        <f ca="1">IFERROR(SUM(M339:M350),"")</f>
        <v>2.9861111111111116E-2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193</v>
      </c>
      <c r="G352" s="40">
        <f>G338+G351</f>
        <v>822.6</v>
      </c>
      <c r="H352" s="41"/>
      <c r="I352" s="41"/>
      <c r="J352" s="41"/>
      <c r="K352" s="63"/>
      <c r="L352" s="63"/>
      <c r="M352" s="42">
        <f ca="1">IFERROR(M338+M351,"")</f>
        <v>0.13888888888888884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2026-07-14T00:49:20Z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