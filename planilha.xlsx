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71" documentId="13_ncr:1_{A6DBCFB4-28D9-4249-9038-216934055CA6}" xr6:coauthVersionLast="47" xr6:coauthVersionMax="47" xr10:uidLastSave="{21ABECF7-BD60-44F3-8252-93EF6CE19060}"/>
  <bookViews>
    <workbookView xWindow="-110" yWindow="-110" windowWidth="25820" windowHeight="15500" tabRatio="500" firstSheet="3" activeTab="3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91" i="3" l="1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J561" i="6" s="1"/>
  <c r="F561" i="6"/>
  <c r="Q560" i="6"/>
  <c r="K560" i="6"/>
  <c r="I560" i="6"/>
  <c r="H560" i="6"/>
  <c r="J560" i="6" s="1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J557" i="6" s="1"/>
  <c r="F557" i="6"/>
  <c r="Q556" i="6"/>
  <c r="Q567" i="6" s="1"/>
  <c r="K556" i="6"/>
  <c r="I556" i="6"/>
  <c r="H556" i="6"/>
  <c r="J556" i="6" s="1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J553" i="6" s="1"/>
  <c r="F553" i="6"/>
  <c r="Q552" i="6"/>
  <c r="K552" i="6"/>
  <c r="I552" i="6"/>
  <c r="H552" i="6"/>
  <c r="J552" i="6" s="1"/>
  <c r="F552" i="6"/>
  <c r="Q551" i="6"/>
  <c r="K551" i="6"/>
  <c r="I551" i="6"/>
  <c r="H551" i="6"/>
  <c r="J551" i="6" s="1"/>
  <c r="F551" i="6"/>
  <c r="Q550" i="6"/>
  <c r="K550" i="6"/>
  <c r="I550" i="6"/>
  <c r="H550" i="6"/>
  <c r="J550" i="6" s="1"/>
  <c r="F550" i="6"/>
  <c r="Q549" i="6"/>
  <c r="K549" i="6"/>
  <c r="I549" i="6"/>
  <c r="H549" i="6"/>
  <c r="J549" i="6" s="1"/>
  <c r="F549" i="6"/>
  <c r="Q548" i="6"/>
  <c r="K548" i="6"/>
  <c r="I548" i="6"/>
  <c r="H548" i="6"/>
  <c r="J548" i="6" s="1"/>
  <c r="F548" i="6"/>
  <c r="Q547" i="6"/>
  <c r="K547" i="6"/>
  <c r="I547" i="6"/>
  <c r="H547" i="6"/>
  <c r="J547" i="6" s="1"/>
  <c r="F547" i="6"/>
  <c r="Q546" i="6"/>
  <c r="K546" i="6"/>
  <c r="I546" i="6"/>
  <c r="H546" i="6"/>
  <c r="F546" i="6"/>
  <c r="Q545" i="6"/>
  <c r="K545" i="6"/>
  <c r="I545" i="6"/>
  <c r="H545" i="6"/>
  <c r="J545" i="6" s="1"/>
  <c r="F545" i="6"/>
  <c r="Q544" i="6"/>
  <c r="K544" i="6"/>
  <c r="I544" i="6"/>
  <c r="H544" i="6"/>
  <c r="J544" i="6" s="1"/>
  <c r="F544" i="6"/>
  <c r="Q543" i="6"/>
  <c r="K543" i="6"/>
  <c r="I543" i="6"/>
  <c r="H543" i="6"/>
  <c r="J543" i="6" s="1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J542" i="6" s="1"/>
  <c r="F542" i="6"/>
  <c r="S541" i="6"/>
  <c r="G540" i="6"/>
  <c r="Q539" i="6"/>
  <c r="K539" i="6"/>
  <c r="I539" i="6"/>
  <c r="H539" i="6"/>
  <c r="J539" i="6" s="1"/>
  <c r="F539" i="6"/>
  <c r="Q538" i="6"/>
  <c r="K538" i="6"/>
  <c r="I538" i="6"/>
  <c r="H538" i="6"/>
  <c r="J538" i="6" s="1"/>
  <c r="F538" i="6"/>
  <c r="Q537" i="6"/>
  <c r="K537" i="6"/>
  <c r="I537" i="6"/>
  <c r="H537" i="6"/>
  <c r="J537" i="6" s="1"/>
  <c r="F537" i="6"/>
  <c r="Q536" i="6"/>
  <c r="K536" i="6"/>
  <c r="I536" i="6"/>
  <c r="H536" i="6"/>
  <c r="J536" i="6" s="1"/>
  <c r="F536" i="6"/>
  <c r="Q535" i="6"/>
  <c r="K535" i="6"/>
  <c r="I535" i="6"/>
  <c r="H535" i="6"/>
  <c r="J535" i="6" s="1"/>
  <c r="F535" i="6"/>
  <c r="Q534" i="6"/>
  <c r="K534" i="6"/>
  <c r="I534" i="6"/>
  <c r="H534" i="6"/>
  <c r="J534" i="6" s="1"/>
  <c r="F534" i="6"/>
  <c r="Q533" i="6"/>
  <c r="K533" i="6"/>
  <c r="I533" i="6"/>
  <c r="H533" i="6"/>
  <c r="J533" i="6" s="1"/>
  <c r="F533" i="6"/>
  <c r="Q532" i="6"/>
  <c r="K532" i="6"/>
  <c r="I532" i="6"/>
  <c r="H532" i="6"/>
  <c r="J532" i="6" s="1"/>
  <c r="F532" i="6"/>
  <c r="Q531" i="6"/>
  <c r="K531" i="6"/>
  <c r="I531" i="6"/>
  <c r="H531" i="6"/>
  <c r="J531" i="6" s="1"/>
  <c r="F531" i="6"/>
  <c r="Q530" i="6"/>
  <c r="K530" i="6"/>
  <c r="I530" i="6"/>
  <c r="H530" i="6"/>
  <c r="J530" i="6" s="1"/>
  <c r="F530" i="6"/>
  <c r="Q529" i="6"/>
  <c r="K529" i="6"/>
  <c r="I529" i="6"/>
  <c r="H529" i="6"/>
  <c r="J529" i="6" s="1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J526" i="6" s="1"/>
  <c r="F526" i="6"/>
  <c r="Q525" i="6"/>
  <c r="K525" i="6"/>
  <c r="I525" i="6"/>
  <c r="H525" i="6"/>
  <c r="J525" i="6" s="1"/>
  <c r="F525" i="6"/>
  <c r="Q524" i="6"/>
  <c r="K524" i="6"/>
  <c r="I524" i="6"/>
  <c r="H524" i="6"/>
  <c r="J524" i="6" s="1"/>
  <c r="F524" i="6"/>
  <c r="Q523" i="6"/>
  <c r="K523" i="6"/>
  <c r="I523" i="6"/>
  <c r="H523" i="6"/>
  <c r="J523" i="6" s="1"/>
  <c r="F523" i="6"/>
  <c r="Q522" i="6"/>
  <c r="K522" i="6"/>
  <c r="I522" i="6"/>
  <c r="H522" i="6"/>
  <c r="J522" i="6" s="1"/>
  <c r="F522" i="6"/>
  <c r="Q521" i="6"/>
  <c r="K521" i="6"/>
  <c r="I521" i="6"/>
  <c r="H521" i="6"/>
  <c r="J521" i="6" s="1"/>
  <c r="F521" i="6"/>
  <c r="Q520" i="6"/>
  <c r="K520" i="6"/>
  <c r="I520" i="6"/>
  <c r="H520" i="6"/>
  <c r="J520" i="6" s="1"/>
  <c r="F520" i="6"/>
  <c r="Q519" i="6"/>
  <c r="K519" i="6"/>
  <c r="I519" i="6"/>
  <c r="H519" i="6"/>
  <c r="J519" i="6" s="1"/>
  <c r="F519" i="6"/>
  <c r="Q518" i="6"/>
  <c r="K518" i="6"/>
  <c r="I518" i="6"/>
  <c r="H518" i="6"/>
  <c r="J518" i="6" s="1"/>
  <c r="F518" i="6"/>
  <c r="Q517" i="6"/>
  <c r="K517" i="6"/>
  <c r="I517" i="6"/>
  <c r="H517" i="6"/>
  <c r="J517" i="6" s="1"/>
  <c r="F517" i="6"/>
  <c r="Q516" i="6"/>
  <c r="K516" i="6"/>
  <c r="I516" i="6"/>
  <c r="H516" i="6"/>
  <c r="J516" i="6" s="1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J512" i="6" s="1"/>
  <c r="F512" i="6"/>
  <c r="Q511" i="6"/>
  <c r="K511" i="6"/>
  <c r="I511" i="6"/>
  <c r="H511" i="6"/>
  <c r="J511" i="6" s="1"/>
  <c r="F511" i="6"/>
  <c r="Q510" i="6"/>
  <c r="K510" i="6"/>
  <c r="I510" i="6"/>
  <c r="H510" i="6"/>
  <c r="J510" i="6" s="1"/>
  <c r="F510" i="6"/>
  <c r="Q509" i="6"/>
  <c r="K509" i="6"/>
  <c r="I509" i="6"/>
  <c r="H509" i="6"/>
  <c r="F509" i="6"/>
  <c r="Q508" i="6"/>
  <c r="K508" i="6"/>
  <c r="I508" i="6"/>
  <c r="H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J572" i="5" s="1"/>
  <c r="F572" i="5"/>
  <c r="Q571" i="5"/>
  <c r="K571" i="5"/>
  <c r="I571" i="5"/>
  <c r="H571" i="5"/>
  <c r="J571" i="5" s="1"/>
  <c r="F571" i="5"/>
  <c r="Q570" i="5"/>
  <c r="K570" i="5"/>
  <c r="I570" i="5"/>
  <c r="H570" i="5"/>
  <c r="J570" i="5" s="1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J553" i="5" s="1"/>
  <c r="F553" i="5"/>
  <c r="Q552" i="5"/>
  <c r="K552" i="5"/>
  <c r="I552" i="5"/>
  <c r="H552" i="5"/>
  <c r="J552" i="5" s="1"/>
  <c r="F552" i="5"/>
  <c r="Q551" i="5"/>
  <c r="K551" i="5"/>
  <c r="I551" i="5"/>
  <c r="H551" i="5"/>
  <c r="J551" i="5" s="1"/>
  <c r="F551" i="5"/>
  <c r="Q550" i="5"/>
  <c r="K550" i="5"/>
  <c r="I550" i="5"/>
  <c r="H550" i="5"/>
  <c r="J550" i="5" s="1"/>
  <c r="F550" i="5"/>
  <c r="Q549" i="5"/>
  <c r="K549" i="5"/>
  <c r="I549" i="5"/>
  <c r="H549" i="5"/>
  <c r="J549" i="5" s="1"/>
  <c r="F549" i="5"/>
  <c r="Q548" i="5"/>
  <c r="K548" i="5"/>
  <c r="I548" i="5"/>
  <c r="H548" i="5"/>
  <c r="J548" i="5" s="1"/>
  <c r="F548" i="5"/>
  <c r="Q547" i="5"/>
  <c r="K547" i="5"/>
  <c r="I547" i="5"/>
  <c r="H547" i="5"/>
  <c r="J547" i="5" s="1"/>
  <c r="F547" i="5"/>
  <c r="Q546" i="5"/>
  <c r="K546" i="5"/>
  <c r="I546" i="5"/>
  <c r="H546" i="5"/>
  <c r="J546" i="5" s="1"/>
  <c r="F546" i="5"/>
  <c r="Q545" i="5"/>
  <c r="K545" i="5"/>
  <c r="I545" i="5"/>
  <c r="H545" i="5"/>
  <c r="J545" i="5" s="1"/>
  <c r="F545" i="5"/>
  <c r="Q544" i="5"/>
  <c r="K544" i="5"/>
  <c r="I544" i="5"/>
  <c r="H544" i="5"/>
  <c r="J544" i="5" s="1"/>
  <c r="F544" i="5"/>
  <c r="Q543" i="5"/>
  <c r="K543" i="5"/>
  <c r="I543" i="5"/>
  <c r="H543" i="5"/>
  <c r="J543" i="5" s="1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J539" i="5" s="1"/>
  <c r="F539" i="5"/>
  <c r="Q538" i="5"/>
  <c r="K538" i="5"/>
  <c r="I538" i="5"/>
  <c r="H538" i="5"/>
  <c r="J538" i="5" s="1"/>
  <c r="F538" i="5"/>
  <c r="Q537" i="5"/>
  <c r="K537" i="5"/>
  <c r="I537" i="5"/>
  <c r="H537" i="5"/>
  <c r="J537" i="5" s="1"/>
  <c r="F537" i="5"/>
  <c r="Q536" i="5"/>
  <c r="K536" i="5"/>
  <c r="I536" i="5"/>
  <c r="H536" i="5"/>
  <c r="J536" i="5" s="1"/>
  <c r="F536" i="5"/>
  <c r="Q535" i="5"/>
  <c r="K535" i="5"/>
  <c r="I535" i="5"/>
  <c r="H535" i="5"/>
  <c r="J535" i="5" s="1"/>
  <c r="F535" i="5"/>
  <c r="Q534" i="5"/>
  <c r="K534" i="5"/>
  <c r="I534" i="5"/>
  <c r="H534" i="5"/>
  <c r="J534" i="5" s="1"/>
  <c r="F534" i="5"/>
  <c r="Q533" i="5"/>
  <c r="K533" i="5"/>
  <c r="I533" i="5"/>
  <c r="H533" i="5"/>
  <c r="J533" i="5" s="1"/>
  <c r="F533" i="5"/>
  <c r="Q532" i="5"/>
  <c r="K532" i="5"/>
  <c r="I532" i="5"/>
  <c r="H532" i="5"/>
  <c r="J532" i="5" s="1"/>
  <c r="F532" i="5"/>
  <c r="Q531" i="5"/>
  <c r="K531" i="5"/>
  <c r="I531" i="5"/>
  <c r="H531" i="5"/>
  <c r="J531" i="5" s="1"/>
  <c r="F531" i="5"/>
  <c r="Q530" i="5"/>
  <c r="K530" i="5"/>
  <c r="I530" i="5"/>
  <c r="H530" i="5"/>
  <c r="J530" i="5" s="1"/>
  <c r="F530" i="5"/>
  <c r="Q529" i="5"/>
  <c r="K529" i="5"/>
  <c r="I529" i="5"/>
  <c r="H529" i="5"/>
  <c r="J529" i="5" s="1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J526" i="5" s="1"/>
  <c r="F526" i="5"/>
  <c r="Q525" i="5"/>
  <c r="K525" i="5"/>
  <c r="I525" i="5"/>
  <c r="H525" i="5"/>
  <c r="J525" i="5" s="1"/>
  <c r="F525" i="5"/>
  <c r="Q524" i="5"/>
  <c r="K524" i="5"/>
  <c r="I524" i="5"/>
  <c r="H524" i="5"/>
  <c r="J524" i="5" s="1"/>
  <c r="F524" i="5"/>
  <c r="Q523" i="5"/>
  <c r="K523" i="5"/>
  <c r="I523" i="5"/>
  <c r="H523" i="5"/>
  <c r="J523" i="5" s="1"/>
  <c r="F523" i="5"/>
  <c r="Q522" i="5"/>
  <c r="K522" i="5"/>
  <c r="I522" i="5"/>
  <c r="H522" i="5"/>
  <c r="J522" i="5" s="1"/>
  <c r="F522" i="5"/>
  <c r="Q521" i="5"/>
  <c r="K521" i="5"/>
  <c r="I521" i="5"/>
  <c r="H521" i="5"/>
  <c r="J521" i="5" s="1"/>
  <c r="F521" i="5"/>
  <c r="Q520" i="5"/>
  <c r="K520" i="5"/>
  <c r="I520" i="5"/>
  <c r="H520" i="5"/>
  <c r="J520" i="5" s="1"/>
  <c r="F520" i="5"/>
  <c r="Q519" i="5"/>
  <c r="K519" i="5"/>
  <c r="I519" i="5"/>
  <c r="H519" i="5"/>
  <c r="J519" i="5" s="1"/>
  <c r="F519" i="5"/>
  <c r="Q518" i="5"/>
  <c r="K518" i="5"/>
  <c r="I518" i="5"/>
  <c r="H518" i="5"/>
  <c r="J518" i="5" s="1"/>
  <c r="F518" i="5"/>
  <c r="Q517" i="5"/>
  <c r="K517" i="5"/>
  <c r="I517" i="5"/>
  <c r="H517" i="5"/>
  <c r="J517" i="5" s="1"/>
  <c r="F517" i="5"/>
  <c r="Q516" i="5"/>
  <c r="K516" i="5"/>
  <c r="I516" i="5"/>
  <c r="H516" i="5"/>
  <c r="J516" i="5" s="1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J512" i="5" s="1"/>
  <c r="F512" i="5"/>
  <c r="Q511" i="5"/>
  <c r="K511" i="5"/>
  <c r="I511" i="5"/>
  <c r="H511" i="5"/>
  <c r="J511" i="5" s="1"/>
  <c r="F511" i="5"/>
  <c r="Q510" i="5"/>
  <c r="K510" i="5"/>
  <c r="I510" i="5"/>
  <c r="H510" i="5"/>
  <c r="J510" i="5" s="1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J507" i="5" s="1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J577" i="4" s="1"/>
  <c r="F577" i="4"/>
  <c r="Q576" i="4"/>
  <c r="K576" i="4"/>
  <c r="I576" i="4"/>
  <c r="H576" i="4"/>
  <c r="J576" i="4" s="1"/>
  <c r="F576" i="4"/>
  <c r="Q575" i="4"/>
  <c r="K575" i="4"/>
  <c r="I575" i="4"/>
  <c r="H575" i="4"/>
  <c r="J575" i="4" s="1"/>
  <c r="F575" i="4"/>
  <c r="Q574" i="4"/>
  <c r="K574" i="4"/>
  <c r="I574" i="4"/>
  <c r="H574" i="4"/>
  <c r="J574" i="4" s="1"/>
  <c r="F574" i="4"/>
  <c r="Q573" i="4"/>
  <c r="K573" i="4"/>
  <c r="I573" i="4"/>
  <c r="H573" i="4"/>
  <c r="J573" i="4" s="1"/>
  <c r="F573" i="4"/>
  <c r="Q572" i="4"/>
  <c r="K572" i="4"/>
  <c r="I572" i="4"/>
  <c r="H572" i="4"/>
  <c r="J572" i="4" s="1"/>
  <c r="F572" i="4"/>
  <c r="Q571" i="4"/>
  <c r="K571" i="4"/>
  <c r="I571" i="4"/>
  <c r="H571" i="4"/>
  <c r="J571" i="4" s="1"/>
  <c r="F571" i="4"/>
  <c r="Q570" i="4"/>
  <c r="K570" i="4"/>
  <c r="I570" i="4"/>
  <c r="H570" i="4"/>
  <c r="J570" i="4" s="1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J560" i="4" s="1"/>
  <c r="F560" i="4"/>
  <c r="Q559" i="4"/>
  <c r="K559" i="4"/>
  <c r="I559" i="4"/>
  <c r="H559" i="4"/>
  <c r="J559" i="4" s="1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J553" i="4" s="1"/>
  <c r="F553" i="4"/>
  <c r="Q552" i="4"/>
  <c r="K552" i="4"/>
  <c r="I552" i="4"/>
  <c r="H552" i="4"/>
  <c r="J552" i="4" s="1"/>
  <c r="F552" i="4"/>
  <c r="Q551" i="4"/>
  <c r="K551" i="4"/>
  <c r="I551" i="4"/>
  <c r="H551" i="4"/>
  <c r="J551" i="4" s="1"/>
  <c r="F551" i="4"/>
  <c r="Q550" i="4"/>
  <c r="K550" i="4"/>
  <c r="I550" i="4"/>
  <c r="H550" i="4"/>
  <c r="J550" i="4" s="1"/>
  <c r="F550" i="4"/>
  <c r="Q549" i="4"/>
  <c r="K549" i="4"/>
  <c r="I549" i="4"/>
  <c r="H549" i="4"/>
  <c r="J549" i="4" s="1"/>
  <c r="F549" i="4"/>
  <c r="Q548" i="4"/>
  <c r="K548" i="4"/>
  <c r="I548" i="4"/>
  <c r="H548" i="4"/>
  <c r="J548" i="4" s="1"/>
  <c r="F548" i="4"/>
  <c r="Q547" i="4"/>
  <c r="K547" i="4"/>
  <c r="I547" i="4"/>
  <c r="H547" i="4"/>
  <c r="J547" i="4" s="1"/>
  <c r="F547" i="4"/>
  <c r="Q546" i="4"/>
  <c r="K546" i="4"/>
  <c r="I546" i="4"/>
  <c r="H546" i="4"/>
  <c r="J546" i="4" s="1"/>
  <c r="F546" i="4"/>
  <c r="Q545" i="4"/>
  <c r="K545" i="4"/>
  <c r="I545" i="4"/>
  <c r="H545" i="4"/>
  <c r="J545" i="4" s="1"/>
  <c r="F545" i="4"/>
  <c r="Q544" i="4"/>
  <c r="K544" i="4"/>
  <c r="I544" i="4"/>
  <c r="H544" i="4"/>
  <c r="J544" i="4" s="1"/>
  <c r="F544" i="4"/>
  <c r="Q543" i="4"/>
  <c r="K543" i="4"/>
  <c r="I543" i="4"/>
  <c r="H543" i="4"/>
  <c r="J543" i="4" s="1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J539" i="4" s="1"/>
  <c r="F539" i="4"/>
  <c r="Q538" i="4"/>
  <c r="K538" i="4"/>
  <c r="I538" i="4"/>
  <c r="H538" i="4"/>
  <c r="J538" i="4" s="1"/>
  <c r="F538" i="4"/>
  <c r="Q537" i="4"/>
  <c r="K537" i="4"/>
  <c r="I537" i="4"/>
  <c r="H537" i="4"/>
  <c r="J537" i="4" s="1"/>
  <c r="F537" i="4"/>
  <c r="Q536" i="4"/>
  <c r="K536" i="4"/>
  <c r="I536" i="4"/>
  <c r="H536" i="4"/>
  <c r="J536" i="4" s="1"/>
  <c r="F536" i="4"/>
  <c r="Q535" i="4"/>
  <c r="K535" i="4"/>
  <c r="I535" i="4"/>
  <c r="H535" i="4"/>
  <c r="J535" i="4" s="1"/>
  <c r="F535" i="4"/>
  <c r="Q534" i="4"/>
  <c r="K534" i="4"/>
  <c r="I534" i="4"/>
  <c r="H534" i="4"/>
  <c r="J534" i="4" s="1"/>
  <c r="F534" i="4"/>
  <c r="Q533" i="4"/>
  <c r="K533" i="4"/>
  <c r="J533" i="4"/>
  <c r="I533" i="4"/>
  <c r="H533" i="4"/>
  <c r="F533" i="4"/>
  <c r="Q532" i="4"/>
  <c r="K532" i="4"/>
  <c r="I532" i="4"/>
  <c r="H532" i="4"/>
  <c r="J532" i="4" s="1"/>
  <c r="F532" i="4"/>
  <c r="Q531" i="4"/>
  <c r="K531" i="4"/>
  <c r="I531" i="4"/>
  <c r="H531" i="4"/>
  <c r="J531" i="4" s="1"/>
  <c r="F531" i="4"/>
  <c r="Q530" i="4"/>
  <c r="K530" i="4"/>
  <c r="I530" i="4"/>
  <c r="H530" i="4"/>
  <c r="J530" i="4" s="1"/>
  <c r="F530" i="4"/>
  <c r="Q529" i="4"/>
  <c r="K529" i="4"/>
  <c r="I529" i="4"/>
  <c r="H529" i="4"/>
  <c r="J529" i="4" s="1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J526" i="4" s="1"/>
  <c r="F526" i="4"/>
  <c r="Q525" i="4"/>
  <c r="K525" i="4"/>
  <c r="I525" i="4"/>
  <c r="H525" i="4"/>
  <c r="J525" i="4" s="1"/>
  <c r="F525" i="4"/>
  <c r="Q524" i="4"/>
  <c r="K524" i="4"/>
  <c r="I524" i="4"/>
  <c r="H524" i="4"/>
  <c r="J524" i="4" s="1"/>
  <c r="F524" i="4"/>
  <c r="Q523" i="4"/>
  <c r="K523" i="4"/>
  <c r="I523" i="4"/>
  <c r="H523" i="4"/>
  <c r="J523" i="4" s="1"/>
  <c r="F523" i="4"/>
  <c r="Q522" i="4"/>
  <c r="K522" i="4"/>
  <c r="I522" i="4"/>
  <c r="H522" i="4"/>
  <c r="J522" i="4" s="1"/>
  <c r="F522" i="4"/>
  <c r="Q521" i="4"/>
  <c r="K521" i="4"/>
  <c r="I521" i="4"/>
  <c r="H521" i="4"/>
  <c r="J521" i="4" s="1"/>
  <c r="F521" i="4"/>
  <c r="Q520" i="4"/>
  <c r="K520" i="4"/>
  <c r="I520" i="4"/>
  <c r="H520" i="4"/>
  <c r="J520" i="4" s="1"/>
  <c r="F520" i="4"/>
  <c r="Q519" i="4"/>
  <c r="K519" i="4"/>
  <c r="I519" i="4"/>
  <c r="H519" i="4"/>
  <c r="J519" i="4" s="1"/>
  <c r="F519" i="4"/>
  <c r="Q518" i="4"/>
  <c r="K518" i="4"/>
  <c r="I518" i="4"/>
  <c r="H518" i="4"/>
  <c r="J518" i="4" s="1"/>
  <c r="F518" i="4"/>
  <c r="Q517" i="4"/>
  <c r="K517" i="4"/>
  <c r="I517" i="4"/>
  <c r="H517" i="4"/>
  <c r="J517" i="4" s="1"/>
  <c r="F517" i="4"/>
  <c r="Q516" i="4"/>
  <c r="K516" i="4"/>
  <c r="I516" i="4"/>
  <c r="H516" i="4"/>
  <c r="J516" i="4" s="1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J512" i="4" s="1"/>
  <c r="F512" i="4"/>
  <c r="Q511" i="4"/>
  <c r="K511" i="4"/>
  <c r="I511" i="4"/>
  <c r="H511" i="4"/>
  <c r="J511" i="4" s="1"/>
  <c r="F511" i="4"/>
  <c r="Q510" i="4"/>
  <c r="K510" i="4"/>
  <c r="I510" i="4"/>
  <c r="H510" i="4"/>
  <c r="J510" i="4" s="1"/>
  <c r="F510" i="4"/>
  <c r="Q509" i="4"/>
  <c r="K509" i="4"/>
  <c r="I509" i="4"/>
  <c r="H509" i="4"/>
  <c r="F509" i="4"/>
  <c r="Q508" i="4"/>
  <c r="K508" i="4"/>
  <c r="I508" i="4"/>
  <c r="H508" i="4"/>
  <c r="J508" i="4" s="1"/>
  <c r="F508" i="4"/>
  <c r="Q507" i="4"/>
  <c r="K507" i="4"/>
  <c r="I507" i="4"/>
  <c r="H507" i="4"/>
  <c r="J507" i="4" s="1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J504" i="4" s="1"/>
  <c r="F504" i="4"/>
  <c r="Q503" i="4"/>
  <c r="K503" i="4"/>
  <c r="I503" i="4"/>
  <c r="H503" i="4"/>
  <c r="J503" i="4" s="1"/>
  <c r="F503" i="4"/>
  <c r="Q502" i="4"/>
  <c r="K502" i="4"/>
  <c r="I502" i="4"/>
  <c r="H502" i="4"/>
  <c r="J502" i="4" s="1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J499" i="4" s="1"/>
  <c r="F499" i="4"/>
  <c r="Q498" i="4"/>
  <c r="K498" i="4"/>
  <c r="I498" i="4"/>
  <c r="H498" i="4"/>
  <c r="J498" i="4" s="1"/>
  <c r="F498" i="4"/>
  <c r="Q497" i="4"/>
  <c r="K497" i="4"/>
  <c r="I497" i="4"/>
  <c r="H497" i="4"/>
  <c r="J497" i="4" s="1"/>
  <c r="F497" i="4"/>
  <c r="Q496" i="4"/>
  <c r="K496" i="4"/>
  <c r="I496" i="4"/>
  <c r="H496" i="4"/>
  <c r="J496" i="4" s="1"/>
  <c r="F496" i="4"/>
  <c r="Q495" i="4"/>
  <c r="K495" i="4"/>
  <c r="I495" i="4"/>
  <c r="H495" i="4"/>
  <c r="J495" i="4" s="1"/>
  <c r="F495" i="4"/>
  <c r="Q494" i="4"/>
  <c r="K494" i="4"/>
  <c r="I494" i="4"/>
  <c r="H494" i="4"/>
  <c r="J494" i="4" s="1"/>
  <c r="F494" i="4"/>
  <c r="Q493" i="4"/>
  <c r="K493" i="4"/>
  <c r="I493" i="4"/>
  <c r="H493" i="4"/>
  <c r="J493" i="4" s="1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J485" i="4" s="1"/>
  <c r="F485" i="4"/>
  <c r="Q484" i="4"/>
  <c r="K484" i="4"/>
  <c r="I484" i="4"/>
  <c r="H484" i="4"/>
  <c r="J484" i="4" s="1"/>
  <c r="F484" i="4"/>
  <c r="Q483" i="4"/>
  <c r="K483" i="4"/>
  <c r="I483" i="4"/>
  <c r="H483" i="4"/>
  <c r="J483" i="4" s="1"/>
  <c r="F483" i="4"/>
  <c r="Q482" i="4"/>
  <c r="K482" i="4"/>
  <c r="I482" i="4"/>
  <c r="H482" i="4"/>
  <c r="J482" i="4" s="1"/>
  <c r="F482" i="4"/>
  <c r="Q481" i="4"/>
  <c r="K481" i="4"/>
  <c r="I481" i="4"/>
  <c r="H481" i="4"/>
  <c r="J481" i="4" s="1"/>
  <c r="F481" i="4"/>
  <c r="Q480" i="4"/>
  <c r="K480" i="4"/>
  <c r="I480" i="4"/>
  <c r="H480" i="4"/>
  <c r="J480" i="4" s="1"/>
  <c r="F480" i="4"/>
  <c r="Q479" i="4"/>
  <c r="K479" i="4"/>
  <c r="I479" i="4"/>
  <c r="H479" i="4"/>
  <c r="J479" i="4" s="1"/>
  <c r="F479" i="4"/>
  <c r="Q478" i="4"/>
  <c r="K478" i="4"/>
  <c r="I478" i="4"/>
  <c r="H478" i="4"/>
  <c r="J478" i="4" s="1"/>
  <c r="F478" i="4"/>
  <c r="Q477" i="4"/>
  <c r="K477" i="4"/>
  <c r="I477" i="4"/>
  <c r="H477" i="4"/>
  <c r="J477" i="4" s="1"/>
  <c r="F477" i="4"/>
  <c r="Q476" i="4"/>
  <c r="K476" i="4"/>
  <c r="I476" i="4"/>
  <c r="H476" i="4"/>
  <c r="J476" i="4" s="1"/>
  <c r="F476" i="4"/>
  <c r="Q475" i="4"/>
  <c r="K475" i="4"/>
  <c r="I475" i="4"/>
  <c r="H475" i="4"/>
  <c r="J475" i="4" s="1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J472" i="4" s="1"/>
  <c r="F472" i="4"/>
  <c r="Q471" i="4"/>
  <c r="K471" i="4"/>
  <c r="I471" i="4"/>
  <c r="H471" i="4"/>
  <c r="J471" i="4" s="1"/>
  <c r="F471" i="4"/>
  <c r="Q470" i="4"/>
  <c r="K470" i="4"/>
  <c r="I470" i="4"/>
  <c r="H470" i="4"/>
  <c r="J470" i="4" s="1"/>
  <c r="F470" i="4"/>
  <c r="Q469" i="4"/>
  <c r="K469" i="4"/>
  <c r="I469" i="4"/>
  <c r="H469" i="4"/>
  <c r="J469" i="4" s="1"/>
  <c r="F469" i="4"/>
  <c r="Q468" i="4"/>
  <c r="K468" i="4"/>
  <c r="I468" i="4"/>
  <c r="H468" i="4"/>
  <c r="J468" i="4" s="1"/>
  <c r="F468" i="4"/>
  <c r="Q467" i="4"/>
  <c r="K467" i="4"/>
  <c r="I467" i="4"/>
  <c r="H467" i="4"/>
  <c r="J467" i="4" s="1"/>
  <c r="F467" i="4"/>
  <c r="Q466" i="4"/>
  <c r="K466" i="4"/>
  <c r="I466" i="4"/>
  <c r="H466" i="4"/>
  <c r="J466" i="4" s="1"/>
  <c r="F466" i="4"/>
  <c r="Q465" i="4"/>
  <c r="K465" i="4"/>
  <c r="I465" i="4"/>
  <c r="H465" i="4"/>
  <c r="J465" i="4" s="1"/>
  <c r="F465" i="4"/>
  <c r="Q464" i="4"/>
  <c r="K464" i="4"/>
  <c r="I464" i="4"/>
  <c r="H464" i="4"/>
  <c r="J464" i="4" s="1"/>
  <c r="F464" i="4"/>
  <c r="Q463" i="4"/>
  <c r="K463" i="4"/>
  <c r="I463" i="4"/>
  <c r="H463" i="4"/>
  <c r="J463" i="4" s="1"/>
  <c r="F463" i="4"/>
  <c r="Q462" i="4"/>
  <c r="K462" i="4"/>
  <c r="I462" i="4"/>
  <c r="H462" i="4"/>
  <c r="J462" i="4" s="1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J458" i="4" s="1"/>
  <c r="F458" i="4"/>
  <c r="Q457" i="4"/>
  <c r="K457" i="4"/>
  <c r="I457" i="4"/>
  <c r="H457" i="4"/>
  <c r="J457" i="4" s="1"/>
  <c r="F457" i="4"/>
  <c r="Q456" i="4"/>
  <c r="K456" i="4"/>
  <c r="I456" i="4"/>
  <c r="H456" i="4"/>
  <c r="J456" i="4" s="1"/>
  <c r="F456" i="4"/>
  <c r="Q455" i="4"/>
  <c r="K455" i="4"/>
  <c r="I455" i="4"/>
  <c r="H455" i="4"/>
  <c r="J455" i="4" s="1"/>
  <c r="F455" i="4"/>
  <c r="Q454" i="4"/>
  <c r="K454" i="4"/>
  <c r="I454" i="4"/>
  <c r="H454" i="4"/>
  <c r="J454" i="4" s="1"/>
  <c r="F454" i="4"/>
  <c r="Q453" i="4"/>
  <c r="K453" i="4"/>
  <c r="I453" i="4"/>
  <c r="H453" i="4"/>
  <c r="J453" i="4" s="1"/>
  <c r="F453" i="4"/>
  <c r="Q452" i="4"/>
  <c r="K452" i="4"/>
  <c r="I452" i="4"/>
  <c r="H452" i="4"/>
  <c r="J452" i="4" s="1"/>
  <c r="F452" i="4"/>
  <c r="Q451" i="4"/>
  <c r="K451" i="4"/>
  <c r="I451" i="4"/>
  <c r="H451" i="4"/>
  <c r="J451" i="4" s="1"/>
  <c r="F451" i="4"/>
  <c r="Q450" i="4"/>
  <c r="K450" i="4"/>
  <c r="I450" i="4"/>
  <c r="H450" i="4"/>
  <c r="J450" i="4" s="1"/>
  <c r="F450" i="4"/>
  <c r="Q449" i="4"/>
  <c r="K449" i="4"/>
  <c r="I449" i="4"/>
  <c r="H449" i="4"/>
  <c r="J449" i="4" s="1"/>
  <c r="F449" i="4"/>
  <c r="Q448" i="4"/>
  <c r="K448" i="4"/>
  <c r="I448" i="4"/>
  <c r="H448" i="4"/>
  <c r="J448" i="4" s="1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J445" i="4" s="1"/>
  <c r="F445" i="4"/>
  <c r="Q444" i="4"/>
  <c r="K444" i="4"/>
  <c r="I444" i="4"/>
  <c r="H444" i="4"/>
  <c r="J444" i="4" s="1"/>
  <c r="F444" i="4"/>
  <c r="Q443" i="4"/>
  <c r="K443" i="4"/>
  <c r="I443" i="4"/>
  <c r="H443" i="4"/>
  <c r="J443" i="4" s="1"/>
  <c r="F443" i="4"/>
  <c r="Q442" i="4"/>
  <c r="K442" i="4"/>
  <c r="I442" i="4"/>
  <c r="H442" i="4"/>
  <c r="J442" i="4" s="1"/>
  <c r="F442" i="4"/>
  <c r="Q441" i="4"/>
  <c r="K441" i="4"/>
  <c r="I441" i="4"/>
  <c r="H441" i="4"/>
  <c r="J441" i="4" s="1"/>
  <c r="F441" i="4"/>
  <c r="Q440" i="4"/>
  <c r="K440" i="4"/>
  <c r="I440" i="4"/>
  <c r="H440" i="4"/>
  <c r="J440" i="4" s="1"/>
  <c r="F440" i="4"/>
  <c r="Q439" i="4"/>
  <c r="K439" i="4"/>
  <c r="I439" i="4"/>
  <c r="H439" i="4"/>
  <c r="J439" i="4" s="1"/>
  <c r="F439" i="4"/>
  <c r="Q438" i="4"/>
  <c r="K438" i="4"/>
  <c r="I438" i="4"/>
  <c r="H438" i="4"/>
  <c r="J438" i="4" s="1"/>
  <c r="F438" i="4"/>
  <c r="Q437" i="4"/>
  <c r="K437" i="4"/>
  <c r="I437" i="4"/>
  <c r="H437" i="4"/>
  <c r="J437" i="4" s="1"/>
  <c r="F437" i="4"/>
  <c r="Q436" i="4"/>
  <c r="K436" i="4"/>
  <c r="I436" i="4"/>
  <c r="H436" i="4"/>
  <c r="J436" i="4" s="1"/>
  <c r="F436" i="4"/>
  <c r="Q435" i="4"/>
  <c r="K435" i="4"/>
  <c r="I435" i="4"/>
  <c r="H435" i="4"/>
  <c r="J435" i="4" s="1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J431" i="4" s="1"/>
  <c r="F431" i="4"/>
  <c r="Q430" i="4"/>
  <c r="K430" i="4"/>
  <c r="I430" i="4"/>
  <c r="H430" i="4"/>
  <c r="J430" i="4" s="1"/>
  <c r="F430" i="4"/>
  <c r="Q429" i="4"/>
  <c r="K429" i="4"/>
  <c r="I429" i="4"/>
  <c r="H429" i="4"/>
  <c r="J429" i="4" s="1"/>
  <c r="F429" i="4"/>
  <c r="Q428" i="4"/>
  <c r="K428" i="4"/>
  <c r="I428" i="4"/>
  <c r="H428" i="4"/>
  <c r="J428" i="4" s="1"/>
  <c r="F428" i="4"/>
  <c r="Q427" i="4"/>
  <c r="K427" i="4"/>
  <c r="I427" i="4"/>
  <c r="H427" i="4"/>
  <c r="J427" i="4" s="1"/>
  <c r="F427" i="4"/>
  <c r="Q426" i="4"/>
  <c r="K426" i="4"/>
  <c r="I426" i="4"/>
  <c r="H426" i="4"/>
  <c r="J426" i="4" s="1"/>
  <c r="F426" i="4"/>
  <c r="Q425" i="4"/>
  <c r="K425" i="4"/>
  <c r="I425" i="4"/>
  <c r="H425" i="4"/>
  <c r="J425" i="4" s="1"/>
  <c r="F425" i="4"/>
  <c r="Q424" i="4"/>
  <c r="K424" i="4"/>
  <c r="I424" i="4"/>
  <c r="H424" i="4"/>
  <c r="J424" i="4" s="1"/>
  <c r="F424" i="4"/>
  <c r="Q423" i="4"/>
  <c r="K423" i="4"/>
  <c r="I423" i="4"/>
  <c r="H423" i="4"/>
  <c r="J423" i="4" s="1"/>
  <c r="F423" i="4"/>
  <c r="Q422" i="4"/>
  <c r="K422" i="4"/>
  <c r="I422" i="4"/>
  <c r="H422" i="4"/>
  <c r="J422" i="4" s="1"/>
  <c r="F422" i="4"/>
  <c r="Q421" i="4"/>
  <c r="K421" i="4"/>
  <c r="I421" i="4"/>
  <c r="H421" i="4"/>
  <c r="J421" i="4" s="1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J418" i="4" s="1"/>
  <c r="F418" i="4"/>
  <c r="Q417" i="4"/>
  <c r="K417" i="4"/>
  <c r="I417" i="4"/>
  <c r="H417" i="4"/>
  <c r="J417" i="4" s="1"/>
  <c r="F417" i="4"/>
  <c r="Q416" i="4"/>
  <c r="K416" i="4"/>
  <c r="I416" i="4"/>
  <c r="H416" i="4"/>
  <c r="J416" i="4" s="1"/>
  <c r="F416" i="4"/>
  <c r="Q415" i="4"/>
  <c r="K415" i="4"/>
  <c r="I415" i="4"/>
  <c r="H415" i="4"/>
  <c r="J415" i="4" s="1"/>
  <c r="F415" i="4"/>
  <c r="Q414" i="4"/>
  <c r="K414" i="4"/>
  <c r="I414" i="4"/>
  <c r="H414" i="4"/>
  <c r="J414" i="4" s="1"/>
  <c r="F414" i="4"/>
  <c r="Q413" i="4"/>
  <c r="K413" i="4"/>
  <c r="I413" i="4"/>
  <c r="H413" i="4"/>
  <c r="J413" i="4" s="1"/>
  <c r="F413" i="4"/>
  <c r="Q412" i="4"/>
  <c r="K412" i="4"/>
  <c r="I412" i="4"/>
  <c r="H412" i="4"/>
  <c r="J412" i="4" s="1"/>
  <c r="F412" i="4"/>
  <c r="Q411" i="4"/>
  <c r="K411" i="4"/>
  <c r="I411" i="4"/>
  <c r="H411" i="4"/>
  <c r="J411" i="4" s="1"/>
  <c r="F411" i="4"/>
  <c r="Q410" i="4"/>
  <c r="K410" i="4"/>
  <c r="I410" i="4"/>
  <c r="H410" i="4"/>
  <c r="J410" i="4" s="1"/>
  <c r="F410" i="4"/>
  <c r="Q409" i="4"/>
  <c r="K409" i="4"/>
  <c r="I409" i="4"/>
  <c r="H409" i="4"/>
  <c r="J409" i="4" s="1"/>
  <c r="F409" i="4"/>
  <c r="Q408" i="4"/>
  <c r="K408" i="4"/>
  <c r="I408" i="4"/>
  <c r="H408" i="4"/>
  <c r="J408" i="4" s="1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J404" i="4" s="1"/>
  <c r="F404" i="4"/>
  <c r="Q403" i="4"/>
  <c r="K403" i="4"/>
  <c r="I403" i="4"/>
  <c r="H403" i="4"/>
  <c r="J403" i="4" s="1"/>
  <c r="F403" i="4"/>
  <c r="Q402" i="4"/>
  <c r="K402" i="4"/>
  <c r="I402" i="4"/>
  <c r="H402" i="4"/>
  <c r="J402" i="4" s="1"/>
  <c r="F402" i="4"/>
  <c r="Q401" i="4"/>
  <c r="K401" i="4"/>
  <c r="I401" i="4"/>
  <c r="H401" i="4"/>
  <c r="J401" i="4" s="1"/>
  <c r="F401" i="4"/>
  <c r="Q400" i="4"/>
  <c r="K400" i="4"/>
  <c r="I400" i="4"/>
  <c r="H400" i="4"/>
  <c r="J400" i="4" s="1"/>
  <c r="F400" i="4"/>
  <c r="Q399" i="4"/>
  <c r="K399" i="4"/>
  <c r="I399" i="4"/>
  <c r="H399" i="4"/>
  <c r="J399" i="4" s="1"/>
  <c r="F399" i="4"/>
  <c r="Q398" i="4"/>
  <c r="K398" i="4"/>
  <c r="I398" i="4"/>
  <c r="H398" i="4"/>
  <c r="J398" i="4" s="1"/>
  <c r="F398" i="4"/>
  <c r="Q397" i="4"/>
  <c r="K397" i="4"/>
  <c r="I397" i="4"/>
  <c r="H397" i="4"/>
  <c r="J397" i="4" s="1"/>
  <c r="F397" i="4"/>
  <c r="Q396" i="4"/>
  <c r="K396" i="4"/>
  <c r="I396" i="4"/>
  <c r="H396" i="4"/>
  <c r="J396" i="4" s="1"/>
  <c r="F396" i="4"/>
  <c r="Q395" i="4"/>
  <c r="K395" i="4"/>
  <c r="I395" i="4"/>
  <c r="H395" i="4"/>
  <c r="J395" i="4" s="1"/>
  <c r="F395" i="4"/>
  <c r="Q394" i="4"/>
  <c r="K394" i="4"/>
  <c r="I394" i="4"/>
  <c r="H394" i="4"/>
  <c r="J394" i="4" s="1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J391" i="4" s="1"/>
  <c r="F391" i="4"/>
  <c r="Q390" i="4"/>
  <c r="K390" i="4"/>
  <c r="I390" i="4"/>
  <c r="H390" i="4"/>
  <c r="J390" i="4" s="1"/>
  <c r="F390" i="4"/>
  <c r="Q389" i="4"/>
  <c r="K389" i="4"/>
  <c r="I389" i="4"/>
  <c r="H389" i="4"/>
  <c r="J389" i="4" s="1"/>
  <c r="F389" i="4"/>
  <c r="Q388" i="4"/>
  <c r="K388" i="4"/>
  <c r="I388" i="4"/>
  <c r="H388" i="4"/>
  <c r="J388" i="4" s="1"/>
  <c r="F388" i="4"/>
  <c r="Q387" i="4"/>
  <c r="K387" i="4"/>
  <c r="I387" i="4"/>
  <c r="H387" i="4"/>
  <c r="J387" i="4" s="1"/>
  <c r="F387" i="4"/>
  <c r="Q386" i="4"/>
  <c r="K386" i="4"/>
  <c r="I386" i="4"/>
  <c r="H386" i="4"/>
  <c r="J386" i="4" s="1"/>
  <c r="F386" i="4"/>
  <c r="Q385" i="4"/>
  <c r="K385" i="4"/>
  <c r="I385" i="4"/>
  <c r="H385" i="4"/>
  <c r="J385" i="4" s="1"/>
  <c r="F385" i="4"/>
  <c r="Q384" i="4"/>
  <c r="K384" i="4"/>
  <c r="I384" i="4"/>
  <c r="H384" i="4"/>
  <c r="J384" i="4" s="1"/>
  <c r="F384" i="4"/>
  <c r="Q383" i="4"/>
  <c r="K383" i="4"/>
  <c r="I383" i="4"/>
  <c r="H383" i="4"/>
  <c r="J383" i="4" s="1"/>
  <c r="F383" i="4"/>
  <c r="Q382" i="4"/>
  <c r="K382" i="4"/>
  <c r="I382" i="4"/>
  <c r="H382" i="4"/>
  <c r="J382" i="4" s="1"/>
  <c r="F382" i="4"/>
  <c r="Q381" i="4"/>
  <c r="K381" i="4"/>
  <c r="I381" i="4"/>
  <c r="H381" i="4"/>
  <c r="J381" i="4" s="1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J377" i="4" s="1"/>
  <c r="F377" i="4"/>
  <c r="Q376" i="4"/>
  <c r="K376" i="4"/>
  <c r="I376" i="4"/>
  <c r="H376" i="4"/>
  <c r="J376" i="4" s="1"/>
  <c r="F376" i="4"/>
  <c r="Q375" i="4"/>
  <c r="K375" i="4"/>
  <c r="I375" i="4"/>
  <c r="H375" i="4"/>
  <c r="J375" i="4" s="1"/>
  <c r="F375" i="4"/>
  <c r="Q374" i="4"/>
  <c r="K374" i="4"/>
  <c r="I374" i="4"/>
  <c r="H374" i="4"/>
  <c r="J374" i="4" s="1"/>
  <c r="F374" i="4"/>
  <c r="Q373" i="4"/>
  <c r="K373" i="4"/>
  <c r="I373" i="4"/>
  <c r="H373" i="4"/>
  <c r="J373" i="4" s="1"/>
  <c r="F373" i="4"/>
  <c r="Q372" i="4"/>
  <c r="K372" i="4"/>
  <c r="I372" i="4"/>
  <c r="H372" i="4"/>
  <c r="J372" i="4" s="1"/>
  <c r="F372" i="4"/>
  <c r="Q371" i="4"/>
  <c r="K371" i="4"/>
  <c r="I371" i="4"/>
  <c r="H371" i="4"/>
  <c r="J371" i="4" s="1"/>
  <c r="F371" i="4"/>
  <c r="Q370" i="4"/>
  <c r="K370" i="4"/>
  <c r="I370" i="4"/>
  <c r="H370" i="4"/>
  <c r="J370" i="4" s="1"/>
  <c r="F370" i="4"/>
  <c r="Q369" i="4"/>
  <c r="K369" i="4"/>
  <c r="I369" i="4"/>
  <c r="H369" i="4"/>
  <c r="J369" i="4" s="1"/>
  <c r="F369" i="4"/>
  <c r="Q368" i="4"/>
  <c r="K368" i="4"/>
  <c r="I368" i="4"/>
  <c r="H368" i="4"/>
  <c r="J368" i="4" s="1"/>
  <c r="F368" i="4"/>
  <c r="Q367" i="4"/>
  <c r="K367" i="4"/>
  <c r="I367" i="4"/>
  <c r="H367" i="4"/>
  <c r="J367" i="4" s="1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J364" i="4" s="1"/>
  <c r="F364" i="4"/>
  <c r="Q363" i="4"/>
  <c r="K363" i="4"/>
  <c r="I363" i="4"/>
  <c r="H363" i="4"/>
  <c r="J363" i="4" s="1"/>
  <c r="F363" i="4"/>
  <c r="Q362" i="4"/>
  <c r="K362" i="4"/>
  <c r="I362" i="4"/>
  <c r="H362" i="4"/>
  <c r="J362" i="4" s="1"/>
  <c r="F362" i="4"/>
  <c r="Q361" i="4"/>
  <c r="K361" i="4"/>
  <c r="I361" i="4"/>
  <c r="H361" i="4"/>
  <c r="J361" i="4" s="1"/>
  <c r="F361" i="4"/>
  <c r="Q360" i="4"/>
  <c r="K360" i="4"/>
  <c r="I360" i="4"/>
  <c r="H360" i="4"/>
  <c r="J360" i="4" s="1"/>
  <c r="F360" i="4"/>
  <c r="Q359" i="4"/>
  <c r="K359" i="4"/>
  <c r="I359" i="4"/>
  <c r="H359" i="4"/>
  <c r="J359" i="4" s="1"/>
  <c r="F359" i="4"/>
  <c r="Q358" i="4"/>
  <c r="K358" i="4"/>
  <c r="I358" i="4"/>
  <c r="H358" i="4"/>
  <c r="J358" i="4" s="1"/>
  <c r="F358" i="4"/>
  <c r="Q357" i="4"/>
  <c r="K357" i="4"/>
  <c r="I357" i="4"/>
  <c r="H357" i="4"/>
  <c r="J357" i="4" s="1"/>
  <c r="F357" i="4"/>
  <c r="Q356" i="4"/>
  <c r="K356" i="4"/>
  <c r="I356" i="4"/>
  <c r="H356" i="4"/>
  <c r="J356" i="4" s="1"/>
  <c r="F356" i="4"/>
  <c r="Q355" i="4"/>
  <c r="K355" i="4"/>
  <c r="I355" i="4"/>
  <c r="H355" i="4"/>
  <c r="J355" i="4" s="1"/>
  <c r="F355" i="4"/>
  <c r="Q354" i="4"/>
  <c r="K354" i="4"/>
  <c r="I354" i="4"/>
  <c r="H354" i="4"/>
  <c r="J354" i="4" s="1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J350" i="4" s="1"/>
  <c r="F350" i="4"/>
  <c r="Q349" i="4"/>
  <c r="K349" i="4"/>
  <c r="I349" i="4"/>
  <c r="H349" i="4"/>
  <c r="J349" i="4" s="1"/>
  <c r="F349" i="4"/>
  <c r="Q348" i="4"/>
  <c r="K348" i="4"/>
  <c r="I348" i="4"/>
  <c r="H348" i="4"/>
  <c r="J348" i="4" s="1"/>
  <c r="F348" i="4"/>
  <c r="Q347" i="4"/>
  <c r="K347" i="4"/>
  <c r="I347" i="4"/>
  <c r="H347" i="4"/>
  <c r="J347" i="4" s="1"/>
  <c r="F347" i="4"/>
  <c r="Q346" i="4"/>
  <c r="K346" i="4"/>
  <c r="I346" i="4"/>
  <c r="H346" i="4"/>
  <c r="J346" i="4" s="1"/>
  <c r="F346" i="4"/>
  <c r="Q345" i="4"/>
  <c r="K345" i="4"/>
  <c r="I345" i="4"/>
  <c r="H345" i="4"/>
  <c r="J345" i="4" s="1"/>
  <c r="F345" i="4"/>
  <c r="Q344" i="4"/>
  <c r="K344" i="4"/>
  <c r="I344" i="4"/>
  <c r="H344" i="4"/>
  <c r="J344" i="4" s="1"/>
  <c r="F344" i="4"/>
  <c r="Q343" i="4"/>
  <c r="K343" i="4"/>
  <c r="I343" i="4"/>
  <c r="H343" i="4"/>
  <c r="J343" i="4" s="1"/>
  <c r="F343" i="4"/>
  <c r="Q342" i="4"/>
  <c r="K342" i="4"/>
  <c r="I342" i="4"/>
  <c r="H342" i="4"/>
  <c r="J342" i="4" s="1"/>
  <c r="F342" i="4"/>
  <c r="Q341" i="4"/>
  <c r="K341" i="4"/>
  <c r="I341" i="4"/>
  <c r="H341" i="4"/>
  <c r="J341" i="4" s="1"/>
  <c r="F341" i="4"/>
  <c r="Q340" i="4"/>
  <c r="K340" i="4"/>
  <c r="I340" i="4"/>
  <c r="H340" i="4"/>
  <c r="J340" i="4" s="1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J337" i="4" s="1"/>
  <c r="F337" i="4"/>
  <c r="Q336" i="4"/>
  <c r="K336" i="4"/>
  <c r="I336" i="4"/>
  <c r="H336" i="4"/>
  <c r="J336" i="4" s="1"/>
  <c r="F336" i="4"/>
  <c r="Q335" i="4"/>
  <c r="K335" i="4"/>
  <c r="I335" i="4"/>
  <c r="H335" i="4"/>
  <c r="J335" i="4" s="1"/>
  <c r="F335" i="4"/>
  <c r="Q334" i="4"/>
  <c r="K334" i="4"/>
  <c r="I334" i="4"/>
  <c r="H334" i="4"/>
  <c r="J334" i="4" s="1"/>
  <c r="F334" i="4"/>
  <c r="Q333" i="4"/>
  <c r="K333" i="4"/>
  <c r="I333" i="4"/>
  <c r="H333" i="4"/>
  <c r="J333" i="4" s="1"/>
  <c r="F333" i="4"/>
  <c r="Q332" i="4"/>
  <c r="K332" i="4"/>
  <c r="I332" i="4"/>
  <c r="H332" i="4"/>
  <c r="J332" i="4" s="1"/>
  <c r="F332" i="4"/>
  <c r="Q331" i="4"/>
  <c r="K331" i="4"/>
  <c r="I331" i="4"/>
  <c r="H331" i="4"/>
  <c r="J331" i="4" s="1"/>
  <c r="F331" i="4"/>
  <c r="Q330" i="4"/>
  <c r="K330" i="4"/>
  <c r="I330" i="4"/>
  <c r="H330" i="4"/>
  <c r="J330" i="4" s="1"/>
  <c r="F330" i="4"/>
  <c r="Q329" i="4"/>
  <c r="K329" i="4"/>
  <c r="I329" i="4"/>
  <c r="H329" i="4"/>
  <c r="J329" i="4" s="1"/>
  <c r="F329" i="4"/>
  <c r="Q328" i="4"/>
  <c r="K328" i="4"/>
  <c r="I328" i="4"/>
  <c r="H328" i="4"/>
  <c r="J328" i="4" s="1"/>
  <c r="F328" i="4"/>
  <c r="Q327" i="4"/>
  <c r="K327" i="4"/>
  <c r="I327" i="4"/>
  <c r="H327" i="4"/>
  <c r="J327" i="4" s="1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J323" i="4" s="1"/>
  <c r="F323" i="4"/>
  <c r="Q322" i="4"/>
  <c r="K322" i="4"/>
  <c r="I322" i="4"/>
  <c r="H322" i="4"/>
  <c r="J322" i="4" s="1"/>
  <c r="F322" i="4"/>
  <c r="Q321" i="4"/>
  <c r="K321" i="4"/>
  <c r="I321" i="4"/>
  <c r="H321" i="4"/>
  <c r="J321" i="4" s="1"/>
  <c r="F321" i="4"/>
  <c r="Q320" i="4"/>
  <c r="K320" i="4"/>
  <c r="I320" i="4"/>
  <c r="H320" i="4"/>
  <c r="J320" i="4" s="1"/>
  <c r="F320" i="4"/>
  <c r="Q319" i="4"/>
  <c r="K319" i="4"/>
  <c r="I319" i="4"/>
  <c r="H319" i="4"/>
  <c r="J319" i="4" s="1"/>
  <c r="F319" i="4"/>
  <c r="Q318" i="4"/>
  <c r="K318" i="4"/>
  <c r="I318" i="4"/>
  <c r="H318" i="4"/>
  <c r="J318" i="4" s="1"/>
  <c r="F318" i="4"/>
  <c r="Q317" i="4"/>
  <c r="K317" i="4"/>
  <c r="I317" i="4"/>
  <c r="H317" i="4"/>
  <c r="J317" i="4" s="1"/>
  <c r="F317" i="4"/>
  <c r="Q316" i="4"/>
  <c r="K316" i="4"/>
  <c r="I316" i="4"/>
  <c r="H316" i="4"/>
  <c r="J316" i="4" s="1"/>
  <c r="F316" i="4"/>
  <c r="Q315" i="4"/>
  <c r="K315" i="4"/>
  <c r="I315" i="4"/>
  <c r="H315" i="4"/>
  <c r="J315" i="4" s="1"/>
  <c r="F315" i="4"/>
  <c r="Q314" i="4"/>
  <c r="K314" i="4"/>
  <c r="I314" i="4"/>
  <c r="H314" i="4"/>
  <c r="J314" i="4" s="1"/>
  <c r="F314" i="4"/>
  <c r="Q313" i="4"/>
  <c r="K313" i="4"/>
  <c r="I313" i="4"/>
  <c r="H313" i="4"/>
  <c r="J313" i="4" s="1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J310" i="4" s="1"/>
  <c r="F310" i="4"/>
  <c r="Q309" i="4"/>
  <c r="K309" i="4"/>
  <c r="I309" i="4"/>
  <c r="H309" i="4"/>
  <c r="J309" i="4" s="1"/>
  <c r="F309" i="4"/>
  <c r="Q308" i="4"/>
  <c r="K308" i="4"/>
  <c r="I308" i="4"/>
  <c r="H308" i="4"/>
  <c r="J308" i="4" s="1"/>
  <c r="F308" i="4"/>
  <c r="Q307" i="4"/>
  <c r="K307" i="4"/>
  <c r="I307" i="4"/>
  <c r="H307" i="4"/>
  <c r="J307" i="4" s="1"/>
  <c r="F307" i="4"/>
  <c r="Q306" i="4"/>
  <c r="K306" i="4"/>
  <c r="I306" i="4"/>
  <c r="H306" i="4"/>
  <c r="J306" i="4" s="1"/>
  <c r="F306" i="4"/>
  <c r="Q305" i="4"/>
  <c r="K305" i="4"/>
  <c r="I305" i="4"/>
  <c r="H305" i="4"/>
  <c r="J305" i="4" s="1"/>
  <c r="F305" i="4"/>
  <c r="Q304" i="4"/>
  <c r="K304" i="4"/>
  <c r="I304" i="4"/>
  <c r="H304" i="4"/>
  <c r="J304" i="4" s="1"/>
  <c r="F304" i="4"/>
  <c r="Q303" i="4"/>
  <c r="K303" i="4"/>
  <c r="I303" i="4"/>
  <c r="H303" i="4"/>
  <c r="J303" i="4" s="1"/>
  <c r="F303" i="4"/>
  <c r="Q302" i="4"/>
  <c r="K302" i="4"/>
  <c r="I302" i="4"/>
  <c r="H302" i="4"/>
  <c r="J302" i="4" s="1"/>
  <c r="F302" i="4"/>
  <c r="Q301" i="4"/>
  <c r="K301" i="4"/>
  <c r="I301" i="4"/>
  <c r="H301" i="4"/>
  <c r="J301" i="4" s="1"/>
  <c r="F301" i="4"/>
  <c r="Q300" i="4"/>
  <c r="K300" i="4"/>
  <c r="I300" i="4"/>
  <c r="H300" i="4"/>
  <c r="J300" i="4" s="1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09" i="4" l="1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<sst xmlns="http://schemas.openxmlformats.org/spreadsheetml/2006/main" count="8612" uniqueCount="398">
  <si>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</si>
  <si>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</si>
  <si>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</si>
  <si>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</si>
  <si>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</si>
  <si>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</si>
  <si>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</si>
  <si>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</si>
  <si>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</si>
  <si>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</si>
  <si>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</si>
  <si>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</si>
  <si>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</si>
  <si>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</si>
  <si>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</si>
  <si>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</si>
  <si>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</si>
  <si>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</si>
  <si>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</si>
  <si>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</si>
  <si>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</si>
  <si>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</si>
  <si>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</si>
  <si>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</si>
  <si>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</si>
  <si>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</si>
  <si>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</si>
  <si>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</si>
  <si>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</si>
  <si>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</si>
  <si>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</si>
  <si>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</si>
  <si>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</si>
  <si>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</si>
  <si>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</si>
  <si>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</si>
  <si>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</si>
  <si>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</si>
  <si>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</si>
  <si>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</si>
  <si>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</si>
  <si>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</si>
  <si>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</si>
  <si>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</si>
  <si>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</si>
  <si>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</si>
  <si>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</si>
  <si>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</si>
  <si>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</si>
  <si>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</si>
  <si>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</si>
  <si>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</si>
  <si>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</si>
  <si>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</si>
  <si>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</si>
  <si>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</si>
  <si>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</si>
  <si>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</si>
  <si>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</si>
  <si>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</si>
  <si>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</si>
  <si>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</si>
  <si>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</si>
  <si>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</si>
  <si>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</si>
  <si>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</si>
  <si>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</si>
  <si>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</si>
  <si>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</si>
  <si>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</si>
  <si>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</si>
  <si>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</si>
  <si>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</si>
  <si>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</si>
  <si>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</si>
  <si>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</si>
  <si>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</si>
  <si>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</si>
  <si>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</si>
  <si>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</si>
  <si>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</si>
  <si>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</si>
  <si>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</si>
  <si>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</si>
  <si>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</si>
  <si>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</si>
  <si>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</si>
  <si>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</si>
  <si>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</si>
  <si>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</si>
  <si>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</si>
  <si>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</si>
  <si>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</si>
  <si>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</si>
  <si>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</si>
  <si>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</si>
  <si>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</si>
  <si>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</si>
  <si>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</si>
  <si>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</si>
  <si>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</si>
  <si>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</si>
  <si>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</si>
  <si>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</si>
  <si>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</si>
  <si>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</si>
  <si>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</si>
  <si>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</si>
  <si>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</si>
  <si>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</si>
  <si>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</si>
  <si>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</si>
  <si>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</si>
  <si>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</si>
  <si>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</si>
  <si>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</si>
  <si>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</si>
  <si>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</si>
  <si>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</si>
  <si>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</si>
  <si>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</si>
  <si>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</si>
  <si>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</si>
  <si>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</si>
  <si>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</si>
  <si>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</si>
  <si>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</si>
  <si>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</si>
  <si>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</si>
  <si>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</si>
  <si>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</si>
  <si>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</si>
  <si>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</si>
  <si>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</si>
  <si>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</si>
  <si>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</si>
  <si>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</si>
  <si>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</si>
  <si>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</si>
  <si>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</si>
  <si>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</si>
  <si>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</si>
  <si>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</si>
  <si>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</si>
  <si>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</si>
  <si>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</si>
  <si>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</si>
  <si>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</si>
  <si>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</si>
  <si>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</si>
  <si>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</si>
  <si>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</si>
  <si>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</si>
  <si>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</si>
  <si>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</si>
  <si>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</si>
  <si>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</si>
  <si>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</si>
  <si>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</si>
  <si>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</si>
  <si>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</si>
  <si>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</si>
  <si>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</si>
  <si>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</si>
  <si>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</si>
  <si>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</si>
  <si>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</si>
  <si>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</si>
  <si>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</si>
  <si>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</si>
  <si>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</si>
  <si>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</si>
  <si>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</si>
  <si>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</si>
  <si>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</si>
  <si>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</si>
  <si>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</si>
  <si>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</si>
  <si>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</si>
  <si>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</si>
  <si>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</si>
  <si>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</si>
  <si>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</si>
  <si>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</si>
  <si>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</si>
  <si>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</si>
  <si>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</si>
  <si>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</si>
  <si>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</si>
  <si>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</si>
  <si>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</si>
  <si>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</si>
  <si>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</si>
  <si>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</si>
  <si>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</si>
  <si>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</si>
  <si>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</si>
  <si>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</si>
  <si>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</si>
  <si>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</si>
  <si>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</si>
  <si>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</si>
  <si>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</si>
  <si>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</si>
  <si>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</si>
  <si>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</si>
  <si>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</si>
  <si>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</si>
  <si>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</si>
  <si>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</si>
  <si>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</si>
  <si>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</si>
  <si>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</si>
  <si>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</si>
  <si>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</si>
  <si>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</si>
  <si>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</si>
  <si>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</si>
  <si>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</si>
  <si>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</si>
  <si>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</si>
  <si>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</si>
  <si>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</si>
  <si>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</si>
  <si>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</si>
  <si>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</si>
  <si>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</si>
  <si>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</si>
  <si>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</si>
  <si>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</si>
  <si>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</si>
  <si>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</si>
  <si>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</si>
  <si>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</si>
  <si>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</si>
  <si>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</si>
  <si>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</si>
  <si>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</si>
  <si>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</si>
  <si>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</si>
  <si>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</si>
  <si>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</si>
  <si>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</si>
  <si>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</si>
  <si>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</si>
  <si>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</si>
  <si>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</si>
  <si>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</si>
  <si>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</si>
  <si>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</si>
  <si>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</si>
  <si>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</si>
  <si>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</si>
  <si>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</si>
  <si>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</si>
  <si>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</si>
  <si>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</si>
  <si>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</si>
  <si>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</si>
  <si>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</si>
  <si>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</si>
  <si>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</si>
  <si>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</si>
  <si>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</si>
  <si>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</si>
  <si>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</si>
  <si>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</si>
  <si>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</si>
  <si>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</si>
  <si>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</si>
  <si>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</si>
  <si>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</si>
  <si>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</si>
  <si>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</si>
  <si>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</si>
  <si>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</si>
  <si>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</si>
  <si>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</si>
  <si>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</si>
  <si>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</si>
  <si>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</si>
  <si>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</si>
  <si>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</si>
  <si>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</si>
  <si>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</si>
  <si>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</si>
  <si>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</si>
  <si>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</si>
  <si>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</si>
  <si>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</si>
  <si>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</si>
  <si>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</si>
  <si>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</si>
  <si>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</si>
  <si>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</si>
  <si>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</si>
  <si>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</si>
  <si>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</si>
  <si>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</si>
  <si>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</si>
  <si>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</si>
  <si>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</si>
  <si>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</si>
  <si>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</si>
  <si>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</si>
  <si>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</si>
  <si>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</si>
  <si>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</si>
  <si>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</si>
  <si>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</si>
  <si>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</si>
  <si>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</si>
  <si>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</si>
  <si>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</si>
  <si>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</si>
  <si>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</si>
  <si>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</si>
  <si>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</si>
  <si>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</si>
  <si>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</si>
  <si>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</si>
  <si>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</si>
  <si>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</si>
  <si>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</si>
  <si>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</si>
  <si>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</si>
  <si>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</si>
  <si>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</si>
  <si>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</si>
  <si>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</si>
  <si>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</si>
  <si>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</si>
  <si>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</si>
  <si>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</si>
  <si>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</si>
  <si>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</si>
  <si>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</si>
  <si>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</si>
  <si>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</si>
  <si>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</si>
  <si>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</si>
  <si>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</si>
  <si>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</si>
  <si>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</si>
  <si>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</si>
  <si>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</si>
  <si>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</si>
  <si>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</si>
  <si>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</si>
  <si>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</si>
  <si>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</si>
  <si>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</si>
  <si>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</si>
  <si>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</si>
  <si>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</si>
  <si>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</si>
  <si>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</si>
  <si>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</si>
  <si>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</si>
  <si>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</si>
  <si>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</si>
  <si>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</si>
  <si>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</si>
  <si>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</si>
  <si>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</si>
  <si>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</si>
  <si>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</si>
  <si>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</si>
  <si>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</si>
  <si>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</si>
  <si>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</si>
  <si>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</si>
  <si>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</si>
  <si>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</si>
  <si>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</si>
  <si>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</si>
  <si>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</si>
  <si>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</si>
  <si>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</si>
  <si>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</si>
  <si>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</si>
  <si>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</si>
  <si>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</si>
  <si>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</si>
  <si>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</si>
  <si>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</si>
  <si>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</si>
  <si>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</si>
  <si>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</si>
  <si>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</si>
  <si>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</si>
  <si>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</si>
  <si>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</si>
  <si>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</si>
  <si>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</si>
  <si>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</si>
  <si>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</si>
  <si>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>pc17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</si>
</sst>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6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22" sqref="G22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57" t="s">
        <v>0</v>
      </c>
      <c r="B1" s="157"/>
      <c r="C1" s="157"/>
      <c r="D1" s="157"/>
      <c r="E1" s="157"/>
      <c r="F1" s="157"/>
      <c r="G1" s="157"/>
      <c r="H1" s="157"/>
      <c r="I1" s="157"/>
      <c r="J1" s="157"/>
      <c r="K1" s="157"/>
      <c r="L1" s="157"/>
    </row>
    <row r="2" spans="1:12" ht="30" customHeight="1">
      <c r="A2" s="158"/>
      <c r="B2" s="158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1474930</v>
      </c>
      <c r="D22" s="19">
        <f>IFERROR('Linha 1'!S514,"")</f>
        <v>598340</v>
      </c>
      <c r="E22" s="19">
        <f>IFERROR('Linha 2'!S514,"")</f>
        <v>372250</v>
      </c>
      <c r="F22" s="19">
        <f>IFERROR('Linha 3'!S514,"")</f>
        <v>864280</v>
      </c>
      <c r="G22" s="20">
        <f t="shared" si="0"/>
        <v>1834870</v>
      </c>
      <c r="H22" s="21">
        <f>IFERROR('Linha 1'!T514+'Linha 2'!T514+'Linha 3'!T514,0)</f>
        <v>264.22127999999998</v>
      </c>
      <c r="I22" s="21"/>
      <c r="J22" s="22">
        <f t="shared" si="1"/>
        <v>0</v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46254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21"/>
      <c r="J23" s="22" t="str">
        <f t="shared" si="1"/>
        <v>-</v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46255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21"/>
      <c r="J24" s="22" t="str">
        <f t="shared" si="1"/>
        <v>-</v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46256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21"/>
      <c r="J25" s="22" t="str">
        <f t="shared" si="1"/>
        <v>-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59" t="s">
        <v>16</v>
      </c>
      <c r="B35" s="159"/>
      <c r="C35" s="30">
        <f t="shared" ref="C35:I35" si="2">IFERROR(SUM(C4:C34),"")</f>
        <v>69393780</v>
      </c>
      <c r="D35" s="30">
        <f t="shared" si="2"/>
        <v>22765740</v>
      </c>
      <c r="E35" s="30">
        <f t="shared" si="2"/>
        <v>11910920</v>
      </c>
      <c r="F35" s="30">
        <f t="shared" si="2"/>
        <v>28979710</v>
      </c>
      <c r="G35" s="30">
        <f t="shared" si="2"/>
        <v>63656370</v>
      </c>
      <c r="H35" s="31">
        <f t="shared" si="2"/>
        <v>5209.7154450601884</v>
      </c>
      <c r="I35" s="31">
        <f t="shared" si="2"/>
        <v>4625.8500000000004</v>
      </c>
      <c r="J35" s="32">
        <f>IFERROR(AVERAGE(J4:J34),"-")</f>
        <v>0.73181916023220261</v>
      </c>
      <c r="K35" s="33">
        <f>SUM(K4:K34)</f>
        <v>450.78</v>
      </c>
      <c r="L35" s="34">
        <f>IFERROR(SUM(L4:L34),"")</f>
        <v>3105</v>
      </c>
    </row>
    <row r="36" spans="1:12" ht="15" customHeight="1">
      <c r="J36" s="35"/>
    </row>
  </sheetData>
  <sheetProtection algorithmName="SHA-512" hashValue="ZeVoZLf9YdLQcstwgkTpX5yADz3h0Bi1ngDuyojdxRbcVd4D/8BfTElgCktZSksQtaPxefT7ooYA6VgD+mXEMw==" saltValue="BdJaSeB6NfmNK2PVwR0sv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9" zoomScale="85" zoomScaleNormal="85" workbookViewId="0">
      <selection activeCell="P46" sqref="P46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0" t="s">
        <v>17</v>
      </c>
      <c r="B1" s="160"/>
      <c r="C1" s="160"/>
      <c r="D1" s="160"/>
      <c r="E1" s="160"/>
      <c r="F1" s="160"/>
      <c r="G1" s="160"/>
      <c r="H1" s="160"/>
      <c r="I1" s="160"/>
      <c r="J1" s="160"/>
      <c r="K1" s="160"/>
      <c r="L1" s="160"/>
      <c r="M1" s="161"/>
      <c r="N1" s="162" t="s">
        <v>18</v>
      </c>
      <c r="O1" s="162"/>
      <c r="P1" s="162"/>
      <c r="Q1" s="162"/>
      <c r="R1" s="162"/>
    </row>
    <row r="2" spans="1:18" ht="4.5" customHeight="1">
      <c r="M2" s="161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1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1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1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1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1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1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1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1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1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1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1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1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1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1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1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1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1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1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1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61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61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61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61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61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61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61"/>
      <c r="N28" s="37"/>
      <c r="O28" s="37"/>
      <c r="P28" s="37" t="s">
        <v>144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61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61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61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61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61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61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61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61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61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61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61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61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61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61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61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61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61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61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61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61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61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1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61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61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61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61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61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61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61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61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61"/>
      <c r="N59" s="40"/>
      <c r="O59" s="40"/>
      <c r="P59" s="40" t="s">
        <v>222</v>
      </c>
      <c r="Q59" s="40"/>
      <c r="R59" s="40"/>
    </row>
    <row r="60" spans="1:18" ht="15" customHeight="1">
      <c r="M60" s="161"/>
      <c r="N60" s="37"/>
      <c r="O60" s="37"/>
      <c r="P60" s="53" t="s">
        <v>114</v>
      </c>
      <c r="Q60" s="37"/>
      <c r="R60" s="37"/>
    </row>
    <row r="61" spans="1:18" ht="15" customHeight="1">
      <c r="M61" s="161"/>
      <c r="N61" s="40"/>
      <c r="O61" s="40"/>
      <c r="P61" s="40" t="s">
        <v>223</v>
      </c>
      <c r="Q61" s="40"/>
      <c r="R61" s="40"/>
    </row>
    <row r="62" spans="1:18" ht="15" customHeight="1">
      <c r="M62" s="161"/>
      <c r="N62" s="37"/>
      <c r="O62" s="37"/>
      <c r="P62" s="37" t="s">
        <v>224</v>
      </c>
      <c r="Q62" s="37"/>
      <c r="R62" s="37"/>
    </row>
    <row r="63" spans="1:18" ht="15" customHeight="1">
      <c r="M63" s="161"/>
      <c r="N63" s="40"/>
      <c r="O63" s="40"/>
      <c r="P63" s="40" t="s">
        <v>225</v>
      </c>
      <c r="Q63" s="40"/>
      <c r="R63" s="40"/>
    </row>
    <row r="64" spans="1:18" ht="15" customHeight="1">
      <c r="M64" s="161"/>
      <c r="N64" s="37"/>
      <c r="O64" s="37"/>
      <c r="P64" s="37" t="s">
        <v>226</v>
      </c>
      <c r="Q64" s="37"/>
      <c r="R64" s="37"/>
    </row>
    <row r="65" spans="13:18" ht="15" customHeight="1">
      <c r="M65" s="161"/>
      <c r="N65" s="40"/>
      <c r="O65" s="40"/>
      <c r="P65" s="40" t="s">
        <v>227</v>
      </c>
      <c r="Q65" s="40"/>
      <c r="R65" s="40"/>
    </row>
    <row r="66" spans="13:18" ht="15" customHeight="1">
      <c r="M66" s="161"/>
      <c r="N66" s="37"/>
      <c r="O66" s="37"/>
      <c r="P66" s="37" t="s">
        <v>228</v>
      </c>
      <c r="Q66" s="37"/>
      <c r="R66" s="37"/>
    </row>
    <row r="67" spans="13:18" ht="15" customHeight="1">
      <c r="M67" s="161"/>
      <c r="N67" s="40"/>
      <c r="O67" s="40"/>
      <c r="P67" s="40" t="s">
        <v>229</v>
      </c>
      <c r="Q67" s="40"/>
      <c r="R67" s="40"/>
    </row>
    <row r="68" spans="13:18" ht="15" customHeight="1">
      <c r="M68" s="161"/>
      <c r="N68" s="37"/>
      <c r="O68" s="37"/>
      <c r="P68" s="37" t="s">
        <v>230</v>
      </c>
      <c r="Q68" s="37"/>
      <c r="R68" s="37"/>
    </row>
    <row r="69" spans="13:18" ht="15" customHeight="1">
      <c r="M69" s="161"/>
      <c r="N69" s="40"/>
      <c r="O69" s="40"/>
      <c r="P69" s="40" t="s">
        <v>231</v>
      </c>
      <c r="Q69" s="40"/>
      <c r="R69" s="40"/>
    </row>
    <row r="70" spans="13:18" ht="15" customHeight="1">
      <c r="M70" s="161"/>
      <c r="N70" s="37"/>
      <c r="O70" s="37"/>
      <c r="P70" s="37" t="s">
        <v>232</v>
      </c>
      <c r="Q70" s="37"/>
      <c r="R70" s="37"/>
    </row>
    <row r="71" spans="13:18" ht="15" customHeight="1">
      <c r="M71" s="161"/>
      <c r="N71" s="40"/>
      <c r="O71" s="40"/>
      <c r="P71" s="40" t="s">
        <v>233</v>
      </c>
      <c r="Q71" s="40"/>
      <c r="R71" s="40"/>
    </row>
    <row r="72" spans="13:18" ht="15" customHeight="1">
      <c r="M72" s="161"/>
      <c r="N72" s="37"/>
      <c r="O72" s="37"/>
      <c r="P72" s="37" t="s">
        <v>234</v>
      </c>
      <c r="Q72" s="37"/>
      <c r="R72" s="37"/>
    </row>
    <row r="73" spans="13:18" ht="15" customHeight="1">
      <c r="M73" s="161"/>
      <c r="N73" s="40"/>
      <c r="O73" s="40"/>
      <c r="P73" s="40" t="s">
        <v>235</v>
      </c>
      <c r="Q73" s="40"/>
      <c r="R73" s="40"/>
    </row>
    <row r="74" spans="13:18" ht="15" customHeight="1">
      <c r="M74" s="161"/>
      <c r="N74" s="37"/>
      <c r="O74" s="37"/>
      <c r="P74" s="37" t="s">
        <v>236</v>
      </c>
      <c r="Q74" s="37"/>
      <c r="R74" s="37"/>
    </row>
    <row r="75" spans="13:18" ht="15" customHeight="1">
      <c r="M75" s="161"/>
      <c r="N75" s="40"/>
      <c r="O75" s="40"/>
      <c r="P75" s="40" t="s">
        <v>237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238</v>
      </c>
      <c r="C1" s="138" t="s">
        <v>239</v>
      </c>
      <c r="D1" s="138" t="s">
        <v>19</v>
      </c>
      <c r="E1" s="138" t="s">
        <v>240</v>
      </c>
      <c r="F1" s="138" t="s">
        <v>241</v>
      </c>
      <c r="G1" s="138" t="s">
        <v>242</v>
      </c>
      <c r="H1" s="138" t="s">
        <v>243</v>
      </c>
      <c r="I1" s="138" t="s">
        <v>244</v>
      </c>
      <c r="J1" s="138" t="s">
        <v>245</v>
      </c>
      <c r="K1" s="138" t="s">
        <v>246</v>
      </c>
    </row>
    <row r="2" spans="1:11" ht="15.75" customHeight="1">
      <c r="A2" s="139">
        <v>46235</v>
      </c>
      <c r="B2" s="140" t="s">
        <v>247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248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3" t="s">
        <v>249</v>
      </c>
      <c r="B4" s="163"/>
      <c r="C4" s="163"/>
      <c r="D4" s="163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247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248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3" t="s">
        <v>249</v>
      </c>
      <c r="B7" s="163"/>
      <c r="C7" s="163"/>
      <c r="D7" s="163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247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248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3" t="s">
        <v>249</v>
      </c>
      <c r="B10" s="163"/>
      <c r="C10" s="163"/>
      <c r="D10" s="163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247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248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3" t="s">
        <v>249</v>
      </c>
      <c r="B13" s="163"/>
      <c r="C13" s="163"/>
      <c r="D13" s="163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247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248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3" t="s">
        <v>249</v>
      </c>
      <c r="B16" s="163"/>
      <c r="C16" s="163"/>
      <c r="D16" s="163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247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248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3" t="s">
        <v>249</v>
      </c>
      <c r="B19" s="163"/>
      <c r="C19" s="163"/>
      <c r="D19" s="163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247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248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3" t="s">
        <v>249</v>
      </c>
      <c r="B22" s="163"/>
      <c r="C22" s="163"/>
      <c r="D22" s="163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247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248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3" t="s">
        <v>249</v>
      </c>
      <c r="B25" s="163"/>
      <c r="C25" s="163"/>
      <c r="D25" s="163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247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248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3" t="s">
        <v>249</v>
      </c>
      <c r="B28" s="163"/>
      <c r="C28" s="163"/>
      <c r="D28" s="163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247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248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3" t="s">
        <v>249</v>
      </c>
      <c r="B31" s="163"/>
      <c r="C31" s="163"/>
      <c r="D31" s="163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247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248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3" t="s">
        <v>249</v>
      </c>
      <c r="B34" s="163"/>
      <c r="C34" s="163"/>
      <c r="D34" s="163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247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248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3" t="s">
        <v>249</v>
      </c>
      <c r="B37" s="163"/>
      <c r="C37" s="163"/>
      <c r="D37" s="163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247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248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3" t="s">
        <v>249</v>
      </c>
      <c r="B40" s="163"/>
      <c r="C40" s="163"/>
      <c r="D40" s="163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247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248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3" t="s">
        <v>249</v>
      </c>
      <c r="B43" s="163"/>
      <c r="C43" s="163"/>
      <c r="D43" s="163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247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248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3" t="s">
        <v>249</v>
      </c>
      <c r="B46" s="163"/>
      <c r="C46" s="163"/>
      <c r="D46" s="163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247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248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3" t="s">
        <v>249</v>
      </c>
      <c r="B49" s="163"/>
      <c r="C49" s="163"/>
      <c r="D49" s="163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247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248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3" t="s">
        <v>249</v>
      </c>
      <c r="B52" s="163"/>
      <c r="C52" s="163"/>
      <c r="D52" s="163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247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248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3" t="s">
        <v>249</v>
      </c>
      <c r="B55" s="163"/>
      <c r="C55" s="163"/>
      <c r="D55" s="163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247</v>
      </c>
      <c r="C56" s="141">
        <v>0.79166666666666696</v>
      </c>
      <c r="D56" s="140"/>
      <c r="E56" s="140"/>
      <c r="F56" s="142" t="str">
        <f>IF(E56="","",E56*1.5*1.8)</f>
        <v/>
      </c>
      <c r="G56" s="140"/>
      <c r="H56" s="140"/>
      <c r="I56" s="143" t="str">
        <f>IFERROR(IF(G56="","",F56/G56),"")</f>
        <v/>
      </c>
      <c r="J56" s="140"/>
      <c r="K56" s="140"/>
    </row>
    <row r="57" spans="1:11" ht="15.75" customHeight="1">
      <c r="A57" s="144">
        <v>46253</v>
      </c>
      <c r="B57" s="145" t="s">
        <v>248</v>
      </c>
      <c r="C57" s="146">
        <v>0.29166666666666702</v>
      </c>
      <c r="D57" s="145"/>
      <c r="E57" s="145"/>
      <c r="F57" s="147" t="str">
        <f>IF(E57="","",E57*1.5*1.8)</f>
        <v/>
      </c>
      <c r="G57" s="145"/>
      <c r="H57" s="145"/>
      <c r="I57" s="148" t="str">
        <f>IFERROR(IF(G57="","",F57/G57),"")</f>
        <v/>
      </c>
      <c r="J57" s="145"/>
      <c r="K57" s="145"/>
    </row>
    <row r="58" spans="1:11" ht="18" customHeight="1">
      <c r="A58" s="163" t="s">
        <v>249</v>
      </c>
      <c r="B58" s="163"/>
      <c r="C58" s="163"/>
      <c r="D58" s="163"/>
      <c r="E58" s="149">
        <f>SUM(E56:E57)</f>
        <v>0</v>
      </c>
      <c r="F58" s="150">
        <f>IFERROR(SUM(F56:F57),"")</f>
        <v>0</v>
      </c>
      <c r="G58" s="150">
        <f>SUM(G56:G57)</f>
        <v>0</v>
      </c>
      <c r="H58" s="150">
        <f>SUM(H56:H57)</f>
        <v>0</v>
      </c>
      <c r="I58" s="151" t="str">
        <f>IFERROR(IF(G58=0,"",F58/G58),"")</f>
        <v/>
      </c>
      <c r="J58" s="152"/>
      <c r="K58" s="152"/>
    </row>
    <row r="59" spans="1:11" ht="15.75" customHeight="1">
      <c r="A59" s="139">
        <v>46254</v>
      </c>
      <c r="B59" s="140" t="s">
        <v>247</v>
      </c>
      <c r="C59" s="141">
        <v>0.79166666666666696</v>
      </c>
      <c r="D59" s="140"/>
      <c r="E59" s="140"/>
      <c r="F59" s="142" t="str">
        <f>IF(E59="","",E59*1.5*1.8)</f>
        <v/>
      </c>
      <c r="G59" s="140"/>
      <c r="H59" s="140"/>
      <c r="I59" s="143" t="str">
        <f>IFERROR(IF(G59="","",F59/G59),"")</f>
        <v/>
      </c>
      <c r="J59" s="140"/>
      <c r="K59" s="140"/>
    </row>
    <row r="60" spans="1:11" ht="15.75" customHeight="1">
      <c r="A60" s="144">
        <v>46254</v>
      </c>
      <c r="B60" s="145" t="s">
        <v>248</v>
      </c>
      <c r="C60" s="146">
        <v>0.29166666666666702</v>
      </c>
      <c r="D60" s="145"/>
      <c r="E60" s="145"/>
      <c r="F60" s="147" t="str">
        <f>IF(E60="","",E60*1.5*1.8)</f>
        <v/>
      </c>
      <c r="G60" s="145"/>
      <c r="H60" s="145"/>
      <c r="I60" s="148" t="str">
        <f>IFERROR(IF(G60="","",F60/G60),"")</f>
        <v/>
      </c>
      <c r="J60" s="145"/>
      <c r="K60" s="145"/>
    </row>
    <row r="61" spans="1:11" ht="18" customHeight="1">
      <c r="A61" s="163" t="s">
        <v>249</v>
      </c>
      <c r="B61" s="163"/>
      <c r="C61" s="163"/>
      <c r="D61" s="163"/>
      <c r="E61" s="149">
        <f>SUM(E59:E60)</f>
        <v>0</v>
      </c>
      <c r="F61" s="150">
        <f>IFERROR(SUM(F59:F60),"")</f>
        <v>0</v>
      </c>
      <c r="G61" s="150">
        <f>SUM(G59:G60)</f>
        <v>0</v>
      </c>
      <c r="H61" s="150">
        <f>SUM(H59:H60)</f>
        <v>0</v>
      </c>
      <c r="I61" s="151" t="str">
        <f>IFERROR(IF(G61=0,"",F61/G61),"")</f>
        <v/>
      </c>
      <c r="J61" s="152"/>
      <c r="K61" s="152"/>
    </row>
    <row r="62" spans="1:11" ht="15.75" customHeight="1">
      <c r="A62" s="139">
        <v>46255</v>
      </c>
      <c r="B62" s="140" t="s">
        <v>247</v>
      </c>
      <c r="C62" s="141">
        <v>0.79166666666666696</v>
      </c>
      <c r="D62" s="140"/>
      <c r="E62" s="140"/>
      <c r="F62" s="142" t="str">
        <f>IF(E62="","",E62*1.5*1.8)</f>
        <v/>
      </c>
      <c r="G62" s="140"/>
      <c r="H62" s="140"/>
      <c r="I62" s="143" t="str">
        <f>IFERROR(IF(G62="","",F62/G62),"")</f>
        <v/>
      </c>
      <c r="J62" s="140"/>
      <c r="K62" s="140"/>
    </row>
    <row r="63" spans="1:11" ht="15.75" customHeight="1">
      <c r="A63" s="144">
        <v>46255</v>
      </c>
      <c r="B63" s="145" t="s">
        <v>248</v>
      </c>
      <c r="C63" s="146">
        <v>0.29166666666666702</v>
      </c>
      <c r="D63" s="145"/>
      <c r="E63" s="145"/>
      <c r="F63" s="147" t="str">
        <f>IF(E63="","",E63*1.5*1.8)</f>
        <v/>
      </c>
      <c r="G63" s="145"/>
      <c r="H63" s="145"/>
      <c r="I63" s="148" t="str">
        <f>IFERROR(IF(G63="","",F63/G63),"")</f>
        <v/>
      </c>
      <c r="J63" s="145"/>
      <c r="K63" s="145"/>
    </row>
    <row r="64" spans="1:11" ht="18" customHeight="1">
      <c r="A64" s="163" t="s">
        <v>249</v>
      </c>
      <c r="B64" s="163"/>
      <c r="C64" s="163"/>
      <c r="D64" s="163"/>
      <c r="E64" s="149">
        <f>SUM(E62:E63)</f>
        <v>0</v>
      </c>
      <c r="F64" s="150">
        <f>IFERROR(SUM(F62:F63),"")</f>
        <v>0</v>
      </c>
      <c r="G64" s="150">
        <f>SUM(G62:G63)</f>
        <v>0</v>
      </c>
      <c r="H64" s="150">
        <f>SUM(H62:H63)</f>
        <v>0</v>
      </c>
      <c r="I64" s="151" t="str">
        <f>IFERROR(IF(G64=0,"",F64/G64),"")</f>
        <v/>
      </c>
      <c r="J64" s="152"/>
      <c r="K64" s="152"/>
    </row>
    <row r="65" spans="1:11" ht="15.75" customHeight="1">
      <c r="A65" s="139">
        <v>46256</v>
      </c>
      <c r="B65" s="140" t="s">
        <v>247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248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3" t="s">
        <v>249</v>
      </c>
      <c r="B67" s="163"/>
      <c r="C67" s="163"/>
      <c r="D67" s="163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247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248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3" t="s">
        <v>249</v>
      </c>
      <c r="B70" s="163"/>
      <c r="C70" s="163"/>
      <c r="D70" s="163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247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248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3" t="s">
        <v>249</v>
      </c>
      <c r="B73" s="163"/>
      <c r="C73" s="163"/>
      <c r="D73" s="163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247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248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3" t="s">
        <v>249</v>
      </c>
      <c r="B76" s="163"/>
      <c r="C76" s="163"/>
      <c r="D76" s="163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247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248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3" t="s">
        <v>249</v>
      </c>
      <c r="B79" s="163"/>
      <c r="C79" s="163"/>
      <c r="D79" s="163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247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248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3" t="s">
        <v>249</v>
      </c>
      <c r="B82" s="163"/>
      <c r="C82" s="163"/>
      <c r="D82" s="163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247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248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3" t="s">
        <v>249</v>
      </c>
      <c r="B85" s="163"/>
      <c r="C85" s="163"/>
      <c r="D85" s="163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247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248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3" t="s">
        <v>249</v>
      </c>
      <c r="B88" s="163"/>
      <c r="C88" s="163"/>
      <c r="D88" s="163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247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248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3" t="s">
        <v>249</v>
      </c>
      <c r="B91" s="163"/>
      <c r="C91" s="163"/>
      <c r="D91" s="163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247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248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3" t="s">
        <v>249</v>
      </c>
      <c r="B94" s="163"/>
      <c r="C94" s="163"/>
      <c r="D94" s="163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tabSelected="1" zoomScale="80" zoomScaleNormal="80" workbookViewId="0">
      <pane ySplit="1" topLeftCell="A480" activePane="bottomLeft" state="frozen"/>
      <selection pane="bottomLeft" activeCell="D510" sqref="D510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57" t="s">
        <v>252</v>
      </c>
      <c r="G1" s="57" t="s">
        <v>253</v>
      </c>
      <c r="H1" s="57" t="s">
        <v>23</v>
      </c>
      <c r="I1" s="57" t="s">
        <v>24</v>
      </c>
      <c r="J1" s="57" t="s">
        <v>254</v>
      </c>
      <c r="K1" s="57" t="s">
        <v>255</v>
      </c>
      <c r="L1" s="57" t="s">
        <v>256</v>
      </c>
      <c r="M1" s="58" t="s">
        <v>257</v>
      </c>
      <c r="N1" s="57" t="s">
        <v>246</v>
      </c>
      <c r="O1" s="57" t="s">
        <v>258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259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259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259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259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259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259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259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259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259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259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259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259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55" t="s">
        <v>260</v>
      </c>
      <c r="B14" s="155"/>
      <c r="C14" s="155"/>
      <c r="D14" s="155"/>
      <c r="E14" s="155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261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259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259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259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262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259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259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259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259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259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259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259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259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259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55" t="s">
        <v>263</v>
      </c>
      <c r="B27" s="155"/>
      <c r="C27" s="155"/>
      <c r="D27" s="155"/>
      <c r="E27" s="155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261</v>
      </c>
      <c r="O27" s="74">
        <v>997910</v>
      </c>
    </row>
    <row r="28" spans="1:15" ht="18" customHeight="1">
      <c r="A28" s="156" t="s">
        <v>249</v>
      </c>
      <c r="B28" s="156"/>
      <c r="C28" s="156"/>
      <c r="D28" s="156"/>
      <c r="E28" s="156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264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259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259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265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259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262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259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259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259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259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259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259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259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259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259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55" t="s">
        <v>260</v>
      </c>
      <c r="B41" s="155"/>
      <c r="C41" s="155"/>
      <c r="D41" s="155"/>
      <c r="E41" s="155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261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259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266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259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259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259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259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259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259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259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259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259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259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55" t="s">
        <v>263</v>
      </c>
      <c r="B54" s="155"/>
      <c r="C54" s="155"/>
      <c r="D54" s="155"/>
      <c r="E54" s="155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261</v>
      </c>
      <c r="O54" s="74">
        <v>981310</v>
      </c>
    </row>
    <row r="55" spans="1:15" ht="18" customHeight="1">
      <c r="A55" s="156" t="s">
        <v>249</v>
      </c>
      <c r="B55" s="156"/>
      <c r="C55" s="156"/>
      <c r="D55" s="156"/>
      <c r="E55" s="156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264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259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259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259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259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259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259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259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259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259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259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259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259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55" t="s">
        <v>260</v>
      </c>
      <c r="B68" s="155"/>
      <c r="C68" s="155"/>
      <c r="D68" s="155"/>
      <c r="E68" s="155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261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259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259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267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259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259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259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259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259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259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259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259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259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259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55" t="s">
        <v>263</v>
      </c>
      <c r="B81" s="155"/>
      <c r="C81" s="155"/>
      <c r="D81" s="155"/>
      <c r="E81" s="155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261</v>
      </c>
      <c r="O81" s="74">
        <v>1547910</v>
      </c>
    </row>
    <row r="82" spans="1:15" ht="18" customHeight="1">
      <c r="A82" s="156" t="s">
        <v>249</v>
      </c>
      <c r="B82" s="156"/>
      <c r="C82" s="156"/>
      <c r="D82" s="156"/>
      <c r="E82" s="156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264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259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259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259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268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259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259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259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259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259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259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259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259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259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55" t="s">
        <v>260</v>
      </c>
      <c r="B95" s="155"/>
      <c r="C95" s="155"/>
      <c r="D95" s="155"/>
      <c r="E95" s="155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261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259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259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259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259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259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259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269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259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259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259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259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259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259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55" t="s">
        <v>263</v>
      </c>
      <c r="B108" s="155"/>
      <c r="C108" s="155"/>
      <c r="D108" s="155"/>
      <c r="E108" s="155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261</v>
      </c>
      <c r="O108" s="74">
        <v>3156240</v>
      </c>
    </row>
    <row r="109" spans="1:15" ht="18" customHeight="1">
      <c r="A109" s="156" t="s">
        <v>249</v>
      </c>
      <c r="B109" s="156"/>
      <c r="C109" s="156"/>
      <c r="D109" s="156"/>
      <c r="E109" s="156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264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259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259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259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259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259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259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259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259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259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259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259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259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55" t="s">
        <v>260</v>
      </c>
      <c r="B122" s="155"/>
      <c r="C122" s="155"/>
      <c r="D122" s="155"/>
      <c r="E122" s="155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261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259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259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259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259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259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259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259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259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259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259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259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259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55" t="s">
        <v>263</v>
      </c>
      <c r="B135" s="155"/>
      <c r="C135" s="155"/>
      <c r="D135" s="155"/>
      <c r="E135" s="155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261</v>
      </c>
      <c r="O135" s="74">
        <v>2875180</v>
      </c>
    </row>
    <row r="136" spans="1:15" ht="18" customHeight="1">
      <c r="A136" s="156" t="s">
        <v>249</v>
      </c>
      <c r="B136" s="156"/>
      <c r="C136" s="156"/>
      <c r="D136" s="156"/>
      <c r="E136" s="156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264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259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270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259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259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259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259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259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259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259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259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259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259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259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55" t="s">
        <v>260</v>
      </c>
      <c r="B149" s="155"/>
      <c r="C149" s="155"/>
      <c r="D149" s="155"/>
      <c r="E149" s="155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261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259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259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271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259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259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259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259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259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259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259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259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259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259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55" t="s">
        <v>263</v>
      </c>
      <c r="B162" s="155"/>
      <c r="C162" s="155"/>
      <c r="D162" s="155"/>
      <c r="E162" s="155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261</v>
      </c>
      <c r="O162" s="79">
        <v>842000</v>
      </c>
    </row>
    <row r="163" spans="1:15" ht="18" customHeight="1">
      <c r="A163" s="156" t="s">
        <v>249</v>
      </c>
      <c r="B163" s="156"/>
      <c r="C163" s="156"/>
      <c r="D163" s="156"/>
      <c r="E163" s="156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264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259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236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272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259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259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259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259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259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259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259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259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259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259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259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55" t="s">
        <v>260</v>
      </c>
      <c r="B176" s="155"/>
      <c r="C176" s="155"/>
      <c r="D176" s="155"/>
      <c r="E176" s="155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261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259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273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259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259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259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259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259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259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259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274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259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259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259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55" t="s">
        <v>263</v>
      </c>
      <c r="B189" s="155"/>
      <c r="C189" s="155"/>
      <c r="D189" s="155"/>
      <c r="E189" s="155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261</v>
      </c>
      <c r="O189" s="74">
        <v>1901630</v>
      </c>
    </row>
    <row r="190" spans="1:15" ht="18" customHeight="1">
      <c r="A190" s="156" t="s">
        <v>249</v>
      </c>
      <c r="B190" s="156"/>
      <c r="C190" s="156"/>
      <c r="D190" s="156"/>
      <c r="E190" s="156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264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259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259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259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275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259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259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259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259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259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259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259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259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259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55" t="s">
        <v>260</v>
      </c>
      <c r="B203" s="155"/>
      <c r="C203" s="155"/>
      <c r="D203" s="155"/>
      <c r="E203" s="155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261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259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259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259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259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259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259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259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259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259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259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259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259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55" t="s">
        <v>263</v>
      </c>
      <c r="B216" s="155"/>
      <c r="C216" s="155"/>
      <c r="D216" s="155"/>
      <c r="E216" s="155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261</v>
      </c>
      <c r="O216" s="74">
        <v>1852295</v>
      </c>
    </row>
    <row r="217" spans="1:15" ht="18" customHeight="1">
      <c r="A217" s="156" t="s">
        <v>249</v>
      </c>
      <c r="B217" s="156"/>
      <c r="C217" s="156"/>
      <c r="D217" s="156"/>
      <c r="E217" s="156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264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259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259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259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276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259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259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259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259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259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259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259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259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259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55" t="s">
        <v>260</v>
      </c>
      <c r="B230" s="155"/>
      <c r="C230" s="155"/>
      <c r="D230" s="155"/>
      <c r="E230" s="155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261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259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259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259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277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277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277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277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277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277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277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277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277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55" t="s">
        <v>263</v>
      </c>
      <c r="B243" s="155"/>
      <c r="C243" s="155"/>
      <c r="D243" s="155"/>
      <c r="E243" s="155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261</v>
      </c>
      <c r="O243" s="74">
        <v>991010</v>
      </c>
    </row>
    <row r="244" spans="1:15" ht="18" customHeight="1">
      <c r="A244" s="156" t="s">
        <v>249</v>
      </c>
      <c r="B244" s="156"/>
      <c r="C244" s="156"/>
      <c r="D244" s="156"/>
      <c r="E244" s="156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264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259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259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259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259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259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278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259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259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259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259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259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259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259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55" t="s">
        <v>260</v>
      </c>
      <c r="B257" s="155"/>
      <c r="C257" s="155"/>
      <c r="D257" s="155"/>
      <c r="E257" s="155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261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279</v>
      </c>
      <c r="E258" s="75" t="s">
        <v>259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279</v>
      </c>
      <c r="E259" s="75" t="s">
        <v>259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279</v>
      </c>
      <c r="E260" s="75" t="s">
        <v>259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279</v>
      </c>
      <c r="E261" s="75" t="s">
        <v>259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279</v>
      </c>
      <c r="E262" s="75" t="s">
        <v>259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279</v>
      </c>
      <c r="E263" s="75" t="s">
        <v>259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279</v>
      </c>
      <c r="E264" s="75" t="s">
        <v>259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279</v>
      </c>
      <c r="E265" s="75" t="s">
        <v>259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279</v>
      </c>
      <c r="E266" s="75" t="s">
        <v>259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279</v>
      </c>
      <c r="E267" s="75" t="s">
        <v>259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279</v>
      </c>
      <c r="E268" s="75" t="s">
        <v>259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279</v>
      </c>
      <c r="E269" s="75" t="s">
        <v>259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55" t="s">
        <v>263</v>
      </c>
      <c r="B270" s="155"/>
      <c r="C270" s="155"/>
      <c r="D270" s="155"/>
      <c r="E270" s="155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261</v>
      </c>
      <c r="O270" s="74">
        <v>1544700</v>
      </c>
    </row>
    <row r="271" spans="1:15" ht="18" customHeight="1">
      <c r="A271" s="156" t="s">
        <v>249</v>
      </c>
      <c r="B271" s="156"/>
      <c r="C271" s="156"/>
      <c r="D271" s="156"/>
      <c r="E271" s="156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264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279</v>
      </c>
      <c r="E272" s="62" t="s">
        <v>259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279</v>
      </c>
      <c r="E273" s="62" t="s">
        <v>259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279</v>
      </c>
      <c r="E274" s="62" t="s">
        <v>259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279</v>
      </c>
      <c r="E275" s="62" t="s">
        <v>259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279</v>
      </c>
      <c r="E276" s="62" t="s">
        <v>259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279</v>
      </c>
      <c r="E277" s="62" t="s">
        <v>259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280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279</v>
      </c>
      <c r="E278" s="62" t="s">
        <v>259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279</v>
      </c>
      <c r="E279" s="62" t="s">
        <v>259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279</v>
      </c>
      <c r="E280" s="62" t="s">
        <v>259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279</v>
      </c>
      <c r="E281" s="62" t="s">
        <v>259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279</v>
      </c>
      <c r="E282" s="62" t="s">
        <v>259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279</v>
      </c>
      <c r="E283" s="62" t="s">
        <v>259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55" t="s">
        <v>260</v>
      </c>
      <c r="B284" s="155"/>
      <c r="C284" s="155"/>
      <c r="D284" s="155"/>
      <c r="E284" s="155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261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279</v>
      </c>
      <c r="E285" s="75" t="s">
        <v>274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279</v>
      </c>
      <c r="E286" s="75" t="s">
        <v>274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279</v>
      </c>
      <c r="E287" s="75" t="s">
        <v>274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279</v>
      </c>
      <c r="E288" s="75" t="s">
        <v>274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279</v>
      </c>
      <c r="E289" s="75" t="s">
        <v>274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279</v>
      </c>
      <c r="E290" s="75" t="s">
        <v>274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279</v>
      </c>
      <c r="E291" s="75" t="s">
        <v>274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279</v>
      </c>
      <c r="E292" s="75" t="s">
        <v>274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279</v>
      </c>
      <c r="E293" s="75" t="s">
        <v>274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279</v>
      </c>
      <c r="E294" s="75" t="s">
        <v>274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279</v>
      </c>
      <c r="E295" s="75" t="s">
        <v>274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279</v>
      </c>
      <c r="E296" s="75" t="s">
        <v>274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55" t="s">
        <v>263</v>
      </c>
      <c r="B297" s="155"/>
      <c r="C297" s="155"/>
      <c r="D297" s="155"/>
      <c r="E297" s="155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261</v>
      </c>
      <c r="O297" s="74">
        <v>1715230</v>
      </c>
    </row>
    <row r="298" spans="1:15" ht="18" customHeight="1">
      <c r="A298" s="156" t="s">
        <v>249</v>
      </c>
      <c r="B298" s="156"/>
      <c r="C298" s="156"/>
      <c r="D298" s="156"/>
      <c r="E298" s="156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264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259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236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259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259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259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281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259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259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259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259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259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259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259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259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55" t="s">
        <v>260</v>
      </c>
      <c r="B311" s="155"/>
      <c r="C311" s="155"/>
      <c r="D311" s="155"/>
      <c r="E311" s="155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261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259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259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259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259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259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259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259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259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259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259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259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259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55" t="s">
        <v>263</v>
      </c>
      <c r="B324" s="155"/>
      <c r="C324" s="155"/>
      <c r="D324" s="155"/>
      <c r="E324" s="155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261</v>
      </c>
      <c r="O324" s="74">
        <v>2216340</v>
      </c>
    </row>
    <row r="325" spans="1:15" ht="18" customHeight="1">
      <c r="A325" s="156" t="s">
        <v>249</v>
      </c>
      <c r="B325" s="156"/>
      <c r="C325" s="156"/>
      <c r="D325" s="156"/>
      <c r="E325" s="156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264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282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259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259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259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283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259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259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259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259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55" t="s">
        <v>260</v>
      </c>
      <c r="B338" s="155"/>
      <c r="C338" s="155"/>
      <c r="D338" s="155"/>
      <c r="E338" s="155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261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259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259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259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259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259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259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259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259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259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259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259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259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55" t="s">
        <v>263</v>
      </c>
      <c r="B351" s="155"/>
      <c r="C351" s="155"/>
      <c r="D351" s="155"/>
      <c r="E351" s="155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261</v>
      </c>
      <c r="O351" s="74">
        <v>2154990</v>
      </c>
    </row>
    <row r="352" spans="1:15" ht="18" customHeight="1">
      <c r="A352" s="156" t="s">
        <v>249</v>
      </c>
      <c r="B352" s="156"/>
      <c r="C352" s="156"/>
      <c r="D352" s="156"/>
      <c r="E352" s="156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264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259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259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259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259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259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259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274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259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259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259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259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259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55" t="s">
        <v>260</v>
      </c>
      <c r="B365" s="155"/>
      <c r="C365" s="155"/>
      <c r="D365" s="155"/>
      <c r="E365" s="155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261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259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259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259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259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259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259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259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259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259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259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259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259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55" t="s">
        <v>263</v>
      </c>
      <c r="B378" s="155"/>
      <c r="C378" s="155"/>
      <c r="D378" s="155"/>
      <c r="E378" s="155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261</v>
      </c>
      <c r="O378" s="74">
        <v>2614830</v>
      </c>
    </row>
    <row r="379" spans="1:15" ht="18" customHeight="1">
      <c r="A379" s="156" t="s">
        <v>249</v>
      </c>
      <c r="B379" s="156"/>
      <c r="C379" s="156"/>
      <c r="D379" s="156"/>
      <c r="E379" s="156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264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259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259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259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259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259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259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259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259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259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259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259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259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55" t="s">
        <v>260</v>
      </c>
      <c r="B392" s="155"/>
      <c r="C392" s="155"/>
      <c r="D392" s="155"/>
      <c r="E392" s="155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261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259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284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259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259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259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259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259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259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259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259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259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259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259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55" t="s">
        <v>263</v>
      </c>
      <c r="B405" s="155"/>
      <c r="C405" s="155"/>
      <c r="D405" s="155"/>
      <c r="E405" s="155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261</v>
      </c>
      <c r="O405" s="74">
        <v>2612000</v>
      </c>
    </row>
    <row r="406" spans="1:15" ht="18" customHeight="1">
      <c r="A406" s="156" t="s">
        <v>249</v>
      </c>
      <c r="B406" s="156"/>
      <c r="C406" s="156"/>
      <c r="D406" s="156"/>
      <c r="E406" s="156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264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259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259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259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259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259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259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259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259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259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259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259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259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55" t="s">
        <v>260</v>
      </c>
      <c r="B419" s="155"/>
      <c r="C419" s="155"/>
      <c r="D419" s="155"/>
      <c r="E419" s="155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261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259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230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259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285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259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285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259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259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259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259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259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259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259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259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259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55" t="s">
        <v>263</v>
      </c>
      <c r="B432" s="155"/>
      <c r="C432" s="155"/>
      <c r="D432" s="155"/>
      <c r="E432" s="155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261</v>
      </c>
      <c r="O432" s="74">
        <v>2266710</v>
      </c>
    </row>
    <row r="433" spans="1:15" ht="18" customHeight="1">
      <c r="A433" s="156" t="s">
        <v>249</v>
      </c>
      <c r="B433" s="156"/>
      <c r="C433" s="156"/>
      <c r="D433" s="156"/>
      <c r="E433" s="156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264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259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259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259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259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259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259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259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259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259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259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259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259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55" t="s">
        <v>260</v>
      </c>
      <c r="B446" s="155"/>
      <c r="C446" s="155"/>
      <c r="D446" s="155"/>
      <c r="E446" s="155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261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259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286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259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287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259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259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259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259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288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259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289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259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290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259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259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259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259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55" t="s">
        <v>263</v>
      </c>
      <c r="B459" s="155"/>
      <c r="C459" s="155"/>
      <c r="D459" s="155"/>
      <c r="E459" s="155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261</v>
      </c>
      <c r="O459" s="74">
        <v>2361680</v>
      </c>
    </row>
    <row r="460" spans="1:15" ht="18" customHeight="1">
      <c r="A460" s="156" t="s">
        <v>249</v>
      </c>
      <c r="B460" s="156"/>
      <c r="C460" s="156"/>
      <c r="D460" s="156"/>
      <c r="E460" s="156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264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259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291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259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259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259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259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259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259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259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259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259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259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259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55" t="s">
        <v>260</v>
      </c>
      <c r="B473" s="155"/>
      <c r="C473" s="155"/>
      <c r="D473" s="155"/>
      <c r="E473" s="155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261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259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259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259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292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259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259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259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259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259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259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259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259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259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55" t="s">
        <v>263</v>
      </c>
      <c r="B486" s="155"/>
      <c r="C486" s="155"/>
      <c r="D486" s="155"/>
      <c r="E486" s="155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261</v>
      </c>
      <c r="O486" s="74">
        <v>1798670</v>
      </c>
    </row>
    <row r="487" spans="1:15" ht="18" customHeight="1">
      <c r="A487" s="156" t="s">
        <v>249</v>
      </c>
      <c r="B487" s="156"/>
      <c r="C487" s="156"/>
      <c r="D487" s="156"/>
      <c r="E487" s="156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264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259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259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293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259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259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259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259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259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259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259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259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259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259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55" t="s">
        <v>260</v>
      </c>
      <c r="B500" s="155"/>
      <c r="C500" s="155"/>
      <c r="D500" s="155"/>
      <c r="E500" s="155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261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259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259</v>
      </c>
      <c r="F502" s="63">
        <v>43</v>
      </c>
      <c r="G502" s="64">
        <f t="shared" si="107"/>
        <v>215</v>
      </c>
      <c r="H502" s="61"/>
      <c r="I502" s="61"/>
      <c r="J502" s="61"/>
      <c r="K502" s="65"/>
      <c r="L502" s="65"/>
      <c r="M502" s="66" t="str">
        <f t="shared" ca="1" si="108"/>
        <v/>
      </c>
      <c r="N502" s="80"/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259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259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259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259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259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259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259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259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/>
      <c r="E511" s="75"/>
      <c r="F511" s="63"/>
      <c r="G511" s="69" t="str">
        <f t="shared" si="107"/>
        <v/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/>
      <c r="E512" s="75"/>
      <c r="F512" s="63"/>
      <c r="G512" s="64" t="str">
        <f t="shared" si="107"/>
        <v/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55" t="s">
        <v>263</v>
      </c>
      <c r="B513" s="155"/>
      <c r="C513" s="155"/>
      <c r="D513" s="155"/>
      <c r="E513" s="155"/>
      <c r="F513" s="2">
        <f>SUM(F501:F512)</f>
        <v>346</v>
      </c>
      <c r="G513" s="2">
        <f>SUM(G501:G512)</f>
        <v>1730</v>
      </c>
      <c r="H513" s="72"/>
      <c r="I513" s="72"/>
      <c r="J513" s="72"/>
      <c r="K513" s="72"/>
      <c r="L513" s="72"/>
      <c r="M513" s="73">
        <f ca="1">IFERROR(SUM(M501:M512),"")</f>
        <v>6.2500000000000056E-3</v>
      </c>
      <c r="N513" s="2" t="s">
        <v>261</v>
      </c>
      <c r="O513" s="74"/>
    </row>
    <row r="514" spans="1:15" ht="18" customHeight="1">
      <c r="A514" s="156" t="s">
        <v>249</v>
      </c>
      <c r="B514" s="156"/>
      <c r="C514" s="156"/>
      <c r="D514" s="156"/>
      <c r="E514" s="156"/>
      <c r="F514" s="1">
        <f>F500+F513</f>
        <v>628</v>
      </c>
      <c r="G514" s="1">
        <f>G500+G513</f>
        <v>3140</v>
      </c>
      <c r="H514" s="76"/>
      <c r="I514" s="76"/>
      <c r="J514" s="76"/>
      <c r="K514" s="76"/>
      <c r="L514" s="76"/>
      <c r="M514" s="77">
        <f ca="1">IFERROR(M500+M513,"")</f>
        <v>0.11805555555555566</v>
      </c>
      <c r="N514" s="1" t="s">
        <v>264</v>
      </c>
      <c r="O514" s="82">
        <f>IFERROR(O500+O513,"")</f>
        <v>1474930</v>
      </c>
    </row>
    <row r="515" spans="1:15" ht="15" customHeight="1">
      <c r="A515" s="18">
        <v>46254</v>
      </c>
      <c r="B515" s="68">
        <v>0.33333333333333298</v>
      </c>
      <c r="C515" s="70"/>
      <c r="D515" s="75"/>
      <c r="E515" s="75"/>
      <c r="F515" s="63"/>
      <c r="G515" s="69" t="str">
        <f t="shared" ref="G515:G526" si="110">IF(F515="","",IF(E515="PC 17",F515*4.2,IF(E515="PC 19",F515*5,IF(E515="CB",F515*35,""))))</f>
        <v/>
      </c>
      <c r="H515" s="70"/>
      <c r="I515" s="70"/>
      <c r="J515" s="70"/>
      <c r="K515" s="65"/>
      <c r="L515" s="65"/>
      <c r="M515" s="71" t="str">
        <f t="shared" ref="M515:M526" ca="1" si="111">IFERROR(IF(K515="","",IF(L515="",MOD(NOW()-K515,1),IF(L515&gt;=K515,L515-K515,L515+1-K515))),"")</f>
        <v/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/>
      <c r="D516" s="75"/>
      <c r="E516" s="75"/>
      <c r="F516" s="63"/>
      <c r="G516" s="64" t="str">
        <f t="shared" si="110"/>
        <v/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/>
      <c r="D517" s="75"/>
      <c r="E517" s="75"/>
      <c r="F517" s="63"/>
      <c r="G517" s="69" t="str">
        <f t="shared" si="110"/>
        <v/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/>
      <c r="D518" s="75"/>
      <c r="E518" s="75"/>
      <c r="F518" s="63"/>
      <c r="G518" s="64" t="str">
        <f t="shared" si="110"/>
        <v/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/>
      <c r="D519" s="75"/>
      <c r="E519" s="75"/>
      <c r="F519" s="63"/>
      <c r="G519" s="69" t="str">
        <f t="shared" si="110"/>
        <v/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/>
      <c r="D520" s="75"/>
      <c r="E520" s="75"/>
      <c r="F520" s="63"/>
      <c r="G520" s="64" t="str">
        <f t="shared" si="110"/>
        <v/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/>
      <c r="D521" s="75"/>
      <c r="E521" s="75"/>
      <c r="F521" s="63"/>
      <c r="G521" s="69" t="str">
        <f t="shared" si="110"/>
        <v/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/>
      <c r="D522" s="75"/>
      <c r="E522" s="75"/>
      <c r="F522" s="63"/>
      <c r="G522" s="64" t="str">
        <f t="shared" si="110"/>
        <v/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/>
      <c r="D523" s="75"/>
      <c r="E523" s="75"/>
      <c r="F523" s="63"/>
      <c r="G523" s="69" t="str">
        <f t="shared" si="110"/>
        <v/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/>
      <c r="D524" s="75"/>
      <c r="E524" s="75"/>
      <c r="F524" s="63"/>
      <c r="G524" s="64" t="str">
        <f t="shared" si="110"/>
        <v/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/>
      <c r="D525" s="75"/>
      <c r="E525" s="75"/>
      <c r="F525" s="63"/>
      <c r="G525" s="69" t="str">
        <f t="shared" si="110"/>
        <v/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/>
      <c r="D526" s="75"/>
      <c r="E526" s="75"/>
      <c r="F526" s="63"/>
      <c r="G526" s="64" t="str">
        <f t="shared" si="110"/>
        <v/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55" t="s">
        <v>260</v>
      </c>
      <c r="B527" s="155"/>
      <c r="C527" s="155"/>
      <c r="D527" s="155"/>
      <c r="E527" s="155"/>
      <c r="F527" s="2">
        <f>SUM(F515:F526)</f>
        <v>0</v>
      </c>
      <c r="G527" s="2">
        <f>SUM(G515:G526)</f>
        <v>0</v>
      </c>
      <c r="H527" s="72"/>
      <c r="I527" s="72"/>
      <c r="J527" s="72"/>
      <c r="K527" s="72"/>
      <c r="L527" s="72"/>
      <c r="M527" s="73">
        <f ca="1">IFERROR(SUM(M515:M526),"")</f>
        <v>0</v>
      </c>
      <c r="N527" s="2" t="s">
        <v>261</v>
      </c>
      <c r="O527" s="74"/>
    </row>
    <row r="528" spans="1:15" ht="15" customHeight="1">
      <c r="A528" s="59">
        <v>46254</v>
      </c>
      <c r="B528" s="60">
        <v>0.83333333333333304</v>
      </c>
      <c r="C528" s="61"/>
      <c r="D528" s="62"/>
      <c r="E528" s="62"/>
      <c r="F528" s="63"/>
      <c r="G528" s="64" t="str">
        <f t="shared" ref="G528:G539" si="113">IF(F528="","",IF(E528="PC 17",F528*4.2,IF(E528="PC 19",F528*5,IF(E528="CB",F528*35,""))))</f>
        <v/>
      </c>
      <c r="H528" s="61"/>
      <c r="I528" s="61"/>
      <c r="J528" s="61"/>
      <c r="K528" s="65"/>
      <c r="L528" s="65"/>
      <c r="M528" s="66"/>
      <c r="N528" s="80"/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/>
      <c r="D529" s="62"/>
      <c r="E529" s="62"/>
      <c r="F529" s="63"/>
      <c r="G529" s="69" t="str">
        <f t="shared" si="113"/>
        <v/>
      </c>
      <c r="H529" s="70"/>
      <c r="I529" s="70"/>
      <c r="J529" s="70"/>
      <c r="K529" s="65"/>
      <c r="L529" s="65"/>
      <c r="M529" s="71" t="str">
        <f t="shared" ref="M529:M539" ca="1" si="115">IFERROR(IF(K529="","",IF(L529="",MOD(NOW()-K529,1),IF(L529&gt;=K529,L529-K529,L529+1-K529))),"")</f>
        <v/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/>
      <c r="D530" s="62"/>
      <c r="E530" s="62"/>
      <c r="F530" s="63"/>
      <c r="G530" s="64" t="str">
        <f t="shared" si="113"/>
        <v/>
      </c>
      <c r="H530" s="61"/>
      <c r="I530" s="61"/>
      <c r="J530" s="61"/>
      <c r="K530" s="65"/>
      <c r="L530" s="65"/>
      <c r="M530" s="66" t="str">
        <f t="shared" ca="1" si="115"/>
        <v/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/>
      <c r="D531" s="62"/>
      <c r="E531" s="62"/>
      <c r="F531" s="63"/>
      <c r="G531" s="69" t="str">
        <f t="shared" si="113"/>
        <v/>
      </c>
      <c r="H531" s="70"/>
      <c r="I531" s="70"/>
      <c r="J531" s="70"/>
      <c r="K531" s="65"/>
      <c r="L531" s="65"/>
      <c r="M531" s="71" t="str">
        <f t="shared" ca="1" si="115"/>
        <v/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/>
      <c r="D532" s="62"/>
      <c r="E532" s="62"/>
      <c r="F532" s="63"/>
      <c r="G532" s="64" t="str">
        <f t="shared" si="113"/>
        <v/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/>
      <c r="D533" s="62"/>
      <c r="E533" s="62"/>
      <c r="F533" s="63"/>
      <c r="G533" s="69" t="str">
        <f t="shared" si="113"/>
        <v/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/>
      <c r="D534" s="62"/>
      <c r="E534" s="62"/>
      <c r="F534" s="63"/>
      <c r="G534" s="64" t="str">
        <f t="shared" si="113"/>
        <v/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/>
      <c r="D535" s="62"/>
      <c r="E535" s="62"/>
      <c r="F535" s="63"/>
      <c r="G535" s="69" t="str">
        <f t="shared" si="113"/>
        <v/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/>
      <c r="D536" s="62"/>
      <c r="E536" s="62"/>
      <c r="F536" s="63"/>
      <c r="G536" s="64" t="str">
        <f t="shared" si="113"/>
        <v/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/>
      <c r="D537" s="62"/>
      <c r="E537" s="62"/>
      <c r="F537" s="63"/>
      <c r="G537" s="69" t="str">
        <f t="shared" si="113"/>
        <v/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/>
      <c r="D538" s="62"/>
      <c r="E538" s="62"/>
      <c r="F538" s="63"/>
      <c r="G538" s="64" t="str">
        <f t="shared" si="113"/>
        <v/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/>
      <c r="D539" s="62"/>
      <c r="E539" s="62"/>
      <c r="F539" s="63"/>
      <c r="G539" s="69" t="str">
        <f t="shared" si="113"/>
        <v/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55" t="s">
        <v>263</v>
      </c>
      <c r="B540" s="155"/>
      <c r="C540" s="155"/>
      <c r="D540" s="155"/>
      <c r="E540" s="155"/>
      <c r="F540" s="2">
        <f>SUM(F528:F539)</f>
        <v>0</v>
      </c>
      <c r="G540" s="2">
        <f>SUM(G528:G539)</f>
        <v>0</v>
      </c>
      <c r="H540" s="72"/>
      <c r="I540" s="72"/>
      <c r="J540" s="72"/>
      <c r="K540" s="72"/>
      <c r="L540" s="72"/>
      <c r="M540" s="73">
        <f ca="1">IFERROR(SUM(M528:M539),"")</f>
        <v>0</v>
      </c>
      <c r="N540" s="2" t="s">
        <v>261</v>
      </c>
      <c r="O540" s="74"/>
    </row>
    <row r="541" spans="1:15" ht="18" customHeight="1">
      <c r="A541" s="156" t="s">
        <v>249</v>
      </c>
      <c r="B541" s="156"/>
      <c r="C541" s="156"/>
      <c r="D541" s="156"/>
      <c r="E541" s="156"/>
      <c r="F541" s="1">
        <f>F527+F540</f>
        <v>0</v>
      </c>
      <c r="G541" s="1">
        <f>G527+G540</f>
        <v>0</v>
      </c>
      <c r="H541" s="76"/>
      <c r="I541" s="76"/>
      <c r="J541" s="76"/>
      <c r="K541" s="76"/>
      <c r="L541" s="76"/>
      <c r="M541" s="77">
        <f ca="1">IFERROR(M527+M540,"")</f>
        <v>0</v>
      </c>
      <c r="N541" s="1" t="s">
        <v>264</v>
      </c>
      <c r="O541" s="82">
        <f>IFERROR(O527+O540,"")</f>
        <v>0</v>
      </c>
    </row>
    <row r="542" spans="1:15" ht="15" customHeight="1">
      <c r="A542" s="59">
        <v>46255</v>
      </c>
      <c r="B542" s="60">
        <v>0.33333333333333298</v>
      </c>
      <c r="C542" s="61"/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/>
      <c r="I542" s="61"/>
      <c r="J542" s="61"/>
      <c r="K542" s="65"/>
      <c r="L542" s="65"/>
      <c r="M542" s="66" t="str">
        <f t="shared" ref="M542:M553" ca="1" si="117">IFERROR(IF(K542="","",IF(L542="",MOD(NOW()-K542,1),IF(L542&gt;=K542,L542-K542,L542+1-K542))),"")</f>
        <v/>
      </c>
      <c r="N542" s="80"/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/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/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/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/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/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/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/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/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/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/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/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55" t="s">
        <v>260</v>
      </c>
      <c r="B554" s="155"/>
      <c r="C554" s="155"/>
      <c r="D554" s="155"/>
      <c r="E554" s="155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</v>
      </c>
      <c r="N554" s="2" t="s">
        <v>261</v>
      </c>
      <c r="O554" s="74"/>
    </row>
    <row r="555" spans="1:15" ht="15" customHeight="1">
      <c r="A555" s="18">
        <v>46255</v>
      </c>
      <c r="B555" s="68">
        <v>0.83333333333333304</v>
      </c>
      <c r="C555" s="70"/>
      <c r="D555" s="75"/>
      <c r="E555" s="75"/>
      <c r="F555" s="63"/>
      <c r="G555" s="69" t="str">
        <f t="shared" ref="G555:G566" si="119">IF(F555="","",IF(E555="PC 17",F555*4.2,IF(E555="PC 19",F555*5,IF(E555="CB",F555*35,""))))</f>
        <v/>
      </c>
      <c r="H555" s="70"/>
      <c r="I555" s="70"/>
      <c r="J555" s="70"/>
      <c r="K555" s="65"/>
      <c r="L555" s="65"/>
      <c r="M555" s="71" t="str">
        <f t="shared" ref="M555:M566" ca="1" si="120">IFERROR(IF(K555="","",IF(L555="",MOD(NOW()-K555,1),IF(L555&gt;=K555,L555-K555,L555+1-K555))),"")</f>
        <v/>
      </c>
      <c r="N555" s="80"/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/>
      <c r="D556" s="75"/>
      <c r="E556" s="75"/>
      <c r="F556" s="63"/>
      <c r="G556" s="64" t="str">
        <f t="shared" si="119"/>
        <v/>
      </c>
      <c r="H556" s="61"/>
      <c r="I556" s="61"/>
      <c r="J556" s="61"/>
      <c r="K556" s="65"/>
      <c r="L556" s="65"/>
      <c r="M556" s="66" t="str">
        <f t="shared" ca="1" si="120"/>
        <v/>
      </c>
      <c r="N556" s="80"/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/>
      <c r="D557" s="75"/>
      <c r="E557" s="75"/>
      <c r="F557" s="63"/>
      <c r="G557" s="69" t="str">
        <f t="shared" si="119"/>
        <v/>
      </c>
      <c r="H557" s="70"/>
      <c r="I557" s="70"/>
      <c r="J557" s="70"/>
      <c r="K557" s="65"/>
      <c r="L557" s="65"/>
      <c r="M557" s="71" t="str">
        <f t="shared" ca="1" si="120"/>
        <v/>
      </c>
      <c r="N557" s="80"/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/>
      <c r="D558" s="75"/>
      <c r="E558" s="75"/>
      <c r="F558" s="63"/>
      <c r="G558" s="64" t="str">
        <f t="shared" si="119"/>
        <v/>
      </c>
      <c r="H558" s="61"/>
      <c r="I558" s="61"/>
      <c r="J558" s="61"/>
      <c r="K558" s="65"/>
      <c r="L558" s="65"/>
      <c r="M558" s="66" t="str">
        <f t="shared" ca="1" si="120"/>
        <v/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/>
      <c r="D559" s="75"/>
      <c r="E559" s="75"/>
      <c r="F559" s="63"/>
      <c r="G559" s="69" t="str">
        <f t="shared" si="119"/>
        <v/>
      </c>
      <c r="H559" s="70"/>
      <c r="I559" s="70"/>
      <c r="J559" s="70"/>
      <c r="K559" s="65"/>
      <c r="L559" s="65"/>
      <c r="M559" s="71" t="str">
        <f t="shared" ca="1" si="120"/>
        <v/>
      </c>
      <c r="N559" s="80"/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/>
      <c r="D560" s="75"/>
      <c r="E560" s="75"/>
      <c r="F560" s="63"/>
      <c r="G560" s="64" t="str">
        <f t="shared" si="119"/>
        <v/>
      </c>
      <c r="H560" s="61"/>
      <c r="I560" s="61"/>
      <c r="J560" s="61"/>
      <c r="K560" s="65"/>
      <c r="L560" s="65"/>
      <c r="M560" s="66" t="str">
        <f t="shared" ca="1" si="120"/>
        <v/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/>
      <c r="D561" s="75"/>
      <c r="E561" s="75"/>
      <c r="F561" s="63"/>
      <c r="G561" s="69" t="str">
        <f t="shared" si="119"/>
        <v/>
      </c>
      <c r="H561" s="70"/>
      <c r="I561" s="70"/>
      <c r="J561" s="70"/>
      <c r="K561" s="65"/>
      <c r="L561" s="65"/>
      <c r="M561" s="71" t="str">
        <f t="shared" ca="1" si="120"/>
        <v/>
      </c>
      <c r="N561" s="80"/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/>
      <c r="D562" s="75"/>
      <c r="E562" s="75"/>
      <c r="F562" s="63"/>
      <c r="G562" s="64" t="str">
        <f t="shared" si="119"/>
        <v/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/>
      <c r="D563" s="75"/>
      <c r="E563" s="75"/>
      <c r="F563" s="63"/>
      <c r="G563" s="69" t="str">
        <f t="shared" si="119"/>
        <v/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/>
      <c r="D564" s="75"/>
      <c r="E564" s="75"/>
      <c r="F564" s="63"/>
      <c r="G564" s="64" t="str">
        <f t="shared" si="119"/>
        <v/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/>
      <c r="D565" s="75"/>
      <c r="E565" s="75"/>
      <c r="F565" s="63"/>
      <c r="G565" s="69" t="str">
        <f t="shared" si="119"/>
        <v/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/>
      <c r="D566" s="75"/>
      <c r="E566" s="75"/>
      <c r="F566" s="63"/>
      <c r="G566" s="64" t="str">
        <f t="shared" si="119"/>
        <v/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55" t="s">
        <v>263</v>
      </c>
      <c r="B567" s="155"/>
      <c r="C567" s="155"/>
      <c r="D567" s="155"/>
      <c r="E567" s="155"/>
      <c r="F567" s="2">
        <f>SUM(F555:F566)</f>
        <v>0</v>
      </c>
      <c r="G567" s="2">
        <f>SUM(G555:G566)</f>
        <v>0</v>
      </c>
      <c r="H567" s="72"/>
      <c r="I567" s="72"/>
      <c r="J567" s="72"/>
      <c r="K567" s="72"/>
      <c r="L567" s="72"/>
      <c r="M567" s="73">
        <f ca="1">IFERROR(SUM(M555:M566),"")</f>
        <v>0</v>
      </c>
      <c r="N567" s="2" t="s">
        <v>261</v>
      </c>
      <c r="O567" s="74"/>
    </row>
    <row r="568" spans="1:15" ht="18" customHeight="1">
      <c r="A568" s="156" t="s">
        <v>249</v>
      </c>
      <c r="B568" s="156"/>
      <c r="C568" s="156"/>
      <c r="D568" s="156"/>
      <c r="E568" s="156"/>
      <c r="F568" s="1">
        <f>F554+F567</f>
        <v>0</v>
      </c>
      <c r="G568" s="1">
        <f>G554+G567</f>
        <v>0</v>
      </c>
      <c r="H568" s="76"/>
      <c r="I568" s="76"/>
      <c r="J568" s="76"/>
      <c r="K568" s="76"/>
      <c r="L568" s="76"/>
      <c r="M568" s="77">
        <f ca="1">IFERROR(M554+M567,"")</f>
        <v>0</v>
      </c>
      <c r="N568" s="1" t="s">
        <v>264</v>
      </c>
      <c r="O568" s="82">
        <f>IFERROR(O554+O567,"")</f>
        <v>0</v>
      </c>
    </row>
    <row r="569" spans="1:15" ht="15" customHeight="1">
      <c r="A569" s="18">
        <v>46256</v>
      </c>
      <c r="B569" s="68">
        <v>0.33333333333333298</v>
      </c>
      <c r="C569" s="70"/>
      <c r="D569" s="75"/>
      <c r="E569" s="75"/>
      <c r="F569" s="63"/>
      <c r="G569" s="69" t="str">
        <f t="shared" ref="G569:G580" si="122">IF(F569="","",IF(E569="PC 17",F569*4.2,IF(E569="PC 19",F569*5,IF(E569="CB",F569*35,""))))</f>
        <v/>
      </c>
      <c r="H569" s="70"/>
      <c r="I569" s="70"/>
      <c r="J569" s="70"/>
      <c r="K569" s="65"/>
      <c r="L569" s="65"/>
      <c r="M569" s="71" t="str">
        <f t="shared" ref="M569:M580" ca="1" si="123">IFERROR(IF(K569="","",IF(L569="",MOD(NOW()-K569,1),IF(L569&gt;=K569,L569-K569,L569+1-K569))),"")</f>
        <v/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/>
      <c r="D570" s="75"/>
      <c r="E570" s="75"/>
      <c r="F570" s="63"/>
      <c r="G570" s="69" t="str">
        <f t="shared" si="122"/>
        <v/>
      </c>
      <c r="H570" s="61"/>
      <c r="I570" s="61"/>
      <c r="J570" s="61"/>
      <c r="K570" s="65"/>
      <c r="L570" s="65"/>
      <c r="M570" s="66" t="str">
        <f t="shared" ca="1" si="123"/>
        <v/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/>
      <c r="D571" s="75"/>
      <c r="E571" s="75"/>
      <c r="F571" s="63"/>
      <c r="G571" s="69" t="str">
        <f t="shared" si="122"/>
        <v/>
      </c>
      <c r="H571" s="70"/>
      <c r="I571" s="70"/>
      <c r="J571" s="70"/>
      <c r="K571" s="65"/>
      <c r="L571" s="65"/>
      <c r="M571" s="71" t="str">
        <f t="shared" ca="1" si="123"/>
        <v/>
      </c>
      <c r="N571" s="80"/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/>
      <c r="D572" s="75"/>
      <c r="E572" s="75"/>
      <c r="F572" s="63"/>
      <c r="G572" s="69" t="str">
        <f t="shared" si="122"/>
        <v/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/>
      <c r="D573" s="75"/>
      <c r="E573" s="75"/>
      <c r="F573" s="63"/>
      <c r="G573" s="69" t="str">
        <f t="shared" si="122"/>
        <v/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/>
      <c r="D574" s="75"/>
      <c r="E574" s="75"/>
      <c r="F574" s="63"/>
      <c r="G574" s="69" t="str">
        <f t="shared" si="122"/>
        <v/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/>
      <c r="D575" s="75"/>
      <c r="E575" s="75"/>
      <c r="F575" s="63"/>
      <c r="G575" s="69" t="str">
        <f t="shared" si="122"/>
        <v/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/>
      <c r="D576" s="75"/>
      <c r="E576" s="75"/>
      <c r="F576" s="63"/>
      <c r="G576" s="69" t="str">
        <f t="shared" si="122"/>
        <v/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/>
      <c r="D577" s="75"/>
      <c r="E577" s="75"/>
      <c r="F577" s="63"/>
      <c r="G577" s="69" t="str">
        <f t="shared" si="122"/>
        <v/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/>
      <c r="D578" s="75"/>
      <c r="E578" s="75"/>
      <c r="F578" s="63"/>
      <c r="G578" s="69" t="str">
        <f t="shared" si="122"/>
        <v/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/>
      <c r="D579" s="75"/>
      <c r="E579" s="75"/>
      <c r="F579" s="63"/>
      <c r="G579" s="69" t="str">
        <f t="shared" si="122"/>
        <v/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/>
      <c r="D580" s="75"/>
      <c r="E580" s="75"/>
      <c r="F580" s="63"/>
      <c r="G580" s="69" t="str">
        <f t="shared" si="122"/>
        <v/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55" t="s">
        <v>260</v>
      </c>
      <c r="B581" s="155"/>
      <c r="C581" s="155"/>
      <c r="D581" s="155"/>
      <c r="E581" s="155"/>
      <c r="F581" s="2">
        <f>SUM(F569:F580)</f>
        <v>0</v>
      </c>
      <c r="G581" s="2">
        <f>SUM(G569:G580)</f>
        <v>0</v>
      </c>
      <c r="H581" s="72"/>
      <c r="I581" s="72"/>
      <c r="J581" s="72"/>
      <c r="K581" s="72"/>
      <c r="L581" s="72"/>
      <c r="M581" s="73">
        <f ca="1">IFERROR(SUM(M569:M580),"")</f>
        <v>0</v>
      </c>
      <c r="N581" s="2" t="s">
        <v>261</v>
      </c>
      <c r="O581" s="74"/>
    </row>
    <row r="582" spans="1:15" ht="15" customHeight="1">
      <c r="A582" s="59">
        <v>46256</v>
      </c>
      <c r="B582" s="60">
        <v>0.83333333333333304</v>
      </c>
      <c r="C582" s="61"/>
      <c r="D582" s="62"/>
      <c r="E582" s="62"/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/>
      <c r="D583" s="62"/>
      <c r="E583" s="62"/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/>
      <c r="D584" s="62"/>
      <c r="E584" s="62"/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/>
      <c r="D585" s="62"/>
      <c r="E585" s="62"/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/>
      <c r="D586" s="62"/>
      <c r="E586" s="62"/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/>
      <c r="D587" s="62"/>
      <c r="E587" s="62"/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/>
      <c r="D588" s="62"/>
      <c r="E588" s="62"/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/>
      <c r="D589" s="62"/>
      <c r="E589" s="62"/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/>
      <c r="D590" s="62"/>
      <c r="E590" s="62"/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/>
      <c r="D591" s="62"/>
      <c r="E591" s="62"/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/>
      <c r="D592" s="62"/>
      <c r="E592" s="62"/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/>
      <c r="D593" s="62"/>
      <c r="E593" s="62"/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55" t="s">
        <v>263</v>
      </c>
      <c r="B594" s="155"/>
      <c r="C594" s="155"/>
      <c r="D594" s="155"/>
      <c r="E594" s="155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261</v>
      </c>
      <c r="O594" s="74"/>
    </row>
    <row r="595" spans="1:15" ht="18" customHeight="1">
      <c r="A595" s="156" t="s">
        <v>249</v>
      </c>
      <c r="B595" s="156"/>
      <c r="C595" s="156"/>
      <c r="D595" s="156"/>
      <c r="E595" s="156"/>
      <c r="F595" s="1">
        <f>F581+F594</f>
        <v>0</v>
      </c>
      <c r="G595" s="1">
        <f>G581+G594</f>
        <v>0</v>
      </c>
      <c r="H595" s="76"/>
      <c r="I595" s="76"/>
      <c r="J595" s="76"/>
      <c r="K595" s="76"/>
      <c r="L595" s="76"/>
      <c r="M595" s="77">
        <f ca="1">IFERROR(M581+M594,"")</f>
        <v>0</v>
      </c>
      <c r="N595" s="1" t="s">
        <v>264</v>
      </c>
      <c r="O595" s="82">
        <f>IFERROR(O581+O594,"")</f>
        <v>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55" t="s">
        <v>260</v>
      </c>
      <c r="B608" s="155"/>
      <c r="C608" s="155"/>
      <c r="D608" s="155"/>
      <c r="E608" s="155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261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55" t="s">
        <v>263</v>
      </c>
      <c r="B621" s="155"/>
      <c r="C621" s="155"/>
      <c r="D621" s="155"/>
      <c r="E621" s="155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261</v>
      </c>
      <c r="O621" s="74"/>
    </row>
    <row r="622" spans="1:15" ht="18" customHeight="1">
      <c r="A622" s="156" t="s">
        <v>249</v>
      </c>
      <c r="B622" s="156"/>
      <c r="C622" s="156"/>
      <c r="D622" s="156"/>
      <c r="E622" s="156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264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55" t="s">
        <v>260</v>
      </c>
      <c r="B635" s="155"/>
      <c r="C635" s="155"/>
      <c r="D635" s="155"/>
      <c r="E635" s="155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261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55" t="s">
        <v>263</v>
      </c>
      <c r="B648" s="155"/>
      <c r="C648" s="155"/>
      <c r="D648" s="155"/>
      <c r="E648" s="155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261</v>
      </c>
      <c r="O648" s="74"/>
    </row>
    <row r="649" spans="1:15" ht="18" customHeight="1">
      <c r="A649" s="156" t="s">
        <v>249</v>
      </c>
      <c r="B649" s="156"/>
      <c r="C649" s="156"/>
      <c r="D649" s="156"/>
      <c r="E649" s="156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264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55" t="s">
        <v>260</v>
      </c>
      <c r="B662" s="155"/>
      <c r="C662" s="155"/>
      <c r="D662" s="155"/>
      <c r="E662" s="155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261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55" t="s">
        <v>263</v>
      </c>
      <c r="B675" s="155"/>
      <c r="C675" s="155"/>
      <c r="D675" s="155"/>
      <c r="E675" s="155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261</v>
      </c>
      <c r="O675" s="74"/>
    </row>
    <row r="676" spans="1:15" ht="18" customHeight="1">
      <c r="A676" s="156" t="s">
        <v>249</v>
      </c>
      <c r="B676" s="156"/>
      <c r="C676" s="156"/>
      <c r="D676" s="156"/>
      <c r="E676" s="156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264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55" t="s">
        <v>260</v>
      </c>
      <c r="B689" s="155"/>
      <c r="C689" s="155"/>
      <c r="D689" s="155"/>
      <c r="E689" s="155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261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55" t="s">
        <v>263</v>
      </c>
      <c r="B702" s="155"/>
      <c r="C702" s="155"/>
      <c r="D702" s="155"/>
      <c r="E702" s="155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261</v>
      </c>
      <c r="O702" s="74"/>
    </row>
    <row r="703" spans="1:15" ht="18" customHeight="1">
      <c r="A703" s="156" t="s">
        <v>249</v>
      </c>
      <c r="B703" s="156"/>
      <c r="C703" s="156"/>
      <c r="D703" s="156"/>
      <c r="E703" s="156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264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55" t="s">
        <v>260</v>
      </c>
      <c r="B716" s="155"/>
      <c r="C716" s="155"/>
      <c r="D716" s="155"/>
      <c r="E716" s="155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261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55" t="s">
        <v>263</v>
      </c>
      <c r="B729" s="155"/>
      <c r="C729" s="155"/>
      <c r="D729" s="155"/>
      <c r="E729" s="155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261</v>
      </c>
      <c r="O729" s="74"/>
    </row>
    <row r="730" spans="1:15" ht="18" customHeight="1">
      <c r="A730" s="156" t="s">
        <v>249</v>
      </c>
      <c r="B730" s="156"/>
      <c r="C730" s="156"/>
      <c r="D730" s="156"/>
      <c r="E730" s="156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264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55" t="s">
        <v>260</v>
      </c>
      <c r="B743" s="155"/>
      <c r="C743" s="155"/>
      <c r="D743" s="155"/>
      <c r="E743" s="155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261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55" t="s">
        <v>263</v>
      </c>
      <c r="B756" s="155"/>
      <c r="C756" s="155"/>
      <c r="D756" s="155"/>
      <c r="E756" s="155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261</v>
      </c>
      <c r="O756" s="74"/>
    </row>
    <row r="757" spans="1:15" ht="18" customHeight="1">
      <c r="A757" s="156" t="s">
        <v>249</v>
      </c>
      <c r="B757" s="156"/>
      <c r="C757" s="156"/>
      <c r="D757" s="156"/>
      <c r="E757" s="156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264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55" t="s">
        <v>260</v>
      </c>
      <c r="B770" s="155"/>
      <c r="C770" s="155"/>
      <c r="D770" s="155"/>
      <c r="E770" s="155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261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55" t="s">
        <v>263</v>
      </c>
      <c r="B783" s="155"/>
      <c r="C783" s="155"/>
      <c r="D783" s="155"/>
      <c r="E783" s="155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261</v>
      </c>
      <c r="O783" s="74"/>
    </row>
    <row r="784" spans="1:15" ht="18" customHeight="1">
      <c r="A784" s="156" t="s">
        <v>249</v>
      </c>
      <c r="B784" s="156"/>
      <c r="C784" s="156"/>
      <c r="D784" s="156"/>
      <c r="E784" s="156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264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55" t="s">
        <v>260</v>
      </c>
      <c r="B797" s="155"/>
      <c r="C797" s="155"/>
      <c r="D797" s="155"/>
      <c r="E797" s="155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261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55" t="s">
        <v>263</v>
      </c>
      <c r="B810" s="155"/>
      <c r="C810" s="155"/>
      <c r="D810" s="155"/>
      <c r="E810" s="155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261</v>
      </c>
      <c r="O810" s="74"/>
    </row>
    <row r="811" spans="1:15" ht="18" customHeight="1">
      <c r="A811" s="156" t="s">
        <v>249</v>
      </c>
      <c r="B811" s="156"/>
      <c r="C811" s="156"/>
      <c r="D811" s="156"/>
      <c r="E811" s="156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264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55" t="s">
        <v>260</v>
      </c>
      <c r="B824" s="155"/>
      <c r="C824" s="155"/>
      <c r="D824" s="155"/>
      <c r="E824" s="155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261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55" t="s">
        <v>263</v>
      </c>
      <c r="B837" s="155"/>
      <c r="C837" s="155"/>
      <c r="D837" s="155"/>
      <c r="E837" s="155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261</v>
      </c>
      <c r="O837" s="74"/>
    </row>
    <row r="838" spans="1:15" ht="18" customHeight="1">
      <c r="A838" s="156" t="s">
        <v>249</v>
      </c>
      <c r="B838" s="156"/>
      <c r="C838" s="156"/>
      <c r="D838" s="156"/>
      <c r="E838" s="156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264</v>
      </c>
      <c r="O838" s="30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481" activePane="bottomLeft" state="frozen"/>
      <selection pane="bottomLeft" activeCell="D509" sqref="D509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294</v>
      </c>
      <c r="I1" s="86" t="s">
        <v>22</v>
      </c>
      <c r="J1" s="86" t="s">
        <v>295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295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296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297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298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65" t="s">
        <v>260</v>
      </c>
      <c r="B14" s="165"/>
      <c r="C14" s="165"/>
      <c r="D14" s="165"/>
      <c r="E14" s="165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261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274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274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274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274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299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274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300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274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274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274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274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274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274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65" t="s">
        <v>263</v>
      </c>
      <c r="B27" s="165"/>
      <c r="C27" s="165"/>
      <c r="D27" s="165"/>
      <c r="E27" s="165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261</v>
      </c>
      <c r="S27" s="74">
        <v>549860</v>
      </c>
      <c r="T27" s="99"/>
    </row>
    <row r="28" spans="1:20" ht="18" customHeight="1">
      <c r="A28" s="164" t="s">
        <v>249</v>
      </c>
      <c r="B28" s="164"/>
      <c r="C28" s="164"/>
      <c r="D28" s="164"/>
      <c r="E28" s="164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264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65" t="s">
        <v>260</v>
      </c>
      <c r="B41" s="165"/>
      <c r="C41" s="165"/>
      <c r="D41" s="165"/>
      <c r="E41" s="165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261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301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302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303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9.6157523141300771E-2</v>
      </c>
      <c r="R53" s="80" t="s">
        <v>304</v>
      </c>
      <c r="S53" s="67"/>
    </row>
    <row r="54" spans="1:20" ht="15.75" customHeight="1">
      <c r="A54" s="165" t="s">
        <v>263</v>
      </c>
      <c r="B54" s="165"/>
      <c r="C54" s="165"/>
      <c r="D54" s="165"/>
      <c r="E54" s="165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0.2350464120301885</v>
      </c>
      <c r="R54" s="2" t="s">
        <v>261</v>
      </c>
      <c r="S54" s="113">
        <v>352430</v>
      </c>
      <c r="T54" s="114"/>
    </row>
    <row r="55" spans="1:20" ht="18" customHeight="1">
      <c r="A55" s="164" t="s">
        <v>249</v>
      </c>
      <c r="B55" s="164"/>
      <c r="C55" s="164"/>
      <c r="D55" s="164"/>
      <c r="E55" s="164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0.31976863425241131</v>
      </c>
      <c r="R55" s="1" t="s">
        <v>264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296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65" t="s">
        <v>260</v>
      </c>
      <c r="B68" s="165"/>
      <c r="C68" s="165"/>
      <c r="D68" s="165"/>
      <c r="E68" s="165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261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305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274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65" t="s">
        <v>263</v>
      </c>
      <c r="B81" s="165"/>
      <c r="C81" s="165"/>
      <c r="D81" s="165"/>
      <c r="E81" s="165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261</v>
      </c>
      <c r="S81" s="115">
        <v>634210</v>
      </c>
      <c r="T81" s="116"/>
    </row>
    <row r="82" spans="1:20" ht="18" customHeight="1">
      <c r="A82" s="164" t="s">
        <v>249</v>
      </c>
      <c r="B82" s="164"/>
      <c r="C82" s="164"/>
      <c r="D82" s="164"/>
      <c r="E82" s="164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264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274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223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65" t="s">
        <v>260</v>
      </c>
      <c r="B95" s="165"/>
      <c r="C95" s="165"/>
      <c r="D95" s="165"/>
      <c r="E95" s="165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261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306</v>
      </c>
      <c r="Q96" s="66" t="str">
        <f t="shared" ref="Q96:Q107" ca="1" si="22">IFERROR(IF(O96="","",IF(P96="",MOD(NOW()-O96,1),IF(P96&gt;=O96,P96-O96,P96+1-O96))),"")</f>
        <v/>
      </c>
      <c r="R96" s="80" t="s">
        <v>307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262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308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309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262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65" t="s">
        <v>263</v>
      </c>
      <c r="B108" s="165"/>
      <c r="C108" s="165"/>
      <c r="D108" s="165"/>
      <c r="E108" s="165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261</v>
      </c>
      <c r="S108" s="115">
        <v>456830</v>
      </c>
      <c r="T108" s="116"/>
    </row>
    <row r="109" spans="1:20" ht="18" customHeight="1">
      <c r="A109" s="164" t="s">
        <v>249</v>
      </c>
      <c r="B109" s="164"/>
      <c r="C109" s="164"/>
      <c r="D109" s="164"/>
      <c r="E109" s="164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264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310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65" t="s">
        <v>260</v>
      </c>
      <c r="B122" s="165"/>
      <c r="C122" s="165"/>
      <c r="D122" s="165"/>
      <c r="E122" s="165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261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65" t="s">
        <v>263</v>
      </c>
      <c r="B135" s="165"/>
      <c r="C135" s="165"/>
      <c r="D135" s="165"/>
      <c r="E135" s="165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261</v>
      </c>
      <c r="S135" s="115">
        <v>756720</v>
      </c>
      <c r="T135" s="116"/>
    </row>
    <row r="136" spans="1:20" ht="18" customHeight="1">
      <c r="A136" s="164" t="s">
        <v>249</v>
      </c>
      <c r="B136" s="164"/>
      <c r="C136" s="164"/>
      <c r="D136" s="164"/>
      <c r="E136" s="164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264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311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312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313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65" t="s">
        <v>260</v>
      </c>
      <c r="B149" s="165"/>
      <c r="C149" s="165"/>
      <c r="D149" s="165"/>
      <c r="E149" s="165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261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314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65" t="s">
        <v>263</v>
      </c>
      <c r="B162" s="165"/>
      <c r="C162" s="165"/>
      <c r="D162" s="165"/>
      <c r="E162" s="165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261</v>
      </c>
      <c r="S162" s="115">
        <v>501750</v>
      </c>
      <c r="T162" s="116"/>
    </row>
    <row r="163" spans="1:20" ht="18" customHeight="1">
      <c r="A163" s="164" t="s">
        <v>249</v>
      </c>
      <c r="B163" s="164"/>
      <c r="C163" s="164"/>
      <c r="D163" s="164"/>
      <c r="E163" s="164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264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274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274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274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274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274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274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274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274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274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274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65" t="s">
        <v>260</v>
      </c>
      <c r="B176" s="165"/>
      <c r="C176" s="165"/>
      <c r="D176" s="165"/>
      <c r="E176" s="165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261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274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274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315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274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312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316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274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65" t="s">
        <v>263</v>
      </c>
      <c r="B189" s="165"/>
      <c r="C189" s="165"/>
      <c r="D189" s="165"/>
      <c r="E189" s="165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261</v>
      </c>
      <c r="S189" s="74">
        <v>362530</v>
      </c>
      <c r="T189" s="99"/>
    </row>
    <row r="190" spans="1:20" ht="18" customHeight="1">
      <c r="A190" s="164" t="s">
        <v>249</v>
      </c>
      <c r="B190" s="164"/>
      <c r="C190" s="164"/>
      <c r="D190" s="164"/>
      <c r="E190" s="164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264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317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310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65" t="s">
        <v>260</v>
      </c>
      <c r="B203" s="165"/>
      <c r="C203" s="165"/>
      <c r="D203" s="165"/>
      <c r="E203" s="165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261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65" t="s">
        <v>263</v>
      </c>
      <c r="B216" s="165"/>
      <c r="C216" s="165"/>
      <c r="D216" s="165"/>
      <c r="E216" s="165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261</v>
      </c>
      <c r="S216" s="74">
        <v>609740</v>
      </c>
      <c r="T216" s="99"/>
    </row>
    <row r="217" spans="1:20" ht="18" customHeight="1">
      <c r="A217" s="164" t="s">
        <v>249</v>
      </c>
      <c r="B217" s="164"/>
      <c r="C217" s="164"/>
      <c r="D217" s="164"/>
      <c r="E217" s="164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264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305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262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318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319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320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65" t="s">
        <v>260</v>
      </c>
      <c r="B230" s="165"/>
      <c r="C230" s="165"/>
      <c r="D230" s="165"/>
      <c r="E230" s="165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261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262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65" t="s">
        <v>263</v>
      </c>
      <c r="B243" s="165"/>
      <c r="C243" s="165"/>
      <c r="D243" s="165"/>
      <c r="E243" s="165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261</v>
      </c>
      <c r="S243" s="74">
        <v>825930</v>
      </c>
      <c r="T243" s="99"/>
    </row>
    <row r="244" spans="1:20" ht="18" customHeight="1">
      <c r="A244" s="164" t="s">
        <v>249</v>
      </c>
      <c r="B244" s="164"/>
      <c r="C244" s="164"/>
      <c r="D244" s="164"/>
      <c r="E244" s="164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264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65" t="s">
        <v>260</v>
      </c>
      <c r="B257" s="165"/>
      <c r="C257" s="165"/>
      <c r="D257" s="165"/>
      <c r="E257" s="165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261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274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274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274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274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274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274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274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274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274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274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274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274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65" t="s">
        <v>263</v>
      </c>
      <c r="B270" s="165"/>
      <c r="C270" s="165"/>
      <c r="D270" s="165"/>
      <c r="E270" s="165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732130</v>
      </c>
      <c r="T270" s="99"/>
    </row>
    <row r="271" spans="1:20" ht="18" customHeight="1">
      <c r="A271" s="164" t="s">
        <v>249</v>
      </c>
      <c r="B271" s="164"/>
      <c r="C271" s="164"/>
      <c r="D271" s="164"/>
      <c r="E271" s="164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264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274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274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274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274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259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274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65" t="s">
        <v>260</v>
      </c>
      <c r="B284" s="165"/>
      <c r="C284" s="165"/>
      <c r="D284" s="165"/>
      <c r="E284" s="165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259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259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274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274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259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259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259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259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259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65" t="s">
        <v>263</v>
      </c>
      <c r="B297" s="165"/>
      <c r="C297" s="165"/>
      <c r="D297" s="165"/>
      <c r="E297" s="165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990260</v>
      </c>
      <c r="T297" s="99"/>
    </row>
    <row r="298" spans="1:20" ht="18" customHeight="1">
      <c r="A298" s="164" t="s">
        <v>249</v>
      </c>
      <c r="B298" s="164"/>
      <c r="C298" s="164"/>
      <c r="D298" s="164"/>
      <c r="E298" s="164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274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274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274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274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274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274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274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274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274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274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274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274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65" t="s">
        <v>260</v>
      </c>
      <c r="B311" s="165"/>
      <c r="C311" s="165"/>
      <c r="D311" s="165"/>
      <c r="E311" s="165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261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274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274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274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274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274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274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274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274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274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274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65" t="s">
        <v>263</v>
      </c>
      <c r="B324" s="165"/>
      <c r="C324" s="165"/>
      <c r="D324" s="165"/>
      <c r="E324" s="165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261</v>
      </c>
      <c r="S324" s="74">
        <v>725030</v>
      </c>
      <c r="T324" s="99">
        <f>IFERROR(J324,"")</f>
        <v>104.40432</v>
      </c>
    </row>
    <row r="325" spans="1:20" ht="18" customHeight="1">
      <c r="A325" s="164" t="s">
        <v>249</v>
      </c>
      <c r="B325" s="164"/>
      <c r="C325" s="164"/>
      <c r="D325" s="164"/>
      <c r="E325" s="164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264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321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322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323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324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325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65" t="s">
        <v>260</v>
      </c>
      <c r="B338" s="165"/>
      <c r="C338" s="165"/>
      <c r="D338" s="165"/>
      <c r="E338" s="165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261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317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312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65" t="s">
        <v>263</v>
      </c>
      <c r="B351" s="165"/>
      <c r="C351" s="165"/>
      <c r="D351" s="165"/>
      <c r="E351" s="165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261</v>
      </c>
      <c r="S351" s="74">
        <v>712170</v>
      </c>
      <c r="T351" s="99">
        <f>IFERROR(J351,"")</f>
        <v>149.5557</v>
      </c>
    </row>
    <row r="352" spans="1:20" ht="18" customHeight="1">
      <c r="A352" s="164" t="s">
        <v>249</v>
      </c>
      <c r="B352" s="164"/>
      <c r="C352" s="164"/>
      <c r="D352" s="164"/>
      <c r="E352" s="164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264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305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65" t="s">
        <v>260</v>
      </c>
      <c r="B365" s="165"/>
      <c r="C365" s="165"/>
      <c r="D365" s="165"/>
      <c r="E365" s="165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261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326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65" t="s">
        <v>263</v>
      </c>
      <c r="B378" s="165"/>
      <c r="C378" s="165"/>
      <c r="D378" s="165"/>
      <c r="E378" s="165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261</v>
      </c>
      <c r="S378" s="74">
        <v>806300</v>
      </c>
      <c r="T378" s="99">
        <f>IFERROR(J378,"")</f>
        <v>169.32299999999998</v>
      </c>
    </row>
    <row r="379" spans="1:20" ht="18" customHeight="1">
      <c r="A379" s="164" t="s">
        <v>249</v>
      </c>
      <c r="B379" s="164"/>
      <c r="C379" s="164"/>
      <c r="D379" s="164"/>
      <c r="E379" s="164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264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274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274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327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65" t="s">
        <v>260</v>
      </c>
      <c r="B392" s="165"/>
      <c r="C392" s="165"/>
      <c r="D392" s="165"/>
      <c r="E392" s="165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261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328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65" t="s">
        <v>263</v>
      </c>
      <c r="B405" s="165"/>
      <c r="C405" s="165"/>
      <c r="D405" s="165"/>
      <c r="E405" s="165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261</v>
      </c>
      <c r="S405" s="74">
        <v>774540</v>
      </c>
      <c r="T405" s="99">
        <f>IFERROR(J405,"")</f>
        <v>156.22852721311477</v>
      </c>
    </row>
    <row r="406" spans="1:20" ht="18" customHeight="1">
      <c r="A406" s="164" t="s">
        <v>249</v>
      </c>
      <c r="B406" s="164"/>
      <c r="C406" s="164"/>
      <c r="D406" s="164"/>
      <c r="E406" s="164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264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65" t="s">
        <v>260</v>
      </c>
      <c r="B419" s="165"/>
      <c r="C419" s="165"/>
      <c r="D419" s="165"/>
      <c r="E419" s="165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261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329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263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261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249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264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330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331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65" t="s">
        <v>260</v>
      </c>
      <c r="B446" s="165"/>
      <c r="C446" s="165"/>
      <c r="D446" s="165"/>
      <c r="E446" s="165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261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259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332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333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65" t="s">
        <v>263</v>
      </c>
      <c r="B459" s="165"/>
      <c r="C459" s="165"/>
      <c r="D459" s="165"/>
      <c r="E459" s="165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261</v>
      </c>
      <c r="S459" s="74">
        <v>738730</v>
      </c>
      <c r="T459" s="99">
        <f>IFERROR(J459,"")</f>
        <v>144.10511642857142</v>
      </c>
    </row>
    <row r="460" spans="1:20" ht="18" customHeight="1">
      <c r="A460" s="164" t="s">
        <v>249</v>
      </c>
      <c r="B460" s="164"/>
      <c r="C460" s="164"/>
      <c r="D460" s="164"/>
      <c r="E460" s="164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264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334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65" t="s">
        <v>260</v>
      </c>
      <c r="B473" s="165"/>
      <c r="C473" s="165"/>
      <c r="D473" s="165"/>
      <c r="E473" s="165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261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335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336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65" t="s">
        <v>263</v>
      </c>
      <c r="B486" s="165"/>
      <c r="C486" s="165"/>
      <c r="D486" s="165"/>
      <c r="E486" s="165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261</v>
      </c>
      <c r="S486" s="74">
        <v>617620</v>
      </c>
      <c r="T486" s="99">
        <f>IFERROR(J486,"")</f>
        <v>88.937280000000001</v>
      </c>
    </row>
    <row r="487" spans="1:20" ht="18" customHeight="1">
      <c r="A487" s="164" t="s">
        <v>249</v>
      </c>
      <c r="B487" s="164"/>
      <c r="C487" s="164"/>
      <c r="D487" s="164"/>
      <c r="E487" s="164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264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312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291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65" t="s">
        <v>260</v>
      </c>
      <c r="B500" s="165"/>
      <c r="C500" s="165"/>
      <c r="D500" s="165"/>
      <c r="E500" s="165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261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100" t="s">
        <v>274</v>
      </c>
      <c r="F501" s="101">
        <f>IFERROR(IF($D501="","",VLOOKUP($D501,Cadastro!$C$4:$E$7,3,FALSE())),"")</f>
        <v>0.35</v>
      </c>
      <c r="G501" s="89">
        <v>12</v>
      </c>
      <c r="H501" s="101">
        <f>IFERROR(IF($G501="","",$G501*$S$513/$G$513/Cadastro!$E$33),"")</f>
        <v>0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0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31</v>
      </c>
      <c r="E502" s="100" t="s">
        <v>274</v>
      </c>
      <c r="F502" s="88">
        <f>IFERROR(IF($D502="","",VLOOKUP($D502,Cadastro!$C$4:$E$7,3,FALSE())),"")</f>
        <v>0.35</v>
      </c>
      <c r="G502" s="89">
        <v>7</v>
      </c>
      <c r="H502" s="88">
        <f>IFERROR(IF($G502="","",$G502*$S$513/$G$513/Cadastro!$E$33),"")</f>
        <v>0</v>
      </c>
      <c r="I502" s="90">
        <f>IFERROR(IF($D502="","",VLOOKUP($D502,Cadastro!$C$4:$G$7,5,FALSE())),"")</f>
        <v>0.6</v>
      </c>
      <c r="J502" s="91">
        <f t="shared" si="126"/>
        <v>0</v>
      </c>
      <c r="K502" s="64">
        <f t="shared" si="127"/>
        <v>29.400000000000002</v>
      </c>
      <c r="L502" s="61" t="s">
        <v>29</v>
      </c>
      <c r="M502" s="61" t="s">
        <v>136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31</v>
      </c>
      <c r="E503" s="100" t="s">
        <v>274</v>
      </c>
      <c r="F503" s="88">
        <f>IFERROR(IF($D503="","",VLOOKUP($D503,Cadastro!$C$4:$E$7,3,FALSE())),"")</f>
        <v>0.35</v>
      </c>
      <c r="G503" s="89">
        <v>5</v>
      </c>
      <c r="H503" s="88">
        <f>IFERROR(IF($G503="","",$G503*$S$513/$G$513/Cadastro!$E$33),"")</f>
        <v>0</v>
      </c>
      <c r="I503" s="90">
        <f>IFERROR(IF($D503="","",VLOOKUP($D503,Cadastro!$C$4:$G$7,5,FALSE())),"")</f>
        <v>0.6</v>
      </c>
      <c r="J503" s="91">
        <f t="shared" si="126"/>
        <v>0</v>
      </c>
      <c r="K503" s="69">
        <f t="shared" si="127"/>
        <v>21</v>
      </c>
      <c r="L503" s="70" t="s">
        <v>29</v>
      </c>
      <c r="M503" s="70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31</v>
      </c>
      <c r="E504" s="100" t="s">
        <v>274</v>
      </c>
      <c r="F504" s="88">
        <f>IFERROR(IF($D504="","",VLOOKUP($D504,Cadastro!$C$4:$E$7,3,FALSE())),"")</f>
        <v>0.35</v>
      </c>
      <c r="G504" s="89">
        <v>10</v>
      </c>
      <c r="H504" s="88">
        <f>IFERROR(IF($G504="","",$G504*$S$513/$G$513/Cadastro!$E$33),"")</f>
        <v>0</v>
      </c>
      <c r="I504" s="90">
        <f>IFERROR(IF($D504="","",VLOOKUP($D504,Cadastro!$C$4:$G$7,5,FALSE())),"")</f>
        <v>0.6</v>
      </c>
      <c r="J504" s="91">
        <f t="shared" si="126"/>
        <v>0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31</v>
      </c>
      <c r="E505" s="100" t="s">
        <v>274</v>
      </c>
      <c r="F505" s="88">
        <f>IFERROR(IF($D505="","",VLOOKUP($D505,Cadastro!$C$4:$E$7,3,FALSE())),"")</f>
        <v>0.35</v>
      </c>
      <c r="G505" s="89">
        <v>8</v>
      </c>
      <c r="H505" s="88">
        <f>IFERROR(IF($G505="","",$G505*$S$513/$G$513/Cadastro!$E$33),"")</f>
        <v>0</v>
      </c>
      <c r="I505" s="90">
        <f>IFERROR(IF($D505="","",VLOOKUP($D505,Cadastro!$C$4:$G$7,5,FALSE())),"")</f>
        <v>0.6</v>
      </c>
      <c r="J505" s="91">
        <f t="shared" si="126"/>
        <v>0</v>
      </c>
      <c r="K505" s="69">
        <f t="shared" si="127"/>
        <v>33.6</v>
      </c>
      <c r="L505" s="70"/>
      <c r="M505" s="70"/>
      <c r="N505" s="70"/>
      <c r="O505" s="65"/>
      <c r="P505" s="65"/>
      <c r="Q505" s="71" t="str">
        <f t="shared" ca="1" si="128"/>
        <v/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31</v>
      </c>
      <c r="E506" s="100" t="s">
        <v>274</v>
      </c>
      <c r="F506" s="88">
        <f>IFERROR(IF($D506="","",VLOOKUP($D506,Cadastro!$C$4:$E$7,3,FALSE())),"")</f>
        <v>0.35</v>
      </c>
      <c r="G506" s="89">
        <v>12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6"/>
        <v>0</v>
      </c>
      <c r="K506" s="64">
        <f t="shared" si="127"/>
        <v>50.400000000000006</v>
      </c>
      <c r="L506" s="61"/>
      <c r="M506" s="61"/>
      <c r="N506" s="61"/>
      <c r="O506" s="65"/>
      <c r="P506" s="65"/>
      <c r="Q506" s="66" t="str">
        <f t="shared" ca="1" si="128"/>
        <v/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31</v>
      </c>
      <c r="E507" s="100" t="s">
        <v>274</v>
      </c>
      <c r="F507" s="88">
        <f>IFERROR(IF($D507="","",VLOOKUP($D507,Cadastro!$C$4:$E$7,3,FALSE())),"")</f>
        <v>0.35</v>
      </c>
      <c r="G507" s="89">
        <v>17</v>
      </c>
      <c r="H507" s="88">
        <f>IFERROR(IF($G507="","",$G507*$S$513/$G$513/Cadastro!$E$33),"")</f>
        <v>0</v>
      </c>
      <c r="I507" s="90">
        <f>IFERROR(IF($D507="","",VLOOKUP($D507,Cadastro!$C$4:$G$7,5,FALSE())),"")</f>
        <v>0.6</v>
      </c>
      <c r="J507" s="91">
        <f t="shared" si="126"/>
        <v>0</v>
      </c>
      <c r="K507" s="69">
        <f t="shared" si="127"/>
        <v>71.400000000000006</v>
      </c>
      <c r="L507" s="70"/>
      <c r="M507" s="70"/>
      <c r="N507" s="70"/>
      <c r="O507" s="65"/>
      <c r="P507" s="65"/>
      <c r="Q507" s="71" t="str">
        <f t="shared" ca="1" si="128"/>
        <v/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0</v>
      </c>
      <c r="I508" s="90">
        <f>IFERROR(IF($D508="","",VLOOKUP($D508,Cadastro!$C$4:$G$7,5,FALSE())),"")</f>
        <v>0.6</v>
      </c>
      <c r="J508" s="91">
        <f t="shared" si="126"/>
        <v>0</v>
      </c>
      <c r="K508" s="64">
        <f t="shared" si="127"/>
        <v>25.200000000000003</v>
      </c>
      <c r="L508" s="61"/>
      <c r="M508" s="61"/>
      <c r="N508" s="61"/>
      <c r="O508" s="65"/>
      <c r="P508" s="65"/>
      <c r="Q508" s="66" t="str">
        <f t="shared" ca="1" si="128"/>
        <v/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0</v>
      </c>
      <c r="I509" s="90">
        <f>IFERROR(IF($D509="","",VLOOKUP($D509,Cadastro!$C$4:$G$7,5,FALSE())),"")</f>
        <v>0.6</v>
      </c>
      <c r="J509" s="91">
        <f t="shared" si="126"/>
        <v>0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/>
      <c r="E510" s="100"/>
      <c r="F510" s="88" t="str">
        <f>IFERROR(IF($D510="","",VLOOKUP($D510,Cadastro!$C$4:$E$7,3,FALSE())),"")</f>
        <v/>
      </c>
      <c r="G510" s="89"/>
      <c r="H510" s="88" t="str">
        <f>IFERROR(IF($G510="","",$G510*$S$513/$G$513/Cadastro!$E$33),"")</f>
        <v/>
      </c>
      <c r="I510" s="90" t="str">
        <f>IFERROR(IF($D510="","",VLOOKUP($D510,Cadastro!$C$4:$G$7,5,FALSE())),"")</f>
        <v/>
      </c>
      <c r="J510" s="91" t="str">
        <f t="shared" si="126"/>
        <v/>
      </c>
      <c r="K510" s="64" t="str">
        <f t="shared" si="127"/>
        <v/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/>
      <c r="E511" s="100"/>
      <c r="F511" s="88" t="str">
        <f>IFERROR(IF($D511="","",VLOOKUP($D511,Cadastro!$C$4:$E$7,3,FALSE())),"")</f>
        <v/>
      </c>
      <c r="G511" s="89"/>
      <c r="H511" s="88" t="str">
        <f>IFERROR(IF($G511="","",$G511*$S$513/$G$513/Cadastro!$E$33),"")</f>
        <v/>
      </c>
      <c r="I511" s="90" t="str">
        <f>IFERROR(IF($D511="","",VLOOKUP($D511,Cadastro!$C$4:$G$7,5,FALSE())),"")</f>
        <v/>
      </c>
      <c r="J511" s="91" t="str">
        <f t="shared" si="126"/>
        <v/>
      </c>
      <c r="K511" s="69" t="str">
        <f t="shared" si="127"/>
        <v/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/>
      <c r="E512" s="100"/>
      <c r="F512" s="92" t="str">
        <f>IFERROR(IF($D512="","",VLOOKUP($D512,Cadastro!$C$4:$E$7,3,FALSE())),"")</f>
        <v/>
      </c>
      <c r="G512" s="89"/>
      <c r="H512" s="92" t="str">
        <f>IFERROR(IF($G512="","",$G512*$S$513/$G$513/Cadastro!$E$33),"")</f>
        <v/>
      </c>
      <c r="I512" s="93" t="str">
        <f>IFERROR(IF($D512="","",VLOOKUP($D512,Cadastro!$C$4:$G$7,5,FALSE())),"")</f>
        <v/>
      </c>
      <c r="J512" s="94" t="str">
        <f t="shared" si="126"/>
        <v/>
      </c>
      <c r="K512" s="64" t="str">
        <f t="shared" si="127"/>
        <v/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263</v>
      </c>
      <c r="B513" s="121"/>
      <c r="C513" s="121"/>
      <c r="D513" s="121"/>
      <c r="E513" s="121"/>
      <c r="F513" s="105"/>
      <c r="G513" s="96">
        <f>SUM(G501:G512)</f>
        <v>97</v>
      </c>
      <c r="H513" s="105">
        <f>IFERROR(SUM(H501:H512),"")</f>
        <v>0</v>
      </c>
      <c r="I513" s="106"/>
      <c r="J513" s="107">
        <f>IFERROR(SUM(J501:J512),"")</f>
        <v>0</v>
      </c>
      <c r="K513" s="83">
        <f>SUM(K501:K512)</f>
        <v>407.40000000000003</v>
      </c>
      <c r="L513" s="72"/>
      <c r="M513" s="72"/>
      <c r="N513" s="72"/>
      <c r="O513" s="72"/>
      <c r="P513" s="72"/>
      <c r="Q513" s="73">
        <f ca="1">IFERROR(SUM(Q501:Q512),"")</f>
        <v>6.5277777777777643E-2</v>
      </c>
      <c r="R513" s="2" t="s">
        <v>261</v>
      </c>
      <c r="S513" s="74"/>
      <c r="T513" s="99">
        <f>IFERROR(J513,"")</f>
        <v>0</v>
      </c>
    </row>
    <row r="514" spans="1:20" ht="18" customHeight="1">
      <c r="A514" s="122" t="s">
        <v>249</v>
      </c>
      <c r="B514" s="123"/>
      <c r="C514" s="123"/>
      <c r="D514" s="123"/>
      <c r="E514" s="123"/>
      <c r="F514" s="108"/>
      <c r="G514" s="109">
        <f>G500+G513</f>
        <v>239</v>
      </c>
      <c r="H514" s="108">
        <f>IFERROR(H500+H513,"")</f>
        <v>598.33999999999992</v>
      </c>
      <c r="I514" s="110"/>
      <c r="J514" s="111">
        <f>IFERROR(J500+J513,"")</f>
        <v>86.160960000000003</v>
      </c>
      <c r="K514" s="125">
        <f>K500+K513</f>
        <v>1012.6000000000001</v>
      </c>
      <c r="L514" s="76"/>
      <c r="M514" s="76"/>
      <c r="N514" s="76"/>
      <c r="O514" s="76"/>
      <c r="P514" s="76"/>
      <c r="Q514" s="77">
        <f ca="1">IFERROR(Q500+Q513,"")</f>
        <v>0.15694444444444428</v>
      </c>
      <c r="R514" s="1" t="s">
        <v>264</v>
      </c>
      <c r="S514" s="82">
        <f>IFERROR(S500+S513,"")</f>
        <v>598340</v>
      </c>
      <c r="T514" s="118">
        <f>IFERROR(J514,"")</f>
        <v>86.160960000000003</v>
      </c>
    </row>
    <row r="515" spans="1:20" ht="15" customHeight="1">
      <c r="A515" s="18">
        <v>46254</v>
      </c>
      <c r="B515" s="68">
        <v>0.33333333333333298</v>
      </c>
      <c r="C515" s="70"/>
      <c r="D515" s="75"/>
      <c r="E515" s="100"/>
      <c r="F515" s="101" t="str">
        <f>IFERROR(IF($D515="","",VLOOKUP($D515,Cadastro!$C$4:$E$7,3,FALSE())),"")</f>
        <v/>
      </c>
      <c r="G515" s="89"/>
      <c r="H515" s="101" t="str">
        <f>IFERROR(IF($G515="","",$G515*$S$527/$G$527/Cadastro!$E$33),"")</f>
        <v/>
      </c>
      <c r="I515" s="102" t="str">
        <f>IFERROR(IF($D515="","",VLOOKUP($D515,Cadastro!$C$4:$G$7,5,FALSE())),"")</f>
        <v/>
      </c>
      <c r="J515" s="103" t="str">
        <f t="shared" ref="J515:J526" si="130">IFERROR(IF($H515="","",$H515*$F515*$I515),"")</f>
        <v/>
      </c>
      <c r="K515" s="69" t="str">
        <f t="shared" ref="K515:K526" si="131">IF(G515="","",IF(E515="PC 17",G515*4.2,IF(E515="PC 19",G515*5,IF(E515="CB",G515*24,""))))</f>
        <v/>
      </c>
      <c r="L515" s="70"/>
      <c r="M515" s="70"/>
      <c r="N515" s="70"/>
      <c r="O515" s="65"/>
      <c r="P515" s="65"/>
      <c r="Q515" s="71" t="str">
        <f t="shared" ref="Q515:Q526" ca="1" si="132">IFERROR(IF(O515="","",IF(P515="",MOD(NOW()-O515,1),IF(P515&gt;=O515,P515-O515,P515+1-O515))),"")</f>
        <v/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/>
      <c r="D516" s="75"/>
      <c r="E516" s="100"/>
      <c r="F516" s="88" t="str">
        <f>IFERROR(IF($D516="","",VLOOKUP($D516,Cadastro!$C$4:$E$7,3,FALSE())),"")</f>
        <v/>
      </c>
      <c r="G516" s="89"/>
      <c r="H516" s="88" t="str">
        <f>IFERROR(IF($G516="","",$G516*$S$527/$G$527/Cadastro!$E$33),"")</f>
        <v/>
      </c>
      <c r="I516" s="90" t="str">
        <f>IFERROR(IF($D516="","",VLOOKUP($D516,Cadastro!$C$4:$G$7,5,FALSE())),"")</f>
        <v/>
      </c>
      <c r="J516" s="91" t="str">
        <f t="shared" si="130"/>
        <v/>
      </c>
      <c r="K516" s="64" t="str">
        <f t="shared" si="131"/>
        <v/>
      </c>
      <c r="L516" s="70"/>
      <c r="M516" s="61"/>
      <c r="N516" s="70"/>
      <c r="O516" s="65"/>
      <c r="P516" s="65"/>
      <c r="Q516" s="66" t="str">
        <f t="shared" ca="1" si="132"/>
        <v/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/>
      <c r="D517" s="75"/>
      <c r="E517" s="100"/>
      <c r="F517" s="88" t="str">
        <f>IFERROR(IF($D517="","",VLOOKUP($D517,Cadastro!$C$4:$E$7,3,FALSE())),"")</f>
        <v/>
      </c>
      <c r="G517" s="89"/>
      <c r="H517" s="88" t="str">
        <f>IFERROR(IF($G517="","",$G517*$S$527/$G$527/Cadastro!$E$33),"")</f>
        <v/>
      </c>
      <c r="I517" s="90" t="str">
        <f>IFERROR(IF($D517="","",VLOOKUP($D517,Cadastro!$C$4:$G$7,5,FALSE())),"")</f>
        <v/>
      </c>
      <c r="J517" s="91" t="str">
        <f t="shared" si="130"/>
        <v/>
      </c>
      <c r="K517" s="69" t="str">
        <f t="shared" si="131"/>
        <v/>
      </c>
      <c r="L517" s="70"/>
      <c r="M517" s="70"/>
      <c r="N517" s="70"/>
      <c r="O517" s="65"/>
      <c r="P517" s="65"/>
      <c r="Q517" s="71" t="str">
        <f t="shared" ca="1" si="132"/>
        <v/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/>
      <c r="D518" s="75"/>
      <c r="E518" s="100"/>
      <c r="F518" s="88" t="str">
        <f>IFERROR(IF($D518="","",VLOOKUP($D518,Cadastro!$C$4:$E$7,3,FALSE())),"")</f>
        <v/>
      </c>
      <c r="G518" s="89"/>
      <c r="H518" s="88" t="str">
        <f>IFERROR(IF($G518="","",$G518*$S$527/$G$527/Cadastro!$E$33),"")</f>
        <v/>
      </c>
      <c r="I518" s="90" t="str">
        <f>IFERROR(IF($D518="","",VLOOKUP($D518,Cadastro!$C$4:$G$7,5,FALSE())),"")</f>
        <v/>
      </c>
      <c r="J518" s="91" t="str">
        <f t="shared" si="130"/>
        <v/>
      </c>
      <c r="K518" s="64" t="str">
        <f t="shared" si="131"/>
        <v/>
      </c>
      <c r="L518" s="70"/>
      <c r="M518" s="61"/>
      <c r="N518" s="61"/>
      <c r="O518" s="65"/>
      <c r="P518" s="65"/>
      <c r="Q518" s="66" t="str">
        <f t="shared" ca="1" si="132"/>
        <v/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/>
      <c r="D519" s="75"/>
      <c r="E519" s="100"/>
      <c r="F519" s="88" t="str">
        <f>IFERROR(IF($D519="","",VLOOKUP($D519,Cadastro!$C$4:$E$7,3,FALSE())),"")</f>
        <v/>
      </c>
      <c r="G519" s="89"/>
      <c r="H519" s="88" t="str">
        <f>IFERROR(IF($G519="","",$G519*$S$527/$G$527/Cadastro!$E$33),"")</f>
        <v/>
      </c>
      <c r="I519" s="90" t="str">
        <f>IFERROR(IF($D519="","",VLOOKUP($D519,Cadastro!$C$4:$G$7,5,FALSE())),"")</f>
        <v/>
      </c>
      <c r="J519" s="91" t="str">
        <f t="shared" si="130"/>
        <v/>
      </c>
      <c r="K519" s="69" t="str">
        <f t="shared" si="131"/>
        <v/>
      </c>
      <c r="L519" s="70"/>
      <c r="M519" s="70"/>
      <c r="N519" s="70"/>
      <c r="O519" s="65"/>
      <c r="P519" s="65"/>
      <c r="Q519" s="71" t="str">
        <f t="shared" ca="1" si="132"/>
        <v/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/>
      <c r="D520" s="75"/>
      <c r="E520" s="100"/>
      <c r="F520" s="88" t="str">
        <f>IFERROR(IF($D520="","",VLOOKUP($D520,Cadastro!$C$4:$E$7,3,FALSE())),"")</f>
        <v/>
      </c>
      <c r="G520" s="89"/>
      <c r="H520" s="88" t="str">
        <f>IFERROR(IF($G520="","",$G520*$S$527/$G$527/Cadastro!$E$33),"")</f>
        <v/>
      </c>
      <c r="I520" s="90" t="str">
        <f>IFERROR(IF($D520="","",VLOOKUP($D520,Cadastro!$C$4:$G$7,5,FALSE())),"")</f>
        <v/>
      </c>
      <c r="J520" s="91" t="str">
        <f t="shared" si="130"/>
        <v/>
      </c>
      <c r="K520" s="64" t="str">
        <f t="shared" si="131"/>
        <v/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/>
      <c r="D521" s="75"/>
      <c r="E521" s="100"/>
      <c r="F521" s="88" t="str">
        <f>IFERROR(IF($D521="","",VLOOKUP($D521,Cadastro!$C$4:$E$7,3,FALSE())),"")</f>
        <v/>
      </c>
      <c r="G521" s="89"/>
      <c r="H521" s="88" t="str">
        <f>IFERROR(IF($G521="","",$G521*$S$527/$G$527/Cadastro!$E$33),"")</f>
        <v/>
      </c>
      <c r="I521" s="90" t="str">
        <f>IFERROR(IF($D521="","",VLOOKUP($D521,Cadastro!$C$4:$G$7,5,FALSE())),"")</f>
        <v/>
      </c>
      <c r="J521" s="91" t="str">
        <f t="shared" si="130"/>
        <v/>
      </c>
      <c r="K521" s="69" t="str">
        <f t="shared" si="131"/>
        <v/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/>
      <c r="D522" s="75"/>
      <c r="E522" s="100"/>
      <c r="F522" s="88" t="str">
        <f>IFERROR(IF($D522="","",VLOOKUP($D522,Cadastro!$C$4:$E$7,3,FALSE())),"")</f>
        <v/>
      </c>
      <c r="G522" s="89"/>
      <c r="H522" s="88" t="str">
        <f>IFERROR(IF($G522="","",$G522*$S$527/$G$527/Cadastro!$E$33),"")</f>
        <v/>
      </c>
      <c r="I522" s="90" t="str">
        <f>IFERROR(IF($D522="","",VLOOKUP($D522,Cadastro!$C$4:$G$7,5,FALSE())),"")</f>
        <v/>
      </c>
      <c r="J522" s="91" t="str">
        <f t="shared" si="130"/>
        <v/>
      </c>
      <c r="K522" s="64" t="str">
        <f t="shared" si="131"/>
        <v/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/>
      <c r="D523" s="75"/>
      <c r="E523" s="100"/>
      <c r="F523" s="88" t="str">
        <f>IFERROR(IF($D523="","",VLOOKUP($D523,Cadastro!$C$4:$E$7,3,FALSE())),"")</f>
        <v/>
      </c>
      <c r="G523" s="89"/>
      <c r="H523" s="88" t="str">
        <f>IFERROR(IF($G523="","",$G523*$S$527/$G$527/Cadastro!$E$33),"")</f>
        <v/>
      </c>
      <c r="I523" s="90" t="str">
        <f>IFERROR(IF($D523="","",VLOOKUP($D523,Cadastro!$C$4:$G$7,5,FALSE())),"")</f>
        <v/>
      </c>
      <c r="J523" s="91" t="str">
        <f t="shared" si="130"/>
        <v/>
      </c>
      <c r="K523" s="69" t="str">
        <f t="shared" si="131"/>
        <v/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/>
      <c r="D524" s="75"/>
      <c r="E524" s="100"/>
      <c r="F524" s="88" t="str">
        <f>IFERROR(IF($D524="","",VLOOKUP($D524,Cadastro!$C$4:$E$7,3,FALSE())),"")</f>
        <v/>
      </c>
      <c r="G524" s="89"/>
      <c r="H524" s="88" t="str">
        <f>IFERROR(IF($G524="","",$G524*$S$527/$G$527/Cadastro!$E$33),"")</f>
        <v/>
      </c>
      <c r="I524" s="90" t="str">
        <f>IFERROR(IF($D524="","",VLOOKUP($D524,Cadastro!$C$4:$G$7,5,FALSE())),"")</f>
        <v/>
      </c>
      <c r="J524" s="91" t="str">
        <f t="shared" si="130"/>
        <v/>
      </c>
      <c r="K524" s="64" t="str">
        <f t="shared" si="131"/>
        <v/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/>
      <c r="D525" s="75"/>
      <c r="E525" s="100"/>
      <c r="F525" s="88" t="str">
        <f>IFERROR(IF($D525="","",VLOOKUP($D525,Cadastro!$C$4:$E$7,3,FALSE())),"")</f>
        <v/>
      </c>
      <c r="G525" s="89"/>
      <c r="H525" s="88" t="str">
        <f>IFERROR(IF($G525="","",$G525*$S$527/$G$527/Cadastro!$E$33),"")</f>
        <v/>
      </c>
      <c r="I525" s="90" t="str">
        <f>IFERROR(IF($D525="","",VLOOKUP($D525,Cadastro!$C$4:$G$7,5,FALSE())),"")</f>
        <v/>
      </c>
      <c r="J525" s="91" t="str">
        <f t="shared" si="130"/>
        <v/>
      </c>
      <c r="K525" s="69" t="str">
        <f t="shared" si="131"/>
        <v/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/>
      <c r="D526" s="75"/>
      <c r="E526" s="100"/>
      <c r="F526" s="92" t="str">
        <f>IFERROR(IF($D526="","",VLOOKUP($D526,Cadastro!$C$4:$E$7,3,FALSE())),"")</f>
        <v/>
      </c>
      <c r="G526" s="89"/>
      <c r="H526" s="92" t="str">
        <f>IFERROR(IF($G526="","",$G526*$S$527/$G$527/Cadastro!$E$33),"")</f>
        <v/>
      </c>
      <c r="I526" s="93" t="str">
        <f>IFERROR(IF($D526="","",VLOOKUP($D526,Cadastro!$C$4:$G$7,5,FALSE())),"")</f>
        <v/>
      </c>
      <c r="J526" s="94" t="str">
        <f t="shared" si="130"/>
        <v/>
      </c>
      <c r="K526" s="64" t="str">
        <f t="shared" si="131"/>
        <v/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65" t="s">
        <v>260</v>
      </c>
      <c r="B527" s="165"/>
      <c r="C527" s="165"/>
      <c r="D527" s="165"/>
      <c r="E527" s="165"/>
      <c r="F527" s="95"/>
      <c r="G527" s="96">
        <f>SUM(G515:G526)</f>
        <v>0</v>
      </c>
      <c r="H527" s="95">
        <f>IFERROR(SUM(H515:H526),"")</f>
        <v>0</v>
      </c>
      <c r="I527" s="97"/>
      <c r="J527" s="98">
        <f>IFERROR(SUM(J515:J526),"")</f>
        <v>0</v>
      </c>
      <c r="K527" s="83">
        <f>SUM(K515:K526)</f>
        <v>0</v>
      </c>
      <c r="L527" s="72"/>
      <c r="M527" s="72"/>
      <c r="N527" s="72"/>
      <c r="O527" s="72"/>
      <c r="P527" s="72"/>
      <c r="Q527" s="73">
        <f ca="1">IFERROR(SUM(Q515:Q526),"")</f>
        <v>0</v>
      </c>
      <c r="R527" s="2" t="s">
        <v>261</v>
      </c>
      <c r="S527" s="74"/>
      <c r="T527" s="99">
        <f>IFERROR(J527,"")</f>
        <v>0</v>
      </c>
    </row>
    <row r="528" spans="1:20" ht="15" customHeight="1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4">IFERROR(IF($H528="","",$H528*$F528*$I528),"")</f>
        <v/>
      </c>
      <c r="K528" s="64" t="str">
        <f t="shared" ref="K528:K539" si="135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6">IFERROR(IF(O528="","",IF(P528="",MOD(NOW()-O528,1),IF(P528&gt;=O528,P528-O528,P528+1-O528))),"")</f>
        <v/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4"/>
        <v/>
      </c>
      <c r="K529" s="69" t="str">
        <f t="shared" si="135"/>
        <v/>
      </c>
      <c r="L529" s="70"/>
      <c r="M529" s="70"/>
      <c r="N529" s="70"/>
      <c r="O529" s="65"/>
      <c r="P529" s="65"/>
      <c r="Q529" s="71" t="str">
        <f t="shared" ca="1" si="136"/>
        <v/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4"/>
        <v/>
      </c>
      <c r="K530" s="64" t="str">
        <f t="shared" si="135"/>
        <v/>
      </c>
      <c r="L530" s="61"/>
      <c r="M530" s="61"/>
      <c r="N530" s="61"/>
      <c r="O530" s="65"/>
      <c r="P530" s="65"/>
      <c r="Q530" s="66" t="str">
        <f t="shared" ca="1" si="136"/>
        <v/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4"/>
        <v/>
      </c>
      <c r="K531" s="69" t="str">
        <f t="shared" si="135"/>
        <v/>
      </c>
      <c r="L531" s="70"/>
      <c r="M531" s="70"/>
      <c r="N531" s="70"/>
      <c r="O531" s="65"/>
      <c r="P531" s="65"/>
      <c r="Q531" s="71" t="str">
        <f t="shared" ca="1" si="136"/>
        <v/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4"/>
        <v/>
      </c>
      <c r="K532" s="64" t="str">
        <f t="shared" si="135"/>
        <v/>
      </c>
      <c r="L532" s="61"/>
      <c r="M532" s="61"/>
      <c r="N532" s="61"/>
      <c r="O532" s="65"/>
      <c r="P532" s="65"/>
      <c r="Q532" s="66" t="str">
        <f t="shared" ca="1" si="136"/>
        <v/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4"/>
        <v/>
      </c>
      <c r="K533" s="69" t="str">
        <f t="shared" si="135"/>
        <v/>
      </c>
      <c r="L533" s="70"/>
      <c r="M533" s="70"/>
      <c r="N533" s="70"/>
      <c r="O533" s="65"/>
      <c r="P533" s="65"/>
      <c r="Q533" s="71" t="str">
        <f t="shared" ca="1" si="136"/>
        <v/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4"/>
        <v/>
      </c>
      <c r="K534" s="64" t="str">
        <f t="shared" si="135"/>
        <v/>
      </c>
      <c r="L534" s="61"/>
      <c r="M534" s="61"/>
      <c r="N534" s="61"/>
      <c r="O534" s="65"/>
      <c r="P534" s="65"/>
      <c r="Q534" s="66" t="str">
        <f t="shared" ca="1" si="136"/>
        <v/>
      </c>
      <c r="R534" s="80"/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4"/>
        <v/>
      </c>
      <c r="K535" s="69" t="str">
        <f t="shared" si="135"/>
        <v/>
      </c>
      <c r="L535" s="70"/>
      <c r="M535" s="70"/>
      <c r="N535" s="70"/>
      <c r="O535" s="65"/>
      <c r="P535" s="65"/>
      <c r="Q535" s="71" t="str">
        <f t="shared" ca="1" si="136"/>
        <v/>
      </c>
      <c r="R535" s="80"/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4"/>
        <v/>
      </c>
      <c r="K536" s="64" t="str">
        <f t="shared" si="135"/>
        <v/>
      </c>
      <c r="L536" s="61"/>
      <c r="M536" s="61"/>
      <c r="N536" s="61"/>
      <c r="O536" s="65"/>
      <c r="P536" s="65"/>
      <c r="Q536" s="66" t="str">
        <f t="shared" ca="1" si="136"/>
        <v/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65" t="s">
        <v>263</v>
      </c>
      <c r="B540" s="165"/>
      <c r="C540" s="165"/>
      <c r="D540" s="165"/>
      <c r="E540" s="165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72"/>
      <c r="P540" s="72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64" t="s">
        <v>249</v>
      </c>
      <c r="B541" s="164"/>
      <c r="C541" s="164"/>
      <c r="D541" s="164"/>
      <c r="E541" s="164"/>
      <c r="F541" s="108"/>
      <c r="G541" s="109">
        <f>G527+G540</f>
        <v>0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0</v>
      </c>
      <c r="L541" s="76"/>
      <c r="M541" s="76"/>
      <c r="N541" s="76"/>
      <c r="O541" s="76"/>
      <c r="P541" s="76"/>
      <c r="Q541" s="77">
        <f ca="1">IFERROR(Q527+Q540,"")</f>
        <v>0</v>
      </c>
      <c r="R541" s="1" t="s">
        <v>264</v>
      </c>
      <c r="S541" s="82">
        <f>IFERROR(S527+S540,"")</f>
        <v>0</v>
      </c>
      <c r="T541" s="118">
        <f>IFERROR(J541,"")</f>
        <v>0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65" t="s">
        <v>260</v>
      </c>
      <c r="B554" s="165"/>
      <c r="C554" s="165"/>
      <c r="D554" s="165"/>
      <c r="E554" s="165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4">IFERROR(IF(O555="","",IF(P555="",MOD(NOW()-O555,1),IF(P555&gt;=O555,P555-O555,P555+1-O555))),"")</f>
        <v/>
      </c>
      <c r="R555" s="80"/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65" t="s">
        <v>263</v>
      </c>
      <c r="B567" s="165"/>
      <c r="C567" s="165"/>
      <c r="D567" s="165"/>
      <c r="E567" s="165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64" t="s">
        <v>249</v>
      </c>
      <c r="B568" s="164"/>
      <c r="C568" s="164"/>
      <c r="D568" s="164"/>
      <c r="E568" s="164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8">IFERROR(IF(O569="","",IF(P569="",MOD(NOW()-O569,1),IF(P569&gt;=O569,P569-O569,P569+1-O569))),"")</f>
        <v/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65" t="s">
        <v>260</v>
      </c>
      <c r="B581" s="165"/>
      <c r="C581" s="165"/>
      <c r="D581" s="165"/>
      <c r="E581" s="165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65" t="s">
        <v>263</v>
      </c>
      <c r="B594" s="165"/>
      <c r="C594" s="165"/>
      <c r="D594" s="165"/>
      <c r="E594" s="165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64" t="s">
        <v>249</v>
      </c>
      <c r="B595" s="164"/>
      <c r="C595" s="164"/>
      <c r="D595" s="164"/>
      <c r="E595" s="164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65" t="s">
        <v>260</v>
      </c>
      <c r="B608" s="165"/>
      <c r="C608" s="165"/>
      <c r="D608" s="165"/>
      <c r="E608" s="165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65" t="s">
        <v>263</v>
      </c>
      <c r="B621" s="165"/>
      <c r="C621" s="165"/>
      <c r="D621" s="165"/>
      <c r="E621" s="165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64" t="s">
        <v>249</v>
      </c>
      <c r="B622" s="164"/>
      <c r="C622" s="164"/>
      <c r="D622" s="164"/>
      <c r="E622" s="164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65" t="s">
        <v>260</v>
      </c>
      <c r="B635" s="165"/>
      <c r="C635" s="165"/>
      <c r="D635" s="165"/>
      <c r="E635" s="165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65" t="s">
        <v>263</v>
      </c>
      <c r="B648" s="165"/>
      <c r="C648" s="165"/>
      <c r="D648" s="165"/>
      <c r="E648" s="165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64" t="s">
        <v>249</v>
      </c>
      <c r="B649" s="164"/>
      <c r="C649" s="164"/>
      <c r="D649" s="164"/>
      <c r="E649" s="164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65" t="s">
        <v>260</v>
      </c>
      <c r="B662" s="165"/>
      <c r="C662" s="165"/>
      <c r="D662" s="165"/>
      <c r="E662" s="165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65" t="s">
        <v>263</v>
      </c>
      <c r="B675" s="165"/>
      <c r="C675" s="165"/>
      <c r="D675" s="165"/>
      <c r="E675" s="165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64" t="s">
        <v>249</v>
      </c>
      <c r="B676" s="164"/>
      <c r="C676" s="164"/>
      <c r="D676" s="164"/>
      <c r="E676" s="164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65" t="s">
        <v>260</v>
      </c>
      <c r="B689" s="165"/>
      <c r="C689" s="165"/>
      <c r="D689" s="165"/>
      <c r="E689" s="165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65" t="s">
        <v>263</v>
      </c>
      <c r="B702" s="165"/>
      <c r="C702" s="165"/>
      <c r="D702" s="165"/>
      <c r="E702" s="165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64" t="s">
        <v>249</v>
      </c>
      <c r="B703" s="164"/>
      <c r="C703" s="164"/>
      <c r="D703" s="164"/>
      <c r="E703" s="164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65" t="s">
        <v>260</v>
      </c>
      <c r="B716" s="165"/>
      <c r="C716" s="165"/>
      <c r="D716" s="165"/>
      <c r="E716" s="165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65" t="s">
        <v>263</v>
      </c>
      <c r="B729" s="165"/>
      <c r="C729" s="165"/>
      <c r="D729" s="165"/>
      <c r="E729" s="165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64" t="s">
        <v>249</v>
      </c>
      <c r="B730" s="164"/>
      <c r="C730" s="164"/>
      <c r="D730" s="164"/>
      <c r="E730" s="164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65" t="s">
        <v>260</v>
      </c>
      <c r="B743" s="165"/>
      <c r="C743" s="165"/>
      <c r="D743" s="165"/>
      <c r="E743" s="165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65" t="s">
        <v>263</v>
      </c>
      <c r="B756" s="165"/>
      <c r="C756" s="165"/>
      <c r="D756" s="165"/>
      <c r="E756" s="165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64" t="s">
        <v>249</v>
      </c>
      <c r="B757" s="164"/>
      <c r="C757" s="164"/>
      <c r="D757" s="164"/>
      <c r="E757" s="164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65" t="s">
        <v>260</v>
      </c>
      <c r="B770" s="165"/>
      <c r="C770" s="165"/>
      <c r="D770" s="165"/>
      <c r="E770" s="165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65" t="s">
        <v>263</v>
      </c>
      <c r="B783" s="165"/>
      <c r="C783" s="165"/>
      <c r="D783" s="165"/>
      <c r="E783" s="165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64" t="s">
        <v>249</v>
      </c>
      <c r="B784" s="164"/>
      <c r="C784" s="164"/>
      <c r="D784" s="164"/>
      <c r="E784" s="164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65" t="s">
        <v>260</v>
      </c>
      <c r="B797" s="165"/>
      <c r="C797" s="165"/>
      <c r="D797" s="165"/>
      <c r="E797" s="165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65" t="s">
        <v>263</v>
      </c>
      <c r="B810" s="165"/>
      <c r="C810" s="165"/>
      <c r="D810" s="165"/>
      <c r="E810" s="165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64" t="s">
        <v>249</v>
      </c>
      <c r="B811" s="164"/>
      <c r="C811" s="164"/>
      <c r="D811" s="164"/>
      <c r="E811" s="164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65" t="s">
        <v>260</v>
      </c>
      <c r="B824" s="165"/>
      <c r="C824" s="165"/>
      <c r="D824" s="165"/>
      <c r="E824" s="165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65" t="s">
        <v>263</v>
      </c>
      <c r="B837" s="165"/>
      <c r="C837" s="165"/>
      <c r="D837" s="165"/>
      <c r="E837" s="165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113"/>
      <c r="T837" s="114">
        <f>IFERROR(J837,"")</f>
        <v>0</v>
      </c>
    </row>
    <row r="838" spans="1:20" ht="18" customHeight="1">
      <c r="A838" s="164" t="s">
        <v>249</v>
      </c>
      <c r="B838" s="164"/>
      <c r="C838" s="164"/>
      <c r="D838" s="164"/>
      <c r="E838" s="164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477" activePane="bottomLeft" state="frozen"/>
      <selection pane="bottomLeft" activeCell="N509" sqref="N509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294</v>
      </c>
      <c r="I1" s="86" t="s">
        <v>22</v>
      </c>
      <c r="J1" s="86" t="s">
        <v>295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295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65" t="s">
        <v>260</v>
      </c>
      <c r="B14" s="165"/>
      <c r="C14" s="165"/>
      <c r="D14" s="165"/>
      <c r="E14" s="165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261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337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299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338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274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274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65" t="s">
        <v>263</v>
      </c>
      <c r="B27" s="165"/>
      <c r="C27" s="165"/>
      <c r="D27" s="165"/>
      <c r="E27" s="165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261</v>
      </c>
      <c r="S27" s="74">
        <v>358000</v>
      </c>
      <c r="T27" s="99">
        <f>IFERROR(J27,"")</f>
        <v>0</v>
      </c>
    </row>
    <row r="28" spans="1:20" ht="18" customHeight="1">
      <c r="A28" s="164" t="s">
        <v>249</v>
      </c>
      <c r="B28" s="164"/>
      <c r="C28" s="164"/>
      <c r="D28" s="164"/>
      <c r="E28" s="164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264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65" t="s">
        <v>260</v>
      </c>
      <c r="B41" s="165"/>
      <c r="C41" s="165"/>
      <c r="D41" s="165"/>
      <c r="E41" s="165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261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305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337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337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65" t="s">
        <v>263</v>
      </c>
      <c r="B54" s="165"/>
      <c r="C54" s="165"/>
      <c r="D54" s="165"/>
      <c r="E54" s="165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261</v>
      </c>
      <c r="S54" s="74">
        <v>279980</v>
      </c>
      <c r="T54" s="99">
        <f>IFERROR(J54,"")</f>
        <v>0</v>
      </c>
    </row>
    <row r="55" spans="1:20" ht="18" customHeight="1">
      <c r="A55" s="164" t="s">
        <v>249</v>
      </c>
      <c r="B55" s="164"/>
      <c r="C55" s="164"/>
      <c r="D55" s="164"/>
      <c r="E55" s="164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264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274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274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274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274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274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339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274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274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274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274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65" t="s">
        <v>260</v>
      </c>
      <c r="B68" s="165"/>
      <c r="C68" s="165"/>
      <c r="D68" s="165"/>
      <c r="E68" s="165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261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340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65" t="s">
        <v>263</v>
      </c>
      <c r="B81" s="165"/>
      <c r="C81" s="165"/>
      <c r="D81" s="165"/>
      <c r="E81" s="165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261</v>
      </c>
      <c r="S81" s="74">
        <v>185920</v>
      </c>
      <c r="T81" s="99">
        <f>IFERROR(J81,"")</f>
        <v>0</v>
      </c>
    </row>
    <row r="82" spans="1:20" ht="18" customHeight="1">
      <c r="A82" s="164" t="s">
        <v>249</v>
      </c>
      <c r="B82" s="164"/>
      <c r="C82" s="164"/>
      <c r="D82" s="164"/>
      <c r="E82" s="164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264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341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342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65" t="s">
        <v>260</v>
      </c>
      <c r="B95" s="165"/>
      <c r="C95" s="165"/>
      <c r="D95" s="165"/>
      <c r="E95" s="165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261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343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65" t="s">
        <v>263</v>
      </c>
      <c r="B108" s="165"/>
      <c r="C108" s="165"/>
      <c r="D108" s="165"/>
      <c r="E108" s="165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261</v>
      </c>
      <c r="S108" s="74">
        <v>434370</v>
      </c>
      <c r="T108" s="99">
        <f>IFERROR(J108,"")</f>
        <v>0</v>
      </c>
    </row>
    <row r="109" spans="1:20" ht="18" customHeight="1">
      <c r="A109" s="164" t="s">
        <v>249</v>
      </c>
      <c r="B109" s="164"/>
      <c r="C109" s="164"/>
      <c r="D109" s="164"/>
      <c r="E109" s="164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264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65" t="s">
        <v>260</v>
      </c>
      <c r="B122" s="165"/>
      <c r="C122" s="165"/>
      <c r="D122" s="165"/>
      <c r="E122" s="165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261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344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65" t="s">
        <v>263</v>
      </c>
      <c r="B135" s="165"/>
      <c r="C135" s="165"/>
      <c r="D135" s="165"/>
      <c r="E135" s="165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261</v>
      </c>
      <c r="S135" s="74">
        <v>416350</v>
      </c>
      <c r="T135" s="99">
        <f>IFERROR(J135,"")</f>
        <v>0</v>
      </c>
    </row>
    <row r="136" spans="1:20" ht="18" customHeight="1">
      <c r="A136" s="164" t="s">
        <v>249</v>
      </c>
      <c r="B136" s="164"/>
      <c r="C136" s="164"/>
      <c r="D136" s="164"/>
      <c r="E136" s="164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264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345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313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65" t="s">
        <v>260</v>
      </c>
      <c r="B149" s="165"/>
      <c r="C149" s="165"/>
      <c r="D149" s="165"/>
      <c r="E149" s="165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261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305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65" t="s">
        <v>263</v>
      </c>
      <c r="B162" s="165"/>
      <c r="C162" s="165"/>
      <c r="D162" s="165"/>
      <c r="E162" s="165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261</v>
      </c>
      <c r="S162" s="74">
        <v>169760</v>
      </c>
      <c r="T162" s="99">
        <f>IFERROR(J162,"")</f>
        <v>0</v>
      </c>
    </row>
    <row r="163" spans="1:20" ht="18" customHeight="1">
      <c r="A163" s="164" t="s">
        <v>249</v>
      </c>
      <c r="B163" s="164"/>
      <c r="C163" s="164"/>
      <c r="D163" s="164"/>
      <c r="E163" s="164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264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346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65" t="s">
        <v>260</v>
      </c>
      <c r="B176" s="165"/>
      <c r="C176" s="165"/>
      <c r="D176" s="165"/>
      <c r="E176" s="165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261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347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316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316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65" t="s">
        <v>263</v>
      </c>
      <c r="B189" s="165"/>
      <c r="C189" s="165"/>
      <c r="D189" s="165"/>
      <c r="E189" s="165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261</v>
      </c>
      <c r="S189" s="74">
        <v>72220</v>
      </c>
      <c r="T189" s="99">
        <f>IFERROR(J189,"")</f>
        <v>0</v>
      </c>
    </row>
    <row r="190" spans="1:20" ht="18" customHeight="1">
      <c r="A190" s="164" t="s">
        <v>249</v>
      </c>
      <c r="B190" s="164"/>
      <c r="C190" s="164"/>
      <c r="D190" s="164"/>
      <c r="E190" s="164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264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65" t="s">
        <v>260</v>
      </c>
      <c r="B203" s="165"/>
      <c r="C203" s="165"/>
      <c r="D203" s="165"/>
      <c r="E203" s="165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261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348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65" t="s">
        <v>263</v>
      </c>
      <c r="B216" s="165"/>
      <c r="C216" s="165"/>
      <c r="D216" s="165"/>
      <c r="E216" s="165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261</v>
      </c>
      <c r="S216" s="74">
        <v>148720</v>
      </c>
      <c r="T216" s="99">
        <f>IFERROR(J216,"")</f>
        <v>0</v>
      </c>
    </row>
    <row r="217" spans="1:20" ht="18" customHeight="1">
      <c r="A217" s="164" t="s">
        <v>249</v>
      </c>
      <c r="B217" s="164"/>
      <c r="C217" s="164"/>
      <c r="D217" s="164"/>
      <c r="E217" s="164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264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349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350</v>
      </c>
      <c r="Q222" s="66" t="str">
        <f t="shared" ca="1" si="49"/>
        <v/>
      </c>
      <c r="R222" s="63" t="s">
        <v>351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65" t="s">
        <v>260</v>
      </c>
      <c r="B230" s="165"/>
      <c r="C230" s="165"/>
      <c r="D230" s="165"/>
      <c r="E230" s="165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261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65" t="s">
        <v>263</v>
      </c>
      <c r="B243" s="165"/>
      <c r="C243" s="165"/>
      <c r="D243" s="165"/>
      <c r="E243" s="165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261</v>
      </c>
      <c r="S243" s="74">
        <v>352720</v>
      </c>
      <c r="T243" s="99">
        <f>IFERROR(J243,"")</f>
        <v>0</v>
      </c>
    </row>
    <row r="244" spans="1:20" ht="18" customHeight="1">
      <c r="A244" s="164" t="s">
        <v>249</v>
      </c>
      <c r="B244" s="164"/>
      <c r="C244" s="164"/>
      <c r="D244" s="164"/>
      <c r="E244" s="164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264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352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259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259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65" t="s">
        <v>260</v>
      </c>
      <c r="B257" s="165"/>
      <c r="C257" s="165"/>
      <c r="D257" s="165"/>
      <c r="E257" s="165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261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274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274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274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274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274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274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274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274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274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274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274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274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65" t="s">
        <v>263</v>
      </c>
      <c r="B270" s="165"/>
      <c r="C270" s="165"/>
      <c r="D270" s="165"/>
      <c r="E270" s="165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327900</v>
      </c>
      <c r="T270" s="99">
        <f>IFERROR(J270,"")</f>
        <v>0</v>
      </c>
    </row>
    <row r="271" spans="1:20" ht="18" customHeight="1">
      <c r="A271" s="164" t="s">
        <v>249</v>
      </c>
      <c r="B271" s="164"/>
      <c r="C271" s="164"/>
      <c r="D271" s="164"/>
      <c r="E271" s="164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264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259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65" t="s">
        <v>260</v>
      </c>
      <c r="B284" s="165"/>
      <c r="C284" s="165"/>
      <c r="D284" s="165"/>
      <c r="E284" s="165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65" t="s">
        <v>263</v>
      </c>
      <c r="B297" s="165"/>
      <c r="C297" s="165"/>
      <c r="D297" s="165"/>
      <c r="E297" s="165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462190</v>
      </c>
      <c r="T297" s="99">
        <f>IFERROR(J297,"")</f>
        <v>0</v>
      </c>
    </row>
    <row r="298" spans="1:20" ht="18" customHeight="1">
      <c r="A298" s="164" t="s">
        <v>249</v>
      </c>
      <c r="B298" s="164"/>
      <c r="C298" s="164"/>
      <c r="D298" s="164"/>
      <c r="E298" s="164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65" t="s">
        <v>260</v>
      </c>
      <c r="B311" s="165"/>
      <c r="C311" s="165"/>
      <c r="D311" s="165"/>
      <c r="E311" s="165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261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65" t="s">
        <v>263</v>
      </c>
      <c r="B324" s="165"/>
      <c r="C324" s="165"/>
      <c r="D324" s="165"/>
      <c r="E324" s="165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261</v>
      </c>
      <c r="S324" s="74">
        <v>289490</v>
      </c>
      <c r="T324" s="99">
        <f>IFERROR(J324,"")</f>
        <v>41.68656</v>
      </c>
    </row>
    <row r="325" spans="1:20" ht="18" customHeight="1">
      <c r="A325" s="164" t="s">
        <v>249</v>
      </c>
      <c r="B325" s="164"/>
      <c r="C325" s="164"/>
      <c r="D325" s="164"/>
      <c r="E325" s="164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264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323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353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324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274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65" t="s">
        <v>260</v>
      </c>
      <c r="B338" s="165"/>
      <c r="C338" s="165"/>
      <c r="D338" s="165"/>
      <c r="E338" s="165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261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65" t="s">
        <v>263</v>
      </c>
      <c r="B351" s="165"/>
      <c r="C351" s="165"/>
      <c r="D351" s="165"/>
      <c r="E351" s="165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261</v>
      </c>
      <c r="S351" s="74">
        <v>256170</v>
      </c>
      <c r="T351" s="99">
        <f>IFERROR(J351,"")</f>
        <v>53.795699999999997</v>
      </c>
    </row>
    <row r="352" spans="1:20" ht="18" customHeight="1">
      <c r="A352" s="164" t="s">
        <v>249</v>
      </c>
      <c r="B352" s="164"/>
      <c r="C352" s="164"/>
      <c r="D352" s="164"/>
      <c r="E352" s="164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264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305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65" t="s">
        <v>260</v>
      </c>
      <c r="B365" s="165"/>
      <c r="C365" s="165"/>
      <c r="D365" s="165"/>
      <c r="E365" s="165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261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65" t="s">
        <v>263</v>
      </c>
      <c r="B378" s="165"/>
      <c r="C378" s="165"/>
      <c r="D378" s="165"/>
      <c r="E378" s="165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261</v>
      </c>
      <c r="S378" s="74">
        <v>360560</v>
      </c>
      <c r="T378" s="99">
        <f>IFERROR(J378,"")</f>
        <v>75.71759999999999</v>
      </c>
    </row>
    <row r="379" spans="1:20" ht="18" customHeight="1">
      <c r="A379" s="164" t="s">
        <v>249</v>
      </c>
      <c r="B379" s="164"/>
      <c r="C379" s="164"/>
      <c r="D379" s="164"/>
      <c r="E379" s="164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264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354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327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65" t="s">
        <v>260</v>
      </c>
      <c r="B392" s="165"/>
      <c r="C392" s="165"/>
      <c r="D392" s="165"/>
      <c r="E392" s="165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261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65" t="s">
        <v>263</v>
      </c>
      <c r="B405" s="165"/>
      <c r="C405" s="165"/>
      <c r="D405" s="165"/>
      <c r="E405" s="165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261</v>
      </c>
      <c r="S405" s="74">
        <v>489360</v>
      </c>
      <c r="T405" s="99">
        <f>IFERROR(J405,"")</f>
        <v>99.305125714285708</v>
      </c>
    </row>
    <row r="406" spans="1:20" ht="18" customHeight="1">
      <c r="A406" s="164" t="s">
        <v>249</v>
      </c>
      <c r="B406" s="164"/>
      <c r="C406" s="164"/>
      <c r="D406" s="164"/>
      <c r="E406" s="164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264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355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65" t="s">
        <v>260</v>
      </c>
      <c r="B419" s="165"/>
      <c r="C419" s="165"/>
      <c r="D419" s="165"/>
      <c r="E419" s="165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261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356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65" t="s">
        <v>263</v>
      </c>
      <c r="B432" s="165"/>
      <c r="C432" s="165"/>
      <c r="D432" s="165"/>
      <c r="E432" s="165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261</v>
      </c>
      <c r="S432" s="74">
        <v>180150</v>
      </c>
      <c r="T432" s="99">
        <f>IFERROR(J432,"")</f>
        <v>25.941599999999998</v>
      </c>
    </row>
    <row r="433" spans="1:20" ht="18" customHeight="1">
      <c r="A433" s="164" t="s">
        <v>249</v>
      </c>
      <c r="B433" s="164"/>
      <c r="C433" s="164"/>
      <c r="D433" s="164"/>
      <c r="E433" s="164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264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357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357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65" t="s">
        <v>260</v>
      </c>
      <c r="B446" s="165"/>
      <c r="C446" s="165"/>
      <c r="D446" s="165"/>
      <c r="E446" s="165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261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358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65" t="s">
        <v>263</v>
      </c>
      <c r="B459" s="165"/>
      <c r="C459" s="165"/>
      <c r="D459" s="165"/>
      <c r="E459" s="165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261</v>
      </c>
      <c r="S459" s="74">
        <v>471910</v>
      </c>
      <c r="T459" s="99">
        <f>IFERROR(J459,"")</f>
        <v>92.928007027027007</v>
      </c>
    </row>
    <row r="460" spans="1:20" ht="18" customHeight="1">
      <c r="A460" s="164" t="s">
        <v>249</v>
      </c>
      <c r="B460" s="164"/>
      <c r="C460" s="164"/>
      <c r="D460" s="164"/>
      <c r="E460" s="164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264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65" t="s">
        <v>260</v>
      </c>
      <c r="B473" s="165"/>
      <c r="C473" s="165"/>
      <c r="D473" s="165"/>
      <c r="E473" s="165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261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305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359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65" t="s">
        <v>263</v>
      </c>
      <c r="B486" s="165"/>
      <c r="C486" s="165"/>
      <c r="D486" s="165"/>
      <c r="E486" s="165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261</v>
      </c>
      <c r="S486" s="74">
        <v>261400</v>
      </c>
      <c r="T486" s="99">
        <f>IFERROR(J486,"")</f>
        <v>37.641599999999997</v>
      </c>
    </row>
    <row r="487" spans="1:20" ht="18" customHeight="1">
      <c r="A487" s="164" t="s">
        <v>249</v>
      </c>
      <c r="B487" s="164"/>
      <c r="C487" s="164"/>
      <c r="D487" s="164"/>
      <c r="E487" s="164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264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274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344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65" t="s">
        <v>260</v>
      </c>
      <c r="B500" s="165"/>
      <c r="C500" s="165"/>
      <c r="D500" s="165"/>
      <c r="E500" s="165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261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100" t="s">
        <v>274</v>
      </c>
      <c r="F501" s="101">
        <f>IFERROR(IF($D501="","",VLOOKUP($D501,Cadastro!$C$4:$E$7,3,FALSE())),"")</f>
        <v>0.35</v>
      </c>
      <c r="G501" s="89">
        <v>7</v>
      </c>
      <c r="H501" s="101">
        <f>IFERROR(IF($G501="","",$G501*$S$513/$G$513/Cadastro!$E$33),"")</f>
        <v>0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0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360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31</v>
      </c>
      <c r="E502" s="100" t="s">
        <v>274</v>
      </c>
      <c r="F502" s="88">
        <f>IFERROR(IF($D502="","",VLOOKUP($D502,Cadastro!$C$4:$E$7,3,FALSE())),"")</f>
        <v>0.35</v>
      </c>
      <c r="G502" s="89">
        <v>9</v>
      </c>
      <c r="H502" s="88">
        <f>IFERROR(IF($G502="","",$G502*$S$513/$G$513/Cadastro!$E$33),"")</f>
        <v>0</v>
      </c>
      <c r="I502" s="90">
        <f>IFERROR(IF($D502="","",VLOOKUP($D502,Cadastro!$C$4:$G$7,5,FALSE())),"")</f>
        <v>0.6</v>
      </c>
      <c r="J502" s="91">
        <f t="shared" si="123"/>
        <v>0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31</v>
      </c>
      <c r="E503" s="100" t="s">
        <v>274</v>
      </c>
      <c r="F503" s="88">
        <f>IFERROR(IF($D503="","",VLOOKUP($D503,Cadastro!$C$4:$E$7,3,FALSE())),"")</f>
        <v>0.35</v>
      </c>
      <c r="G503" s="89">
        <v>7</v>
      </c>
      <c r="H503" s="88">
        <f>IFERROR(IF($G503="","",$G503*$S$513/$G$513/Cadastro!$E$33),"")</f>
        <v>0</v>
      </c>
      <c r="I503" s="90">
        <f>IFERROR(IF($D503="","",VLOOKUP($D503,Cadastro!$C$4:$G$7,5,FALSE())),"")</f>
        <v>0.6</v>
      </c>
      <c r="J503" s="91">
        <f t="shared" si="123"/>
        <v>0</v>
      </c>
      <c r="K503" s="69">
        <f t="shared" si="124"/>
        <v>29.400000000000002</v>
      </c>
      <c r="L503" s="70" t="s">
        <v>29</v>
      </c>
      <c r="M503" s="61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31</v>
      </c>
      <c r="E504" s="100" t="s">
        <v>274</v>
      </c>
      <c r="F504" s="88">
        <f>IFERROR(IF($D504="","",VLOOKUP($D504,Cadastro!$C$4:$E$7,3,FALSE())),"")</f>
        <v>0.35</v>
      </c>
      <c r="G504" s="89">
        <v>6</v>
      </c>
      <c r="H504" s="88">
        <f>IFERROR(IF($G504="","",$G504*$S$513/$G$513/Cadastro!$E$33),"")</f>
        <v>0</v>
      </c>
      <c r="I504" s="90">
        <f>IFERROR(IF($D504="","",VLOOKUP($D504,Cadastro!$C$4:$G$7,5,FALSE())),"")</f>
        <v>0.6</v>
      </c>
      <c r="J504" s="91">
        <f t="shared" si="123"/>
        <v>0</v>
      </c>
      <c r="K504" s="64">
        <f t="shared" si="124"/>
        <v>25.200000000000003</v>
      </c>
      <c r="L504" s="61" t="s">
        <v>29</v>
      </c>
      <c r="M504" s="124"/>
      <c r="N504" s="61" t="s">
        <v>210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31</v>
      </c>
      <c r="E505" s="100" t="s">
        <v>274</v>
      </c>
      <c r="F505" s="88">
        <f>IFERROR(IF($D505="","",VLOOKUP($D505,Cadastro!$C$4:$E$7,3,FALSE())),"")</f>
        <v>0.35</v>
      </c>
      <c r="G505" s="89">
        <v>6</v>
      </c>
      <c r="H505" s="88">
        <f>IFERROR(IF($G505="","",$G505*$S$513/$G$513/Cadastro!$E$33),"")</f>
        <v>0</v>
      </c>
      <c r="I505" s="90">
        <f>IFERROR(IF($D505="","",VLOOKUP($D505,Cadastro!$C$4:$G$7,5,FALSE())),"")</f>
        <v>0.6</v>
      </c>
      <c r="J505" s="91">
        <f t="shared" si="123"/>
        <v>0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167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361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31</v>
      </c>
      <c r="E506" s="100" t="s">
        <v>274</v>
      </c>
      <c r="F506" s="88">
        <f>IFERROR(IF($D506="","",VLOOKUP($D506,Cadastro!$C$4:$E$7,3,FALSE())),"")</f>
        <v>0.35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/>
      <c r="M506" s="61"/>
      <c r="N506" s="61"/>
      <c r="O506" s="65"/>
      <c r="P506" s="65"/>
      <c r="Q506" s="66" t="str">
        <f t="shared" ca="1" si="125"/>
        <v/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31</v>
      </c>
      <c r="E507" s="100" t="s">
        <v>274</v>
      </c>
      <c r="F507" s="88">
        <f>IFERROR(IF($D507="","",VLOOKUP($D507,Cadastro!$C$4:$E$7,3,FALSE())),"")</f>
        <v>0.35</v>
      </c>
      <c r="G507" s="89">
        <v>12</v>
      </c>
      <c r="H507" s="88">
        <f>IFERROR(IF($G507="","",$G507*$S$513/$G$513/Cadastro!$E$33),"")</f>
        <v>0</v>
      </c>
      <c r="I507" s="90">
        <f>IFERROR(IF($D507="","",VLOOKUP($D507,Cadastro!$C$4:$G$7,5,FALSE())),"")</f>
        <v>0.6</v>
      </c>
      <c r="J507" s="91">
        <f t="shared" si="123"/>
        <v>0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0</v>
      </c>
      <c r="I508" s="90">
        <f>IFERROR(IF($D508="","",VLOOKUP($D508,Cadastro!$C$4:$G$7,5,FALSE())),"")</f>
        <v>0.6</v>
      </c>
      <c r="J508" s="91">
        <f t="shared" si="123"/>
        <v>0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0</v>
      </c>
      <c r="I509" s="90">
        <f>IFERROR(IF($D509="","",VLOOKUP($D509,Cadastro!$C$4:$G$7,5,FALSE())),"")</f>
        <v>0.6</v>
      </c>
      <c r="J509" s="91">
        <f t="shared" si="123"/>
        <v>0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/>
      <c r="E510" s="100"/>
      <c r="F510" s="88" t="str">
        <f>IFERROR(IF($D510="","",VLOOKUP($D510,Cadastro!$C$4:$E$7,3,FALSE())),"")</f>
        <v/>
      </c>
      <c r="G510" s="89"/>
      <c r="H510" s="88" t="str">
        <f>IFERROR(IF($G510="","",$G510*$S$513/$G$513/Cadastro!$E$33),"")</f>
        <v/>
      </c>
      <c r="I510" s="90" t="str">
        <f>IFERROR(IF($D510="","",VLOOKUP($D510,Cadastro!$C$4:$G$7,5,FALSE())),"")</f>
        <v/>
      </c>
      <c r="J510" s="91" t="str">
        <f t="shared" si="123"/>
        <v/>
      </c>
      <c r="K510" s="64" t="str">
        <f t="shared" si="124"/>
        <v/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/>
      <c r="E511" s="100"/>
      <c r="F511" s="88" t="str">
        <f>IFERROR(IF($D511="","",VLOOKUP($D511,Cadastro!$C$4:$E$7,3,FALSE())),"")</f>
        <v/>
      </c>
      <c r="G511" s="89"/>
      <c r="H511" s="88" t="str">
        <f>IFERROR(IF($G511="","",$G511*$S$513/$G$513/Cadastro!$E$33),"")</f>
        <v/>
      </c>
      <c r="I511" s="90" t="str">
        <f>IFERROR(IF($D511="","",VLOOKUP($D511,Cadastro!$C$4:$G$7,5,FALSE())),"")</f>
        <v/>
      </c>
      <c r="J511" s="91" t="str">
        <f t="shared" si="123"/>
        <v/>
      </c>
      <c r="K511" s="69" t="str">
        <f t="shared" si="124"/>
        <v/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/>
      <c r="E512" s="100"/>
      <c r="F512" s="92" t="str">
        <f>IFERROR(IF($D512="","",VLOOKUP($D512,Cadastro!$C$4:$E$7,3,FALSE())),"")</f>
        <v/>
      </c>
      <c r="G512" s="89"/>
      <c r="H512" s="92" t="str">
        <f>IFERROR(IF($G512="","",$G512*$S$513/$G$513/Cadastro!$E$33),"")</f>
        <v/>
      </c>
      <c r="I512" s="93" t="str">
        <f>IFERROR(IF($D512="","",VLOOKUP($D512,Cadastro!$C$4:$G$7,5,FALSE())),"")</f>
        <v/>
      </c>
      <c r="J512" s="94" t="str">
        <f t="shared" si="123"/>
        <v/>
      </c>
      <c r="K512" s="64" t="str">
        <f t="shared" si="124"/>
        <v/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65" t="s">
        <v>263</v>
      </c>
      <c r="B513" s="165"/>
      <c r="C513" s="165"/>
      <c r="D513" s="165"/>
      <c r="E513" s="165"/>
      <c r="F513" s="105"/>
      <c r="G513" s="96">
        <f>SUM(G501:G512)</f>
        <v>62</v>
      </c>
      <c r="H513" s="105">
        <f>IFERROR(SUM(H501:H512),"")</f>
        <v>0</v>
      </c>
      <c r="I513" s="106"/>
      <c r="J513" s="107">
        <f>IFERROR(SUM(J501:J512),"")</f>
        <v>0</v>
      </c>
      <c r="K513" s="2">
        <f>SUM(K501:K512)</f>
        <v>260.39999999999998</v>
      </c>
      <c r="L513" s="72"/>
      <c r="M513" s="72"/>
      <c r="N513" s="72"/>
      <c r="O513" s="72"/>
      <c r="P513" s="72"/>
      <c r="Q513" s="73">
        <f ca="1">IFERROR(SUM(Q501:Q512),"")</f>
        <v>0.10277777777777766</v>
      </c>
      <c r="R513" s="2" t="s">
        <v>261</v>
      </c>
      <c r="S513" s="74"/>
      <c r="T513" s="99">
        <f>IFERROR(J513,"")</f>
        <v>0</v>
      </c>
    </row>
    <row r="514" spans="1:20" ht="18" customHeight="1">
      <c r="A514" s="164" t="s">
        <v>249</v>
      </c>
      <c r="B514" s="164"/>
      <c r="C514" s="164"/>
      <c r="D514" s="164"/>
      <c r="E514" s="164"/>
      <c r="F514" s="108"/>
      <c r="G514" s="109">
        <f>G500+G513</f>
        <v>134</v>
      </c>
      <c r="H514" s="108">
        <f>IFERROR(H500+H513,"")</f>
        <v>372.25</v>
      </c>
      <c r="I514" s="110"/>
      <c r="J514" s="111">
        <f>IFERROR(J500+J513,"")</f>
        <v>53.603999999999992</v>
      </c>
      <c r="K514" s="1">
        <f>K500+K513</f>
        <v>566.79999999999995</v>
      </c>
      <c r="L514" s="76"/>
      <c r="M514" s="76"/>
      <c r="N514" s="76"/>
      <c r="O514" s="76"/>
      <c r="P514" s="76"/>
      <c r="Q514" s="77">
        <f ca="1">IFERROR(Q500+Q513,"")</f>
        <v>0.1986111111111111</v>
      </c>
      <c r="R514" s="1" t="s">
        <v>264</v>
      </c>
      <c r="S514" s="82">
        <f>IFERROR(S500+S513,"")</f>
        <v>372250</v>
      </c>
      <c r="T514" s="118">
        <f>IFERROR(J514,"")</f>
        <v>53.603999999999992</v>
      </c>
    </row>
    <row r="515" spans="1:20" ht="15" customHeight="1">
      <c r="A515" s="18">
        <v>46254</v>
      </c>
      <c r="B515" s="68">
        <v>0.33333333333333298</v>
      </c>
      <c r="C515" s="70"/>
      <c r="D515" s="75"/>
      <c r="E515" s="100"/>
      <c r="F515" s="101" t="str">
        <f>IFERROR(IF($D515="","",VLOOKUP($D515,Cadastro!$C$4:$E$7,3,FALSE())),"")</f>
        <v/>
      </c>
      <c r="G515" s="89"/>
      <c r="H515" s="101" t="str">
        <f>IFERROR(IF($G515="","",$G515*$S$527/$G$527/Cadastro!$E$33),"")</f>
        <v/>
      </c>
      <c r="I515" s="102" t="str">
        <f>IFERROR(IF($D515="","",VLOOKUP($D515,Cadastro!$C$4:$G$7,5,FALSE())),"")</f>
        <v/>
      </c>
      <c r="J515" s="103" t="str">
        <f t="shared" ref="J515:J526" si="127">IFERROR(IF($H515="","",$H515*$F515*$I515),"")</f>
        <v/>
      </c>
      <c r="K515" s="69" t="str">
        <f t="shared" ref="K515:K526" si="128">IF(G515="","",IF(E515="PC 17",G515*4.2,IF(E515="PC 19",G515*5,IF(E515="CB",G515*24,""))))</f>
        <v/>
      </c>
      <c r="L515" s="70"/>
      <c r="M515" s="70"/>
      <c r="N515" s="70"/>
      <c r="O515" s="65"/>
      <c r="P515" s="65"/>
      <c r="Q515" s="71" t="str">
        <f t="shared" ref="Q515:Q526" ca="1" si="129">IFERROR(IF(O515="","",IF(P515="",MOD(NOW()-O515,1),IF(P515&gt;=O515,P515-O515,P515+1-O515))),"")</f>
        <v/>
      </c>
      <c r="R515" s="63"/>
      <c r="S515" s="81"/>
    </row>
    <row r="516" spans="1:20" ht="15" customHeight="1">
      <c r="A516" s="59">
        <v>46254</v>
      </c>
      <c r="B516" s="60">
        <f t="shared" ref="B516:B526" si="130">B515+TIME(0,60,0)</f>
        <v>0.37499999999999967</v>
      </c>
      <c r="C516" s="70"/>
      <c r="D516" s="75"/>
      <c r="E516" s="100"/>
      <c r="F516" s="88" t="str">
        <f>IFERROR(IF($D516="","",VLOOKUP($D516,Cadastro!$C$4:$E$7,3,FALSE())),"")</f>
        <v/>
      </c>
      <c r="G516" s="89"/>
      <c r="H516" s="88" t="str">
        <f>IFERROR(IF($G516="","",$G516*$S$527/$G$527/Cadastro!$E$33),"")</f>
        <v/>
      </c>
      <c r="I516" s="90" t="str">
        <f>IFERROR(IF($D516="","",VLOOKUP($D516,Cadastro!$C$4:$G$7,5,FALSE())),"")</f>
        <v/>
      </c>
      <c r="J516" s="91" t="str">
        <f t="shared" si="127"/>
        <v/>
      </c>
      <c r="K516" s="64" t="str">
        <f t="shared" si="128"/>
        <v/>
      </c>
      <c r="L516" s="70"/>
      <c r="M516" s="61"/>
      <c r="N516" s="70"/>
      <c r="O516" s="65"/>
      <c r="P516" s="65"/>
      <c r="Q516" s="66" t="str">
        <f t="shared" ca="1" si="129"/>
        <v/>
      </c>
      <c r="R516" s="63"/>
      <c r="S516" s="81"/>
    </row>
    <row r="517" spans="1:20" ht="15" customHeight="1">
      <c r="A517" s="18">
        <v>46254</v>
      </c>
      <c r="B517" s="68">
        <f t="shared" si="130"/>
        <v>0.41666666666666635</v>
      </c>
      <c r="C517" s="70"/>
      <c r="D517" s="75"/>
      <c r="E517" s="100"/>
      <c r="F517" s="88" t="str">
        <f>IFERROR(IF($D517="","",VLOOKUP($D517,Cadastro!$C$4:$E$7,3,FALSE())),"")</f>
        <v/>
      </c>
      <c r="G517" s="89"/>
      <c r="H517" s="88" t="str">
        <f>IFERROR(IF($G517="","",$G517*$S$527/$G$527/Cadastro!$E$33),"")</f>
        <v/>
      </c>
      <c r="I517" s="90" t="str">
        <f>IFERROR(IF($D517="","",VLOOKUP($D517,Cadastro!$C$4:$G$7,5,FALSE())),"")</f>
        <v/>
      </c>
      <c r="J517" s="91" t="str">
        <f t="shared" si="127"/>
        <v/>
      </c>
      <c r="K517" s="69" t="str">
        <f t="shared" si="128"/>
        <v/>
      </c>
      <c r="L517" s="70"/>
      <c r="M517" s="70"/>
      <c r="N517" s="70"/>
      <c r="O517" s="65"/>
      <c r="P517" s="65"/>
      <c r="Q517" s="71" t="str">
        <f t="shared" ca="1" si="129"/>
        <v/>
      </c>
      <c r="R517" s="63"/>
      <c r="S517" s="81"/>
    </row>
    <row r="518" spans="1:20" ht="15" customHeight="1">
      <c r="A518" s="59">
        <v>46254</v>
      </c>
      <c r="B518" s="60">
        <f t="shared" si="130"/>
        <v>0.45833333333333304</v>
      </c>
      <c r="C518" s="70"/>
      <c r="D518" s="75"/>
      <c r="E518" s="100"/>
      <c r="F518" s="88" t="str">
        <f>IFERROR(IF($D518="","",VLOOKUP($D518,Cadastro!$C$4:$E$7,3,FALSE())),"")</f>
        <v/>
      </c>
      <c r="G518" s="89"/>
      <c r="H518" s="88" t="str">
        <f>IFERROR(IF($G518="","",$G518*$S$527/$G$527/Cadastro!$E$33),"")</f>
        <v/>
      </c>
      <c r="I518" s="90" t="str">
        <f>IFERROR(IF($D518="","",VLOOKUP($D518,Cadastro!$C$4:$G$7,5,FALSE())),"")</f>
        <v/>
      </c>
      <c r="J518" s="91" t="str">
        <f t="shared" si="127"/>
        <v/>
      </c>
      <c r="K518" s="64" t="str">
        <f t="shared" si="128"/>
        <v/>
      </c>
      <c r="L518" s="70"/>
      <c r="M518" s="61"/>
      <c r="N518" s="61"/>
      <c r="O518" s="65"/>
      <c r="P518" s="65"/>
      <c r="Q518" s="66" t="str">
        <f t="shared" ca="1" si="129"/>
        <v/>
      </c>
      <c r="R518" s="63"/>
      <c r="S518" s="81"/>
    </row>
    <row r="519" spans="1:20" ht="15" customHeight="1">
      <c r="A519" s="18">
        <v>46254</v>
      </c>
      <c r="B519" s="68">
        <f t="shared" si="130"/>
        <v>0.49999999999999972</v>
      </c>
      <c r="C519" s="70"/>
      <c r="D519" s="75"/>
      <c r="E519" s="100"/>
      <c r="F519" s="88" t="str">
        <f>IFERROR(IF($D519="","",VLOOKUP($D519,Cadastro!$C$4:$E$7,3,FALSE())),"")</f>
        <v/>
      </c>
      <c r="G519" s="89"/>
      <c r="H519" s="88" t="str">
        <f>IFERROR(IF($G519="","",$G519*$S$527/$G$527/Cadastro!$E$33),"")</f>
        <v/>
      </c>
      <c r="I519" s="90" t="str">
        <f>IFERROR(IF($D519="","",VLOOKUP($D519,Cadastro!$C$4:$G$7,5,FALSE())),"")</f>
        <v/>
      </c>
      <c r="J519" s="91" t="str">
        <f t="shared" si="127"/>
        <v/>
      </c>
      <c r="K519" s="69" t="str">
        <f t="shared" si="128"/>
        <v/>
      </c>
      <c r="L519" s="70"/>
      <c r="M519" s="70"/>
      <c r="N519" s="70"/>
      <c r="O519" s="65"/>
      <c r="P519" s="65"/>
      <c r="Q519" s="71" t="str">
        <f t="shared" ca="1" si="129"/>
        <v/>
      </c>
      <c r="R519" s="63"/>
      <c r="S519" s="81"/>
    </row>
    <row r="520" spans="1:20" ht="15" customHeight="1">
      <c r="A520" s="59">
        <v>46254</v>
      </c>
      <c r="B520" s="60">
        <f t="shared" si="130"/>
        <v>0.54166666666666641</v>
      </c>
      <c r="C520" s="70"/>
      <c r="D520" s="75"/>
      <c r="E520" s="100"/>
      <c r="F520" s="88" t="str">
        <f>IFERROR(IF($D520="","",VLOOKUP($D520,Cadastro!$C$4:$E$7,3,FALSE())),"")</f>
        <v/>
      </c>
      <c r="G520" s="89"/>
      <c r="H520" s="88" t="str">
        <f>IFERROR(IF($G520="","",$G520*$S$527/$G$527/Cadastro!$E$33),"")</f>
        <v/>
      </c>
      <c r="I520" s="90" t="str">
        <f>IFERROR(IF($D520="","",VLOOKUP($D520,Cadastro!$C$4:$G$7,5,FALSE())),"")</f>
        <v/>
      </c>
      <c r="J520" s="91" t="str">
        <f t="shared" si="127"/>
        <v/>
      </c>
      <c r="K520" s="64" t="str">
        <f t="shared" si="128"/>
        <v/>
      </c>
      <c r="L520" s="61"/>
      <c r="M520" s="61"/>
      <c r="N520" s="61"/>
      <c r="O520" s="65"/>
      <c r="P520" s="65"/>
      <c r="Q520" s="66" t="str">
        <f t="shared" ca="1" si="129"/>
        <v/>
      </c>
      <c r="R520" s="63"/>
      <c r="S520" s="81"/>
    </row>
    <row r="521" spans="1:20" ht="15" customHeight="1">
      <c r="A521" s="18">
        <v>46254</v>
      </c>
      <c r="B521" s="68">
        <f t="shared" si="130"/>
        <v>0.58333333333333304</v>
      </c>
      <c r="C521" s="70"/>
      <c r="D521" s="75"/>
      <c r="E521" s="100"/>
      <c r="F521" s="88" t="str">
        <f>IFERROR(IF($D521="","",VLOOKUP($D521,Cadastro!$C$4:$E$7,3,FALSE())),"")</f>
        <v/>
      </c>
      <c r="G521" s="89"/>
      <c r="H521" s="88" t="str">
        <f>IFERROR(IF($G521="","",$G521*$S$527/$G$527/Cadastro!$E$33),"")</f>
        <v/>
      </c>
      <c r="I521" s="90" t="str">
        <f>IFERROR(IF($D521="","",VLOOKUP($D521,Cadastro!$C$4:$G$7,5,FALSE())),"")</f>
        <v/>
      </c>
      <c r="J521" s="91" t="str">
        <f t="shared" si="127"/>
        <v/>
      </c>
      <c r="K521" s="69" t="str">
        <f t="shared" si="128"/>
        <v/>
      </c>
      <c r="L521" s="70"/>
      <c r="M521" s="70"/>
      <c r="N521" s="70"/>
      <c r="O521" s="65"/>
      <c r="P521" s="65"/>
      <c r="Q521" s="71" t="str">
        <f t="shared" ca="1" si="129"/>
        <v/>
      </c>
      <c r="R521" s="63"/>
      <c r="S521" s="81"/>
    </row>
    <row r="522" spans="1:20" ht="15" customHeight="1">
      <c r="A522" s="59">
        <v>46254</v>
      </c>
      <c r="B522" s="60">
        <f t="shared" si="130"/>
        <v>0.62499999999999967</v>
      </c>
      <c r="C522" s="70"/>
      <c r="D522" s="75"/>
      <c r="E522" s="100"/>
      <c r="F522" s="88" t="str">
        <f>IFERROR(IF($D522="","",VLOOKUP($D522,Cadastro!$C$4:$E$7,3,FALSE())),"")</f>
        <v/>
      </c>
      <c r="G522" s="89"/>
      <c r="H522" s="88" t="str">
        <f>IFERROR(IF($G522="","",$G522*$S$527/$G$527/Cadastro!$E$33),"")</f>
        <v/>
      </c>
      <c r="I522" s="90" t="str">
        <f>IFERROR(IF($D522="","",VLOOKUP($D522,Cadastro!$C$4:$G$7,5,FALSE())),"")</f>
        <v/>
      </c>
      <c r="J522" s="91" t="str">
        <f t="shared" si="127"/>
        <v/>
      </c>
      <c r="K522" s="64" t="str">
        <f t="shared" si="128"/>
        <v/>
      </c>
      <c r="L522" s="61"/>
      <c r="M522" s="61"/>
      <c r="N522" s="61"/>
      <c r="O522" s="65"/>
      <c r="P522" s="65"/>
      <c r="Q522" s="66" t="str">
        <f t="shared" ca="1" si="129"/>
        <v/>
      </c>
      <c r="R522" s="63"/>
      <c r="S522" s="81"/>
    </row>
    <row r="523" spans="1:20" ht="15" customHeight="1">
      <c r="A523" s="18">
        <v>46254</v>
      </c>
      <c r="B523" s="68">
        <f t="shared" si="130"/>
        <v>0.6666666666666663</v>
      </c>
      <c r="C523" s="70"/>
      <c r="D523" s="75"/>
      <c r="E523" s="100"/>
      <c r="F523" s="88" t="str">
        <f>IFERROR(IF($D523="","",VLOOKUP($D523,Cadastro!$C$4:$E$7,3,FALSE())),"")</f>
        <v/>
      </c>
      <c r="G523" s="89"/>
      <c r="H523" s="88" t="str">
        <f>IFERROR(IF($G523="","",$G523*$S$527/$G$527/Cadastro!$E$33),"")</f>
        <v/>
      </c>
      <c r="I523" s="90" t="str">
        <f>IFERROR(IF($D523="","",VLOOKUP($D523,Cadastro!$C$4:$G$7,5,FALSE())),"")</f>
        <v/>
      </c>
      <c r="J523" s="91" t="str">
        <f t="shared" si="127"/>
        <v/>
      </c>
      <c r="K523" s="69" t="str">
        <f t="shared" si="128"/>
        <v/>
      </c>
      <c r="L523" s="70"/>
      <c r="M523" s="70"/>
      <c r="N523" s="70"/>
      <c r="O523" s="65"/>
      <c r="P523" s="65"/>
      <c r="Q523" s="71" t="str">
        <f t="shared" ca="1" si="129"/>
        <v/>
      </c>
      <c r="R523" s="63"/>
      <c r="S523" s="81"/>
    </row>
    <row r="524" spans="1:20" ht="15" customHeight="1">
      <c r="A524" s="59">
        <v>46254</v>
      </c>
      <c r="B524" s="60">
        <f t="shared" si="130"/>
        <v>0.70833333333333293</v>
      </c>
      <c r="C524" s="70"/>
      <c r="D524" s="75"/>
      <c r="E524" s="100"/>
      <c r="F524" s="88" t="str">
        <f>IFERROR(IF($D524="","",VLOOKUP($D524,Cadastro!$C$4:$E$7,3,FALSE())),"")</f>
        <v/>
      </c>
      <c r="G524" s="89"/>
      <c r="H524" s="88" t="str">
        <f>IFERROR(IF($G524="","",$G524*$S$527/$G$527/Cadastro!$E$33),"")</f>
        <v/>
      </c>
      <c r="I524" s="90" t="str">
        <f>IFERROR(IF($D524="","",VLOOKUP($D524,Cadastro!$C$4:$G$7,5,FALSE())),"")</f>
        <v/>
      </c>
      <c r="J524" s="91" t="str">
        <f t="shared" si="127"/>
        <v/>
      </c>
      <c r="K524" s="64" t="str">
        <f t="shared" si="128"/>
        <v/>
      </c>
      <c r="L524" s="61"/>
      <c r="M524" s="61"/>
      <c r="N524" s="61"/>
      <c r="O524" s="65"/>
      <c r="P524" s="65"/>
      <c r="Q524" s="66" t="str">
        <f t="shared" ca="1" si="129"/>
        <v/>
      </c>
      <c r="R524" s="63"/>
      <c r="S524" s="81"/>
    </row>
    <row r="525" spans="1:20" ht="15" customHeight="1">
      <c r="A525" s="18">
        <v>46254</v>
      </c>
      <c r="B525" s="68">
        <f t="shared" si="130"/>
        <v>0.74999999999999956</v>
      </c>
      <c r="C525" s="70"/>
      <c r="D525" s="75"/>
      <c r="E525" s="100"/>
      <c r="F525" s="88" t="str">
        <f>IFERROR(IF($D525="","",VLOOKUP($D525,Cadastro!$C$4:$E$7,3,FALSE())),"")</f>
        <v/>
      </c>
      <c r="G525" s="89"/>
      <c r="H525" s="88" t="str">
        <f>IFERROR(IF($G525="","",$G525*$S$527/$G$527/Cadastro!$E$33),"")</f>
        <v/>
      </c>
      <c r="I525" s="90" t="str">
        <f>IFERROR(IF($D525="","",VLOOKUP($D525,Cadastro!$C$4:$G$7,5,FALSE())),"")</f>
        <v/>
      </c>
      <c r="J525" s="91" t="str">
        <f t="shared" si="127"/>
        <v/>
      </c>
      <c r="K525" s="69" t="str">
        <f t="shared" si="128"/>
        <v/>
      </c>
      <c r="L525" s="70"/>
      <c r="M525" s="70"/>
      <c r="N525" s="70"/>
      <c r="O525" s="65"/>
      <c r="P525" s="65"/>
      <c r="Q525" s="71" t="str">
        <f t="shared" ca="1" si="129"/>
        <v/>
      </c>
      <c r="R525" s="63"/>
      <c r="S525" s="81"/>
    </row>
    <row r="526" spans="1:20" ht="15" customHeight="1">
      <c r="A526" s="59">
        <v>46254</v>
      </c>
      <c r="B526" s="60">
        <f t="shared" si="130"/>
        <v>0.79166666666666619</v>
      </c>
      <c r="C526" s="70"/>
      <c r="D526" s="75"/>
      <c r="E526" s="100"/>
      <c r="F526" s="92" t="str">
        <f>IFERROR(IF($D526="","",VLOOKUP($D526,Cadastro!$C$4:$E$7,3,FALSE())),"")</f>
        <v/>
      </c>
      <c r="G526" s="89"/>
      <c r="H526" s="92" t="str">
        <f>IFERROR(IF($G526="","",$G526*$S$527/$G$527/Cadastro!$E$33),"")</f>
        <v/>
      </c>
      <c r="I526" s="93" t="str">
        <f>IFERROR(IF($D526="","",VLOOKUP($D526,Cadastro!$C$4:$G$7,5,FALSE())),"")</f>
        <v/>
      </c>
      <c r="J526" s="94" t="str">
        <f t="shared" si="127"/>
        <v/>
      </c>
      <c r="K526" s="64" t="str">
        <f t="shared" si="128"/>
        <v/>
      </c>
      <c r="L526" s="61"/>
      <c r="M526" s="61"/>
      <c r="N526" s="61"/>
      <c r="O526" s="65"/>
      <c r="P526" s="65"/>
      <c r="Q526" s="66" t="str">
        <f t="shared" ca="1" si="129"/>
        <v/>
      </c>
      <c r="R526" s="63"/>
      <c r="S526" s="81"/>
    </row>
    <row r="527" spans="1:20" ht="15.75" customHeight="1">
      <c r="A527" s="165" t="s">
        <v>260</v>
      </c>
      <c r="B527" s="165"/>
      <c r="C527" s="165"/>
      <c r="D527" s="165"/>
      <c r="E527" s="165"/>
      <c r="F527" s="95"/>
      <c r="G527" s="96">
        <f>SUM(G515:G526)</f>
        <v>0</v>
      </c>
      <c r="H527" s="95">
        <f>IFERROR(SUM(H515:H526),"")</f>
        <v>0</v>
      </c>
      <c r="I527" s="97"/>
      <c r="J527" s="98">
        <f>IFERROR(SUM(J515:J526),"")</f>
        <v>0</v>
      </c>
      <c r="K527" s="2">
        <f>SUM(K515:K526)</f>
        <v>0</v>
      </c>
      <c r="L527" s="72"/>
      <c r="M527" s="72"/>
      <c r="N527" s="72"/>
      <c r="O527" s="72"/>
      <c r="P527" s="72"/>
      <c r="Q527" s="73">
        <f ca="1">IFERROR(SUM(Q515:Q526),"")</f>
        <v>0</v>
      </c>
      <c r="R527" s="2" t="s">
        <v>261</v>
      </c>
      <c r="S527" s="74"/>
      <c r="T527" s="99">
        <f>IFERROR(J527,"")</f>
        <v>0</v>
      </c>
    </row>
    <row r="528" spans="1:20" ht="15" customHeight="1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1">IFERROR(IF($H528="","",$H528*$F528*$I528),"")</f>
        <v/>
      </c>
      <c r="K528" s="64" t="str">
        <f t="shared" ref="K528:K539" si="132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3">IFERROR(IF(O528="","",IF(P528="",MOD(NOW()-O528,1),IF(P528&gt;=O528,P528-O528,P528+1-O528))),"")</f>
        <v/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1"/>
        <v/>
      </c>
      <c r="K529" s="69" t="str">
        <f t="shared" si="132"/>
        <v/>
      </c>
      <c r="L529" s="70"/>
      <c r="M529" s="70"/>
      <c r="N529" s="70"/>
      <c r="O529" s="65"/>
      <c r="P529" s="65"/>
      <c r="Q529" s="71" t="str">
        <f t="shared" ca="1" si="133"/>
        <v/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1"/>
        <v/>
      </c>
      <c r="K530" s="64" t="str">
        <f t="shared" si="132"/>
        <v/>
      </c>
      <c r="L530" s="61"/>
      <c r="M530" s="61"/>
      <c r="N530" s="61"/>
      <c r="O530" s="65"/>
      <c r="P530" s="65"/>
      <c r="Q530" s="66" t="str">
        <f t="shared" ca="1" si="133"/>
        <v/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1"/>
        <v/>
      </c>
      <c r="K531" s="69" t="str">
        <f t="shared" si="132"/>
        <v/>
      </c>
      <c r="L531" s="70"/>
      <c r="M531" s="70"/>
      <c r="N531" s="70"/>
      <c r="O531" s="65"/>
      <c r="P531" s="65"/>
      <c r="Q531" s="71" t="str">
        <f t="shared" ca="1" si="133"/>
        <v/>
      </c>
      <c r="R531" s="63"/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1"/>
        <v/>
      </c>
      <c r="K532" s="64" t="str">
        <f t="shared" si="132"/>
        <v/>
      </c>
      <c r="L532" s="61"/>
      <c r="M532" s="61"/>
      <c r="N532" s="61"/>
      <c r="O532" s="65"/>
      <c r="P532" s="65"/>
      <c r="Q532" s="66" t="str">
        <f t="shared" ca="1" si="133"/>
        <v/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1"/>
        <v/>
      </c>
      <c r="K533" s="69" t="str">
        <f t="shared" si="132"/>
        <v/>
      </c>
      <c r="L533" s="70"/>
      <c r="M533" s="70"/>
      <c r="N533" s="70"/>
      <c r="O533" s="65"/>
      <c r="P533" s="65"/>
      <c r="Q533" s="71" t="str">
        <f t="shared" ca="1" si="133"/>
        <v/>
      </c>
      <c r="R533" s="63"/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1"/>
        <v/>
      </c>
      <c r="K534" s="64" t="str">
        <f t="shared" si="132"/>
        <v/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1"/>
        <v/>
      </c>
      <c r="K535" s="69" t="str">
        <f t="shared" si="132"/>
        <v/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1"/>
        <v/>
      </c>
      <c r="K536" s="64" t="str">
        <f t="shared" si="132"/>
        <v/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1"/>
        <v/>
      </c>
      <c r="K537" s="69" t="str">
        <f t="shared" si="132"/>
        <v/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1"/>
        <v/>
      </c>
      <c r="K538" s="64" t="str">
        <f t="shared" si="132"/>
        <v/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1"/>
        <v/>
      </c>
      <c r="K539" s="69" t="str">
        <f t="shared" si="132"/>
        <v/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65" t="s">
        <v>263</v>
      </c>
      <c r="B540" s="165"/>
      <c r="C540" s="165"/>
      <c r="D540" s="165"/>
      <c r="E540" s="165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72"/>
      <c r="P540" s="72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64" t="s">
        <v>249</v>
      </c>
      <c r="B541" s="164"/>
      <c r="C541" s="164"/>
      <c r="D541" s="164"/>
      <c r="E541" s="164"/>
      <c r="F541" s="108"/>
      <c r="G541" s="109">
        <f>G527+G540</f>
        <v>0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0</v>
      </c>
      <c r="L541" s="76"/>
      <c r="M541" s="76"/>
      <c r="N541" s="76"/>
      <c r="O541" s="76"/>
      <c r="P541" s="76"/>
      <c r="Q541" s="77">
        <f ca="1">IFERROR(Q527+Q540,"")</f>
        <v>0</v>
      </c>
      <c r="R541" s="1" t="s">
        <v>264</v>
      </c>
      <c r="S541" s="82">
        <f>IFERROR(S527+S540,"")</f>
        <v>0</v>
      </c>
      <c r="T541" s="118">
        <f>IFERROR(J541,"")</f>
        <v>0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5">IFERROR(IF($H542="","",$H542*$F542*$I542),"")</f>
        <v/>
      </c>
      <c r="K542" s="64" t="str">
        <f t="shared" ref="K542:K553" si="136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37">IFERROR(IF(O542="","",IF(P542="",MOD(NOW()-O542,1),IF(P542&gt;=O542,P542-O542,P542+1-O542))),"")</f>
        <v/>
      </c>
      <c r="R542" s="63"/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5"/>
        <v/>
      </c>
      <c r="K543" s="69" t="str">
        <f t="shared" si="136"/>
        <v/>
      </c>
      <c r="L543" s="70"/>
      <c r="M543" s="70"/>
      <c r="N543" s="70"/>
      <c r="O543" s="65"/>
      <c r="P543" s="65"/>
      <c r="Q543" s="71" t="str">
        <f t="shared" ca="1" si="137"/>
        <v/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5"/>
        <v/>
      </c>
      <c r="K544" s="64" t="str">
        <f t="shared" si="136"/>
        <v/>
      </c>
      <c r="L544" s="61"/>
      <c r="M544" s="61"/>
      <c r="N544" s="61"/>
      <c r="O544" s="65"/>
      <c r="P544" s="65"/>
      <c r="Q544" s="66" t="str">
        <f t="shared" ca="1" si="137"/>
        <v/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5"/>
        <v/>
      </c>
      <c r="K545" s="69" t="str">
        <f t="shared" si="136"/>
        <v/>
      </c>
      <c r="L545" s="70"/>
      <c r="M545" s="70"/>
      <c r="N545" s="70"/>
      <c r="O545" s="65"/>
      <c r="P545" s="65"/>
      <c r="Q545" s="71" t="str">
        <f t="shared" ca="1" si="137"/>
        <v/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5"/>
        <v/>
      </c>
      <c r="K546" s="64" t="str">
        <f t="shared" si="136"/>
        <v/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5"/>
        <v/>
      </c>
      <c r="K547" s="69" t="str">
        <f t="shared" si="136"/>
        <v/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5"/>
        <v/>
      </c>
      <c r="K548" s="64" t="str">
        <f t="shared" si="136"/>
        <v/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5"/>
        <v/>
      </c>
      <c r="K549" s="69" t="str">
        <f t="shared" si="136"/>
        <v/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5"/>
        <v/>
      </c>
      <c r="K550" s="64" t="str">
        <f t="shared" si="136"/>
        <v/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5"/>
        <v/>
      </c>
      <c r="K551" s="69" t="str">
        <f t="shared" si="136"/>
        <v/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5"/>
        <v/>
      </c>
      <c r="K552" s="64" t="str">
        <f t="shared" si="136"/>
        <v/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5"/>
        <v/>
      </c>
      <c r="K553" s="69" t="str">
        <f t="shared" si="136"/>
        <v/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65" t="s">
        <v>260</v>
      </c>
      <c r="B554" s="165"/>
      <c r="C554" s="165"/>
      <c r="D554" s="165"/>
      <c r="E554" s="165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39">IFERROR(IF($H555="","",$H555*$F555*$I555),"")</f>
        <v/>
      </c>
      <c r="K555" s="69" t="str">
        <f t="shared" ref="K555:K566" si="140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1">IFERROR(IF(O555="","",IF(P555="",MOD(NOW()-O555,1),IF(P555&gt;=O555,P555-O555,P555+1-O555))),"")</f>
        <v/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39"/>
        <v/>
      </c>
      <c r="K556" s="64" t="str">
        <f t="shared" si="140"/>
        <v/>
      </c>
      <c r="L556" s="61"/>
      <c r="M556" s="61"/>
      <c r="N556" s="61"/>
      <c r="O556" s="65"/>
      <c r="P556" s="65"/>
      <c r="Q556" s="66" t="str">
        <f t="shared" ca="1" si="141"/>
        <v/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39"/>
        <v/>
      </c>
      <c r="K557" s="69" t="str">
        <f t="shared" si="140"/>
        <v/>
      </c>
      <c r="L557" s="70"/>
      <c r="M557" s="70"/>
      <c r="N557" s="70"/>
      <c r="O557" s="65"/>
      <c r="P557" s="65"/>
      <c r="Q557" s="71" t="str">
        <f t="shared" ca="1" si="141"/>
        <v/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39"/>
        <v/>
      </c>
      <c r="K558" s="64" t="str">
        <f t="shared" si="140"/>
        <v/>
      </c>
      <c r="L558" s="61"/>
      <c r="M558" s="61"/>
      <c r="N558" s="61"/>
      <c r="O558" s="65"/>
      <c r="P558" s="65"/>
      <c r="Q558" s="66" t="str">
        <f t="shared" ca="1" si="141"/>
        <v/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39"/>
        <v/>
      </c>
      <c r="K559" s="69" t="str">
        <f t="shared" si="140"/>
        <v/>
      </c>
      <c r="L559" s="70"/>
      <c r="M559" s="70"/>
      <c r="N559" s="70"/>
      <c r="O559" s="65"/>
      <c r="P559" s="65"/>
      <c r="Q559" s="71" t="str">
        <f t="shared" ca="1" si="141"/>
        <v/>
      </c>
      <c r="R559" s="63"/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39"/>
        <v/>
      </c>
      <c r="K560" s="64" t="str">
        <f t="shared" si="140"/>
        <v/>
      </c>
      <c r="L560" s="61"/>
      <c r="M560" s="61"/>
      <c r="N560" s="61"/>
      <c r="O560" s="65"/>
      <c r="P560" s="65"/>
      <c r="Q560" s="66" t="str">
        <f t="shared" ca="1" si="141"/>
        <v/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39"/>
        <v/>
      </c>
      <c r="K561" s="69" t="str">
        <f t="shared" si="140"/>
        <v/>
      </c>
      <c r="L561" s="70"/>
      <c r="M561" s="70"/>
      <c r="N561" s="70"/>
      <c r="O561" s="65"/>
      <c r="P561" s="65"/>
      <c r="Q561" s="71" t="str">
        <f t="shared" ca="1" si="141"/>
        <v/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39"/>
        <v/>
      </c>
      <c r="K562" s="64" t="str">
        <f t="shared" si="140"/>
        <v/>
      </c>
      <c r="L562" s="61"/>
      <c r="M562" s="61"/>
      <c r="N562" s="61"/>
      <c r="O562" s="65"/>
      <c r="P562" s="65"/>
      <c r="Q562" s="66" t="str">
        <f t="shared" ca="1" si="141"/>
        <v/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39"/>
        <v/>
      </c>
      <c r="K563" s="69" t="str">
        <f t="shared" si="140"/>
        <v/>
      </c>
      <c r="L563" s="70"/>
      <c r="M563" s="70"/>
      <c r="N563" s="70"/>
      <c r="O563" s="65"/>
      <c r="P563" s="65"/>
      <c r="Q563" s="71" t="str">
        <f t="shared" ca="1" si="141"/>
        <v/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39"/>
        <v/>
      </c>
      <c r="K564" s="64" t="str">
        <f t="shared" si="140"/>
        <v/>
      </c>
      <c r="L564" s="61"/>
      <c r="M564" s="61"/>
      <c r="N564" s="61"/>
      <c r="O564" s="65"/>
      <c r="P564" s="65"/>
      <c r="Q564" s="66" t="str">
        <f t="shared" ca="1" si="141"/>
        <v/>
      </c>
      <c r="R564" s="63"/>
      <c r="S564" s="81"/>
    </row>
    <row r="565" spans="1:20" ht="15" customHeight="1">
      <c r="A565" s="18">
        <v>46255</v>
      </c>
      <c r="B565" s="68">
        <f t="shared" si="142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39"/>
        <v/>
      </c>
      <c r="K565" s="69" t="str">
        <f t="shared" si="140"/>
        <v/>
      </c>
      <c r="L565" s="70"/>
      <c r="M565" s="70"/>
      <c r="N565" s="70"/>
      <c r="O565" s="65"/>
      <c r="P565" s="65"/>
      <c r="Q565" s="71" t="str">
        <f t="shared" ca="1" si="141"/>
        <v/>
      </c>
      <c r="R565" s="63"/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39"/>
        <v/>
      </c>
      <c r="K566" s="64" t="str">
        <f t="shared" si="140"/>
        <v/>
      </c>
      <c r="L566" s="61"/>
      <c r="M566" s="61"/>
      <c r="N566" s="61"/>
      <c r="O566" s="65"/>
      <c r="P566" s="65"/>
      <c r="Q566" s="66" t="str">
        <f t="shared" ca="1" si="141"/>
        <v/>
      </c>
      <c r="R566" s="63"/>
      <c r="S566" s="81"/>
    </row>
    <row r="567" spans="1:20" ht="15.75" customHeight="1">
      <c r="A567" s="165" t="s">
        <v>263</v>
      </c>
      <c r="B567" s="165"/>
      <c r="C567" s="165"/>
      <c r="D567" s="165"/>
      <c r="E567" s="165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64" t="s">
        <v>249</v>
      </c>
      <c r="B568" s="164"/>
      <c r="C568" s="164"/>
      <c r="D568" s="164"/>
      <c r="E568" s="164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3">IFERROR(IF($H569="","",$H569*$F569*$I569),"")</f>
        <v/>
      </c>
      <c r="K569" s="69" t="str">
        <f t="shared" ref="K569:K580" si="144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5">IFERROR(IF(O569="","",IF(P569="",MOD(NOW()-O569,1),IF(P569&gt;=O569,P569-O569,P569+1-O569))),"")</f>
        <v/>
      </c>
      <c r="R569" s="63"/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3"/>
        <v/>
      </c>
      <c r="K570" s="69" t="str">
        <f t="shared" si="144"/>
        <v/>
      </c>
      <c r="L570" s="61"/>
      <c r="M570" s="61"/>
      <c r="N570" s="61"/>
      <c r="O570" s="65"/>
      <c r="P570" s="65"/>
      <c r="Q570" s="66" t="str">
        <f t="shared" ca="1" si="145"/>
        <v/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3"/>
        <v/>
      </c>
      <c r="K571" s="69" t="str">
        <f t="shared" si="144"/>
        <v/>
      </c>
      <c r="L571" s="70"/>
      <c r="M571" s="70"/>
      <c r="N571" s="70"/>
      <c r="O571" s="65"/>
      <c r="P571" s="65"/>
      <c r="Q571" s="71" t="str">
        <f t="shared" ca="1" si="145"/>
        <v/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3"/>
        <v/>
      </c>
      <c r="K572" s="69" t="str">
        <f t="shared" si="144"/>
        <v/>
      </c>
      <c r="L572" s="61"/>
      <c r="M572" s="61"/>
      <c r="N572" s="61"/>
      <c r="O572" s="65"/>
      <c r="P572" s="65"/>
      <c r="Q572" s="66" t="str">
        <f t="shared" ca="1" si="145"/>
        <v/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3"/>
        <v/>
      </c>
      <c r="K573" s="69" t="str">
        <f t="shared" si="144"/>
        <v/>
      </c>
      <c r="L573" s="70"/>
      <c r="M573" s="70"/>
      <c r="N573" s="70"/>
      <c r="O573" s="65"/>
      <c r="P573" s="65"/>
      <c r="Q573" s="71" t="str">
        <f t="shared" ca="1" si="145"/>
        <v/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3"/>
        <v/>
      </c>
      <c r="K574" s="69" t="str">
        <f t="shared" si="144"/>
        <v/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3"/>
        <v/>
      </c>
      <c r="K575" s="69" t="str">
        <f t="shared" si="144"/>
        <v/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3"/>
        <v/>
      </c>
      <c r="K576" s="69" t="str">
        <f t="shared" si="144"/>
        <v/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3"/>
        <v/>
      </c>
      <c r="K577" s="69" t="str">
        <f t="shared" si="144"/>
        <v/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3"/>
        <v/>
      </c>
      <c r="K578" s="69" t="str">
        <f t="shared" si="144"/>
        <v/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3"/>
        <v/>
      </c>
      <c r="K579" s="69" t="str">
        <f t="shared" si="144"/>
        <v/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3"/>
        <v/>
      </c>
      <c r="K580" s="69" t="str">
        <f t="shared" si="144"/>
        <v/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65" t="s">
        <v>260</v>
      </c>
      <c r="B581" s="165"/>
      <c r="C581" s="165"/>
      <c r="D581" s="165"/>
      <c r="E581" s="165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49">IFERROR(IF(O582="","",IF(P582="",MOD(NOW()-O582,1),IF(P582&gt;=O582,P582-O582,P582+1-O582))),"")</f>
        <v/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M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B590" s="60">
        <f t="shared" si="150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65" t="s">
        <v>263</v>
      </c>
      <c r="B594" s="165"/>
      <c r="C594" s="165"/>
      <c r="D594" s="165"/>
      <c r="E594" s="165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64" t="s">
        <v>249</v>
      </c>
      <c r="B595" s="164"/>
      <c r="C595" s="164"/>
      <c r="D595" s="164"/>
      <c r="E595" s="164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65" t="s">
        <v>260</v>
      </c>
      <c r="B608" s="165"/>
      <c r="C608" s="165"/>
      <c r="D608" s="165"/>
      <c r="E608" s="165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65" t="s">
        <v>263</v>
      </c>
      <c r="B621" s="165"/>
      <c r="C621" s="165"/>
      <c r="D621" s="165"/>
      <c r="E621" s="165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64" t="s">
        <v>249</v>
      </c>
      <c r="B622" s="164"/>
      <c r="C622" s="164"/>
      <c r="D622" s="164"/>
      <c r="E622" s="164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65" t="s">
        <v>260</v>
      </c>
      <c r="B635" s="165"/>
      <c r="C635" s="165"/>
      <c r="D635" s="165"/>
      <c r="E635" s="165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65" t="s">
        <v>263</v>
      </c>
      <c r="B648" s="165"/>
      <c r="C648" s="165"/>
      <c r="D648" s="165"/>
      <c r="E648" s="165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64" t="s">
        <v>249</v>
      </c>
      <c r="B649" s="164"/>
      <c r="C649" s="164"/>
      <c r="D649" s="164"/>
      <c r="E649" s="164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65" t="s">
        <v>260</v>
      </c>
      <c r="B662" s="165"/>
      <c r="C662" s="165"/>
      <c r="D662" s="165"/>
      <c r="E662" s="165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65" t="s">
        <v>263</v>
      </c>
      <c r="B675" s="165"/>
      <c r="C675" s="165"/>
      <c r="D675" s="165"/>
      <c r="E675" s="165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64" t="s">
        <v>249</v>
      </c>
      <c r="B676" s="164"/>
      <c r="C676" s="164"/>
      <c r="D676" s="164"/>
      <c r="E676" s="164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65" t="s">
        <v>260</v>
      </c>
      <c r="B689" s="165"/>
      <c r="C689" s="165"/>
      <c r="D689" s="165"/>
      <c r="E689" s="165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65" t="s">
        <v>263</v>
      </c>
      <c r="B702" s="165"/>
      <c r="C702" s="165"/>
      <c r="D702" s="165"/>
      <c r="E702" s="165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64" t="s">
        <v>249</v>
      </c>
      <c r="B703" s="164"/>
      <c r="C703" s="164"/>
      <c r="D703" s="164"/>
      <c r="E703" s="164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65" t="s">
        <v>260</v>
      </c>
      <c r="B716" s="165"/>
      <c r="C716" s="165"/>
      <c r="D716" s="165"/>
      <c r="E716" s="165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65" t="s">
        <v>263</v>
      </c>
      <c r="B729" s="165"/>
      <c r="C729" s="165"/>
      <c r="D729" s="165"/>
      <c r="E729" s="165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64" t="s">
        <v>249</v>
      </c>
      <c r="B730" s="164"/>
      <c r="C730" s="164"/>
      <c r="D730" s="164"/>
      <c r="E730" s="164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65" t="s">
        <v>260</v>
      </c>
      <c r="B743" s="165"/>
      <c r="C743" s="165"/>
      <c r="D743" s="165"/>
      <c r="E743" s="165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65" t="s">
        <v>263</v>
      </c>
      <c r="B756" s="165"/>
      <c r="C756" s="165"/>
      <c r="D756" s="165"/>
      <c r="E756" s="165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64" t="s">
        <v>249</v>
      </c>
      <c r="B757" s="164"/>
      <c r="C757" s="164"/>
      <c r="D757" s="164"/>
      <c r="E757" s="164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65" t="s">
        <v>260</v>
      </c>
      <c r="B770" s="165"/>
      <c r="C770" s="165"/>
      <c r="D770" s="165"/>
      <c r="E770" s="165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65" t="s">
        <v>263</v>
      </c>
      <c r="B783" s="165"/>
      <c r="C783" s="165"/>
      <c r="D783" s="165"/>
      <c r="E783" s="165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64" t="s">
        <v>249</v>
      </c>
      <c r="B784" s="164"/>
      <c r="C784" s="164"/>
      <c r="D784" s="164"/>
      <c r="E784" s="164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65" t="s">
        <v>260</v>
      </c>
      <c r="B797" s="165"/>
      <c r="C797" s="165"/>
      <c r="D797" s="165"/>
      <c r="E797" s="165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65" t="s">
        <v>263</v>
      </c>
      <c r="B810" s="165"/>
      <c r="C810" s="165"/>
      <c r="D810" s="165"/>
      <c r="E810" s="165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64" t="s">
        <v>249</v>
      </c>
      <c r="B811" s="164"/>
      <c r="C811" s="164"/>
      <c r="D811" s="164"/>
      <c r="E811" s="164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65" t="s">
        <v>260</v>
      </c>
      <c r="B824" s="165"/>
      <c r="C824" s="165"/>
      <c r="D824" s="165"/>
      <c r="E824" s="165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65" t="s">
        <v>263</v>
      </c>
      <c r="B837" s="165"/>
      <c r="C837" s="165"/>
      <c r="D837" s="165"/>
      <c r="E837" s="165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64" t="s">
        <v>249</v>
      </c>
      <c r="B838" s="164"/>
      <c r="C838" s="164"/>
      <c r="D838" s="164"/>
      <c r="E838" s="164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sheetProtection algorithmName="SHA-512" hashValue="3hmlhIcUQV7Y6ENVl+tFI7NIhDBthph4zxvmVh6MTWWMhnR4Eb53YRgxkPHZd5tz5f68fercbK+rQBiJRqvCwQ==" saltValue="vb34SkKuNHTnGQz24y/YFQ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E15:F26 E29:F256 F259:F261 E260:E261 E263:F380 E382:F492 F493:F514 E494:E514 E516:F838" xr:uid="{FE96791D-8E0B-4717-8F3A-3CA723D3D1F1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132884BB-86D0-43BF-A43A-C7EBDE34B9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99EA4424-6AA2-49BE-95B1-268F815F2337}">
      <formula1>"PC 17;PC 01"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804086D9-42B2-408A-8A0B-7A228A0534D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FD644130-51BE-48B9-AA26-C664E1CD8C7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3A8C8F99-C5D9-4834-BF7C-4E809F73F0C9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EEB499C4-35EC-4F28-9A2F-BC025C6C187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4309890-414F-487D-BE6B-8618CA1CACC6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5" zoomScaleNormal="85" workbookViewId="0">
      <pane ySplit="1" topLeftCell="A479" activePane="bottomLeft" state="frozen"/>
      <selection pane="bottomLeft" activeCell="D509" sqref="D509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294</v>
      </c>
      <c r="I1" s="86" t="s">
        <v>22</v>
      </c>
      <c r="J1" s="86" t="s">
        <v>295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295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65" t="s">
        <v>260</v>
      </c>
      <c r="B14" s="165"/>
      <c r="C14" s="165"/>
      <c r="D14" s="165"/>
      <c r="E14" s="165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261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274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362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302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337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363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364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274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274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65" t="s">
        <v>263</v>
      </c>
      <c r="B27" s="165"/>
      <c r="C27" s="165"/>
      <c r="D27" s="165"/>
      <c r="E27" s="165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261</v>
      </c>
      <c r="S27" s="74">
        <v>491520</v>
      </c>
      <c r="T27" s="99">
        <f>IFERROR(J27,"")</f>
        <v>0</v>
      </c>
    </row>
    <row r="28" spans="1:20" ht="18" customHeight="1">
      <c r="A28" s="164" t="s">
        <v>249</v>
      </c>
      <c r="B28" s="164"/>
      <c r="C28" s="164"/>
      <c r="D28" s="164"/>
      <c r="E28" s="164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264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274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274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274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274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274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274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274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274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274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274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274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65" t="s">
        <v>260</v>
      </c>
      <c r="B41" s="165"/>
      <c r="C41" s="165"/>
      <c r="D41" s="165"/>
      <c r="E41" s="165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261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365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65" t="s">
        <v>263</v>
      </c>
      <c r="B54" s="165"/>
      <c r="C54" s="165"/>
      <c r="D54" s="165"/>
      <c r="E54" s="165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261</v>
      </c>
      <c r="S54" s="74">
        <v>352430</v>
      </c>
      <c r="T54" s="99">
        <f>IFERROR(J54,"")</f>
        <v>0</v>
      </c>
    </row>
    <row r="55" spans="1:20" ht="18" customHeight="1">
      <c r="A55" s="164" t="s">
        <v>249</v>
      </c>
      <c r="B55" s="164"/>
      <c r="C55" s="164"/>
      <c r="D55" s="164"/>
      <c r="E55" s="164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264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366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367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65" t="s">
        <v>260</v>
      </c>
      <c r="B68" s="165"/>
      <c r="C68" s="165"/>
      <c r="D68" s="165"/>
      <c r="E68" s="165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261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230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368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337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65" t="s">
        <v>263</v>
      </c>
      <c r="B81" s="165"/>
      <c r="C81" s="165"/>
      <c r="D81" s="165"/>
      <c r="E81" s="165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261</v>
      </c>
      <c r="S81" s="74">
        <v>612410</v>
      </c>
      <c r="T81" s="99">
        <f>IFERROR(J81,"")</f>
        <v>0</v>
      </c>
    </row>
    <row r="82" spans="1:20" ht="18" customHeight="1">
      <c r="A82" s="164" t="s">
        <v>249</v>
      </c>
      <c r="B82" s="164"/>
      <c r="C82" s="164"/>
      <c r="D82" s="164"/>
      <c r="E82" s="164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264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65" t="s">
        <v>260</v>
      </c>
      <c r="B95" s="165"/>
      <c r="C95" s="165"/>
      <c r="D95" s="165"/>
      <c r="E95" s="165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261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337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65" t="s">
        <v>263</v>
      </c>
      <c r="B108" s="165"/>
      <c r="C108" s="165"/>
      <c r="D108" s="165"/>
      <c r="E108" s="165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261</v>
      </c>
      <c r="S108" s="74">
        <v>956070</v>
      </c>
      <c r="T108" s="99">
        <f>IFERROR(J108,"")</f>
        <v>0</v>
      </c>
    </row>
    <row r="109" spans="1:20" ht="18" customHeight="1">
      <c r="A109" s="164" t="s">
        <v>249</v>
      </c>
      <c r="B109" s="164"/>
      <c r="C109" s="164"/>
      <c r="D109" s="164"/>
      <c r="E109" s="164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264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230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235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235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369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65" t="s">
        <v>260</v>
      </c>
      <c r="B122" s="165"/>
      <c r="C122" s="165"/>
      <c r="D122" s="165"/>
      <c r="E122" s="165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261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370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305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337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65" t="s">
        <v>263</v>
      </c>
      <c r="B135" s="165"/>
      <c r="C135" s="165"/>
      <c r="D135" s="165"/>
      <c r="E135" s="165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261</v>
      </c>
      <c r="S135" s="74">
        <v>912240</v>
      </c>
      <c r="T135" s="99">
        <f>IFERROR(J135,"")</f>
        <v>0</v>
      </c>
    </row>
    <row r="136" spans="1:22" ht="18" customHeight="1">
      <c r="A136" s="164" t="s">
        <v>249</v>
      </c>
      <c r="B136" s="164"/>
      <c r="C136" s="164"/>
      <c r="D136" s="164"/>
      <c r="E136" s="164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264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371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372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313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260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261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373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374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65" t="s">
        <v>263</v>
      </c>
      <c r="B162" s="165"/>
      <c r="C162" s="165"/>
      <c r="D162" s="165"/>
      <c r="E162" s="165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261</v>
      </c>
      <c r="S162" s="74">
        <v>573230</v>
      </c>
      <c r="T162" s="99">
        <f>IFERROR(J162,"")</f>
        <v>0</v>
      </c>
    </row>
    <row r="163" spans="1:20" ht="18" customHeight="1">
      <c r="A163" s="164" t="s">
        <v>249</v>
      </c>
      <c r="B163" s="164"/>
      <c r="C163" s="164"/>
      <c r="D163" s="164"/>
      <c r="E163" s="164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264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375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65" t="s">
        <v>260</v>
      </c>
      <c r="B176" s="165"/>
      <c r="C176" s="165"/>
      <c r="D176" s="165"/>
      <c r="E176" s="165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261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376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65" t="s">
        <v>263</v>
      </c>
      <c r="B189" s="165"/>
      <c r="C189" s="165"/>
      <c r="D189" s="165"/>
      <c r="E189" s="165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261</v>
      </c>
      <c r="S189" s="74">
        <v>692750</v>
      </c>
      <c r="T189" s="99">
        <f>IFERROR(J189,"")</f>
        <v>0</v>
      </c>
    </row>
    <row r="190" spans="1:20" ht="18" customHeight="1">
      <c r="A190" s="164" t="s">
        <v>249</v>
      </c>
      <c r="B190" s="164"/>
      <c r="C190" s="164"/>
      <c r="D190" s="164"/>
      <c r="E190" s="164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264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377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65" t="s">
        <v>260</v>
      </c>
      <c r="B203" s="165"/>
      <c r="C203" s="165"/>
      <c r="D203" s="165"/>
      <c r="E203" s="165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261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378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379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380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65" t="s">
        <v>263</v>
      </c>
      <c r="B216" s="165"/>
      <c r="C216" s="165"/>
      <c r="D216" s="165"/>
      <c r="E216" s="165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261</v>
      </c>
      <c r="S216" s="74">
        <v>607180</v>
      </c>
      <c r="T216" s="99">
        <f>IFERROR(J216,"")</f>
        <v>0</v>
      </c>
    </row>
    <row r="217" spans="1:20" ht="18" customHeight="1">
      <c r="A217" s="164" t="s">
        <v>249</v>
      </c>
      <c r="B217" s="164"/>
      <c r="C217" s="164"/>
      <c r="D217" s="164"/>
      <c r="E217" s="164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264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381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382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65" t="s">
        <v>260</v>
      </c>
      <c r="B230" s="165"/>
      <c r="C230" s="165"/>
      <c r="D230" s="165"/>
      <c r="E230" s="165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261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383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384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65" t="s">
        <v>263</v>
      </c>
      <c r="B243" s="165"/>
      <c r="C243" s="165"/>
      <c r="D243" s="165"/>
      <c r="E243" s="165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261</v>
      </c>
      <c r="S243" s="74">
        <v>795250</v>
      </c>
      <c r="T243" s="99">
        <f>IFERROR(J243,"")</f>
        <v>0</v>
      </c>
    </row>
    <row r="244" spans="1:20" ht="18" customHeight="1">
      <c r="A244" s="164" t="s">
        <v>249</v>
      </c>
      <c r="B244" s="164"/>
      <c r="C244" s="164"/>
      <c r="D244" s="164"/>
      <c r="E244" s="164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264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 t="s">
        <v>284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385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65" t="s">
        <v>260</v>
      </c>
      <c r="B257" s="165"/>
      <c r="C257" s="165"/>
      <c r="D257" s="165"/>
      <c r="E257" s="165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261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274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274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274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274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274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274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274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274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274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274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274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274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65" t="s">
        <v>263</v>
      </c>
      <c r="B270" s="165"/>
      <c r="C270" s="165"/>
      <c r="D270" s="165"/>
      <c r="E270" s="165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261</v>
      </c>
      <c r="S270" s="74">
        <v>683360</v>
      </c>
      <c r="T270" s="99">
        <f>IFERROR(J270,"")</f>
        <v>0</v>
      </c>
    </row>
    <row r="271" spans="1:20" ht="18" customHeight="1">
      <c r="A271" s="164" t="s">
        <v>249</v>
      </c>
      <c r="B271" s="164"/>
      <c r="C271" s="164"/>
      <c r="D271" s="164"/>
      <c r="E271" s="164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264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274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65" t="s">
        <v>260</v>
      </c>
      <c r="B284" s="165"/>
      <c r="C284" s="165"/>
      <c r="D284" s="165"/>
      <c r="E284" s="165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261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65" t="s">
        <v>263</v>
      </c>
      <c r="B297" s="165"/>
      <c r="C297" s="165"/>
      <c r="D297" s="165"/>
      <c r="E297" s="165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261</v>
      </c>
      <c r="S297" s="74">
        <v>904710</v>
      </c>
      <c r="T297" s="99">
        <f>IFERROR(J297,"")</f>
        <v>0</v>
      </c>
    </row>
    <row r="298" spans="1:20" ht="18" customHeight="1">
      <c r="A298" s="164" t="s">
        <v>249</v>
      </c>
      <c r="B298" s="164"/>
      <c r="C298" s="164"/>
      <c r="D298" s="164"/>
      <c r="E298" s="164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264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65" t="s">
        <v>260</v>
      </c>
      <c r="B311" s="165"/>
      <c r="C311" s="165"/>
      <c r="D311" s="165"/>
      <c r="E311" s="165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261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65" t="s">
        <v>263</v>
      </c>
      <c r="B324" s="165"/>
      <c r="C324" s="165"/>
      <c r="D324" s="165"/>
      <c r="E324" s="165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261</v>
      </c>
      <c r="S324" s="74">
        <v>1049720</v>
      </c>
      <c r="T324" s="99">
        <f>IFERROR(J324,"")</f>
        <v>151.15967999999998</v>
      </c>
    </row>
    <row r="325" spans="1:20" ht="18" customHeight="1">
      <c r="A325" s="164" t="s">
        <v>249</v>
      </c>
      <c r="B325" s="164"/>
      <c r="C325" s="164"/>
      <c r="D325" s="164"/>
      <c r="E325" s="164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264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274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65" t="s">
        <v>260</v>
      </c>
      <c r="B338" s="165"/>
      <c r="C338" s="165"/>
      <c r="D338" s="165"/>
      <c r="E338" s="165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261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386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387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65" t="s">
        <v>263</v>
      </c>
      <c r="B351" s="165"/>
      <c r="C351" s="165"/>
      <c r="D351" s="165"/>
      <c r="E351" s="165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261</v>
      </c>
      <c r="S351" s="74">
        <v>1058130</v>
      </c>
      <c r="T351" s="99">
        <f>IFERROR(J351,"")</f>
        <v>222.20729999999995</v>
      </c>
    </row>
    <row r="352" spans="1:20" ht="18" customHeight="1">
      <c r="A352" s="164" t="s">
        <v>249</v>
      </c>
      <c r="B352" s="164"/>
      <c r="C352" s="164"/>
      <c r="D352" s="164"/>
      <c r="E352" s="164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264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388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389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260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261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390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65" t="s">
        <v>263</v>
      </c>
      <c r="B378" s="165"/>
      <c r="C378" s="165"/>
      <c r="D378" s="165"/>
      <c r="E378" s="165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261</v>
      </c>
      <c r="S378" s="74">
        <v>1137080</v>
      </c>
      <c r="T378" s="99">
        <f>IFERROR(J378,"")</f>
        <v>238.78679999999994</v>
      </c>
    </row>
    <row r="379" spans="1:20" ht="18" customHeight="1">
      <c r="A379" s="164" t="s">
        <v>249</v>
      </c>
      <c r="B379" s="164"/>
      <c r="C379" s="164"/>
      <c r="D379" s="164"/>
      <c r="E379" s="164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264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274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327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391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65" t="s">
        <v>260</v>
      </c>
      <c r="B392" s="165"/>
      <c r="C392" s="165"/>
      <c r="D392" s="165"/>
      <c r="E392" s="165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261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230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392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65" t="s">
        <v>263</v>
      </c>
      <c r="B405" s="165"/>
      <c r="C405" s="165"/>
      <c r="D405" s="165"/>
      <c r="E405" s="165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261</v>
      </c>
      <c r="S405" s="74">
        <v>989450</v>
      </c>
      <c r="T405" s="99">
        <f>IFERROR(J405,"")</f>
        <v>195.72390675675675</v>
      </c>
    </row>
    <row r="406" spans="1:20" ht="18" customHeight="1">
      <c r="A406" s="164" t="s">
        <v>249</v>
      </c>
      <c r="B406" s="164"/>
      <c r="C406" s="164"/>
      <c r="D406" s="164"/>
      <c r="E406" s="164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264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237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393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65" t="s">
        <v>260</v>
      </c>
      <c r="B419" s="165"/>
      <c r="C419" s="165"/>
      <c r="D419" s="165"/>
      <c r="E419" s="165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261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394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65" t="s">
        <v>263</v>
      </c>
      <c r="B432" s="165"/>
      <c r="C432" s="165"/>
      <c r="D432" s="165"/>
      <c r="E432" s="165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261</v>
      </c>
      <c r="S432" s="74">
        <v>766030</v>
      </c>
      <c r="T432" s="99">
        <f>IFERROR(J432,"")</f>
        <v>110.30832000000001</v>
      </c>
    </row>
    <row r="433" spans="1:21" ht="18" customHeight="1">
      <c r="A433" s="164" t="s">
        <v>249</v>
      </c>
      <c r="B433" s="164"/>
      <c r="C433" s="164"/>
      <c r="D433" s="164"/>
      <c r="E433" s="164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264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274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65" t="s">
        <v>260</v>
      </c>
      <c r="B446" s="165"/>
      <c r="C446" s="165"/>
      <c r="D446" s="165"/>
      <c r="E446" s="165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261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395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389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65" t="s">
        <v>263</v>
      </c>
      <c r="B459" s="165"/>
      <c r="C459" s="165"/>
      <c r="D459" s="165"/>
      <c r="E459" s="165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261</v>
      </c>
      <c r="S459" s="74">
        <v>1024280</v>
      </c>
      <c r="T459" s="99">
        <f>IFERROR(J459,"")</f>
        <v>202.88866044052861</v>
      </c>
    </row>
    <row r="460" spans="1:20" ht="18" customHeight="1">
      <c r="A460" s="164" t="s">
        <v>249</v>
      </c>
      <c r="B460" s="164"/>
      <c r="C460" s="164"/>
      <c r="D460" s="164"/>
      <c r="E460" s="164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264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65" t="s">
        <v>260</v>
      </c>
      <c r="B473" s="165"/>
      <c r="C473" s="165"/>
      <c r="D473" s="165"/>
      <c r="E473" s="165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261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396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359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65" t="s">
        <v>263</v>
      </c>
      <c r="B486" s="165"/>
      <c r="C486" s="165"/>
      <c r="D486" s="165"/>
      <c r="E486" s="165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261</v>
      </c>
      <c r="S486" s="74">
        <v>616050</v>
      </c>
      <c r="T486" s="99">
        <f>IFERROR(J486,"")</f>
        <v>88.711199999999977</v>
      </c>
    </row>
    <row r="487" spans="1:20" ht="18" customHeight="1">
      <c r="A487" s="164" t="s">
        <v>249</v>
      </c>
      <c r="B487" s="164"/>
      <c r="C487" s="164"/>
      <c r="D487" s="164"/>
      <c r="E487" s="164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264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65" t="s">
        <v>260</v>
      </c>
      <c r="B500" s="165"/>
      <c r="C500" s="165"/>
      <c r="D500" s="165"/>
      <c r="E500" s="165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261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100" t="s">
        <v>274</v>
      </c>
      <c r="F501" s="101">
        <f>IFERROR(IF($D501="","",VLOOKUP($D501,Cadastro!$C$4:$E$7,3,FALSE())),"")</f>
        <v>0.35</v>
      </c>
      <c r="G501" s="89">
        <v>10</v>
      </c>
      <c r="H501" s="101">
        <f>IFERROR(IF($G501="","",$G501*$S$513/$G$513/Cadastro!$E$33),"")</f>
        <v>0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0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31</v>
      </c>
      <c r="E502" s="100" t="s">
        <v>274</v>
      </c>
      <c r="F502" s="88">
        <f>IFERROR(IF($D502="","",VLOOKUP($D502,Cadastro!$C$4:$E$7,3,FALSE())),"")</f>
        <v>0.35</v>
      </c>
      <c r="G502" s="89">
        <v>14</v>
      </c>
      <c r="H502" s="88">
        <f>IFERROR(IF($G502="","",$G502*$S$513/$G$513/Cadastro!$E$33),"")</f>
        <v>0</v>
      </c>
      <c r="I502" s="90">
        <f>IFERROR(IF($D502="","",VLOOKUP($D502,Cadastro!$C$4:$G$7,5,FALSE())),"")</f>
        <v>0.6</v>
      </c>
      <c r="J502" s="91">
        <f t="shared" si="126"/>
        <v>0</v>
      </c>
      <c r="K502" s="64">
        <f t="shared" si="127"/>
        <v>58.800000000000004</v>
      </c>
      <c r="L502" s="61" t="s">
        <v>27</v>
      </c>
      <c r="M502" s="61" t="s">
        <v>139</v>
      </c>
      <c r="N502" s="61" t="s">
        <v>209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31</v>
      </c>
      <c r="E503" s="100" t="s">
        <v>274</v>
      </c>
      <c r="F503" s="88">
        <f>IFERROR(IF($D503="","",VLOOKUP($D503,Cadastro!$C$4:$E$7,3,FALSE())),"")</f>
        <v>0.35</v>
      </c>
      <c r="G503" s="89">
        <v>23</v>
      </c>
      <c r="H503" s="88">
        <f>IFERROR(IF($G503="","",$G503*$S$513/$G$513/Cadastro!$E$33),"")</f>
        <v>0</v>
      </c>
      <c r="I503" s="90">
        <f>IFERROR(IF($D503="","",VLOOKUP($D503,Cadastro!$C$4:$G$7,5,FALSE())),"")</f>
        <v>0.6</v>
      </c>
      <c r="J503" s="91">
        <f t="shared" si="126"/>
        <v>0</v>
      </c>
      <c r="K503" s="69">
        <f t="shared" si="127"/>
        <v>96.600000000000009</v>
      </c>
      <c r="L503" s="70" t="s">
        <v>28</v>
      </c>
      <c r="M503" s="70" t="s">
        <v>173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31</v>
      </c>
      <c r="E504" s="100" t="s">
        <v>274</v>
      </c>
      <c r="F504" s="88">
        <f>IFERROR(IF($D504="","",VLOOKUP($D504,Cadastro!$C$4:$E$7,3,FALSE())),"")</f>
        <v>0.35</v>
      </c>
      <c r="G504" s="89">
        <v>7</v>
      </c>
      <c r="H504" s="88">
        <f>IFERROR(IF($G504="","",$G504*$S$513/$G$513/Cadastro!$E$33),"")</f>
        <v>0</v>
      </c>
      <c r="I504" s="90">
        <f>IFERROR(IF($D504="","",VLOOKUP($D504,Cadastro!$C$4:$G$7,5,FALSE())),"")</f>
        <v>0.6</v>
      </c>
      <c r="J504" s="91">
        <f t="shared" si="126"/>
        <v>0</v>
      </c>
      <c r="K504" s="64">
        <f t="shared" si="127"/>
        <v>29.400000000000002</v>
      </c>
      <c r="L504" s="61"/>
      <c r="M504" s="61"/>
      <c r="N504" s="61"/>
      <c r="O504" s="65"/>
      <c r="P504" s="65"/>
      <c r="Q504" s="66" t="str">
        <f t="shared" ca="1" si="128"/>
        <v/>
      </c>
      <c r="R504" s="63"/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31</v>
      </c>
      <c r="E505" s="100" t="s">
        <v>274</v>
      </c>
      <c r="F505" s="88">
        <f>IFERROR(IF($D505="","",VLOOKUP($D505,Cadastro!$C$4:$E$7,3,FALSE())),"")</f>
        <v>0.35</v>
      </c>
      <c r="G505" s="89">
        <v>7</v>
      </c>
      <c r="H505" s="88">
        <f>IFERROR(IF($G505="","",$G505*$S$513/$G$513/Cadastro!$E$33),"")</f>
        <v>0</v>
      </c>
      <c r="I505" s="90">
        <f>IFERROR(IF($D505="","",VLOOKUP($D505,Cadastro!$C$4:$G$7,5,FALSE())),"")</f>
        <v>0.6</v>
      </c>
      <c r="J505" s="91">
        <f t="shared" si="126"/>
        <v>0</v>
      </c>
      <c r="K505" s="69">
        <f t="shared" si="127"/>
        <v>29.400000000000002</v>
      </c>
      <c r="L505" s="70"/>
      <c r="M505" s="70"/>
      <c r="N505" s="70"/>
      <c r="O505" s="65"/>
      <c r="P505" s="65"/>
      <c r="Q505" s="71" t="str">
        <f t="shared" ca="1" si="128"/>
        <v/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31</v>
      </c>
      <c r="E506" s="100" t="s">
        <v>274</v>
      </c>
      <c r="F506" s="88">
        <f>IFERROR(IF($D506="","",VLOOKUP($D506,Cadastro!$C$4:$E$7,3,FALSE())),"")</f>
        <v>0.35</v>
      </c>
      <c r="G506" s="89">
        <v>14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6"/>
        <v>0</v>
      </c>
      <c r="K506" s="64">
        <f>IF(G506="","",IF(E506="PC 17",G506*4.2,IF(E506="PC 19",G506*5,IF(E506="CB",G506*24,""))))</f>
        <v>58.800000000000004</v>
      </c>
      <c r="L506" s="61"/>
      <c r="M506" s="61"/>
      <c r="N506" s="61"/>
      <c r="O506" s="65"/>
      <c r="P506" s="65"/>
      <c r="Q506" s="66" t="str">
        <f t="shared" ca="1" si="128"/>
        <v/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31</v>
      </c>
      <c r="E507" s="154" t="s">
        <v>397</v>
      </c>
      <c r="F507" s="88">
        <f>IFERROR(IF($D507="","",VLOOKUP($D507,Cadastro!$C$4:$E$7,3,FALSE())),"")</f>
        <v>0.35</v>
      </c>
      <c r="G507" s="89">
        <v>22</v>
      </c>
      <c r="H507" s="88">
        <f>IFERROR(IF($G507="","",$G507*$S$513/$G$513/Cadastro!$E$33),"")</f>
        <v>0</v>
      </c>
      <c r="I507" s="90">
        <f>IFERROR(IF($D507="","",VLOOKUP($D507,Cadastro!$C$4:$G$7,5,FALSE())),"")</f>
        <v>0.6</v>
      </c>
      <c r="J507" s="91">
        <f t="shared" si="126"/>
        <v>0</v>
      </c>
      <c r="K507" s="69" t="e">
        <f>IF(G507="","",IF(#REF!="PC 17",G507*4.2,IF(#REF!="PC 19",G507*5,IF(#REF!="CB",G507*24,""))))</f>
        <v>#REF!</v>
      </c>
      <c r="L507" s="70"/>
      <c r="M507" s="70"/>
      <c r="N507" s="70"/>
      <c r="O507" s="65"/>
      <c r="P507" s="65"/>
      <c r="Q507" s="71" t="str">
        <f t="shared" ca="1" si="128"/>
        <v/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0</v>
      </c>
      <c r="I508" s="90">
        <f>IFERROR(IF($D508="","",VLOOKUP($D508,Cadastro!$C$4:$G$7,5,FALSE())),"")</f>
        <v>0.6</v>
      </c>
      <c r="J508" s="91">
        <f t="shared" si="126"/>
        <v>0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0</v>
      </c>
      <c r="I509" s="90">
        <f>IFERROR(IF($D509="","",VLOOKUP($D509,Cadastro!$C$4:$G$7,5,FALSE())),"")</f>
        <v>0.6</v>
      </c>
      <c r="J509" s="91">
        <f t="shared" si="126"/>
        <v>0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/>
      <c r="E510" s="100"/>
      <c r="F510" s="88" t="str">
        <f>IFERROR(IF($D510="","",VLOOKUP($D510,Cadastro!$C$4:$E$7,3,FALSE())),"")</f>
        <v/>
      </c>
      <c r="G510" s="89"/>
      <c r="H510" s="88" t="str">
        <f>IFERROR(IF($G510="","",$G510*$S$513/$G$513/Cadastro!$E$33),"")</f>
        <v/>
      </c>
      <c r="I510" s="90" t="str">
        <f>IFERROR(IF($D510="","",VLOOKUP($D510,Cadastro!$C$4:$G$7,5,FALSE())),"")</f>
        <v/>
      </c>
      <c r="J510" s="91" t="str">
        <f t="shared" si="126"/>
        <v/>
      </c>
      <c r="K510" s="64" t="str">
        <f t="shared" si="127"/>
        <v/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/>
      <c r="E511" s="100"/>
      <c r="F511" s="88" t="str">
        <f>IFERROR(IF($D511="","",VLOOKUP($D511,Cadastro!$C$4:$E$7,3,FALSE())),"")</f>
        <v/>
      </c>
      <c r="G511" s="89"/>
      <c r="H511" s="88" t="str">
        <f>IFERROR(IF($G511="","",$G511*$S$513/$G$513/Cadastro!$E$33),"")</f>
        <v/>
      </c>
      <c r="I511" s="90" t="str">
        <f>IFERROR(IF($D511="","",VLOOKUP($D511,Cadastro!$C$4:$G$7,5,FALSE())),"")</f>
        <v/>
      </c>
      <c r="J511" s="91" t="str">
        <f t="shared" si="126"/>
        <v/>
      </c>
      <c r="K511" s="69" t="str">
        <f t="shared" si="127"/>
        <v/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/>
      <c r="E512" s="100"/>
      <c r="F512" s="92" t="str">
        <f>IFERROR(IF($D512="","",VLOOKUP($D512,Cadastro!$C$4:$E$7,3,FALSE())),"")</f>
        <v/>
      </c>
      <c r="G512" s="89"/>
      <c r="H512" s="92" t="str">
        <f>IFERROR(IF($G512="","",$G512*$S$513/$G$513/Cadastro!$E$33),"")</f>
        <v/>
      </c>
      <c r="I512" s="93" t="str">
        <f>IFERROR(IF($D512="","",VLOOKUP($D512,Cadastro!$C$4:$G$7,5,FALSE())),"")</f>
        <v/>
      </c>
      <c r="J512" s="94" t="str">
        <f t="shared" si="126"/>
        <v/>
      </c>
      <c r="K512" s="64" t="str">
        <f t="shared" si="127"/>
        <v/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65" t="s">
        <v>263</v>
      </c>
      <c r="B513" s="165"/>
      <c r="C513" s="165"/>
      <c r="D513" s="165"/>
      <c r="E513" s="165"/>
      <c r="F513" s="105"/>
      <c r="G513" s="96">
        <f>SUM(G501:G512)</f>
        <v>138</v>
      </c>
      <c r="H513" s="105">
        <f>IFERROR(SUM(H501:H512),"")</f>
        <v>0</v>
      </c>
      <c r="I513" s="106"/>
      <c r="J513" s="107">
        <f>IFERROR(SUM(J501:J512),"")</f>
        <v>0</v>
      </c>
      <c r="K513" s="2" t="e">
        <f>SUM(K501:K512)</f>
        <v>#REF!</v>
      </c>
      <c r="L513" s="72"/>
      <c r="M513" s="72"/>
      <c r="N513" s="72"/>
      <c r="O513" s="134"/>
      <c r="P513" s="134"/>
      <c r="Q513" s="73">
        <f ca="1">IFERROR(SUM(Q501:Q512),"")</f>
        <v>6.7361111111111233E-2</v>
      </c>
      <c r="R513" s="2" t="s">
        <v>261</v>
      </c>
      <c r="S513" s="74"/>
      <c r="T513" s="99">
        <f>IFERROR(J513,"")</f>
        <v>0</v>
      </c>
    </row>
    <row r="514" spans="1:20" ht="18" customHeight="1">
      <c r="A514" s="164" t="s">
        <v>249</v>
      </c>
      <c r="B514" s="164"/>
      <c r="C514" s="164"/>
      <c r="D514" s="164"/>
      <c r="E514" s="164"/>
      <c r="F514" s="108"/>
      <c r="G514" s="109">
        <f>G500+G513</f>
        <v>340</v>
      </c>
      <c r="H514" s="108">
        <f>IFERROR(H500+H513,"")</f>
        <v>864.28</v>
      </c>
      <c r="I514" s="110"/>
      <c r="J514" s="111">
        <f>IFERROR(J500+J513,"")</f>
        <v>124.45631999999999</v>
      </c>
      <c r="K514" s="1" t="e">
        <f>K500+K513</f>
        <v>#REF!</v>
      </c>
      <c r="L514" s="76"/>
      <c r="M514" s="76"/>
      <c r="N514" s="76"/>
      <c r="O514" s="135"/>
      <c r="P514" s="135"/>
      <c r="Q514" s="77">
        <f ca="1">IFERROR(Q500+Q513,"")</f>
        <v>0.15208333333333277</v>
      </c>
      <c r="R514" s="1" t="s">
        <v>264</v>
      </c>
      <c r="S514" s="82">
        <f>IFERROR(S500+S513,"")</f>
        <v>864280</v>
      </c>
      <c r="T514" s="118">
        <f>IFERROR(J514,"")</f>
        <v>124.45631999999999</v>
      </c>
    </row>
    <row r="515" spans="1:20" ht="15" customHeight="1">
      <c r="A515" s="18">
        <v>46254</v>
      </c>
      <c r="B515" s="68">
        <v>0.33333333333333298</v>
      </c>
      <c r="C515" s="70"/>
      <c r="D515" s="75"/>
      <c r="E515" s="100"/>
      <c r="F515" s="101" t="str">
        <f>IFERROR(IF($D515="","",VLOOKUP($D515,Cadastro!$C$4:$E$7,3,FALSE())),"")</f>
        <v/>
      </c>
      <c r="G515" s="89"/>
      <c r="H515" s="101" t="str">
        <f>IFERROR(IF($G515="","",$G515*$S$527/$G$527/Cadastro!$E$33),"")</f>
        <v/>
      </c>
      <c r="I515" s="102" t="str">
        <f>IFERROR(IF($D515="","",VLOOKUP($D515,Cadastro!$C$4:$G$7,5,FALSE())),"")</f>
        <v/>
      </c>
      <c r="J515" s="103" t="str">
        <f t="shared" ref="J515:J526" si="130">IFERROR(IF($H515="","",$H515*$F515*$I515),"")</f>
        <v/>
      </c>
      <c r="K515" s="69" t="str">
        <f t="shared" ref="K515:K526" si="131">IF(G515="","",IF(E515="PC 17",G515*4.2,IF(E515="PC 19",G515*5,IF(E515="CB",G515*24,""))))</f>
        <v/>
      </c>
      <c r="L515" s="70"/>
      <c r="M515" s="70"/>
      <c r="N515" s="70"/>
      <c r="O515" s="65"/>
      <c r="P515" s="65"/>
      <c r="Q515" s="71" t="str">
        <f t="shared" ref="Q515:Q526" ca="1" si="132">IFERROR(IF(O515="","",IF(P515="",MOD(NOW()-O515,1),IF(P515&gt;=O515,P515-O515,P515+1-O515))),"")</f>
        <v/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/>
      <c r="D516" s="75"/>
      <c r="E516" s="100"/>
      <c r="F516" s="88" t="str">
        <f>IFERROR(IF($D516="","",VLOOKUP($D516,Cadastro!$C$4:$E$7,3,FALSE())),"")</f>
        <v/>
      </c>
      <c r="G516" s="89"/>
      <c r="H516" s="88" t="str">
        <f>IFERROR(IF($G516="","",$G516*$S$527/$G$527/Cadastro!$E$33),"")</f>
        <v/>
      </c>
      <c r="I516" s="90" t="str">
        <f>IFERROR(IF($D516="","",VLOOKUP($D516,Cadastro!$C$4:$G$7,5,FALSE())),"")</f>
        <v/>
      </c>
      <c r="J516" s="91" t="str">
        <f t="shared" si="130"/>
        <v/>
      </c>
      <c r="K516" s="64" t="str">
        <f t="shared" si="131"/>
        <v/>
      </c>
      <c r="L516" s="70"/>
      <c r="M516" s="61"/>
      <c r="N516" s="70"/>
      <c r="O516" s="65"/>
      <c r="P516" s="65"/>
      <c r="Q516" s="66" t="str">
        <f t="shared" ca="1" si="132"/>
        <v/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/>
      <c r="D517" s="75"/>
      <c r="E517" s="100"/>
      <c r="F517" s="88" t="str">
        <f>IFERROR(IF($D517="","",VLOOKUP($D517,Cadastro!$C$4:$E$7,3,FALSE())),"")</f>
        <v/>
      </c>
      <c r="G517" s="89"/>
      <c r="H517" s="88" t="str">
        <f>IFERROR(IF($G517="","",$G517*$S$527/$G$527/Cadastro!$E$33),"")</f>
        <v/>
      </c>
      <c r="I517" s="90" t="str">
        <f>IFERROR(IF($D517="","",VLOOKUP($D517,Cadastro!$C$4:$G$7,5,FALSE())),"")</f>
        <v/>
      </c>
      <c r="J517" s="91" t="str">
        <f t="shared" si="130"/>
        <v/>
      </c>
      <c r="K517" s="69" t="str">
        <f t="shared" si="131"/>
        <v/>
      </c>
      <c r="L517" s="70"/>
      <c r="M517" s="70"/>
      <c r="N517" s="70"/>
      <c r="O517" s="65"/>
      <c r="P517" s="65"/>
      <c r="Q517" s="71" t="str">
        <f t="shared" ca="1" si="132"/>
        <v/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/>
      <c r="D518" s="75"/>
      <c r="E518" s="100"/>
      <c r="F518" s="88" t="str">
        <f>IFERROR(IF($D518="","",VLOOKUP($D518,Cadastro!$C$4:$E$7,3,FALSE())),"")</f>
        <v/>
      </c>
      <c r="G518" s="89"/>
      <c r="H518" s="88" t="str">
        <f>IFERROR(IF($G518="","",$G518*$S$527/$G$527/Cadastro!$E$33),"")</f>
        <v/>
      </c>
      <c r="I518" s="90" t="str">
        <f>IFERROR(IF($D518="","",VLOOKUP($D518,Cadastro!$C$4:$G$7,5,FALSE())),"")</f>
        <v/>
      </c>
      <c r="J518" s="91" t="str">
        <f t="shared" si="130"/>
        <v/>
      </c>
      <c r="K518" s="64" t="str">
        <f t="shared" si="131"/>
        <v/>
      </c>
      <c r="L518" s="70"/>
      <c r="M518" s="61"/>
      <c r="N518" s="61"/>
      <c r="O518" s="65"/>
      <c r="P518" s="65"/>
      <c r="Q518" s="66" t="str">
        <f t="shared" ca="1" si="132"/>
        <v/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/>
      <c r="D519" s="75"/>
      <c r="E519" s="100"/>
      <c r="F519" s="88" t="str">
        <f>IFERROR(IF($D519="","",VLOOKUP($D519,Cadastro!$C$4:$E$7,3,FALSE())),"")</f>
        <v/>
      </c>
      <c r="G519" s="89"/>
      <c r="H519" s="88" t="str">
        <f>IFERROR(IF($G519="","",$G519*$S$527/$G$527/Cadastro!$E$33),"")</f>
        <v/>
      </c>
      <c r="I519" s="90" t="str">
        <f>IFERROR(IF($D519="","",VLOOKUP($D519,Cadastro!$C$4:$G$7,5,FALSE())),"")</f>
        <v/>
      </c>
      <c r="J519" s="91" t="str">
        <f t="shared" si="130"/>
        <v/>
      </c>
      <c r="K519" s="69" t="str">
        <f t="shared" si="131"/>
        <v/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/>
      <c r="D520" s="75"/>
      <c r="E520" s="100"/>
      <c r="F520" s="88" t="str">
        <f>IFERROR(IF($D520="","",VLOOKUP($D520,Cadastro!$C$4:$E$7,3,FALSE())),"")</f>
        <v/>
      </c>
      <c r="G520" s="89"/>
      <c r="H520" s="88" t="str">
        <f>IFERROR(IF($G520="","",$G520*$S$527/$G$527/Cadastro!$E$33),"")</f>
        <v/>
      </c>
      <c r="I520" s="90" t="str">
        <f>IFERROR(IF($D520="","",VLOOKUP($D520,Cadastro!$C$4:$G$7,5,FALSE())),"")</f>
        <v/>
      </c>
      <c r="J520" s="91" t="str">
        <f t="shared" si="130"/>
        <v/>
      </c>
      <c r="K520" s="64" t="str">
        <f t="shared" si="131"/>
        <v/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/>
      <c r="D521" s="75"/>
      <c r="E521" s="100"/>
      <c r="F521" s="88" t="str">
        <f>IFERROR(IF($D521="","",VLOOKUP($D521,Cadastro!$C$4:$E$7,3,FALSE())),"")</f>
        <v/>
      </c>
      <c r="G521" s="89"/>
      <c r="H521" s="88" t="str">
        <f>IFERROR(IF($G521="","",$G521*$S$527/$G$527/Cadastro!$E$33),"")</f>
        <v/>
      </c>
      <c r="I521" s="90" t="str">
        <f>IFERROR(IF($D521="","",VLOOKUP($D521,Cadastro!$C$4:$G$7,5,FALSE())),"")</f>
        <v/>
      </c>
      <c r="J521" s="91" t="str">
        <f t="shared" si="130"/>
        <v/>
      </c>
      <c r="K521" s="69" t="str">
        <f t="shared" si="131"/>
        <v/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/>
      <c r="D522" s="75"/>
      <c r="E522" s="100"/>
      <c r="F522" s="88" t="str">
        <f>IFERROR(IF($D522="","",VLOOKUP($D522,Cadastro!$C$4:$E$7,3,FALSE())),"")</f>
        <v/>
      </c>
      <c r="G522" s="89"/>
      <c r="H522" s="88" t="str">
        <f>IFERROR(IF($G522="","",$G522*$S$527/$G$527/Cadastro!$E$33),"")</f>
        <v/>
      </c>
      <c r="I522" s="90" t="str">
        <f>IFERROR(IF($D522="","",VLOOKUP($D522,Cadastro!$C$4:$G$7,5,FALSE())),"")</f>
        <v/>
      </c>
      <c r="J522" s="91" t="str">
        <f t="shared" si="130"/>
        <v/>
      </c>
      <c r="K522" s="64" t="str">
        <f t="shared" si="131"/>
        <v/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/>
      <c r="D523" s="75"/>
      <c r="E523" s="100"/>
      <c r="F523" s="88" t="str">
        <f>IFERROR(IF($D523="","",VLOOKUP($D523,Cadastro!$C$4:$E$7,3,FALSE())),"")</f>
        <v/>
      </c>
      <c r="G523" s="89"/>
      <c r="H523" s="88" t="str">
        <f>IFERROR(IF($G523="","",$G523*$S$527/$G$527/Cadastro!$E$33),"")</f>
        <v/>
      </c>
      <c r="I523" s="90" t="str">
        <f>IFERROR(IF($D523="","",VLOOKUP($D523,Cadastro!$C$4:$G$7,5,FALSE())),"")</f>
        <v/>
      </c>
      <c r="J523" s="91" t="str">
        <f t="shared" si="130"/>
        <v/>
      </c>
      <c r="K523" s="69" t="str">
        <f t="shared" si="131"/>
        <v/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/>
      <c r="D524" s="75"/>
      <c r="E524" s="100"/>
      <c r="F524" s="88" t="str">
        <f>IFERROR(IF($D524="","",VLOOKUP($D524,Cadastro!$C$4:$E$7,3,FALSE())),"")</f>
        <v/>
      </c>
      <c r="G524" s="89"/>
      <c r="H524" s="88" t="str">
        <f>IFERROR(IF($G524="","",$G524*$S$527/$G$527/Cadastro!$E$33),"")</f>
        <v/>
      </c>
      <c r="I524" s="90" t="str">
        <f>IFERROR(IF($D524="","",VLOOKUP($D524,Cadastro!$C$4:$G$7,5,FALSE())),"")</f>
        <v/>
      </c>
      <c r="J524" s="91" t="str">
        <f t="shared" si="130"/>
        <v/>
      </c>
      <c r="K524" s="64" t="str">
        <f t="shared" si="131"/>
        <v/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/>
      <c r="D525" s="75"/>
      <c r="E525" s="100"/>
      <c r="F525" s="88" t="str">
        <f>IFERROR(IF($D525="","",VLOOKUP($D525,Cadastro!$C$4:$E$7,3,FALSE())),"")</f>
        <v/>
      </c>
      <c r="G525" s="89"/>
      <c r="H525" s="88" t="str">
        <f>IFERROR(IF($G525="","",$G525*$S$527/$G$527/Cadastro!$E$33),"")</f>
        <v/>
      </c>
      <c r="I525" s="90" t="str">
        <f>IFERROR(IF($D525="","",VLOOKUP($D525,Cadastro!$C$4:$G$7,5,FALSE())),"")</f>
        <v/>
      </c>
      <c r="J525" s="91" t="str">
        <f t="shared" si="130"/>
        <v/>
      </c>
      <c r="K525" s="69" t="str">
        <f t="shared" si="131"/>
        <v/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/>
      <c r="D526" s="75"/>
      <c r="E526" s="100"/>
      <c r="F526" s="92" t="str">
        <f>IFERROR(IF($D526="","",VLOOKUP($D526,Cadastro!$C$4:$E$7,3,FALSE())),"")</f>
        <v/>
      </c>
      <c r="G526" s="89"/>
      <c r="H526" s="92" t="str">
        <f>IFERROR(IF($G526="","",$G526*$S$527/$G$527/Cadastro!$E$33),"")</f>
        <v/>
      </c>
      <c r="I526" s="93" t="str">
        <f>IFERROR(IF($D526="","",VLOOKUP($D526,Cadastro!$C$4:$G$7,5,FALSE())),"")</f>
        <v/>
      </c>
      <c r="J526" s="94" t="str">
        <f t="shared" si="130"/>
        <v/>
      </c>
      <c r="K526" s="64" t="str">
        <f t="shared" si="131"/>
        <v/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65" t="s">
        <v>260</v>
      </c>
      <c r="B527" s="165"/>
      <c r="C527" s="165"/>
      <c r="D527" s="165"/>
      <c r="E527" s="165"/>
      <c r="F527" s="95"/>
      <c r="G527" s="96">
        <f>SUM(G515:G526)</f>
        <v>0</v>
      </c>
      <c r="H527" s="95">
        <f>IFERROR(SUM(H515:H526),"")</f>
        <v>0</v>
      </c>
      <c r="I527" s="97"/>
      <c r="J527" s="98">
        <f>IFERROR(SUM(J515:J526),"")</f>
        <v>0</v>
      </c>
      <c r="K527" s="2">
        <f>SUM(K515:K526)</f>
        <v>0</v>
      </c>
      <c r="L527" s="72"/>
      <c r="M527" s="72"/>
      <c r="N527" s="72"/>
      <c r="O527" s="134"/>
      <c r="P527" s="134"/>
      <c r="Q527" s="73">
        <f ca="1">IFERROR(SUM(Q515:Q526),"")</f>
        <v>0</v>
      </c>
      <c r="R527" s="2" t="s">
        <v>261</v>
      </c>
      <c r="S527" s="74"/>
      <c r="T527" s="99">
        <f>IFERROR(J527,"")</f>
        <v>0</v>
      </c>
    </row>
    <row r="528" spans="1:20" ht="15" customHeight="1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4">IFERROR(IF($H528="","",$H528*$F528*$I528),"")</f>
        <v/>
      </c>
      <c r="K528" s="64" t="str">
        <f t="shared" ref="K528:K539" si="135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6">IFERROR(IF(O528="","",IF(P528="",MOD(NOW()-O528,1),IF(P528&gt;=O528,P528-O528,P528+1-O528))),"")</f>
        <v/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4"/>
        <v/>
      </c>
      <c r="K529" s="69" t="str">
        <f t="shared" si="135"/>
        <v/>
      </c>
      <c r="L529" s="70"/>
      <c r="M529" s="70"/>
      <c r="N529" s="70"/>
      <c r="O529" s="65"/>
      <c r="P529" s="65"/>
      <c r="Q529" s="71" t="str">
        <f t="shared" ca="1" si="136"/>
        <v/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4"/>
        <v/>
      </c>
      <c r="K530" s="64" t="str">
        <f t="shared" si="135"/>
        <v/>
      </c>
      <c r="L530" s="61"/>
      <c r="M530" s="61"/>
      <c r="N530" s="61"/>
      <c r="O530" s="65"/>
      <c r="P530" s="65"/>
      <c r="Q530" s="66" t="str">
        <f t="shared" ca="1" si="136"/>
        <v/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4"/>
        <v/>
      </c>
      <c r="K531" s="69" t="str">
        <f t="shared" si="135"/>
        <v/>
      </c>
      <c r="L531" s="70"/>
      <c r="M531" s="70"/>
      <c r="N531" s="70"/>
      <c r="O531" s="65"/>
      <c r="P531" s="65"/>
      <c r="Q531" s="71" t="str">
        <f t="shared" ca="1" si="136"/>
        <v/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4"/>
        <v/>
      </c>
      <c r="K532" s="64" t="str">
        <f t="shared" si="135"/>
        <v/>
      </c>
      <c r="L532" s="61"/>
      <c r="M532" s="61"/>
      <c r="N532" s="61"/>
      <c r="O532" s="65"/>
      <c r="P532" s="65"/>
      <c r="Q532" s="66" t="str">
        <f t="shared" ca="1" si="136"/>
        <v/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4"/>
        <v/>
      </c>
      <c r="K533" s="69" t="str">
        <f t="shared" si="135"/>
        <v/>
      </c>
      <c r="L533" s="70"/>
      <c r="M533" s="70"/>
      <c r="N533" s="70"/>
      <c r="O533" s="65"/>
      <c r="P533" s="65"/>
      <c r="Q533" s="71" t="str">
        <f t="shared" ca="1" si="136"/>
        <v/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4"/>
        <v/>
      </c>
      <c r="K534" s="64" t="str">
        <f t="shared" si="135"/>
        <v/>
      </c>
      <c r="L534" s="61"/>
      <c r="M534" s="61"/>
      <c r="N534" s="61"/>
      <c r="O534" s="65"/>
      <c r="P534" s="65"/>
      <c r="Q534" s="66" t="str">
        <f t="shared" ca="1" si="136"/>
        <v/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4"/>
        <v/>
      </c>
      <c r="K535" s="69" t="str">
        <f t="shared" si="135"/>
        <v/>
      </c>
      <c r="L535" s="70"/>
      <c r="M535" s="70"/>
      <c r="N535" s="70"/>
      <c r="O535" s="65"/>
      <c r="P535" s="65"/>
      <c r="Q535" s="71" t="str">
        <f t="shared" ca="1" si="136"/>
        <v/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4"/>
        <v/>
      </c>
      <c r="K536" s="64" t="str">
        <f t="shared" si="135"/>
        <v/>
      </c>
      <c r="L536" s="61"/>
      <c r="M536" s="61"/>
      <c r="N536" s="61"/>
      <c r="O536" s="65"/>
      <c r="P536" s="65"/>
      <c r="Q536" s="66" t="str">
        <f t="shared" ca="1" si="136"/>
        <v/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65" t="s">
        <v>263</v>
      </c>
      <c r="B540" s="165"/>
      <c r="C540" s="165"/>
      <c r="D540" s="165"/>
      <c r="E540" s="165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134"/>
      <c r="P540" s="134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64" t="s">
        <v>249</v>
      </c>
      <c r="B541" s="164"/>
      <c r="C541" s="164"/>
      <c r="D541" s="164"/>
      <c r="E541" s="164"/>
      <c r="F541" s="108"/>
      <c r="G541" s="109">
        <f>G527+G540</f>
        <v>0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0</v>
      </c>
      <c r="L541" s="76"/>
      <c r="M541" s="76"/>
      <c r="N541" s="76"/>
      <c r="O541" s="135"/>
      <c r="P541" s="135"/>
      <c r="Q541" s="77">
        <f ca="1">IFERROR(Q527+Q540,"")</f>
        <v>0</v>
      </c>
      <c r="R541" s="1" t="s">
        <v>264</v>
      </c>
      <c r="S541" s="82">
        <f>IFERROR(S527+S540,"")</f>
        <v>0</v>
      </c>
      <c r="T541" s="118">
        <f>IFERROR(J541,"")</f>
        <v>0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63"/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63"/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63"/>
      <c r="S553" s="133"/>
    </row>
    <row r="554" spans="1:20" ht="15.75" customHeight="1">
      <c r="A554" s="165" t="s">
        <v>260</v>
      </c>
      <c r="B554" s="165"/>
      <c r="C554" s="165"/>
      <c r="D554" s="165"/>
      <c r="E554" s="165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134"/>
      <c r="P554" s="134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/>
      <c r="R555" s="63"/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ref="Q556:Q566" ca="1" si="145">IFERROR(IF(O556="","",IF(P556="",MOD(NOW()-O556,1),IF(P556&gt;=O556,P556-O556,P556+1-O556))),"")</f>
        <v/>
      </c>
      <c r="R556" s="63"/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5"/>
        <v/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5"/>
        <v/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5"/>
        <v/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5"/>
        <v/>
      </c>
      <c r="R560" s="63"/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5"/>
        <v/>
      </c>
      <c r="R561" s="63"/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5"/>
        <v/>
      </c>
      <c r="R562" s="63"/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5"/>
        <v/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5"/>
        <v/>
      </c>
      <c r="R564" s="63"/>
      <c r="S564" s="133"/>
    </row>
    <row r="565" spans="1:20" ht="15" customHeight="1">
      <c r="A565" s="18">
        <v>46255</v>
      </c>
      <c r="B565" s="68">
        <f t="shared" si="144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5"/>
        <v/>
      </c>
      <c r="R565" s="63"/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5"/>
        <v/>
      </c>
      <c r="R566" s="63"/>
      <c r="S566" s="133"/>
    </row>
    <row r="567" spans="1:20" ht="15.75" customHeight="1">
      <c r="A567" s="165" t="s">
        <v>263</v>
      </c>
      <c r="B567" s="165"/>
      <c r="C567" s="165"/>
      <c r="D567" s="165"/>
      <c r="E567" s="165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134"/>
      <c r="P567" s="134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64" t="s">
        <v>249</v>
      </c>
      <c r="B568" s="164"/>
      <c r="C568" s="164"/>
      <c r="D568" s="164"/>
      <c r="E568" s="164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135"/>
      <c r="P568" s="135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74" ca="1" si="148">IFERROR(IF(O569="","",IF(P569="",MOD(NOW()-O569,1),IF(P569&gt;=O569,P569-O569,P569+1-O569))),"")</f>
        <v/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63"/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63"/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ca="1">IFERROR(IF(O576="","",IF(P576="",MOD(NOW()-O576,1),IF(P576&gt;=O576,P576-O576,P576+1-O576))),"")</f>
        <v/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65" t="s">
        <v>260</v>
      </c>
      <c r="B581" s="165"/>
      <c r="C581" s="165"/>
      <c r="D581" s="165"/>
      <c r="E581" s="165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134"/>
      <c r="P581" s="134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65" t="s">
        <v>263</v>
      </c>
      <c r="B594" s="165"/>
      <c r="C594" s="165"/>
      <c r="D594" s="165"/>
      <c r="E594" s="165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64" t="s">
        <v>249</v>
      </c>
      <c r="B595" s="164"/>
      <c r="C595" s="164"/>
      <c r="D595" s="164"/>
      <c r="E595" s="164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135"/>
      <c r="P595" s="135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65" t="s">
        <v>260</v>
      </c>
      <c r="B608" s="165"/>
      <c r="C608" s="165"/>
      <c r="D608" s="165"/>
      <c r="E608" s="165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65" t="s">
        <v>263</v>
      </c>
      <c r="B621" s="165"/>
      <c r="C621" s="165"/>
      <c r="D621" s="165"/>
      <c r="E621" s="165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64" t="s">
        <v>249</v>
      </c>
      <c r="B622" s="164"/>
      <c r="C622" s="164"/>
      <c r="D622" s="164"/>
      <c r="E622" s="164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65" t="s">
        <v>260</v>
      </c>
      <c r="B635" s="165"/>
      <c r="C635" s="165"/>
      <c r="D635" s="165"/>
      <c r="E635" s="165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65" t="s">
        <v>263</v>
      </c>
      <c r="B648" s="165"/>
      <c r="C648" s="165"/>
      <c r="D648" s="165"/>
      <c r="E648" s="165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64" t="s">
        <v>249</v>
      </c>
      <c r="B649" s="164"/>
      <c r="C649" s="164"/>
      <c r="D649" s="164"/>
      <c r="E649" s="164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65" t="s">
        <v>260</v>
      </c>
      <c r="B662" s="165"/>
      <c r="C662" s="165"/>
      <c r="D662" s="165"/>
      <c r="E662" s="165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65" t="s">
        <v>263</v>
      </c>
      <c r="B675" s="165"/>
      <c r="C675" s="165"/>
      <c r="D675" s="165"/>
      <c r="E675" s="165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64" t="s">
        <v>249</v>
      </c>
      <c r="B676" s="164"/>
      <c r="C676" s="164"/>
      <c r="D676" s="164"/>
      <c r="E676" s="164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65" t="s">
        <v>260</v>
      </c>
      <c r="B689" s="165"/>
      <c r="C689" s="165"/>
      <c r="D689" s="165"/>
      <c r="E689" s="165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65" t="s">
        <v>263</v>
      </c>
      <c r="B702" s="165"/>
      <c r="C702" s="165"/>
      <c r="D702" s="165"/>
      <c r="E702" s="165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64" t="s">
        <v>249</v>
      </c>
      <c r="B703" s="164"/>
      <c r="C703" s="164"/>
      <c r="D703" s="164"/>
      <c r="E703" s="164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65" t="s">
        <v>260</v>
      </c>
      <c r="B716" s="165"/>
      <c r="C716" s="165"/>
      <c r="D716" s="165"/>
      <c r="E716" s="165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65" t="s">
        <v>263</v>
      </c>
      <c r="B729" s="165"/>
      <c r="C729" s="165"/>
      <c r="D729" s="165"/>
      <c r="E729" s="165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64" t="s">
        <v>249</v>
      </c>
      <c r="B730" s="164"/>
      <c r="C730" s="164"/>
      <c r="D730" s="164"/>
      <c r="E730" s="164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65" t="s">
        <v>260</v>
      </c>
      <c r="B743" s="165"/>
      <c r="C743" s="165"/>
      <c r="D743" s="165"/>
      <c r="E743" s="165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65" t="s">
        <v>263</v>
      </c>
      <c r="B756" s="165"/>
      <c r="C756" s="165"/>
      <c r="D756" s="165"/>
      <c r="E756" s="165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64" t="s">
        <v>249</v>
      </c>
      <c r="B757" s="164"/>
      <c r="C757" s="164"/>
      <c r="D757" s="164"/>
      <c r="E757" s="164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65" t="s">
        <v>260</v>
      </c>
      <c r="B770" s="165"/>
      <c r="C770" s="165"/>
      <c r="D770" s="165"/>
      <c r="E770" s="165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65" t="s">
        <v>263</v>
      </c>
      <c r="B783" s="165"/>
      <c r="C783" s="165"/>
      <c r="D783" s="165"/>
      <c r="E783" s="165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64" t="s">
        <v>249</v>
      </c>
      <c r="B784" s="164"/>
      <c r="C784" s="164"/>
      <c r="D784" s="164"/>
      <c r="E784" s="164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65" t="s">
        <v>260</v>
      </c>
      <c r="B797" s="165"/>
      <c r="C797" s="165"/>
      <c r="D797" s="165"/>
      <c r="E797" s="165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65" t="s">
        <v>263</v>
      </c>
      <c r="B810" s="165"/>
      <c r="C810" s="165"/>
      <c r="D810" s="165"/>
      <c r="E810" s="165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64" t="s">
        <v>249</v>
      </c>
      <c r="B811" s="164"/>
      <c r="C811" s="164"/>
      <c r="D811" s="164"/>
      <c r="E811" s="164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65" t="s">
        <v>260</v>
      </c>
      <c r="B824" s="165"/>
      <c r="C824" s="165"/>
      <c r="D824" s="165"/>
      <c r="E824" s="165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65" t="s">
        <v>263</v>
      </c>
      <c r="B837" s="165"/>
      <c r="C837" s="165"/>
      <c r="D837" s="165"/>
      <c r="E837" s="165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64" t="s">
        <v>249</v>
      </c>
      <c r="B838" s="164"/>
      <c r="C838" s="164"/>
      <c r="D838" s="164"/>
      <c r="E838" s="164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264</v>
      </c>
      <c r="S838" s="82">
        <f>IFERROR(S824+S837,"")</f>
        <v>0</v>
      </c>
      <c r="T838" s="118">
        <f>IFERROR(J838,"")</f>
        <v>0</v>
      </c>
    </row>
  </sheetData>
  <sheetProtection algorithmName="SHA-512" hashValue="dfRPgXhTQwsFGwHGTBGCfrGej3jH2dpuWbMlNWIVOIidfYQ287ObjJ2finMWh23loXamaW1R3AISQcwSy5UzcA==" saltValue="w5BbqAfU/RjRcT0QW6msh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956D0346-DD6D-4A32-81B9-BD446DB6FCD6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32B1A3CF-5FC7-4FEA-8536-053612F4F61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2026-08-20T09:13:57Z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