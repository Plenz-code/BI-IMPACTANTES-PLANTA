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378" documentId="8_{AF585B22-221D-4780-BB9C-493D365A6A02}" xr6:coauthVersionLast="47" xr6:coauthVersionMax="47" xr10:uidLastSave="{AFED6D8D-75C4-4229-937D-6504ED8899B9}"/>
  <bookViews>
    <workbookView xWindow="-120" yWindow="-120" windowWidth="29040" windowHeight="15720" tabRatio="500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703" i="4" l="1"/>
  <c r="G686" i="6"/>
  <c r="G686" i="5"/>
  <c r="E689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716" i="6" l="1"/>
  <c r="G730" i="6" s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03" i="4" s="1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<sst xmlns="http://schemas.openxmlformats.org/spreadsheetml/2006/main" count="10695" uniqueCount="402">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</sst>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tabSelected="1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5" x14ac:dyDescent="0.2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 x14ac:dyDescent="0.25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 x14ac:dyDescent="0.25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25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25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25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25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25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25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25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25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25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 x14ac:dyDescent="0.25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 x14ac:dyDescent="0.25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 x14ac:dyDescent="0.25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 x14ac:dyDescent="0.25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 x14ac:dyDescent="0.25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 x14ac:dyDescent="0.25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 x14ac:dyDescent="0.25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 x14ac:dyDescent="0.25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 x14ac:dyDescent="0.25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 x14ac:dyDescent="0.25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 x14ac:dyDescent="0.25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 x14ac:dyDescent="0.25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 x14ac:dyDescent="0.25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 x14ac:dyDescent="0.25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 x14ac:dyDescent="0.25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 x14ac:dyDescent="0.25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 x14ac:dyDescent="0.25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108" t="s">
        <v>9</v>
      </c>
      <c r="B35" s="108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 x14ac:dyDescent="0.25">
      <c r="H2" s="110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25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25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25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25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25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 x14ac:dyDescent="0.25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 x14ac:dyDescent="0.25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 x14ac:dyDescent="0.25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 x14ac:dyDescent="0.25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 x14ac:dyDescent="0.25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 x14ac:dyDescent="0.25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 x14ac:dyDescent="0.25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 x14ac:dyDescent="0.25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 x14ac:dyDescent="0.25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 x14ac:dyDescent="0.25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 x14ac:dyDescent="0.25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 x14ac:dyDescent="0.25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 x14ac:dyDescent="0.25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 x14ac:dyDescent="0.25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 x14ac:dyDescent="0.25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 x14ac:dyDescent="0.25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 x14ac:dyDescent="0.25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 x14ac:dyDescent="0.25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 x14ac:dyDescent="0.25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 x14ac:dyDescent="0.25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 x14ac:dyDescent="0.25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 x14ac:dyDescent="0.25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 x14ac:dyDescent="0.25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 x14ac:dyDescent="0.25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 x14ac:dyDescent="0.25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 x14ac:dyDescent="0.25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 x14ac:dyDescent="0.25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 x14ac:dyDescent="0.25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 x14ac:dyDescent="0.25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 x14ac:dyDescent="0.25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 x14ac:dyDescent="0.25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 x14ac:dyDescent="0.25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 x14ac:dyDescent="0.25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 x14ac:dyDescent="0.25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 x14ac:dyDescent="0.25">
      <c r="H57" s="110"/>
      <c r="I57" s="17"/>
      <c r="J57" s="17"/>
      <c r="K57" s="17" t="s">
        <v>50</v>
      </c>
      <c r="L57" s="17"/>
      <c r="M57" s="17"/>
    </row>
    <row r="58" spans="1:13" ht="15" customHeight="1" x14ac:dyDescent="0.25">
      <c r="H58" s="110"/>
      <c r="I58" s="16"/>
      <c r="J58" s="16"/>
      <c r="K58" s="16" t="s">
        <v>204</v>
      </c>
      <c r="L58" s="16"/>
      <c r="M58" s="16"/>
    </row>
    <row r="59" spans="1:13" ht="15" customHeight="1" x14ac:dyDescent="0.25">
      <c r="H59" s="110"/>
      <c r="I59" s="17"/>
      <c r="J59" s="17"/>
      <c r="K59" s="17" t="s">
        <v>205</v>
      </c>
      <c r="L59" s="17"/>
      <c r="M59" s="17"/>
    </row>
    <row r="60" spans="1:13" ht="15" customHeight="1" x14ac:dyDescent="0.25">
      <c r="H60" s="110"/>
      <c r="I60" s="16"/>
      <c r="J60" s="16"/>
      <c r="K60" s="86" t="s">
        <v>105</v>
      </c>
      <c r="L60" s="16"/>
      <c r="M60" s="16"/>
    </row>
    <row r="61" spans="1:13" ht="15" customHeight="1" x14ac:dyDescent="0.25">
      <c r="H61" s="110"/>
      <c r="I61" s="17"/>
      <c r="J61" s="17"/>
      <c r="K61" s="17" t="s">
        <v>206</v>
      </c>
      <c r="L61" s="17"/>
      <c r="M61" s="17"/>
    </row>
    <row r="62" spans="1:13" ht="15" customHeight="1" x14ac:dyDescent="0.25">
      <c r="H62" s="110"/>
      <c r="I62" s="16"/>
      <c r="J62" s="16"/>
      <c r="K62" s="16" t="s">
        <v>207</v>
      </c>
      <c r="L62" s="16"/>
      <c r="M62" s="16"/>
    </row>
    <row r="63" spans="1:13" ht="15" customHeight="1" x14ac:dyDescent="0.25">
      <c r="H63" s="110"/>
      <c r="I63" s="17"/>
      <c r="J63" s="17"/>
      <c r="K63" s="17" t="s">
        <v>208</v>
      </c>
      <c r="L63" s="17"/>
      <c r="M63" s="17"/>
    </row>
    <row r="64" spans="1:13" ht="15" customHeight="1" x14ac:dyDescent="0.25">
      <c r="H64" s="110"/>
      <c r="I64" s="16"/>
      <c r="J64" s="16"/>
      <c r="K64" s="16" t="s">
        <v>209</v>
      </c>
      <c r="L64" s="16"/>
      <c r="M64" s="16"/>
    </row>
    <row r="65" spans="8:13" ht="15" customHeight="1" x14ac:dyDescent="0.25">
      <c r="H65" s="110"/>
      <c r="I65" s="17"/>
      <c r="J65" s="17"/>
      <c r="K65" s="17" t="s">
        <v>210</v>
      </c>
      <c r="L65" s="17"/>
      <c r="M65" s="17"/>
    </row>
    <row r="66" spans="8:13" ht="15" customHeight="1" x14ac:dyDescent="0.25">
      <c r="H66" s="110"/>
      <c r="I66" s="16"/>
      <c r="J66" s="16"/>
      <c r="K66" s="16" t="s">
        <v>211</v>
      </c>
      <c r="L66" s="16"/>
      <c r="M66" s="16"/>
    </row>
    <row r="67" spans="8:13" ht="15" customHeight="1" x14ac:dyDescent="0.25">
      <c r="H67" s="110"/>
      <c r="I67" s="17"/>
      <c r="J67" s="17"/>
      <c r="K67" s="17" t="s">
        <v>212</v>
      </c>
      <c r="L67" s="17"/>
      <c r="M67" s="17"/>
    </row>
    <row r="68" spans="8:13" ht="15" customHeight="1" x14ac:dyDescent="0.25">
      <c r="H68" s="110"/>
      <c r="I68" s="16"/>
      <c r="J68" s="16"/>
      <c r="K68" s="16" t="s">
        <v>213</v>
      </c>
      <c r="L68" s="16"/>
      <c r="M68" s="16"/>
    </row>
    <row r="69" spans="8:13" ht="15" customHeight="1" x14ac:dyDescent="0.25">
      <c r="H69" s="110"/>
      <c r="I69" s="17"/>
      <c r="J69" s="17"/>
      <c r="K69" s="17" t="s">
        <v>214</v>
      </c>
      <c r="L69" s="17"/>
      <c r="M69" s="17"/>
    </row>
    <row r="70" spans="8:13" ht="15" customHeight="1" x14ac:dyDescent="0.25">
      <c r="H70" s="110"/>
      <c r="I70" s="16"/>
      <c r="J70" s="16"/>
      <c r="K70" s="16" t="s">
        <v>215</v>
      </c>
      <c r="L70" s="16"/>
      <c r="M70" s="16"/>
    </row>
    <row r="71" spans="8:13" ht="15" customHeight="1" x14ac:dyDescent="0.25">
      <c r="H71" s="110"/>
      <c r="I71" s="17"/>
      <c r="J71" s="17"/>
      <c r="K71" s="17" t="s">
        <v>216</v>
      </c>
      <c r="L71" s="17"/>
      <c r="M71" s="17"/>
    </row>
    <row r="72" spans="8:13" ht="15" customHeight="1" x14ac:dyDescent="0.25">
      <c r="H72" s="110"/>
      <c r="I72" s="16"/>
      <c r="J72" s="16"/>
      <c r="K72" s="16" t="s">
        <v>217</v>
      </c>
      <c r="L72" s="16"/>
      <c r="M72" s="16"/>
    </row>
    <row r="73" spans="8:13" ht="15" customHeight="1" x14ac:dyDescent="0.25">
      <c r="H73" s="110"/>
      <c r="I73" s="17"/>
      <c r="J73" s="17"/>
      <c r="K73" s="17" t="s">
        <v>218</v>
      </c>
      <c r="L73" s="17"/>
      <c r="M73" s="17"/>
    </row>
    <row r="74" spans="8:13" ht="15" customHeight="1" x14ac:dyDescent="0.25">
      <c r="H74" s="110"/>
      <c r="I74" s="16"/>
      <c r="J74" s="16"/>
      <c r="K74" s="16"/>
      <c r="L74" s="16"/>
      <c r="M74" s="16"/>
    </row>
    <row r="75" spans="8:13" ht="15" customHeight="1" x14ac:dyDescent="0.25">
      <c r="H75" s="110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80" zoomScaleNormal="80" workbookViewId="0">
      <pane ySplit="1" topLeftCell="A688" activePane="bottomLeft" state="frozen"/>
      <selection pane="bottomLeft" activeCell="O703" sqref="O703"/>
    </sheetView>
  </sheetViews>
  <sheetFormatPr defaultColWidth="8.5703125" defaultRowHeight="15" x14ac:dyDescent="0.2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 x14ac:dyDescent="0.25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25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00" t="s">
        <v>232</v>
      </c>
      <c r="B14" s="101"/>
      <c r="C14" s="101"/>
      <c r="D14" s="101"/>
      <c r="E14" s="10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00" t="s">
        <v>234</v>
      </c>
      <c r="B27" s="101"/>
      <c r="C27" s="101"/>
      <c r="D27" s="101"/>
      <c r="E27" s="10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 x14ac:dyDescent="0.25">
      <c r="A28" s="103" t="s">
        <v>235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 x14ac:dyDescent="0.25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 x14ac:dyDescent="0.25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 x14ac:dyDescent="0.25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 x14ac:dyDescent="0.25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 x14ac:dyDescent="0.25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 x14ac:dyDescent="0.25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 x14ac:dyDescent="0.25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 x14ac:dyDescent="0.25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 x14ac:dyDescent="0.25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 x14ac:dyDescent="0.25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 x14ac:dyDescent="0.25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 x14ac:dyDescent="0.25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 x14ac:dyDescent="0.25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 x14ac:dyDescent="0.25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 x14ac:dyDescent="0.25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 x14ac:dyDescent="0.25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 x14ac:dyDescent="0.25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 x14ac:dyDescent="0.25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 x14ac:dyDescent="0.25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 x14ac:dyDescent="0.25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9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 x14ac:dyDescent="0.25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25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25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25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25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25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25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25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25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25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25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 x14ac:dyDescent="0.25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 x14ac:dyDescent="0.25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 x14ac:dyDescent="0.25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 x14ac:dyDescent="0.25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 x14ac:dyDescent="0.25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 x14ac:dyDescent="0.25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131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233</v>
      </c>
      <c r="O702" s="39">
        <v>1620480</v>
      </c>
    </row>
    <row r="703" spans="1:15" ht="18" customHeight="1" x14ac:dyDescent="0.25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236</v>
      </c>
      <c r="O703" s="48">
        <f>IFERROR(O689+O702,"")</f>
        <v>2973470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230</v>
      </c>
      <c r="F704" s="27"/>
      <c r="G704" s="28" t="str">
        <f t="shared" ref="G704:G715" si="156">IF(F704="","",IF(E704="PC 17",F704*4.2,IF(E704="PC 19",F704*5,"")))</f>
        <v/>
      </c>
      <c r="H704" s="26" t="s">
        <v>20</v>
      </c>
      <c r="I704" s="26" t="s">
        <v>23</v>
      </c>
      <c r="J704" s="26" t="s">
        <v>131</v>
      </c>
      <c r="K704" s="29">
        <v>0.29166666666666669</v>
      </c>
      <c r="L704" s="29"/>
      <c r="M704" s="30">
        <f t="shared" ref="M704:M715" ca="1" si="157">IFERROR(IF(K704="","",IF(L704="",MOD(NOW()-K704,1),IF(L704&gt;=K704,L704-K704,L704+1-K704))),"")</f>
        <v>8.915277780033648E-3</v>
      </c>
      <c r="N704" s="46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230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230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230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230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230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230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230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230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230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230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230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8.915277780033648E-3</v>
      </c>
      <c r="N716" s="36" t="s">
        <v>233</v>
      </c>
      <c r="O716" s="39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 x14ac:dyDescent="0.25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8.915277780033648E-3</v>
      </c>
      <c r="N730" s="40" t="s">
        <v>236</v>
      </c>
      <c r="O730" s="48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 x14ac:dyDescent="0.25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 x14ac:dyDescent="0.25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 x14ac:dyDescent="0.25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80" zoomScaleNormal="80" workbookViewId="0">
      <pane ySplit="1" topLeftCell="A675" activePane="bottomLeft" state="frozen"/>
      <selection pane="bottomLeft" activeCell="O704" sqref="O704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 x14ac:dyDescent="0.25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100" t="s">
        <v>232</v>
      </c>
      <c r="B14" s="101"/>
      <c r="C14" s="101"/>
      <c r="D14" s="101"/>
      <c r="E14" s="10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100" t="s">
        <v>234</v>
      </c>
      <c r="B27" s="101"/>
      <c r="C27" s="101"/>
      <c r="D27" s="101"/>
      <c r="E27" s="10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 x14ac:dyDescent="0.25">
      <c r="A28" s="103" t="s">
        <v>235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25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25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 x14ac:dyDescent="0.25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25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25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25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25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25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25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25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25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25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 x14ac:dyDescent="0.25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35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 x14ac:dyDescent="0.25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 x14ac:dyDescent="0.25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 x14ac:dyDescent="0.25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35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 x14ac:dyDescent="0.25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 x14ac:dyDescent="0.25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 x14ac:dyDescent="0.25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 x14ac:dyDescent="0.25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 x14ac:dyDescent="0.25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 x14ac:dyDescent="0.25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 x14ac:dyDescent="0.25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 x14ac:dyDescent="0.25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6.0998611108516343E-2</v>
      </c>
      <c r="N377" s="46"/>
      <c r="O377" s="47"/>
    </row>
    <row r="378" spans="1:15" ht="15.75" customHeight="1" x14ac:dyDescent="0.25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0.21863749999740523</v>
      </c>
      <c r="N378" s="36" t="s">
        <v>233</v>
      </c>
      <c r="O378" s="77">
        <v>511980</v>
      </c>
    </row>
    <row r="379" spans="1:15" ht="18" customHeight="1" x14ac:dyDescent="0.25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0.32835972221962739</v>
      </c>
      <c r="N379" s="40" t="s">
        <v>236</v>
      </c>
      <c r="O379" s="83">
        <f>IFERROR(O365+O378,"")</f>
        <v>1320530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 x14ac:dyDescent="0.25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3.9470833333325572E-2</v>
      </c>
      <c r="N423" s="46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0.21030416666665894</v>
      </c>
      <c r="N432" s="36" t="s">
        <v>233</v>
      </c>
      <c r="O432" s="77">
        <v>484540</v>
      </c>
    </row>
    <row r="433" spans="1:15" ht="18" customHeight="1" x14ac:dyDescent="0.25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0.35544305555554778</v>
      </c>
      <c r="N433" s="40" t="s">
        <v>236</v>
      </c>
      <c r="O433" s="83">
        <f>IFERROR(O419+O432,"")</f>
        <v>1184540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 x14ac:dyDescent="0.25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 x14ac:dyDescent="0.25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 x14ac:dyDescent="0.25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 x14ac:dyDescent="0.25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 x14ac:dyDescent="0.25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 x14ac:dyDescent="0.25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 x14ac:dyDescent="0.25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 x14ac:dyDescent="0.25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 x14ac:dyDescent="0.25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 x14ac:dyDescent="0.25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 x14ac:dyDescent="0.25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 x14ac:dyDescent="0.25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 x14ac:dyDescent="0.25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 x14ac:dyDescent="0.25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 x14ac:dyDescent="0.25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 x14ac:dyDescent="0.25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 x14ac:dyDescent="0.25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 x14ac:dyDescent="0.25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 x14ac:dyDescent="0.25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 x14ac:dyDescent="0.25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 x14ac:dyDescent="0.25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/>
      <c r="G680" s="28"/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0.56099861110851634</v>
      </c>
      <c r="N684" s="46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0"/>
      <c r="B689" s="101"/>
      <c r="C689" s="101"/>
      <c r="D689" s="101"/>
      <c r="E689" s="102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10.679748611108517</v>
      </c>
      <c r="N689" s="36" t="s">
        <v>233</v>
      </c>
      <c r="O689" s="77">
        <v>516320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321</v>
      </c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322</v>
      </c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233</v>
      </c>
      <c r="O702" s="77">
        <v>813880</v>
      </c>
    </row>
    <row r="703" spans="1:15" ht="18" customHeight="1" x14ac:dyDescent="0.25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10.764470833330739</v>
      </c>
      <c r="N703" s="40" t="s">
        <v>236</v>
      </c>
      <c r="O703" s="83">
        <f>IFERROR(O689+O702,"")</f>
        <v>1330200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 x14ac:dyDescent="0.25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 x14ac:dyDescent="0.25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 x14ac:dyDescent="0.25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 x14ac:dyDescent="0.25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2" zoomScale="90" zoomScaleNormal="90" workbookViewId="0">
      <selection activeCell="D704" sqref="D704:D715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323</v>
      </c>
      <c r="O6" s="31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100" t="s">
        <v>232</v>
      </c>
      <c r="B14" s="101"/>
      <c r="C14" s="101"/>
      <c r="D14" s="101"/>
      <c r="E14" s="10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25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25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25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25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25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100" t="s">
        <v>234</v>
      </c>
      <c r="B27" s="101"/>
      <c r="C27" s="101"/>
      <c r="D27" s="101"/>
      <c r="E27" s="10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 x14ac:dyDescent="0.25">
      <c r="A28" s="103" t="s">
        <v>235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324</v>
      </c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 x14ac:dyDescent="0.25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325</v>
      </c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 x14ac:dyDescent="0.25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326</v>
      </c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 x14ac:dyDescent="0.25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 x14ac:dyDescent="0.25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328</v>
      </c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329</v>
      </c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 x14ac:dyDescent="0.25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330</v>
      </c>
      <c r="N166" s="27" t="s">
        <v>331</v>
      </c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 x14ac:dyDescent="0.25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332</v>
      </c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 x14ac:dyDescent="0.25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 x14ac:dyDescent="0.25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333</v>
      </c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334</v>
      </c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 x14ac:dyDescent="0.25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335</v>
      </c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336</v>
      </c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 x14ac:dyDescent="0.25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337</v>
      </c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338</v>
      </c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 x14ac:dyDescent="0.25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340</v>
      </c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 x14ac:dyDescent="0.25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 x14ac:dyDescent="0.25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 x14ac:dyDescent="0.25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25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 x14ac:dyDescent="0.25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341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 x14ac:dyDescent="0.25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 x14ac:dyDescent="0.25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342</v>
      </c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 x14ac:dyDescent="0.25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343</v>
      </c>
      <c r="O529" s="47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344</v>
      </c>
      <c r="O532" s="47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345</v>
      </c>
      <c r="O533" s="47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 x14ac:dyDescent="0.25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346</v>
      </c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347</v>
      </c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 x14ac:dyDescent="0.25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348</v>
      </c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 x14ac:dyDescent="0.25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349</v>
      </c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 x14ac:dyDescent="0.25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 x14ac:dyDescent="0.25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350</v>
      </c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351</v>
      </c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 x14ac:dyDescent="0.25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233</v>
      </c>
      <c r="O702" s="39">
        <v>349730</v>
      </c>
    </row>
    <row r="703" spans="1:15" ht="18" customHeight="1" x14ac:dyDescent="0.25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236</v>
      </c>
      <c r="O703" s="48">
        <f>IFERROR(O689+O702,"")</f>
        <v>935030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257</v>
      </c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257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 x14ac:dyDescent="0.25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 x14ac:dyDescent="0.25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 x14ac:dyDescent="0.25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 x14ac:dyDescent="0.25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80" zoomScaleNormal="80" workbookViewId="0">
      <pane ySplit="1" topLeftCell="A669" activePane="bottomLeft" state="frozen"/>
      <selection pane="bottomLeft" activeCell="K705" sqref="K705"/>
    </sheetView>
  </sheetViews>
  <sheetFormatPr defaultColWidth="8.5703125" defaultRowHeight="15" x14ac:dyDescent="0.2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 x14ac:dyDescent="0.25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352</v>
      </c>
      <c r="O2" s="60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100" t="s">
        <v>232</v>
      </c>
      <c r="B14" s="101"/>
      <c r="C14" s="101"/>
      <c r="D14" s="101"/>
      <c r="E14" s="10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353</v>
      </c>
      <c r="O16" s="60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100" t="s">
        <v>234</v>
      </c>
      <c r="B27" s="101"/>
      <c r="C27" s="101"/>
      <c r="D27" s="101"/>
      <c r="E27" s="10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 x14ac:dyDescent="0.25">
      <c r="A28" s="103" t="s">
        <v>235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354</v>
      </c>
      <c r="O29" s="60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355</v>
      </c>
      <c r="O34" s="60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 x14ac:dyDescent="0.25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356</v>
      </c>
      <c r="L58" s="29">
        <v>0.54097222222222219</v>
      </c>
      <c r="M58" s="30" t="str">
        <f t="shared" ca="1" si="13"/>
        <v/>
      </c>
      <c r="N58" s="27" t="s">
        <v>357</v>
      </c>
      <c r="O58" s="60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358</v>
      </c>
      <c r="O72" s="60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359</v>
      </c>
      <c r="O73" s="60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360</v>
      </c>
      <c r="O74" s="60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361</v>
      </c>
      <c r="O75" s="60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 x14ac:dyDescent="0.25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362</v>
      </c>
      <c r="O83" s="60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 x14ac:dyDescent="0.25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363</v>
      </c>
      <c r="O110" s="60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364</v>
      </c>
      <c r="O124" s="60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365</v>
      </c>
      <c r="O125" s="60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5.1276388890983071E-2</v>
      </c>
      <c r="N128" s="27"/>
      <c r="O128" s="60"/>
    </row>
    <row r="129" spans="1:18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25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0.2505819444465387</v>
      </c>
      <c r="N135" s="36" t="s">
        <v>233</v>
      </c>
      <c r="O135" s="39">
        <v>729290</v>
      </c>
    </row>
    <row r="136" spans="1:18" ht="18" customHeight="1" x14ac:dyDescent="0.25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0.61794305555764972</v>
      </c>
      <c r="N136" s="40" t="s">
        <v>236</v>
      </c>
      <c r="O136" s="48">
        <f>IFERROR(O122+O135,"")</f>
        <v>1003740</v>
      </c>
    </row>
    <row r="137" spans="1:18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366</v>
      </c>
      <c r="O139" s="31"/>
    </row>
    <row r="140" spans="1:18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367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 x14ac:dyDescent="0.25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368</v>
      </c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 x14ac:dyDescent="0.25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369</v>
      </c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370</v>
      </c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371</v>
      </c>
      <c r="O206" s="60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 x14ac:dyDescent="0.25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372</v>
      </c>
      <c r="O218" s="60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373</v>
      </c>
      <c r="O220" s="60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375</v>
      </c>
      <c r="O232" s="60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 x14ac:dyDescent="0.25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376</v>
      </c>
      <c r="O245" s="60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 x14ac:dyDescent="0.25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 x14ac:dyDescent="0.25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377</v>
      </c>
      <c r="O299" s="60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 x14ac:dyDescent="0.25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 x14ac:dyDescent="0.25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 x14ac:dyDescent="0.25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 x14ac:dyDescent="0.25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25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25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25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25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25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25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25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25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25">
      <c r="A338" s="100" t="s">
        <v>232</v>
      </c>
      <c r="B338" s="101"/>
      <c r="C338" s="101"/>
      <c r="D338" s="101"/>
      <c r="E338" s="102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379</v>
      </c>
      <c r="O347" s="60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 x14ac:dyDescent="0.25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 x14ac:dyDescent="0.25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 x14ac:dyDescent="0.25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381</v>
      </c>
      <c r="O380" s="60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368</v>
      </c>
      <c r="O382" s="60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382</v>
      </c>
      <c r="O394" s="60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383</v>
      </c>
      <c r="O398" s="60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 x14ac:dyDescent="0.25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384</v>
      </c>
      <c r="O425" s="60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 x14ac:dyDescent="0.25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 x14ac:dyDescent="0.25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385</v>
      </c>
      <c r="O461" s="60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386</v>
      </c>
      <c r="O462" s="60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361</v>
      </c>
      <c r="O465" s="60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 x14ac:dyDescent="0.25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 x14ac:dyDescent="0.25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361</v>
      </c>
      <c r="O489" s="60"/>
    </row>
    <row r="490" spans="1:15" ht="15" customHeight="1" x14ac:dyDescent="0.25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 x14ac:dyDescent="0.25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 x14ac:dyDescent="0.25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387</v>
      </c>
      <c r="O503" s="60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 x14ac:dyDescent="0.25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388</v>
      </c>
      <c r="O515" s="60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389</v>
      </c>
      <c r="O517" s="60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 x14ac:dyDescent="0.25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390</v>
      </c>
      <c r="O542" s="60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391</v>
      </c>
      <c r="O543" s="60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392</v>
      </c>
      <c r="O544" s="60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 x14ac:dyDescent="0.25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6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 x14ac:dyDescent="0.25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393</v>
      </c>
      <c r="O557" s="60"/>
    </row>
    <row r="558" spans="1:15" ht="15" customHeight="1" x14ac:dyDescent="0.25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25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25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25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25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25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25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25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25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25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 x14ac:dyDescent="0.25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394</v>
      </c>
      <c r="O569" s="60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 x14ac:dyDescent="0.25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3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 x14ac:dyDescent="0.25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 x14ac:dyDescent="0.25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 x14ac:dyDescent="0.25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 x14ac:dyDescent="0.25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 x14ac:dyDescent="0.25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 x14ac:dyDescent="0.25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 x14ac:dyDescent="0.25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 x14ac:dyDescent="0.25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 x14ac:dyDescent="0.25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 x14ac:dyDescent="0.25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 x14ac:dyDescent="0.25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 x14ac:dyDescent="0.25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395</v>
      </c>
      <c r="O601" s="60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 x14ac:dyDescent="0.25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396</v>
      </c>
      <c r="O627" s="60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397</v>
      </c>
      <c r="O636" s="60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 x14ac:dyDescent="0.25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398</v>
      </c>
      <c r="O650" s="60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399</v>
      </c>
      <c r="O666" s="60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 x14ac:dyDescent="0.25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400</v>
      </c>
      <c r="O691" s="60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401</v>
      </c>
      <c r="O692" s="60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233</v>
      </c>
      <c r="O702" s="39">
        <v>988790</v>
      </c>
    </row>
    <row r="703" spans="1:15" ht="18" customHeight="1" x14ac:dyDescent="0.25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236</v>
      </c>
      <c r="O703" s="48">
        <f>IFERROR(O689+O702,"")</f>
        <v>1826850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257</v>
      </c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>
        <v>0.29166666666666669</v>
      </c>
      <c r="L704" s="29"/>
      <c r="M704" s="30">
        <f t="shared" ref="M704:M715" ca="1" si="157">IFERROR(IF(K704="","",IF(L704="",MOD(NOW()-K704,1),IF(L704&gt;=K704,L704-K704,L704+1-K704))),"")</f>
        <v>8.915277780033648E-3</v>
      </c>
      <c r="N704" s="27"/>
      <c r="O704" s="60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257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257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257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257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257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257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257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257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257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257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257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8.915277780033648E-3</v>
      </c>
      <c r="N716" s="36" t="s">
        <v>233</v>
      </c>
      <c r="O716" s="39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 x14ac:dyDescent="0.25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8.915277780033648E-3</v>
      </c>
      <c r="N730" s="40" t="s">
        <v>236</v>
      </c>
      <c r="O730" s="48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 x14ac:dyDescent="0.25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 x14ac:dyDescent="0.25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 x14ac:dyDescent="0.25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2026-07-27T11:12:51Z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