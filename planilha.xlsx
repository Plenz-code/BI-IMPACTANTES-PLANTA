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00" documentId="8_{AF585B22-221D-4780-BB9C-493D365A6A02}" xr6:coauthVersionLast="47" xr6:coauthVersionMax="47" xr10:uidLastSave="{57DA5A44-968F-4AB0-9A99-92FF5E33EAB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<sst xmlns="http://schemas.openxmlformats.org/spreadsheetml/2006/main" count="4077" uniqueCount="276">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</sst>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L221" sqref="L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>
        <v>0.79166666666666663</v>
      </c>
      <c r="L231" s="29"/>
      <c r="M231" s="35">
        <f t="shared" ref="M231:M242" ca="1" si="52">IFERROR(IF(K231="","",IF(L231="",MOD(NOW()-K231,1),IF(L231&gt;=K231,L231-K231,L231+1-K231))),"")</f>
        <v>3.6641087965108454E-2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3.6641087965108454E-2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0.36719664352066395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L232" sqref="L2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0.57900219907605788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0.7783077546316135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1.1456688657427245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12</v>
      </c>
      <c r="G231" s="34">
        <f t="shared" ref="G231:G242" si="51">IF(F231="","",IF(E231="PC 17",F231*4.2,IF(E231="PC 19",F231*5,"")))</f>
        <v>50.400000000000006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12</v>
      </c>
      <c r="G243" s="36">
        <f>SUM(G231:G242)</f>
        <v>50.400000000000006</v>
      </c>
      <c r="H243" s="37"/>
      <c r="I243" s="37"/>
      <c r="J243" s="37"/>
      <c r="K243" s="61"/>
      <c r="L243" s="61"/>
      <c r="M243" s="38">
        <f ca="1">IFERROR(SUM(M231:M242),"")</f>
        <v>1.4583333333333282E-2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130</v>
      </c>
      <c r="G244" s="40">
        <f>G230+G243</f>
        <v>546</v>
      </c>
      <c r="H244" s="41"/>
      <c r="I244" s="41"/>
      <c r="J244" s="41"/>
      <c r="K244" s="63"/>
      <c r="L244" s="63"/>
      <c r="M244" s="42">
        <f ca="1">IFERROR(M230+M243,"")</f>
        <v>0.21111111111111122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2026-07-09T23:54:50Z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