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73" documentId="8_{C51EB6CB-002B-4D6B-B68F-DDEBDB4460C0}" xr6:coauthVersionLast="47" xr6:coauthVersionMax="47" xr10:uidLastSave="{31363FA7-0B19-4829-B6D9-D96244A25C41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<sst xmlns="http://schemas.openxmlformats.org/spreadsheetml/2006/main" count="3685" uniqueCount="291">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</sst>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2" activePane="bottomLeft" state="frozen"/>
      <selection pane="bottomLeft" activeCell="F170" sqref="F1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249</v>
      </c>
      <c r="G176" s="36">
        <f>SUM(G164:G175)</f>
        <v>1245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249</v>
      </c>
      <c r="G190" s="40">
        <f>G176+G189</f>
        <v>1245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F171" sqref="F1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0.46772881944343681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0.60661770833232564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0.69133993055454801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41</v>
      </c>
      <c r="G176" s="36">
        <f>SUM(G164:G175)</f>
        <v>172.2</v>
      </c>
      <c r="H176" s="37"/>
      <c r="I176" s="37"/>
      <c r="J176" s="37"/>
      <c r="K176" s="37"/>
      <c r="L176" s="37"/>
      <c r="M176" s="38">
        <f ca="1">IFERROR(SUM(M164:M175),"")</f>
        <v>7.0138888888888973E-2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41</v>
      </c>
      <c r="G190" s="40">
        <f>G176+G189</f>
        <v>172.2</v>
      </c>
      <c r="H190" s="41"/>
      <c r="I190" s="41"/>
      <c r="J190" s="41"/>
      <c r="K190" s="41"/>
      <c r="L190" s="41"/>
      <c r="M190" s="42">
        <f ca="1">IFERROR(M176+M189,"")</f>
        <v>7.0138888888888973E-2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F171" sqref="F1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45</v>
      </c>
      <c r="G176" s="36">
        <f>SUM(G164:G175)</f>
        <v>189.00000000000003</v>
      </c>
      <c r="H176" s="37"/>
      <c r="I176" s="37"/>
      <c r="J176" s="37"/>
      <c r="K176" s="37"/>
      <c r="L176" s="37"/>
      <c r="M176" s="38">
        <f ca="1">IFERROR(SUM(M164:M175),"")</f>
        <v>6.6666666666666763E-2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45</v>
      </c>
      <c r="G190" s="40">
        <f>G176+G189</f>
        <v>189.00000000000003</v>
      </c>
      <c r="H190" s="41"/>
      <c r="I190" s="41"/>
      <c r="J190" s="41"/>
      <c r="K190" s="41"/>
      <c r="L190" s="41"/>
      <c r="M190" s="42">
        <f ca="1">IFERROR(M176+M189,"")</f>
        <v>6.6666666666666763E-2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F171" sqref="F1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101</v>
      </c>
      <c r="G176" s="36">
        <f>SUM(G164:G175)</f>
        <v>424.20000000000005</v>
      </c>
      <c r="H176" s="37"/>
      <c r="I176" s="37"/>
      <c r="J176" s="37"/>
      <c r="K176" s="61"/>
      <c r="L176" s="61"/>
      <c r="M176" s="38">
        <f ca="1">IFERROR(SUM(M164:M175),"")</f>
        <v>9.722222222222221E-2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101</v>
      </c>
      <c r="G190" s="40">
        <f>G176+G189</f>
        <v>424.20000000000005</v>
      </c>
      <c r="H190" s="41"/>
      <c r="I190" s="41"/>
      <c r="J190" s="41"/>
      <c r="K190" s="63"/>
      <c r="L190" s="63"/>
      <c r="M190" s="42">
        <f ca="1">IFERROR(M176+M189,"")</f>
        <v>9.722222222222221E-2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2026-08-07T18:10:19Z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