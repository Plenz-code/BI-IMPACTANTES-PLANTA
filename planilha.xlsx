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387" documentId="13_ncr:1_{9DFDFEE8-78F7-4C04-B87C-99924EE6CC37}" xr6:coauthVersionLast="47" xr6:coauthVersionMax="47" xr10:uidLastSave="{98D40959-BCCE-4ADD-8B62-7461766A8927}"/>
  <bookViews>
    <workbookView xWindow="2985" yWindow="1050" windowWidth="21600" windowHeight="11295" tabRatio="500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<sst xmlns="http://schemas.openxmlformats.org/spreadsheetml/2006/main" count="4785" uniqueCount="1313">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</sst>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topLeftCell="D1" zoomScaleNormal="100" workbookViewId="0">
      <pane ySplit="3" topLeftCell="A4" activePane="bottomLeft" state="frozen"/>
      <selection activeCell="B1" sqref="B1"/>
      <selection pane="bottomLeft" activeCell="H2" sqref="H1:H1048576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4.855468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42578125" customWidth="1"/>
  </cols>
  <sheetData>
    <row r="1" spans="1:12" ht="31.5" customHeight="1" x14ac:dyDescent="0.25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 x14ac:dyDescent="0.25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918</v>
      </c>
      <c r="J35" s="33">
        <f>IFERROR(IF(OR(H35="",I35="",H35=0,I35=0),"",MIN(H35,I35)/MAX(H35,I35)),"")</f>
        <v>0.52282058879859594</v>
      </c>
      <c r="K35" s="160">
        <f>SUM(K4:K34)</f>
        <v>0</v>
      </c>
      <c r="L35" s="34">
        <f>IFERROR(SUM(L4:L34),"")</f>
        <v>0</v>
      </c>
    </row>
    <row r="36" spans="1:12" ht="15" customHeight="1" x14ac:dyDescent="0.25">
      <c r="J36" s="35"/>
    </row>
  </sheetData>
  <sheetProtection algorithmName="SHA-512" hashValue="MwmTuizI+ewyWIHM2IjKFN1gtH4VLm95ocbEReScxFS1HInfJHOT5dt+AmklGc0N0t/rlGMefIc10kFlqb3jwA==" saltValue="vJRIap8IzVDCc3zCPF0j6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 x14ac:dyDescent="0.25">
      <c r="M2" s="17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25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25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25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25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25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25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25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25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25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25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25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25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25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25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 x14ac:dyDescent="0.25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 x14ac:dyDescent="0.25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 x14ac:dyDescent="0.25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 x14ac:dyDescent="0.25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 x14ac:dyDescent="0.25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 x14ac:dyDescent="0.25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 x14ac:dyDescent="0.25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 x14ac:dyDescent="0.25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 x14ac:dyDescent="0.25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 x14ac:dyDescent="0.25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 x14ac:dyDescent="0.25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 x14ac:dyDescent="0.25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 x14ac:dyDescent="0.25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 x14ac:dyDescent="0.25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 x14ac:dyDescent="0.25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 x14ac:dyDescent="0.25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 x14ac:dyDescent="0.25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 x14ac:dyDescent="0.25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 x14ac:dyDescent="0.25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 x14ac:dyDescent="0.25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 x14ac:dyDescent="0.25">
      <c r="M61" s="173"/>
      <c r="N61" s="40"/>
      <c r="O61" s="40"/>
      <c r="P61" s="40" t="s">
        <v>230</v>
      </c>
      <c r="Q61" s="40"/>
      <c r="R61" s="40"/>
    </row>
    <row r="62" spans="1:18" ht="15" customHeight="1" x14ac:dyDescent="0.25">
      <c r="M62" s="173"/>
      <c r="N62" s="37"/>
      <c r="O62" s="37"/>
      <c r="P62" s="37" t="s">
        <v>231</v>
      </c>
      <c r="Q62" s="37"/>
      <c r="R62" s="37"/>
    </row>
    <row r="63" spans="1:18" ht="15" customHeight="1" x14ac:dyDescent="0.25">
      <c r="M63" s="173"/>
      <c r="N63" s="40"/>
      <c r="O63" s="40"/>
      <c r="P63" s="40" t="s">
        <v>232</v>
      </c>
      <c r="Q63" s="40"/>
      <c r="R63" s="40"/>
    </row>
    <row r="64" spans="1:18" ht="15" customHeight="1" x14ac:dyDescent="0.25">
      <c r="M64" s="173"/>
      <c r="N64" s="37"/>
      <c r="O64" s="37"/>
      <c r="P64" s="37" t="s">
        <v>233</v>
      </c>
      <c r="Q64" s="37"/>
      <c r="R64" s="37"/>
    </row>
    <row r="65" spans="13:18" ht="15" customHeight="1" x14ac:dyDescent="0.25">
      <c r="M65" s="173"/>
      <c r="N65" s="40"/>
      <c r="O65" s="40"/>
      <c r="P65" s="40" t="s">
        <v>234</v>
      </c>
      <c r="Q65" s="40"/>
      <c r="R65" s="40"/>
    </row>
    <row r="66" spans="13:18" ht="15" customHeight="1" x14ac:dyDescent="0.25">
      <c r="M66" s="173"/>
      <c r="N66" s="37"/>
      <c r="O66" s="37"/>
      <c r="P66" s="37" t="s">
        <v>235</v>
      </c>
      <c r="Q66" s="37"/>
      <c r="R66" s="37"/>
    </row>
    <row r="67" spans="13:18" ht="15" customHeight="1" x14ac:dyDescent="0.25">
      <c r="M67" s="173"/>
      <c r="N67" s="40"/>
      <c r="O67" s="40"/>
      <c r="P67" s="40" t="s">
        <v>236</v>
      </c>
      <c r="Q67" s="40"/>
      <c r="R67" s="40"/>
    </row>
    <row r="68" spans="13:18" ht="15" customHeight="1" x14ac:dyDescent="0.25">
      <c r="M68" s="173"/>
      <c r="N68" s="37"/>
      <c r="O68" s="37"/>
      <c r="P68" s="37" t="s">
        <v>237</v>
      </c>
      <c r="Q68" s="37"/>
      <c r="R68" s="37"/>
    </row>
    <row r="69" spans="13:18" ht="15" customHeight="1" x14ac:dyDescent="0.25">
      <c r="M69" s="173"/>
      <c r="N69" s="40"/>
      <c r="O69" s="40"/>
      <c r="P69" s="40" t="s">
        <v>238</v>
      </c>
      <c r="Q69" s="40"/>
      <c r="R69" s="40"/>
    </row>
    <row r="70" spans="13:18" ht="15" customHeight="1" x14ac:dyDescent="0.25">
      <c r="M70" s="173"/>
      <c r="N70" s="37"/>
      <c r="O70" s="37"/>
      <c r="P70" s="37" t="s">
        <v>239</v>
      </c>
      <c r="Q70" s="37"/>
      <c r="R70" s="37"/>
    </row>
    <row r="71" spans="13:18" ht="15" customHeight="1" x14ac:dyDescent="0.25">
      <c r="M71" s="173"/>
      <c r="N71" s="40"/>
      <c r="O71" s="40"/>
      <c r="P71" s="40" t="s">
        <v>240</v>
      </c>
      <c r="Q71" s="40"/>
      <c r="R71" s="40"/>
    </row>
    <row r="72" spans="13:18" ht="15" customHeight="1" x14ac:dyDescent="0.25">
      <c r="M72" s="173"/>
      <c r="N72" s="37"/>
      <c r="O72" s="37"/>
      <c r="P72" s="37" t="s">
        <v>241</v>
      </c>
      <c r="Q72" s="37"/>
      <c r="R72" s="37"/>
    </row>
    <row r="73" spans="13:18" ht="15" customHeight="1" x14ac:dyDescent="0.25">
      <c r="M73" s="173"/>
      <c r="N73" s="40"/>
      <c r="O73" s="40"/>
      <c r="P73" s="40" t="s">
        <v>242</v>
      </c>
      <c r="Q73" s="40"/>
      <c r="R73" s="40"/>
    </row>
    <row r="74" spans="13:18" ht="15" customHeight="1" x14ac:dyDescent="0.25">
      <c r="M74" s="173"/>
      <c r="N74" s="37"/>
      <c r="O74" s="37"/>
      <c r="P74" s="37" t="s">
        <v>243</v>
      </c>
      <c r="Q74" s="37"/>
      <c r="R74" s="37"/>
    </row>
    <row r="75" spans="13:18" ht="15" customHeight="1" x14ac:dyDescent="0.25">
      <c r="M75" s="173"/>
      <c r="N75" s="40"/>
      <c r="O75" s="40"/>
      <c r="P75" s="40" t="s">
        <v>244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 x14ac:dyDescent="0.25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25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25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25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25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25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25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25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25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K56" sqref="K56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 x14ac:dyDescent="0.25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 x14ac:dyDescent="0.25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76" t="s">
        <v>269</v>
      </c>
      <c r="B68" s="176"/>
      <c r="C68" s="176"/>
      <c r="D68" s="176"/>
      <c r="E68" s="176"/>
      <c r="F68" s="2">
        <f>SUM(F56:F67)</f>
        <v>80</v>
      </c>
      <c r="G68" s="2">
        <f>SUM(G56:G67)</f>
        <v>400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 x14ac:dyDescent="0.25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 x14ac:dyDescent="0.25">
      <c r="A82" s="177" t="s">
        <v>256</v>
      </c>
      <c r="B82" s="177"/>
      <c r="C82" s="177"/>
      <c r="D82" s="177"/>
      <c r="E82" s="177"/>
      <c r="F82" s="1">
        <f>F68+F81</f>
        <v>80</v>
      </c>
      <c r="G82" s="1">
        <f>G68+G81</f>
        <v>400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 x14ac:dyDescent="0.25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 x14ac:dyDescent="0.25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 x14ac:dyDescent="0.25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 x14ac:dyDescent="0.25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 x14ac:dyDescent="0.25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 x14ac:dyDescent="0.25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 x14ac:dyDescent="0.25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 x14ac:dyDescent="0.25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 x14ac:dyDescent="0.25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 x14ac:dyDescent="0.25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 x14ac:dyDescent="0.25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 x14ac:dyDescent="0.25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25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25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 x14ac:dyDescent="0.25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 x14ac:dyDescent="0.25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 x14ac:dyDescent="0.25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25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25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 x14ac:dyDescent="0.25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25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25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25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 x14ac:dyDescent="0.25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 x14ac:dyDescent="0.25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 x14ac:dyDescent="0.25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 x14ac:dyDescent="0.25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25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25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25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25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 x14ac:dyDescent="0.25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25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25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25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25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 x14ac:dyDescent="0.25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 x14ac:dyDescent="0.25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 x14ac:dyDescent="0.25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25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25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 x14ac:dyDescent="0.25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25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7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8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59">B258+TIME(0,60,0)</f>
        <v>0.87499999999999967</v>
      </c>
      <c r="C259" s="85"/>
      <c r="D259" s="90"/>
      <c r="E259" s="90"/>
      <c r="F259" s="78"/>
      <c r="G259" s="84" t="str">
        <f t="shared" si="57"/>
        <v/>
      </c>
      <c r="H259" s="76"/>
      <c r="I259" s="76"/>
      <c r="J259" s="76"/>
      <c r="K259" s="80"/>
      <c r="L259" s="80"/>
      <c r="M259" s="86" t="str">
        <f t="shared" ca="1" si="58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59"/>
        <v>0.9166666666666663</v>
      </c>
      <c r="C260" s="85"/>
      <c r="D260" s="90"/>
      <c r="E260" s="90"/>
      <c r="F260" s="78"/>
      <c r="G260" s="79" t="str">
        <f t="shared" si="57"/>
        <v/>
      </c>
      <c r="H260" s="85"/>
      <c r="I260" s="76"/>
      <c r="J260" s="85"/>
      <c r="K260" s="80"/>
      <c r="L260" s="80"/>
      <c r="M260" s="81" t="str">
        <f t="shared" ca="1" si="58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59"/>
        <v>0.95833333333333293</v>
      </c>
      <c r="C261" s="85"/>
      <c r="D261" s="90"/>
      <c r="E261" s="90"/>
      <c r="F261" s="78"/>
      <c r="G261" s="84" t="str">
        <f t="shared" si="57"/>
        <v/>
      </c>
      <c r="H261" s="85"/>
      <c r="I261" s="85"/>
      <c r="J261" s="85"/>
      <c r="K261" s="80"/>
      <c r="L261" s="80"/>
      <c r="M261" s="86" t="str">
        <f t="shared" ca="1" si="58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59"/>
        <v>0.99999999999999956</v>
      </c>
      <c r="C262" s="85"/>
      <c r="D262" s="90"/>
      <c r="E262" s="90"/>
      <c r="F262" s="78"/>
      <c r="G262" s="79" t="str">
        <f t="shared" si="57"/>
        <v/>
      </c>
      <c r="H262" s="85"/>
      <c r="I262" s="76"/>
      <c r="J262" s="85"/>
      <c r="K262" s="80"/>
      <c r="L262" s="80"/>
      <c r="M262" s="81" t="str">
        <f t="shared" ca="1" si="58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59"/>
        <v>1.0416666666666663</v>
      </c>
      <c r="C263" s="85"/>
      <c r="D263" s="90"/>
      <c r="E263" s="90"/>
      <c r="F263" s="78"/>
      <c r="G263" s="84" t="str">
        <f t="shared" si="57"/>
        <v/>
      </c>
      <c r="H263" s="85"/>
      <c r="I263" s="85"/>
      <c r="J263" s="85"/>
      <c r="K263" s="80"/>
      <c r="L263" s="80"/>
      <c r="M263" s="86" t="str">
        <f t="shared" ca="1" si="58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59"/>
        <v>1.083333333333333</v>
      </c>
      <c r="C264" s="85"/>
      <c r="D264" s="90"/>
      <c r="E264" s="90"/>
      <c r="F264" s="78"/>
      <c r="G264" s="84" t="str">
        <f t="shared" si="57"/>
        <v/>
      </c>
      <c r="H264" s="85"/>
      <c r="I264" s="76"/>
      <c r="J264" s="85"/>
      <c r="K264" s="80"/>
      <c r="L264" s="80"/>
      <c r="M264" s="81" t="str">
        <f t="shared" ca="1" si="58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59"/>
        <v>1.1249999999999998</v>
      </c>
      <c r="C265" s="85"/>
      <c r="D265" s="90"/>
      <c r="E265" s="90"/>
      <c r="F265" s="78"/>
      <c r="G265" s="84" t="str">
        <f t="shared" si="57"/>
        <v/>
      </c>
      <c r="H265" s="85"/>
      <c r="I265" s="85"/>
      <c r="J265" s="85"/>
      <c r="K265" s="80"/>
      <c r="L265" s="80"/>
      <c r="M265" s="86" t="str">
        <f t="shared" ca="1" si="58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59"/>
        <v>1.1666666666666665</v>
      </c>
      <c r="C266" s="85"/>
      <c r="D266" s="90"/>
      <c r="E266" s="90"/>
      <c r="F266" s="78"/>
      <c r="G266" s="84" t="str">
        <f t="shared" si="57"/>
        <v/>
      </c>
      <c r="H266" s="76"/>
      <c r="I266" s="76"/>
      <c r="J266" s="76"/>
      <c r="K266" s="80"/>
      <c r="L266" s="80"/>
      <c r="M266" s="81" t="str">
        <f t="shared" ca="1" si="58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59"/>
        <v>1.2083333333333333</v>
      </c>
      <c r="C267" s="85"/>
      <c r="D267" s="90"/>
      <c r="E267" s="90"/>
      <c r="F267" s="78"/>
      <c r="G267" s="84" t="str">
        <f t="shared" si="57"/>
        <v/>
      </c>
      <c r="H267" s="85"/>
      <c r="I267" s="85"/>
      <c r="J267" s="85"/>
      <c r="K267" s="80"/>
      <c r="L267" s="80"/>
      <c r="M267" s="86" t="str">
        <f t="shared" ca="1" si="58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59"/>
        <v>1.25</v>
      </c>
      <c r="C268" s="85"/>
      <c r="D268" s="90"/>
      <c r="E268" s="90"/>
      <c r="F268" s="78"/>
      <c r="G268" s="84" t="str">
        <f t="shared" si="57"/>
        <v/>
      </c>
      <c r="H268" s="76"/>
      <c r="I268" s="76"/>
      <c r="J268" s="76"/>
      <c r="K268" s="80"/>
      <c r="L268" s="80"/>
      <c r="M268" s="81" t="str">
        <f t="shared" ca="1" si="58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59"/>
        <v>1.2916666666666667</v>
      </c>
      <c r="C269" s="85"/>
      <c r="D269" s="90"/>
      <c r="E269" s="90"/>
      <c r="F269" s="78"/>
      <c r="G269" s="84" t="str">
        <f t="shared" si="57"/>
        <v/>
      </c>
      <c r="H269" s="85"/>
      <c r="I269" s="85"/>
      <c r="J269" s="85"/>
      <c r="K269" s="80"/>
      <c r="L269" s="80"/>
      <c r="M269" s="86" t="str">
        <f t="shared" ca="1" si="58"/>
        <v/>
      </c>
      <c r="N269" s="95"/>
      <c r="O269" s="96"/>
    </row>
    <row r="270" spans="1:15" ht="15.75" customHeight="1" x14ac:dyDescent="0.25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 x14ac:dyDescent="0.25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0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1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2">B272+TIME(0,60,0)</f>
        <v>0.37499999999999967</v>
      </c>
      <c r="C273" s="76"/>
      <c r="D273" s="77"/>
      <c r="E273" s="77"/>
      <c r="F273" s="78"/>
      <c r="G273" s="84" t="str">
        <f t="shared" si="60"/>
        <v/>
      </c>
      <c r="H273" s="85"/>
      <c r="I273" s="85"/>
      <c r="J273" s="85"/>
      <c r="K273" s="80"/>
      <c r="L273" s="80"/>
      <c r="M273" s="86" t="str">
        <f t="shared" ca="1" si="61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2"/>
        <v>0.41666666666666635</v>
      </c>
      <c r="C274" s="76"/>
      <c r="D274" s="77"/>
      <c r="E274" s="77"/>
      <c r="F274" s="78"/>
      <c r="G274" s="79" t="str">
        <f t="shared" si="60"/>
        <v/>
      </c>
      <c r="H274" s="76"/>
      <c r="I274" s="76"/>
      <c r="J274" s="76"/>
      <c r="K274" s="80"/>
      <c r="L274" s="80"/>
      <c r="M274" s="81" t="str">
        <f t="shared" ca="1" si="61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2"/>
        <v>0.45833333333333304</v>
      </c>
      <c r="C275" s="76"/>
      <c r="D275" s="77"/>
      <c r="E275" s="77"/>
      <c r="F275" s="78"/>
      <c r="G275" s="84" t="str">
        <f t="shared" si="60"/>
        <v/>
      </c>
      <c r="H275" s="85"/>
      <c r="I275" s="85"/>
      <c r="J275" s="85"/>
      <c r="K275" s="80"/>
      <c r="L275" s="80"/>
      <c r="M275" s="86" t="str">
        <f t="shared" ca="1" si="61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2"/>
        <v>0.49999999999999972</v>
      </c>
      <c r="C276" s="76"/>
      <c r="D276" s="77"/>
      <c r="E276" s="77"/>
      <c r="F276" s="78"/>
      <c r="G276" s="79" t="str">
        <f t="shared" si="60"/>
        <v/>
      </c>
      <c r="H276" s="76"/>
      <c r="I276" s="76"/>
      <c r="J276" s="76"/>
      <c r="K276" s="80"/>
      <c r="L276" s="80"/>
      <c r="M276" s="81" t="str">
        <f t="shared" ca="1" si="61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2"/>
        <v>0.54166666666666641</v>
      </c>
      <c r="C277" s="76"/>
      <c r="D277" s="77"/>
      <c r="E277" s="77"/>
      <c r="F277" s="78"/>
      <c r="G277" s="84" t="str">
        <f t="shared" si="60"/>
        <v/>
      </c>
      <c r="H277" s="85"/>
      <c r="I277" s="85"/>
      <c r="J277" s="85"/>
      <c r="K277" s="80"/>
      <c r="L277" s="80"/>
      <c r="M277" s="86" t="str">
        <f t="shared" ca="1" si="61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2"/>
        <v>0.58333333333333304</v>
      </c>
      <c r="C278" s="76"/>
      <c r="D278" s="77"/>
      <c r="E278" s="77"/>
      <c r="F278" s="78"/>
      <c r="G278" s="79" t="str">
        <f t="shared" si="60"/>
        <v/>
      </c>
      <c r="H278" s="76"/>
      <c r="I278" s="76"/>
      <c r="J278" s="76"/>
      <c r="K278" s="80"/>
      <c r="L278" s="80"/>
      <c r="M278" s="81" t="str">
        <f t="shared" ca="1" si="61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2"/>
        <v>0.62499999999999967</v>
      </c>
      <c r="C279" s="76"/>
      <c r="D279" s="77"/>
      <c r="E279" s="77"/>
      <c r="F279" s="78"/>
      <c r="G279" s="84" t="str">
        <f t="shared" si="60"/>
        <v/>
      </c>
      <c r="H279" s="85"/>
      <c r="I279" s="85"/>
      <c r="J279" s="85"/>
      <c r="K279" s="80"/>
      <c r="L279" s="80"/>
      <c r="M279" s="86" t="str">
        <f t="shared" ca="1" si="61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2"/>
        <v>0.6666666666666663</v>
      </c>
      <c r="C280" s="76"/>
      <c r="D280" s="77"/>
      <c r="E280" s="77"/>
      <c r="F280" s="78"/>
      <c r="G280" s="79" t="str">
        <f t="shared" si="60"/>
        <v/>
      </c>
      <c r="H280" s="76"/>
      <c r="I280" s="76"/>
      <c r="J280" s="76"/>
      <c r="K280" s="80"/>
      <c r="L280" s="80"/>
      <c r="M280" s="81" t="str">
        <f t="shared" ca="1" si="61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2"/>
        <v>0.70833333333333293</v>
      </c>
      <c r="C281" s="76"/>
      <c r="D281" s="77"/>
      <c r="E281" s="77"/>
      <c r="F281" s="78"/>
      <c r="G281" s="84" t="str">
        <f t="shared" si="60"/>
        <v/>
      </c>
      <c r="H281" s="85"/>
      <c r="I281" s="85"/>
      <c r="J281" s="85"/>
      <c r="K281" s="80"/>
      <c r="L281" s="80"/>
      <c r="M281" s="86" t="str">
        <f t="shared" ca="1" si="61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2"/>
        <v>0.74999999999999956</v>
      </c>
      <c r="C282" s="76"/>
      <c r="D282" s="77"/>
      <c r="E282" s="77"/>
      <c r="F282" s="78"/>
      <c r="G282" s="79" t="str">
        <f t="shared" si="60"/>
        <v/>
      </c>
      <c r="H282" s="76"/>
      <c r="I282" s="76"/>
      <c r="J282" s="76"/>
      <c r="K282" s="80"/>
      <c r="L282" s="80"/>
      <c r="M282" s="81" t="str">
        <f t="shared" ca="1" si="61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2"/>
        <v>0.79166666666666619</v>
      </c>
      <c r="C283" s="76"/>
      <c r="D283" s="77"/>
      <c r="E283" s="77"/>
      <c r="F283" s="78"/>
      <c r="G283" s="84" t="str">
        <f t="shared" si="60"/>
        <v/>
      </c>
      <c r="H283" s="85"/>
      <c r="I283" s="85"/>
      <c r="J283" s="85"/>
      <c r="K283" s="80"/>
      <c r="L283" s="80"/>
      <c r="M283" s="86" t="str">
        <f t="shared" ca="1" si="61"/>
        <v/>
      </c>
      <c r="N283" s="95"/>
      <c r="O283" s="96"/>
    </row>
    <row r="284" spans="1:15" ht="15.75" customHeight="1" x14ac:dyDescent="0.25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3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4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5">B285+TIME(0,60,0)</f>
        <v>0.87499999999999967</v>
      </c>
      <c r="C286" s="85"/>
      <c r="D286" s="90"/>
      <c r="E286" s="90"/>
      <c r="F286" s="78"/>
      <c r="G286" s="79" t="str">
        <f t="shared" si="63"/>
        <v/>
      </c>
      <c r="H286" s="85"/>
      <c r="I286" s="85"/>
      <c r="J286" s="85"/>
      <c r="K286" s="80"/>
      <c r="L286" s="80"/>
      <c r="M286" s="81" t="str">
        <f t="shared" ca="1" si="64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5"/>
        <v>0.9166666666666663</v>
      </c>
      <c r="C287" s="85"/>
      <c r="D287" s="90"/>
      <c r="E287" s="90"/>
      <c r="F287" s="78"/>
      <c r="G287" s="84" t="str">
        <f t="shared" si="63"/>
        <v/>
      </c>
      <c r="H287" s="85"/>
      <c r="I287" s="85"/>
      <c r="J287" s="85"/>
      <c r="K287" s="80"/>
      <c r="L287" s="80"/>
      <c r="M287" s="86" t="str">
        <f t="shared" ca="1" si="64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5"/>
        <v>0.95833333333333293</v>
      </c>
      <c r="C288" s="85"/>
      <c r="D288" s="90"/>
      <c r="E288" s="90"/>
      <c r="F288" s="78"/>
      <c r="G288" s="79" t="str">
        <f t="shared" si="63"/>
        <v/>
      </c>
      <c r="H288" s="76"/>
      <c r="I288" s="76"/>
      <c r="J288" s="76"/>
      <c r="K288" s="80"/>
      <c r="L288" s="80"/>
      <c r="M288" s="81" t="str">
        <f t="shared" ca="1" si="64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5"/>
        <v>0.99999999999999956</v>
      </c>
      <c r="C289" s="85"/>
      <c r="D289" s="90"/>
      <c r="E289" s="90"/>
      <c r="F289" s="78"/>
      <c r="G289" s="84" t="str">
        <f t="shared" si="63"/>
        <v/>
      </c>
      <c r="H289" s="85"/>
      <c r="I289" s="85"/>
      <c r="J289" s="85"/>
      <c r="K289" s="80"/>
      <c r="L289" s="80"/>
      <c r="M289" s="86" t="str">
        <f t="shared" ca="1" si="64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5"/>
        <v>1.0416666666666663</v>
      </c>
      <c r="C290" s="85"/>
      <c r="D290" s="90"/>
      <c r="E290" s="90"/>
      <c r="F290" s="78"/>
      <c r="G290" s="79" t="str">
        <f t="shared" si="63"/>
        <v/>
      </c>
      <c r="H290" s="76"/>
      <c r="I290" s="76"/>
      <c r="J290" s="76"/>
      <c r="K290" s="80"/>
      <c r="L290" s="80"/>
      <c r="M290" s="81" t="str">
        <f t="shared" ca="1" si="64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5"/>
        <v>1.083333333333333</v>
      </c>
      <c r="C291" s="85"/>
      <c r="D291" s="90"/>
      <c r="E291" s="90"/>
      <c r="F291" s="78"/>
      <c r="G291" s="84" t="str">
        <f t="shared" si="63"/>
        <v/>
      </c>
      <c r="H291" s="85"/>
      <c r="I291" s="85"/>
      <c r="J291" s="85"/>
      <c r="K291" s="80"/>
      <c r="L291" s="80"/>
      <c r="M291" s="86" t="str">
        <f t="shared" ca="1" si="64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5"/>
        <v>1.1249999999999998</v>
      </c>
      <c r="C292" s="85"/>
      <c r="D292" s="90"/>
      <c r="E292" s="90"/>
      <c r="F292" s="78"/>
      <c r="G292" s="79" t="str">
        <f t="shared" si="63"/>
        <v/>
      </c>
      <c r="H292" s="76"/>
      <c r="I292" s="76"/>
      <c r="J292" s="76"/>
      <c r="K292" s="80"/>
      <c r="L292" s="80"/>
      <c r="M292" s="81" t="str">
        <f t="shared" ca="1" si="64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5"/>
        <v>1.1666666666666665</v>
      </c>
      <c r="C293" s="85"/>
      <c r="D293" s="90"/>
      <c r="E293" s="90"/>
      <c r="F293" s="78"/>
      <c r="G293" s="84" t="str">
        <f t="shared" si="63"/>
        <v/>
      </c>
      <c r="H293" s="85"/>
      <c r="I293" s="85"/>
      <c r="J293" s="85"/>
      <c r="K293" s="80"/>
      <c r="L293" s="80"/>
      <c r="M293" s="86" t="str">
        <f t="shared" ca="1" si="64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5"/>
        <v>1.2083333333333333</v>
      </c>
      <c r="C294" s="85"/>
      <c r="D294" s="90"/>
      <c r="E294" s="90"/>
      <c r="F294" s="78"/>
      <c r="G294" s="79" t="str">
        <f t="shared" si="63"/>
        <v/>
      </c>
      <c r="H294" s="76"/>
      <c r="I294" s="76"/>
      <c r="J294" s="76"/>
      <c r="K294" s="80"/>
      <c r="L294" s="80"/>
      <c r="M294" s="81" t="str">
        <f t="shared" ca="1" si="64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5"/>
        <v>1.25</v>
      </c>
      <c r="C295" s="85"/>
      <c r="D295" s="90"/>
      <c r="E295" s="90"/>
      <c r="F295" s="78"/>
      <c r="G295" s="84" t="str">
        <f t="shared" si="63"/>
        <v/>
      </c>
      <c r="H295" s="85"/>
      <c r="I295" s="85"/>
      <c r="J295" s="85"/>
      <c r="K295" s="80"/>
      <c r="L295" s="80"/>
      <c r="M295" s="86" t="str">
        <f t="shared" ca="1" si="64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5"/>
        <v>1.2916666666666667</v>
      </c>
      <c r="C296" s="85"/>
      <c r="D296" s="90"/>
      <c r="E296" s="90"/>
      <c r="F296" s="78"/>
      <c r="G296" s="79" t="str">
        <f t="shared" si="63"/>
        <v/>
      </c>
      <c r="H296" s="76"/>
      <c r="I296" s="76"/>
      <c r="J296" s="76"/>
      <c r="K296" s="80"/>
      <c r="L296" s="80"/>
      <c r="M296" s="81" t="str">
        <f t="shared" ca="1" si="64"/>
        <v/>
      </c>
      <c r="N296" s="95"/>
      <c r="O296" s="96"/>
    </row>
    <row r="297" spans="1:15" ht="15.75" customHeight="1" x14ac:dyDescent="0.25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 x14ac:dyDescent="0.25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6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7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8">B299+TIME(0,60,0)</f>
        <v>0.37499999999999967</v>
      </c>
      <c r="C300" s="85"/>
      <c r="D300" s="90"/>
      <c r="E300" s="90"/>
      <c r="F300" s="78"/>
      <c r="G300" s="79" t="str">
        <f t="shared" si="66"/>
        <v/>
      </c>
      <c r="H300" s="76"/>
      <c r="I300" s="76"/>
      <c r="J300" s="76"/>
      <c r="K300" s="80"/>
      <c r="L300" s="80"/>
      <c r="M300" s="81" t="str">
        <f t="shared" ca="1" si="67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8"/>
        <v>0.41666666666666635</v>
      </c>
      <c r="C301" s="85"/>
      <c r="D301" s="90"/>
      <c r="E301" s="90"/>
      <c r="F301" s="78"/>
      <c r="G301" s="84" t="str">
        <f t="shared" si="66"/>
        <v/>
      </c>
      <c r="H301" s="85"/>
      <c r="I301" s="85"/>
      <c r="J301" s="85"/>
      <c r="K301" s="80"/>
      <c r="L301" s="80"/>
      <c r="M301" s="86" t="str">
        <f t="shared" ca="1" si="67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8"/>
        <v>0.45833333333333304</v>
      </c>
      <c r="C302" s="85"/>
      <c r="D302" s="90"/>
      <c r="E302" s="90"/>
      <c r="F302" s="78"/>
      <c r="G302" s="79" t="str">
        <f t="shared" si="66"/>
        <v/>
      </c>
      <c r="H302" s="76"/>
      <c r="I302" s="76"/>
      <c r="J302" s="76"/>
      <c r="K302" s="80"/>
      <c r="L302" s="80"/>
      <c r="M302" s="81" t="str">
        <f t="shared" ca="1" si="67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8"/>
        <v>0.49999999999999972</v>
      </c>
      <c r="C303" s="85"/>
      <c r="D303" s="90"/>
      <c r="E303" s="90"/>
      <c r="F303" s="78"/>
      <c r="G303" s="84" t="str">
        <f t="shared" si="66"/>
        <v/>
      </c>
      <c r="H303" s="85"/>
      <c r="I303" s="85"/>
      <c r="J303" s="85"/>
      <c r="K303" s="80"/>
      <c r="L303" s="80"/>
      <c r="M303" s="86" t="str">
        <f t="shared" ca="1" si="67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8"/>
        <v>0.54166666666666641</v>
      </c>
      <c r="C304" s="85"/>
      <c r="D304" s="90"/>
      <c r="E304" s="90"/>
      <c r="F304" s="78"/>
      <c r="G304" s="79" t="str">
        <f t="shared" si="66"/>
        <v/>
      </c>
      <c r="H304" s="76"/>
      <c r="I304" s="76"/>
      <c r="J304" s="76"/>
      <c r="K304" s="80"/>
      <c r="L304" s="80"/>
      <c r="M304" s="81" t="str">
        <f t="shared" ca="1" si="67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8"/>
        <v>0.58333333333333304</v>
      </c>
      <c r="C305" s="85"/>
      <c r="D305" s="90"/>
      <c r="E305" s="90"/>
      <c r="F305" s="78"/>
      <c r="G305" s="84" t="str">
        <f t="shared" si="66"/>
        <v/>
      </c>
      <c r="H305" s="85"/>
      <c r="I305" s="85"/>
      <c r="J305" s="85"/>
      <c r="K305" s="80"/>
      <c r="L305" s="80"/>
      <c r="M305" s="86" t="str">
        <f t="shared" ca="1" si="67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8"/>
        <v>0.62499999999999967</v>
      </c>
      <c r="C306" s="85"/>
      <c r="D306" s="90"/>
      <c r="E306" s="90"/>
      <c r="F306" s="78"/>
      <c r="G306" s="79" t="str">
        <f t="shared" si="66"/>
        <v/>
      </c>
      <c r="H306" s="76"/>
      <c r="I306" s="76"/>
      <c r="J306" s="76"/>
      <c r="K306" s="80"/>
      <c r="L306" s="80"/>
      <c r="M306" s="81" t="str">
        <f t="shared" ca="1" si="67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8"/>
        <v>0.6666666666666663</v>
      </c>
      <c r="C307" s="85"/>
      <c r="D307" s="90"/>
      <c r="E307" s="90"/>
      <c r="F307" s="78"/>
      <c r="G307" s="84" t="str">
        <f t="shared" si="66"/>
        <v/>
      </c>
      <c r="H307" s="85"/>
      <c r="I307" s="85"/>
      <c r="J307" s="85"/>
      <c r="K307" s="80"/>
      <c r="L307" s="80"/>
      <c r="M307" s="86" t="str">
        <f t="shared" ca="1" si="67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8"/>
        <v>0.70833333333333293</v>
      </c>
      <c r="C308" s="85"/>
      <c r="D308" s="90"/>
      <c r="E308" s="90"/>
      <c r="F308" s="78"/>
      <c r="G308" s="79" t="str">
        <f t="shared" si="66"/>
        <v/>
      </c>
      <c r="H308" s="76"/>
      <c r="I308" s="76"/>
      <c r="J308" s="76"/>
      <c r="K308" s="80"/>
      <c r="L308" s="80"/>
      <c r="M308" s="81" t="str">
        <f t="shared" ca="1" si="67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8"/>
        <v>0.74999999999999956</v>
      </c>
      <c r="C309" s="85"/>
      <c r="D309" s="90"/>
      <c r="E309" s="90"/>
      <c r="F309" s="78"/>
      <c r="G309" s="84" t="str">
        <f t="shared" si="66"/>
        <v/>
      </c>
      <c r="H309" s="85"/>
      <c r="I309" s="85"/>
      <c r="J309" s="85"/>
      <c r="K309" s="80"/>
      <c r="L309" s="80"/>
      <c r="M309" s="86" t="str">
        <f t="shared" ca="1" si="67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8"/>
        <v>0.79166666666666619</v>
      </c>
      <c r="C310" s="85"/>
      <c r="D310" s="90"/>
      <c r="E310" s="90"/>
      <c r="F310" s="78"/>
      <c r="G310" s="79" t="str">
        <f t="shared" si="66"/>
        <v/>
      </c>
      <c r="H310" s="76"/>
      <c r="I310" s="76"/>
      <c r="J310" s="76"/>
      <c r="K310" s="80"/>
      <c r="L310" s="80"/>
      <c r="M310" s="81" t="str">
        <f t="shared" ca="1" si="67"/>
        <v/>
      </c>
      <c r="N310" s="95"/>
      <c r="O310" s="96"/>
    </row>
    <row r="311" spans="1:15" ht="15.75" customHeight="1" x14ac:dyDescent="0.25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69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0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1">B312+TIME(0,60,0)</f>
        <v>0.87499999999999967</v>
      </c>
      <c r="C313" s="76"/>
      <c r="D313" s="77"/>
      <c r="E313" s="90"/>
      <c r="F313" s="78"/>
      <c r="G313" s="79" t="str">
        <f t="shared" si="69"/>
        <v/>
      </c>
      <c r="H313" s="85"/>
      <c r="I313" s="85"/>
      <c r="J313" s="85"/>
      <c r="K313" s="80"/>
      <c r="L313" s="80"/>
      <c r="M313" s="86" t="str">
        <f t="shared" ca="1" si="70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1"/>
        <v>0.9166666666666663</v>
      </c>
      <c r="C314" s="76"/>
      <c r="D314" s="77"/>
      <c r="E314" s="90"/>
      <c r="F314" s="78"/>
      <c r="G314" s="79" t="str">
        <f t="shared" si="69"/>
        <v/>
      </c>
      <c r="H314" s="76"/>
      <c r="I314" s="76"/>
      <c r="J314" s="76"/>
      <c r="K314" s="80"/>
      <c r="L314" s="80"/>
      <c r="M314" s="81" t="str">
        <f t="shared" ca="1" si="70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1"/>
        <v>0.95833333333333293</v>
      </c>
      <c r="C315" s="76"/>
      <c r="D315" s="77"/>
      <c r="E315" s="90"/>
      <c r="F315" s="78"/>
      <c r="G315" s="79" t="str">
        <f t="shared" si="69"/>
        <v/>
      </c>
      <c r="H315" s="85"/>
      <c r="I315" s="85"/>
      <c r="J315" s="85"/>
      <c r="K315" s="80"/>
      <c r="L315" s="80"/>
      <c r="M315" s="86" t="str">
        <f t="shared" ca="1" si="70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1"/>
        <v>0.99999999999999956</v>
      </c>
      <c r="C316" s="76"/>
      <c r="D316" s="77"/>
      <c r="E316" s="90"/>
      <c r="F316" s="78"/>
      <c r="G316" s="79" t="str">
        <f t="shared" si="69"/>
        <v/>
      </c>
      <c r="H316" s="76"/>
      <c r="I316" s="76"/>
      <c r="J316" s="76"/>
      <c r="K316" s="80"/>
      <c r="L316" s="80"/>
      <c r="M316" s="81" t="str">
        <f t="shared" ca="1" si="70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1"/>
        <v>1.0416666666666663</v>
      </c>
      <c r="C317" s="76"/>
      <c r="D317" s="77"/>
      <c r="E317" s="90"/>
      <c r="F317" s="78"/>
      <c r="G317" s="79" t="str">
        <f t="shared" si="69"/>
        <v/>
      </c>
      <c r="H317" s="85"/>
      <c r="I317" s="85"/>
      <c r="J317" s="85"/>
      <c r="K317" s="80"/>
      <c r="L317" s="80"/>
      <c r="M317" s="86" t="str">
        <f t="shared" ca="1" si="70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1"/>
        <v>1.083333333333333</v>
      </c>
      <c r="C318" s="76"/>
      <c r="D318" s="77"/>
      <c r="E318" s="90"/>
      <c r="F318" s="78"/>
      <c r="G318" s="79" t="str">
        <f t="shared" si="69"/>
        <v/>
      </c>
      <c r="H318" s="76"/>
      <c r="I318" s="76"/>
      <c r="J318" s="76"/>
      <c r="K318" s="80"/>
      <c r="L318" s="80"/>
      <c r="M318" s="81" t="str">
        <f t="shared" ca="1" si="70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1"/>
        <v>1.1249999999999998</v>
      </c>
      <c r="C319" s="76"/>
      <c r="D319" s="77"/>
      <c r="E319" s="90"/>
      <c r="F319" s="78"/>
      <c r="G319" s="79" t="str">
        <f t="shared" si="69"/>
        <v/>
      </c>
      <c r="H319" s="85"/>
      <c r="I319" s="85"/>
      <c r="J319" s="85"/>
      <c r="K319" s="80"/>
      <c r="L319" s="80"/>
      <c r="M319" s="86" t="str">
        <f t="shared" ca="1" si="70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1"/>
        <v>1.1666666666666665</v>
      </c>
      <c r="C320" s="76"/>
      <c r="D320" s="77"/>
      <c r="E320" s="90"/>
      <c r="F320" s="78"/>
      <c r="G320" s="79" t="str">
        <f t="shared" si="69"/>
        <v/>
      </c>
      <c r="H320" s="76"/>
      <c r="I320" s="76"/>
      <c r="J320" s="76"/>
      <c r="K320" s="80"/>
      <c r="L320" s="80"/>
      <c r="M320" s="81" t="str">
        <f t="shared" ca="1" si="70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1"/>
        <v>1.2083333333333333</v>
      </c>
      <c r="C321" s="76"/>
      <c r="D321" s="77"/>
      <c r="E321" s="90"/>
      <c r="F321" s="78"/>
      <c r="G321" s="79" t="str">
        <f t="shared" si="69"/>
        <v/>
      </c>
      <c r="H321" s="85"/>
      <c r="I321" s="85"/>
      <c r="J321" s="85"/>
      <c r="K321" s="80"/>
      <c r="L321" s="80"/>
      <c r="M321" s="86" t="str">
        <f t="shared" ca="1" si="70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1"/>
        <v>1.25</v>
      </c>
      <c r="C322" s="76"/>
      <c r="D322" s="77"/>
      <c r="E322" s="90"/>
      <c r="F322" s="78"/>
      <c r="G322" s="79" t="str">
        <f t="shared" si="69"/>
        <v/>
      </c>
      <c r="H322" s="76"/>
      <c r="I322" s="76"/>
      <c r="J322" s="76"/>
      <c r="K322" s="80"/>
      <c r="L322" s="80"/>
      <c r="M322" s="81" t="str">
        <f t="shared" ca="1" si="70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1"/>
        <v>1.2916666666666667</v>
      </c>
      <c r="C323" s="76"/>
      <c r="D323" s="77"/>
      <c r="E323" s="90"/>
      <c r="F323" s="78"/>
      <c r="G323" s="79" t="str">
        <f t="shared" si="69"/>
        <v/>
      </c>
      <c r="H323" s="85"/>
      <c r="I323" s="85"/>
      <c r="J323" s="85"/>
      <c r="K323" s="80"/>
      <c r="L323" s="80"/>
      <c r="M323" s="86" t="str">
        <f t="shared" ca="1" si="70"/>
        <v/>
      </c>
      <c r="N323" s="95"/>
      <c r="O323" s="96"/>
    </row>
    <row r="324" spans="1:15" ht="15.75" customHeight="1" x14ac:dyDescent="0.25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 x14ac:dyDescent="0.25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2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3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4">B326+TIME(0,60,0)</f>
        <v>0.37499999999999967</v>
      </c>
      <c r="C327" s="76"/>
      <c r="D327" s="77"/>
      <c r="E327" s="77"/>
      <c r="F327" s="78"/>
      <c r="G327" s="84" t="str">
        <f t="shared" si="72"/>
        <v/>
      </c>
      <c r="H327" s="85"/>
      <c r="I327" s="85"/>
      <c r="J327" s="85"/>
      <c r="K327" s="80"/>
      <c r="L327" s="80"/>
      <c r="M327" s="86" t="str">
        <f t="shared" ca="1" si="73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4"/>
        <v>0.41666666666666635</v>
      </c>
      <c r="C328" s="76"/>
      <c r="D328" s="77"/>
      <c r="E328" s="77"/>
      <c r="F328" s="78"/>
      <c r="G328" s="79" t="str">
        <f t="shared" si="72"/>
        <v/>
      </c>
      <c r="H328" s="76"/>
      <c r="I328" s="76"/>
      <c r="J328" s="76"/>
      <c r="K328" s="80"/>
      <c r="L328" s="80"/>
      <c r="M328" s="81" t="str">
        <f t="shared" ca="1" si="73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4"/>
        <v>0.45833333333333304</v>
      </c>
      <c r="C329" s="76"/>
      <c r="D329" s="77"/>
      <c r="E329" s="77"/>
      <c r="F329" s="78"/>
      <c r="G329" s="84" t="str">
        <f t="shared" si="72"/>
        <v/>
      </c>
      <c r="H329" s="85"/>
      <c r="I329" s="85"/>
      <c r="J329" s="85"/>
      <c r="K329" s="80"/>
      <c r="L329" s="80"/>
      <c r="M329" s="86" t="str">
        <f t="shared" ca="1" si="73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4"/>
        <v>0.49999999999999972</v>
      </c>
      <c r="C330" s="76"/>
      <c r="D330" s="77"/>
      <c r="E330" s="77"/>
      <c r="F330" s="78"/>
      <c r="G330" s="79" t="str">
        <f t="shared" si="72"/>
        <v/>
      </c>
      <c r="H330" s="76"/>
      <c r="I330" s="76"/>
      <c r="J330" s="76"/>
      <c r="K330" s="80"/>
      <c r="L330" s="80"/>
      <c r="M330" s="81" t="str">
        <f t="shared" ca="1" si="73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4"/>
        <v>0.54166666666666641</v>
      </c>
      <c r="C331" s="76"/>
      <c r="D331" s="77"/>
      <c r="E331" s="77"/>
      <c r="F331" s="78"/>
      <c r="G331" s="84" t="str">
        <f t="shared" si="72"/>
        <v/>
      </c>
      <c r="H331" s="85"/>
      <c r="I331" s="85"/>
      <c r="J331" s="85"/>
      <c r="K331" s="80"/>
      <c r="L331" s="80"/>
      <c r="M331" s="86" t="str">
        <f t="shared" ca="1" si="73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4"/>
        <v>0.58333333333333304</v>
      </c>
      <c r="C332" s="76"/>
      <c r="D332" s="77"/>
      <c r="E332" s="77"/>
      <c r="F332" s="78"/>
      <c r="G332" s="79" t="str">
        <f t="shared" si="72"/>
        <v/>
      </c>
      <c r="H332" s="76"/>
      <c r="I332" s="76"/>
      <c r="J332" s="76"/>
      <c r="K332" s="80"/>
      <c r="L332" s="80"/>
      <c r="M332" s="81" t="str">
        <f t="shared" ca="1" si="73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4"/>
        <v>0.62499999999999967</v>
      </c>
      <c r="C333" s="76"/>
      <c r="D333" s="77"/>
      <c r="E333" s="77"/>
      <c r="F333" s="78"/>
      <c r="G333" s="84" t="str">
        <f t="shared" si="72"/>
        <v/>
      </c>
      <c r="H333" s="85"/>
      <c r="I333" s="85"/>
      <c r="J333" s="85"/>
      <c r="K333" s="80"/>
      <c r="L333" s="80"/>
      <c r="M333" s="86" t="str">
        <f t="shared" ca="1" si="73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4"/>
        <v>0.6666666666666663</v>
      </c>
      <c r="C334" s="76"/>
      <c r="D334" s="77"/>
      <c r="E334" s="77"/>
      <c r="F334" s="78"/>
      <c r="G334" s="79" t="str">
        <f t="shared" si="72"/>
        <v/>
      </c>
      <c r="H334" s="76"/>
      <c r="I334" s="76"/>
      <c r="J334" s="76"/>
      <c r="K334" s="80"/>
      <c r="L334" s="80"/>
      <c r="M334" s="81" t="str">
        <f t="shared" ca="1" si="73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4"/>
        <v>0.70833333333333293</v>
      </c>
      <c r="C335" s="76"/>
      <c r="D335" s="77"/>
      <c r="E335" s="77"/>
      <c r="F335" s="78"/>
      <c r="G335" s="84" t="str">
        <f t="shared" si="72"/>
        <v/>
      </c>
      <c r="H335" s="85"/>
      <c r="I335" s="85"/>
      <c r="J335" s="85"/>
      <c r="K335" s="80"/>
      <c r="L335" s="80"/>
      <c r="M335" s="86" t="str">
        <f t="shared" ca="1" si="73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4"/>
        <v>0.74999999999999956</v>
      </c>
      <c r="C336" s="76"/>
      <c r="D336" s="77"/>
      <c r="E336" s="77"/>
      <c r="F336" s="78"/>
      <c r="G336" s="79" t="str">
        <f t="shared" si="72"/>
        <v/>
      </c>
      <c r="H336" s="76"/>
      <c r="I336" s="76"/>
      <c r="J336" s="76"/>
      <c r="K336" s="80"/>
      <c r="L336" s="80"/>
      <c r="M336" s="81" t="str">
        <f t="shared" ca="1" si="73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4"/>
        <v>0.79166666666666619</v>
      </c>
      <c r="C337" s="76"/>
      <c r="D337" s="77"/>
      <c r="E337" s="77"/>
      <c r="F337" s="78"/>
      <c r="G337" s="84" t="str">
        <f t="shared" si="72"/>
        <v/>
      </c>
      <c r="H337" s="85"/>
      <c r="I337" s="85"/>
      <c r="J337" s="85"/>
      <c r="K337" s="80"/>
      <c r="L337" s="80"/>
      <c r="M337" s="86" t="str">
        <f t="shared" ca="1" si="73"/>
        <v/>
      </c>
      <c r="N337" s="95"/>
      <c r="O337" s="96"/>
    </row>
    <row r="338" spans="1:15" ht="15.75" customHeight="1" x14ac:dyDescent="0.25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5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6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5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6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5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6"/>
        <v>0.95833333333333293</v>
      </c>
      <c r="C342" s="85"/>
      <c r="D342" s="90"/>
      <c r="E342" s="90"/>
      <c r="F342" s="78"/>
      <c r="G342" s="79" t="str">
        <f t="shared" ref="G342:G350" si="77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5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6"/>
        <v>0.99999999999999956</v>
      </c>
      <c r="C343" s="85"/>
      <c r="D343" s="90"/>
      <c r="E343" s="90"/>
      <c r="F343" s="78"/>
      <c r="G343" s="84" t="str">
        <f t="shared" si="77"/>
        <v/>
      </c>
      <c r="H343" s="85"/>
      <c r="I343" s="85"/>
      <c r="J343" s="85"/>
      <c r="K343" s="80"/>
      <c r="L343" s="80"/>
      <c r="M343" s="86" t="str">
        <f t="shared" ca="1" si="75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6"/>
        <v>1.0416666666666663</v>
      </c>
      <c r="C344" s="85"/>
      <c r="D344" s="90"/>
      <c r="E344" s="90"/>
      <c r="F344" s="78"/>
      <c r="G344" s="79" t="str">
        <f t="shared" si="77"/>
        <v/>
      </c>
      <c r="H344" s="76"/>
      <c r="I344" s="76"/>
      <c r="J344" s="76"/>
      <c r="K344" s="80"/>
      <c r="L344" s="80"/>
      <c r="M344" s="81" t="str">
        <f t="shared" ca="1" si="75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6"/>
        <v>1.083333333333333</v>
      </c>
      <c r="C345" s="85"/>
      <c r="D345" s="90"/>
      <c r="E345" s="90"/>
      <c r="F345" s="78"/>
      <c r="G345" s="84" t="str">
        <f t="shared" si="77"/>
        <v/>
      </c>
      <c r="H345" s="85"/>
      <c r="I345" s="85"/>
      <c r="J345" s="85"/>
      <c r="K345" s="80"/>
      <c r="L345" s="80"/>
      <c r="M345" s="86" t="str">
        <f t="shared" ca="1" si="75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6"/>
        <v>1.1249999999999998</v>
      </c>
      <c r="C346" s="85"/>
      <c r="D346" s="90"/>
      <c r="E346" s="90"/>
      <c r="F346" s="78"/>
      <c r="G346" s="79" t="str">
        <f t="shared" si="77"/>
        <v/>
      </c>
      <c r="H346" s="76"/>
      <c r="I346" s="76"/>
      <c r="J346" s="76"/>
      <c r="K346" s="80"/>
      <c r="L346" s="80"/>
      <c r="M346" s="81" t="str">
        <f t="shared" ca="1" si="75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6"/>
        <v>1.1666666666666665</v>
      </c>
      <c r="C347" s="85"/>
      <c r="D347" s="90"/>
      <c r="E347" s="90"/>
      <c r="F347" s="78"/>
      <c r="G347" s="84" t="str">
        <f t="shared" si="77"/>
        <v/>
      </c>
      <c r="H347" s="85"/>
      <c r="I347" s="85"/>
      <c r="J347" s="85"/>
      <c r="K347" s="80"/>
      <c r="L347" s="80"/>
      <c r="M347" s="86" t="str">
        <f t="shared" ca="1" si="75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6"/>
        <v>1.2083333333333333</v>
      </c>
      <c r="C348" s="85"/>
      <c r="D348" s="90"/>
      <c r="E348" s="90"/>
      <c r="F348" s="78"/>
      <c r="G348" s="79" t="str">
        <f t="shared" si="77"/>
        <v/>
      </c>
      <c r="H348" s="76"/>
      <c r="I348" s="76"/>
      <c r="J348" s="76"/>
      <c r="K348" s="80"/>
      <c r="L348" s="80"/>
      <c r="M348" s="81" t="str">
        <f t="shared" ca="1" si="75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6"/>
        <v>1.25</v>
      </c>
      <c r="C349" s="85"/>
      <c r="D349" s="90"/>
      <c r="E349" s="90"/>
      <c r="F349" s="78"/>
      <c r="G349" s="84" t="str">
        <f t="shared" si="77"/>
        <v/>
      </c>
      <c r="H349" s="85"/>
      <c r="I349" s="85"/>
      <c r="J349" s="85"/>
      <c r="K349" s="80"/>
      <c r="L349" s="80"/>
      <c r="M349" s="86" t="str">
        <f t="shared" ca="1" si="75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6"/>
        <v>1.2916666666666667</v>
      </c>
      <c r="C350" s="85"/>
      <c r="D350" s="90"/>
      <c r="E350" s="90"/>
      <c r="F350" s="78"/>
      <c r="G350" s="79" t="str">
        <f t="shared" si="77"/>
        <v/>
      </c>
      <c r="H350" s="76"/>
      <c r="I350" s="76"/>
      <c r="J350" s="76"/>
      <c r="K350" s="80"/>
      <c r="L350" s="80"/>
      <c r="M350" s="81" t="str">
        <f t="shared" ca="1" si="75"/>
        <v/>
      </c>
      <c r="N350" s="95"/>
      <c r="O350" s="96"/>
    </row>
    <row r="351" spans="1:15" ht="15.75" customHeight="1" x14ac:dyDescent="0.25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 x14ac:dyDescent="0.25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8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9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0">B353+TIME(0,60,0)</f>
        <v>0.37499999999999967</v>
      </c>
      <c r="C354" s="85"/>
      <c r="D354" s="90"/>
      <c r="E354" s="90"/>
      <c r="F354" s="78"/>
      <c r="G354" s="79" t="str">
        <f t="shared" si="78"/>
        <v/>
      </c>
      <c r="H354" s="76"/>
      <c r="I354" s="76"/>
      <c r="J354" s="76"/>
      <c r="K354" s="80"/>
      <c r="L354" s="80"/>
      <c r="M354" s="81" t="str">
        <f t="shared" ca="1" si="79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0"/>
        <v>0.41666666666666635</v>
      </c>
      <c r="C355" s="85"/>
      <c r="D355" s="90"/>
      <c r="E355" s="90"/>
      <c r="F355" s="78"/>
      <c r="G355" s="84" t="str">
        <f t="shared" si="78"/>
        <v/>
      </c>
      <c r="H355" s="85"/>
      <c r="I355" s="85"/>
      <c r="J355" s="85"/>
      <c r="K355" s="80"/>
      <c r="L355" s="80"/>
      <c r="M355" s="86" t="str">
        <f t="shared" ca="1" si="79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0"/>
        <v>0.45833333333333304</v>
      </c>
      <c r="C356" s="85"/>
      <c r="D356" s="90"/>
      <c r="E356" s="90"/>
      <c r="F356" s="78"/>
      <c r="G356" s="79" t="str">
        <f t="shared" si="78"/>
        <v/>
      </c>
      <c r="H356" s="76"/>
      <c r="I356" s="76"/>
      <c r="J356" s="76"/>
      <c r="K356" s="80"/>
      <c r="L356" s="80"/>
      <c r="M356" s="81" t="str">
        <f t="shared" ca="1" si="79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0"/>
        <v>0.49999999999999972</v>
      </c>
      <c r="C357" s="85"/>
      <c r="D357" s="90"/>
      <c r="E357" s="90"/>
      <c r="F357" s="78"/>
      <c r="G357" s="84" t="str">
        <f t="shared" si="78"/>
        <v/>
      </c>
      <c r="H357" s="85"/>
      <c r="I357" s="85"/>
      <c r="J357" s="85"/>
      <c r="K357" s="80"/>
      <c r="L357" s="80"/>
      <c r="M357" s="86" t="str">
        <f t="shared" ca="1" si="79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0"/>
        <v>0.54166666666666641</v>
      </c>
      <c r="C358" s="85"/>
      <c r="D358" s="90"/>
      <c r="E358" s="90"/>
      <c r="F358" s="78"/>
      <c r="G358" s="79" t="str">
        <f t="shared" si="78"/>
        <v/>
      </c>
      <c r="H358" s="76"/>
      <c r="I358" s="76"/>
      <c r="J358" s="76"/>
      <c r="K358" s="80"/>
      <c r="L358" s="80"/>
      <c r="M358" s="81" t="str">
        <f t="shared" ca="1" si="79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0"/>
        <v>0.58333333333333304</v>
      </c>
      <c r="C359" s="85"/>
      <c r="D359" s="90"/>
      <c r="E359" s="90"/>
      <c r="F359" s="78"/>
      <c r="G359" s="84" t="str">
        <f t="shared" si="78"/>
        <v/>
      </c>
      <c r="H359" s="85"/>
      <c r="I359" s="85"/>
      <c r="J359" s="85"/>
      <c r="K359" s="80"/>
      <c r="L359" s="80"/>
      <c r="M359" s="86" t="str">
        <f t="shared" ca="1" si="79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0"/>
        <v>0.62499999999999967</v>
      </c>
      <c r="C360" s="85"/>
      <c r="D360" s="90"/>
      <c r="E360" s="90"/>
      <c r="F360" s="78"/>
      <c r="G360" s="79" t="str">
        <f t="shared" si="78"/>
        <v/>
      </c>
      <c r="H360" s="76"/>
      <c r="I360" s="76"/>
      <c r="J360" s="76"/>
      <c r="K360" s="80"/>
      <c r="L360" s="80"/>
      <c r="M360" s="81" t="str">
        <f t="shared" ca="1" si="79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0"/>
        <v>0.6666666666666663</v>
      </c>
      <c r="C361" s="85"/>
      <c r="D361" s="90"/>
      <c r="E361" s="90"/>
      <c r="F361" s="78"/>
      <c r="G361" s="84" t="str">
        <f t="shared" si="78"/>
        <v/>
      </c>
      <c r="H361" s="85"/>
      <c r="I361" s="85"/>
      <c r="J361" s="85"/>
      <c r="K361" s="80"/>
      <c r="L361" s="80"/>
      <c r="M361" s="86" t="str">
        <f t="shared" ca="1" si="79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0"/>
        <v>0.70833333333333293</v>
      </c>
      <c r="C362" s="85"/>
      <c r="D362" s="90"/>
      <c r="E362" s="90"/>
      <c r="F362" s="78"/>
      <c r="G362" s="79" t="str">
        <f t="shared" si="78"/>
        <v/>
      </c>
      <c r="H362" s="76"/>
      <c r="I362" s="76"/>
      <c r="J362" s="76"/>
      <c r="K362" s="80"/>
      <c r="L362" s="80"/>
      <c r="M362" s="81" t="str">
        <f t="shared" ca="1" si="79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0"/>
        <v>0.74999999999999956</v>
      </c>
      <c r="C363" s="85"/>
      <c r="D363" s="90"/>
      <c r="E363" s="90"/>
      <c r="F363" s="78"/>
      <c r="G363" s="84" t="str">
        <f t="shared" si="78"/>
        <v/>
      </c>
      <c r="H363" s="85"/>
      <c r="I363" s="85"/>
      <c r="J363" s="85"/>
      <c r="K363" s="80"/>
      <c r="L363" s="80"/>
      <c r="M363" s="86" t="str">
        <f t="shared" ca="1" si="79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0"/>
        <v>0.79166666666666619</v>
      </c>
      <c r="C364" s="85"/>
      <c r="D364" s="90"/>
      <c r="E364" s="90"/>
      <c r="F364" s="78"/>
      <c r="G364" s="79" t="str">
        <f t="shared" si="78"/>
        <v/>
      </c>
      <c r="H364" s="76"/>
      <c r="I364" s="76"/>
      <c r="J364" s="76"/>
      <c r="K364" s="80"/>
      <c r="L364" s="80"/>
      <c r="M364" s="81" t="str">
        <f t="shared" ca="1" si="79"/>
        <v/>
      </c>
      <c r="N364" s="95"/>
      <c r="O364" s="96"/>
    </row>
    <row r="365" spans="1:15" ht="15.75" customHeight="1" x14ac:dyDescent="0.25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1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2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3">B366+TIME(0,60,0)</f>
        <v>0.87499999999999967</v>
      </c>
      <c r="C367" s="76"/>
      <c r="D367" s="77"/>
      <c r="E367" s="77"/>
      <c r="F367" s="78"/>
      <c r="G367" s="84" t="str">
        <f t="shared" si="81"/>
        <v/>
      </c>
      <c r="H367" s="85"/>
      <c r="I367" s="85"/>
      <c r="J367" s="85"/>
      <c r="K367" s="80"/>
      <c r="L367" s="80"/>
      <c r="M367" s="86" t="str">
        <f t="shared" ca="1" si="82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3"/>
        <v>0.9166666666666663</v>
      </c>
      <c r="C368" s="76"/>
      <c r="D368" s="77"/>
      <c r="E368" s="77"/>
      <c r="F368" s="78"/>
      <c r="G368" s="79" t="str">
        <f t="shared" si="81"/>
        <v/>
      </c>
      <c r="H368" s="76"/>
      <c r="I368" s="76"/>
      <c r="J368" s="76"/>
      <c r="K368" s="80"/>
      <c r="L368" s="80"/>
      <c r="M368" s="81" t="str">
        <f t="shared" ca="1" si="82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3"/>
        <v>0.95833333333333293</v>
      </c>
      <c r="C369" s="76"/>
      <c r="D369" s="77"/>
      <c r="E369" s="77"/>
      <c r="F369" s="78"/>
      <c r="G369" s="84" t="str">
        <f t="shared" si="81"/>
        <v/>
      </c>
      <c r="H369" s="85"/>
      <c r="I369" s="85"/>
      <c r="J369" s="85"/>
      <c r="K369" s="80"/>
      <c r="L369" s="80"/>
      <c r="M369" s="86" t="str">
        <f t="shared" ca="1" si="82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3"/>
        <v>0.99999999999999956</v>
      </c>
      <c r="C370" s="76"/>
      <c r="D370" s="77"/>
      <c r="E370" s="77"/>
      <c r="F370" s="78"/>
      <c r="G370" s="79" t="str">
        <f t="shared" si="81"/>
        <v/>
      </c>
      <c r="H370" s="76"/>
      <c r="I370" s="76"/>
      <c r="J370" s="76"/>
      <c r="K370" s="80"/>
      <c r="L370" s="80"/>
      <c r="M370" s="81" t="str">
        <f t="shared" ca="1" si="82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3"/>
        <v>1.0416666666666663</v>
      </c>
      <c r="C371" s="76"/>
      <c r="D371" s="77"/>
      <c r="E371" s="77"/>
      <c r="F371" s="78"/>
      <c r="G371" s="84" t="str">
        <f t="shared" si="81"/>
        <v/>
      </c>
      <c r="H371" s="85"/>
      <c r="I371" s="85"/>
      <c r="J371" s="85"/>
      <c r="K371" s="80"/>
      <c r="L371" s="80"/>
      <c r="M371" s="86" t="str">
        <f t="shared" ca="1" si="82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3"/>
        <v>1.083333333333333</v>
      </c>
      <c r="C372" s="76"/>
      <c r="D372" s="77"/>
      <c r="E372" s="77"/>
      <c r="F372" s="78"/>
      <c r="G372" s="79" t="str">
        <f t="shared" si="81"/>
        <v/>
      </c>
      <c r="H372" s="76"/>
      <c r="I372" s="76"/>
      <c r="J372" s="76"/>
      <c r="K372" s="80"/>
      <c r="L372" s="80"/>
      <c r="M372" s="81" t="str">
        <f t="shared" ca="1" si="82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3"/>
        <v>1.1249999999999998</v>
      </c>
      <c r="C373" s="76"/>
      <c r="D373" s="77"/>
      <c r="E373" s="77"/>
      <c r="F373" s="78"/>
      <c r="G373" s="84" t="str">
        <f t="shared" si="81"/>
        <v/>
      </c>
      <c r="H373" s="85"/>
      <c r="I373" s="85"/>
      <c r="J373" s="85"/>
      <c r="K373" s="80"/>
      <c r="L373" s="80"/>
      <c r="M373" s="86" t="str">
        <f t="shared" ca="1" si="82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3"/>
        <v>1.1666666666666665</v>
      </c>
      <c r="C374" s="76"/>
      <c r="D374" s="77"/>
      <c r="E374" s="77"/>
      <c r="F374" s="78"/>
      <c r="G374" s="79" t="str">
        <f t="shared" si="81"/>
        <v/>
      </c>
      <c r="H374" s="76"/>
      <c r="I374" s="76"/>
      <c r="J374" s="76"/>
      <c r="K374" s="80"/>
      <c r="L374" s="80"/>
      <c r="M374" s="81" t="str">
        <f t="shared" ca="1" si="82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3"/>
        <v>1.2083333333333333</v>
      </c>
      <c r="C375" s="76"/>
      <c r="D375" s="77"/>
      <c r="E375" s="77"/>
      <c r="F375" s="78"/>
      <c r="G375" s="84" t="str">
        <f t="shared" si="81"/>
        <v/>
      </c>
      <c r="H375" s="85"/>
      <c r="I375" s="85"/>
      <c r="J375" s="85"/>
      <c r="K375" s="80"/>
      <c r="L375" s="80"/>
      <c r="M375" s="86" t="str">
        <f t="shared" ca="1" si="82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3"/>
        <v>1.25</v>
      </c>
      <c r="C376" s="76"/>
      <c r="D376" s="77"/>
      <c r="E376" s="77"/>
      <c r="F376" s="78"/>
      <c r="G376" s="79" t="str">
        <f t="shared" si="81"/>
        <v/>
      </c>
      <c r="H376" s="76"/>
      <c r="I376" s="76"/>
      <c r="J376" s="76"/>
      <c r="K376" s="80"/>
      <c r="L376" s="80"/>
      <c r="M376" s="81" t="str">
        <f t="shared" ca="1" si="82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3"/>
        <v>1.2916666666666667</v>
      </c>
      <c r="C377" s="76"/>
      <c r="D377" s="77"/>
      <c r="E377" s="77"/>
      <c r="F377" s="78"/>
      <c r="G377" s="84" t="str">
        <f t="shared" si="81"/>
        <v/>
      </c>
      <c r="H377" s="85"/>
      <c r="I377" s="85"/>
      <c r="J377" s="85"/>
      <c r="K377" s="80"/>
      <c r="L377" s="80"/>
      <c r="M377" s="86" t="str">
        <f t="shared" ca="1" si="82"/>
        <v/>
      </c>
      <c r="N377" s="95"/>
      <c r="O377" s="96"/>
    </row>
    <row r="378" spans="1:15" ht="15.75" customHeight="1" x14ac:dyDescent="0.25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 x14ac:dyDescent="0.25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4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5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4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5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4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5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4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5"/>
        <v>0.49999999999999972</v>
      </c>
      <c r="C384" s="76"/>
      <c r="D384" s="77"/>
      <c r="E384" s="77"/>
      <c r="F384" s="78"/>
      <c r="G384" s="79" t="str">
        <f t="shared" ref="G384:G391" si="86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4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5"/>
        <v>0.54166666666666641</v>
      </c>
      <c r="C385" s="76"/>
      <c r="D385" s="77"/>
      <c r="E385" s="77"/>
      <c r="F385" s="78"/>
      <c r="G385" s="84" t="str">
        <f t="shared" si="86"/>
        <v/>
      </c>
      <c r="H385" s="85"/>
      <c r="I385" s="85"/>
      <c r="J385" s="85"/>
      <c r="K385" s="80"/>
      <c r="L385" s="80"/>
      <c r="M385" s="86" t="str">
        <f t="shared" ca="1" si="84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5"/>
        <v>0.58333333333333304</v>
      </c>
      <c r="C386" s="76"/>
      <c r="D386" s="77"/>
      <c r="E386" s="77"/>
      <c r="F386" s="78"/>
      <c r="G386" s="79" t="str">
        <f t="shared" si="86"/>
        <v/>
      </c>
      <c r="H386" s="76"/>
      <c r="I386" s="76"/>
      <c r="J386" s="76"/>
      <c r="K386" s="80"/>
      <c r="L386" s="80"/>
      <c r="M386" s="81" t="str">
        <f t="shared" ca="1" si="84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5"/>
        <v>0.62499999999999967</v>
      </c>
      <c r="C387" s="76"/>
      <c r="D387" s="77"/>
      <c r="E387" s="77"/>
      <c r="F387" s="78"/>
      <c r="G387" s="84" t="str">
        <f t="shared" si="86"/>
        <v/>
      </c>
      <c r="H387" s="85"/>
      <c r="I387" s="85"/>
      <c r="J387" s="85"/>
      <c r="K387" s="80"/>
      <c r="L387" s="80"/>
      <c r="M387" s="86" t="str">
        <f t="shared" ca="1" si="84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5"/>
        <v>0.6666666666666663</v>
      </c>
      <c r="C388" s="76"/>
      <c r="D388" s="77"/>
      <c r="E388" s="77"/>
      <c r="F388" s="78"/>
      <c r="G388" s="79" t="str">
        <f t="shared" si="86"/>
        <v/>
      </c>
      <c r="H388" s="76"/>
      <c r="I388" s="76"/>
      <c r="J388" s="76"/>
      <c r="K388" s="80"/>
      <c r="L388" s="80"/>
      <c r="M388" s="81" t="str">
        <f t="shared" ca="1" si="84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5"/>
        <v>0.70833333333333293</v>
      </c>
      <c r="C389" s="76"/>
      <c r="D389" s="77"/>
      <c r="E389" s="77"/>
      <c r="F389" s="78"/>
      <c r="G389" s="84" t="str">
        <f t="shared" si="86"/>
        <v/>
      </c>
      <c r="H389" s="85"/>
      <c r="I389" s="85"/>
      <c r="J389" s="85"/>
      <c r="K389" s="80"/>
      <c r="L389" s="80"/>
      <c r="M389" s="86" t="str">
        <f t="shared" ca="1" si="84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5"/>
        <v>0.74999999999999956</v>
      </c>
      <c r="C390" s="76"/>
      <c r="D390" s="77"/>
      <c r="E390" s="77"/>
      <c r="F390" s="78"/>
      <c r="G390" s="79" t="str">
        <f t="shared" si="86"/>
        <v/>
      </c>
      <c r="H390" s="76"/>
      <c r="I390" s="76"/>
      <c r="J390" s="76"/>
      <c r="K390" s="80"/>
      <c r="L390" s="80"/>
      <c r="M390" s="81" t="str">
        <f t="shared" ca="1" si="84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5"/>
        <v>0.79166666666666619</v>
      </c>
      <c r="C391" s="76"/>
      <c r="D391" s="77"/>
      <c r="E391" s="77"/>
      <c r="F391" s="78"/>
      <c r="G391" s="84" t="str">
        <f t="shared" si="86"/>
        <v/>
      </c>
      <c r="H391" s="85"/>
      <c r="I391" s="85"/>
      <c r="J391" s="85"/>
      <c r="K391" s="80"/>
      <c r="L391" s="80"/>
      <c r="M391" s="86" t="str">
        <f t="shared" ca="1" si="84"/>
        <v/>
      </c>
      <c r="N391" s="95"/>
      <c r="O391" s="96"/>
    </row>
    <row r="392" spans="1:15" ht="15.75" customHeight="1" x14ac:dyDescent="0.25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7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8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89">B393+TIME(0,60,0)</f>
        <v>0.87499999999999967</v>
      </c>
      <c r="C394" s="85"/>
      <c r="D394" s="90"/>
      <c r="E394" s="90"/>
      <c r="F394" s="78"/>
      <c r="G394" s="79" t="str">
        <f t="shared" si="87"/>
        <v/>
      </c>
      <c r="H394" s="76"/>
      <c r="I394" s="76"/>
      <c r="J394" s="76"/>
      <c r="K394" s="80"/>
      <c r="L394" s="80"/>
      <c r="M394" s="81" t="str">
        <f t="shared" ca="1" si="88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89"/>
        <v>0.9166666666666663</v>
      </c>
      <c r="C395" s="85"/>
      <c r="D395" s="90"/>
      <c r="E395" s="90"/>
      <c r="F395" s="78"/>
      <c r="G395" s="84" t="str">
        <f t="shared" si="87"/>
        <v/>
      </c>
      <c r="H395" s="85"/>
      <c r="I395" s="85"/>
      <c r="J395" s="85"/>
      <c r="K395" s="80"/>
      <c r="L395" s="80"/>
      <c r="M395" s="86" t="str">
        <f t="shared" ca="1" si="88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89"/>
        <v>0.95833333333333293</v>
      </c>
      <c r="C396" s="85"/>
      <c r="D396" s="90"/>
      <c r="E396" s="90"/>
      <c r="F396" s="78"/>
      <c r="G396" s="79" t="str">
        <f t="shared" si="87"/>
        <v/>
      </c>
      <c r="H396" s="76"/>
      <c r="I396" s="76"/>
      <c r="J396" s="76"/>
      <c r="K396" s="80"/>
      <c r="L396" s="80"/>
      <c r="M396" s="81" t="str">
        <f t="shared" ca="1" si="88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89"/>
        <v>0.99999999999999956</v>
      </c>
      <c r="C397" s="85"/>
      <c r="D397" s="90"/>
      <c r="E397" s="90"/>
      <c r="F397" s="78"/>
      <c r="G397" s="84" t="str">
        <f t="shared" si="87"/>
        <v/>
      </c>
      <c r="H397" s="85"/>
      <c r="I397" s="85"/>
      <c r="J397" s="85"/>
      <c r="K397" s="80"/>
      <c r="L397" s="80"/>
      <c r="M397" s="86" t="str">
        <f t="shared" ca="1" si="88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89"/>
        <v>1.0416666666666663</v>
      </c>
      <c r="C398" s="85"/>
      <c r="D398" s="90"/>
      <c r="E398" s="90"/>
      <c r="F398" s="78"/>
      <c r="G398" s="79" t="str">
        <f t="shared" si="87"/>
        <v/>
      </c>
      <c r="H398" s="76"/>
      <c r="I398" s="76"/>
      <c r="J398" s="76"/>
      <c r="K398" s="80"/>
      <c r="L398" s="80"/>
      <c r="M398" s="81" t="str">
        <f t="shared" ca="1" si="88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89"/>
        <v>1.083333333333333</v>
      </c>
      <c r="C399" s="85"/>
      <c r="D399" s="90"/>
      <c r="E399" s="90"/>
      <c r="F399" s="78"/>
      <c r="G399" s="84" t="str">
        <f t="shared" si="87"/>
        <v/>
      </c>
      <c r="H399" s="85"/>
      <c r="I399" s="85"/>
      <c r="J399" s="85"/>
      <c r="K399" s="80"/>
      <c r="L399" s="80"/>
      <c r="M399" s="86" t="str">
        <f t="shared" ca="1" si="88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89"/>
        <v>1.1249999999999998</v>
      </c>
      <c r="C400" s="85"/>
      <c r="D400" s="90"/>
      <c r="E400" s="90"/>
      <c r="F400" s="78"/>
      <c r="G400" s="79" t="str">
        <f t="shared" si="87"/>
        <v/>
      </c>
      <c r="H400" s="76"/>
      <c r="I400" s="76"/>
      <c r="J400" s="76"/>
      <c r="K400" s="80"/>
      <c r="L400" s="80"/>
      <c r="M400" s="81" t="str">
        <f t="shared" ca="1" si="88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89"/>
        <v>1.1666666666666665</v>
      </c>
      <c r="C401" s="85"/>
      <c r="D401" s="90"/>
      <c r="E401" s="90"/>
      <c r="F401" s="78"/>
      <c r="G401" s="84" t="str">
        <f t="shared" si="87"/>
        <v/>
      </c>
      <c r="H401" s="85"/>
      <c r="I401" s="85"/>
      <c r="J401" s="85"/>
      <c r="K401" s="80"/>
      <c r="L401" s="80"/>
      <c r="M401" s="86" t="str">
        <f t="shared" ca="1" si="88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89"/>
        <v>1.2083333333333333</v>
      </c>
      <c r="C402" s="85"/>
      <c r="D402" s="90"/>
      <c r="E402" s="90"/>
      <c r="F402" s="78"/>
      <c r="G402" s="79" t="str">
        <f t="shared" si="87"/>
        <v/>
      </c>
      <c r="H402" s="76"/>
      <c r="I402" s="76"/>
      <c r="J402" s="76"/>
      <c r="K402" s="80"/>
      <c r="L402" s="80"/>
      <c r="M402" s="81" t="str">
        <f t="shared" ca="1" si="88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89"/>
        <v>1.25</v>
      </c>
      <c r="C403" s="85"/>
      <c r="D403" s="90"/>
      <c r="E403" s="90"/>
      <c r="F403" s="78"/>
      <c r="G403" s="84" t="str">
        <f t="shared" si="87"/>
        <v/>
      </c>
      <c r="H403" s="85"/>
      <c r="I403" s="85"/>
      <c r="J403" s="85"/>
      <c r="K403" s="80"/>
      <c r="L403" s="80"/>
      <c r="M403" s="86" t="str">
        <f t="shared" ca="1" si="88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89"/>
        <v>1.2916666666666667</v>
      </c>
      <c r="C404" s="85"/>
      <c r="D404" s="90"/>
      <c r="E404" s="90"/>
      <c r="F404" s="78"/>
      <c r="G404" s="79" t="str">
        <f t="shared" si="87"/>
        <v/>
      </c>
      <c r="H404" s="76"/>
      <c r="I404" s="76"/>
      <c r="J404" s="76"/>
      <c r="K404" s="80"/>
      <c r="L404" s="80"/>
      <c r="M404" s="81" t="str">
        <f t="shared" ca="1" si="88"/>
        <v/>
      </c>
      <c r="N404" s="95"/>
      <c r="O404" s="96"/>
    </row>
    <row r="405" spans="1:15" ht="15.75" customHeight="1" x14ac:dyDescent="0.25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 x14ac:dyDescent="0.25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0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1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2">B407+TIME(0,60,0)</f>
        <v>0.37499999999999967</v>
      </c>
      <c r="C408" s="85"/>
      <c r="D408" s="90"/>
      <c r="E408" s="90"/>
      <c r="F408" s="78"/>
      <c r="G408" s="79" t="str">
        <f t="shared" si="90"/>
        <v/>
      </c>
      <c r="H408" s="76"/>
      <c r="I408" s="76"/>
      <c r="J408" s="76"/>
      <c r="K408" s="80"/>
      <c r="L408" s="80"/>
      <c r="M408" s="81" t="str">
        <f t="shared" ca="1" si="91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2"/>
        <v>0.41666666666666635</v>
      </c>
      <c r="C409" s="85"/>
      <c r="D409" s="90"/>
      <c r="E409" s="90"/>
      <c r="F409" s="78"/>
      <c r="G409" s="84" t="str">
        <f t="shared" si="90"/>
        <v/>
      </c>
      <c r="H409" s="85"/>
      <c r="I409" s="85"/>
      <c r="J409" s="85"/>
      <c r="K409" s="80"/>
      <c r="L409" s="80"/>
      <c r="M409" s="86" t="str">
        <f t="shared" ca="1" si="91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2"/>
        <v>0.45833333333333304</v>
      </c>
      <c r="C410" s="85"/>
      <c r="D410" s="90"/>
      <c r="E410" s="90"/>
      <c r="F410" s="78"/>
      <c r="G410" s="79" t="str">
        <f t="shared" si="90"/>
        <v/>
      </c>
      <c r="H410" s="76"/>
      <c r="I410" s="76"/>
      <c r="J410" s="76"/>
      <c r="K410" s="80"/>
      <c r="L410" s="80"/>
      <c r="M410" s="81" t="str">
        <f t="shared" ca="1" si="91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2"/>
        <v>0.49999999999999972</v>
      </c>
      <c r="C411" s="85"/>
      <c r="D411" s="90"/>
      <c r="E411" s="90"/>
      <c r="F411" s="78"/>
      <c r="G411" s="84" t="str">
        <f t="shared" si="90"/>
        <v/>
      </c>
      <c r="H411" s="85"/>
      <c r="I411" s="85"/>
      <c r="J411" s="85"/>
      <c r="K411" s="80"/>
      <c r="L411" s="80"/>
      <c r="M411" s="86" t="str">
        <f t="shared" ca="1" si="91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2"/>
        <v>0.54166666666666641</v>
      </c>
      <c r="C412" s="85"/>
      <c r="D412" s="90"/>
      <c r="E412" s="90"/>
      <c r="F412" s="78"/>
      <c r="G412" s="79" t="str">
        <f t="shared" si="90"/>
        <v/>
      </c>
      <c r="H412" s="76"/>
      <c r="I412" s="76"/>
      <c r="J412" s="76"/>
      <c r="K412" s="80"/>
      <c r="L412" s="80"/>
      <c r="M412" s="81" t="str">
        <f t="shared" ca="1" si="91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2"/>
        <v>0.58333333333333304</v>
      </c>
      <c r="C413" s="85"/>
      <c r="D413" s="90"/>
      <c r="E413" s="90"/>
      <c r="F413" s="78"/>
      <c r="G413" s="84" t="str">
        <f t="shared" si="90"/>
        <v/>
      </c>
      <c r="H413" s="85"/>
      <c r="I413" s="85"/>
      <c r="J413" s="85"/>
      <c r="K413" s="80"/>
      <c r="L413" s="80"/>
      <c r="M413" s="86" t="str">
        <f t="shared" ca="1" si="91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2"/>
        <v>0.62499999999999967</v>
      </c>
      <c r="C414" s="85"/>
      <c r="D414" s="90"/>
      <c r="E414" s="90"/>
      <c r="F414" s="78"/>
      <c r="G414" s="79" t="str">
        <f t="shared" si="90"/>
        <v/>
      </c>
      <c r="H414" s="76"/>
      <c r="I414" s="76"/>
      <c r="J414" s="76"/>
      <c r="K414" s="80"/>
      <c r="L414" s="80"/>
      <c r="M414" s="81" t="str">
        <f t="shared" ca="1" si="91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2"/>
        <v>0.6666666666666663</v>
      </c>
      <c r="C415" s="85"/>
      <c r="D415" s="90"/>
      <c r="E415" s="90"/>
      <c r="F415" s="78"/>
      <c r="G415" s="84" t="str">
        <f t="shared" si="90"/>
        <v/>
      </c>
      <c r="H415" s="85"/>
      <c r="I415" s="85"/>
      <c r="J415" s="85"/>
      <c r="K415" s="80"/>
      <c r="L415" s="80"/>
      <c r="M415" s="86" t="str">
        <f t="shared" ca="1" si="91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2"/>
        <v>0.70833333333333293</v>
      </c>
      <c r="C416" s="85"/>
      <c r="D416" s="90"/>
      <c r="E416" s="90"/>
      <c r="F416" s="78"/>
      <c r="G416" s="79" t="str">
        <f t="shared" si="90"/>
        <v/>
      </c>
      <c r="H416" s="76"/>
      <c r="I416" s="76"/>
      <c r="J416" s="76"/>
      <c r="K416" s="80"/>
      <c r="L416" s="80"/>
      <c r="M416" s="81" t="str">
        <f t="shared" ca="1" si="91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2"/>
        <v>0.74999999999999956</v>
      </c>
      <c r="C417" s="85"/>
      <c r="D417" s="90"/>
      <c r="E417" s="90"/>
      <c r="F417" s="78"/>
      <c r="G417" s="84" t="str">
        <f t="shared" si="90"/>
        <v/>
      </c>
      <c r="H417" s="85"/>
      <c r="I417" s="85"/>
      <c r="J417" s="85"/>
      <c r="K417" s="80"/>
      <c r="L417" s="80"/>
      <c r="M417" s="86" t="str">
        <f t="shared" ca="1" si="91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2"/>
        <v>0.79166666666666619</v>
      </c>
      <c r="C418" s="85"/>
      <c r="D418" s="90"/>
      <c r="E418" s="90"/>
      <c r="F418" s="78"/>
      <c r="G418" s="79" t="str">
        <f t="shared" si="90"/>
        <v/>
      </c>
      <c r="H418" s="76"/>
      <c r="I418" s="76"/>
      <c r="J418" s="76"/>
      <c r="K418" s="80"/>
      <c r="L418" s="80"/>
      <c r="M418" s="81" t="str">
        <f t="shared" ca="1" si="91"/>
        <v/>
      </c>
      <c r="N418" s="95"/>
      <c r="O418" s="96"/>
    </row>
    <row r="419" spans="1:15" ht="15.75" customHeight="1" x14ac:dyDescent="0.25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3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4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5">B420+TIME(0,60,0)</f>
        <v>0.87499999999999967</v>
      </c>
      <c r="C421" s="76"/>
      <c r="D421" s="77"/>
      <c r="E421" s="77"/>
      <c r="F421" s="78"/>
      <c r="G421" s="84" t="str">
        <f t="shared" si="93"/>
        <v/>
      </c>
      <c r="H421" s="85"/>
      <c r="I421" s="85"/>
      <c r="J421" s="85"/>
      <c r="K421" s="80"/>
      <c r="L421" s="80"/>
      <c r="M421" s="86" t="str">
        <f t="shared" ca="1" si="94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5"/>
        <v>0.9166666666666663</v>
      </c>
      <c r="C422" s="76"/>
      <c r="D422" s="77"/>
      <c r="E422" s="77"/>
      <c r="F422" s="78"/>
      <c r="G422" s="79" t="str">
        <f t="shared" si="93"/>
        <v/>
      </c>
      <c r="H422" s="85"/>
      <c r="I422" s="85"/>
      <c r="J422" s="85"/>
      <c r="K422" s="80"/>
      <c r="L422" s="80"/>
      <c r="M422" s="81" t="str">
        <f t="shared" ca="1" si="94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5"/>
        <v>0.95833333333333293</v>
      </c>
      <c r="C423" s="76"/>
      <c r="D423" s="77"/>
      <c r="E423" s="77"/>
      <c r="F423" s="78"/>
      <c r="G423" s="84" t="str">
        <f t="shared" si="93"/>
        <v/>
      </c>
      <c r="H423" s="85"/>
      <c r="I423" s="85"/>
      <c r="J423" s="85"/>
      <c r="K423" s="80"/>
      <c r="L423" s="80"/>
      <c r="M423" s="86" t="str">
        <f t="shared" ca="1" si="94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5"/>
        <v>0.99999999999999956</v>
      </c>
      <c r="C424" s="76"/>
      <c r="D424" s="77"/>
      <c r="E424" s="77"/>
      <c r="F424" s="78"/>
      <c r="G424" s="79" t="str">
        <f t="shared" si="93"/>
        <v/>
      </c>
      <c r="H424" s="76"/>
      <c r="I424" s="76"/>
      <c r="J424" s="76"/>
      <c r="K424" s="80"/>
      <c r="L424" s="80"/>
      <c r="M424" s="81" t="str">
        <f t="shared" ca="1" si="94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5"/>
        <v>1.0416666666666663</v>
      </c>
      <c r="C425" s="76"/>
      <c r="D425" s="77"/>
      <c r="E425" s="77"/>
      <c r="F425" s="78"/>
      <c r="G425" s="84" t="str">
        <f t="shared" si="93"/>
        <v/>
      </c>
      <c r="H425" s="85"/>
      <c r="I425" s="85"/>
      <c r="J425" s="85"/>
      <c r="K425" s="80"/>
      <c r="L425" s="80"/>
      <c r="M425" s="86" t="str">
        <f t="shared" ca="1" si="94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5"/>
        <v>1.083333333333333</v>
      </c>
      <c r="C426" s="76"/>
      <c r="D426" s="77"/>
      <c r="E426" s="77"/>
      <c r="F426" s="78"/>
      <c r="G426" s="79" t="str">
        <f t="shared" si="93"/>
        <v/>
      </c>
      <c r="H426" s="76"/>
      <c r="I426" s="76"/>
      <c r="J426" s="76"/>
      <c r="K426" s="80"/>
      <c r="L426" s="80"/>
      <c r="M426" s="81" t="str">
        <f t="shared" ca="1" si="94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5"/>
        <v>1.1249999999999998</v>
      </c>
      <c r="C427" s="76"/>
      <c r="D427" s="77"/>
      <c r="E427" s="77"/>
      <c r="F427" s="78"/>
      <c r="G427" s="84" t="str">
        <f t="shared" si="93"/>
        <v/>
      </c>
      <c r="H427" s="85"/>
      <c r="I427" s="85"/>
      <c r="J427" s="85"/>
      <c r="K427" s="80"/>
      <c r="L427" s="80"/>
      <c r="M427" s="86" t="str">
        <f t="shared" ca="1" si="94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5"/>
        <v>1.1666666666666665</v>
      </c>
      <c r="C428" s="76"/>
      <c r="D428" s="77"/>
      <c r="E428" s="77"/>
      <c r="F428" s="78"/>
      <c r="G428" s="79" t="str">
        <f t="shared" si="93"/>
        <v/>
      </c>
      <c r="H428" s="76"/>
      <c r="I428" s="76"/>
      <c r="J428" s="76"/>
      <c r="K428" s="80"/>
      <c r="L428" s="80"/>
      <c r="M428" s="81" t="str">
        <f t="shared" ca="1" si="94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5"/>
        <v>1.2083333333333333</v>
      </c>
      <c r="C429" s="76"/>
      <c r="D429" s="77"/>
      <c r="E429" s="77"/>
      <c r="F429" s="78"/>
      <c r="G429" s="84" t="str">
        <f t="shared" si="93"/>
        <v/>
      </c>
      <c r="H429" s="85"/>
      <c r="I429" s="85"/>
      <c r="J429" s="85"/>
      <c r="K429" s="80"/>
      <c r="L429" s="80"/>
      <c r="M429" s="86" t="str">
        <f t="shared" ca="1" si="94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5"/>
        <v>1.25</v>
      </c>
      <c r="C430" s="76"/>
      <c r="D430" s="77"/>
      <c r="E430" s="77"/>
      <c r="F430" s="78"/>
      <c r="G430" s="79" t="str">
        <f t="shared" si="93"/>
        <v/>
      </c>
      <c r="H430" s="76"/>
      <c r="I430" s="76"/>
      <c r="J430" s="76"/>
      <c r="K430" s="80"/>
      <c r="L430" s="80"/>
      <c r="M430" s="81" t="str">
        <f t="shared" ca="1" si="94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5"/>
        <v>1.2916666666666667</v>
      </c>
      <c r="C431" s="76"/>
      <c r="D431" s="77"/>
      <c r="E431" s="77"/>
      <c r="F431" s="78"/>
      <c r="G431" s="84" t="str">
        <f t="shared" si="93"/>
        <v/>
      </c>
      <c r="H431" s="85"/>
      <c r="I431" s="85"/>
      <c r="J431" s="85"/>
      <c r="K431" s="80"/>
      <c r="L431" s="80"/>
      <c r="M431" s="86" t="str">
        <f t="shared" ca="1" si="94"/>
        <v/>
      </c>
      <c r="N431" s="95"/>
      <c r="O431" s="96"/>
    </row>
    <row r="432" spans="1:15" ht="15.75" customHeight="1" x14ac:dyDescent="0.25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 x14ac:dyDescent="0.25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6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7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8">B434+TIME(0,60,0)</f>
        <v>0.37499999999999967</v>
      </c>
      <c r="C435" s="76"/>
      <c r="D435" s="77"/>
      <c r="E435" s="77"/>
      <c r="F435" s="78"/>
      <c r="G435" s="79" t="str">
        <f t="shared" si="96"/>
        <v/>
      </c>
      <c r="H435" s="85"/>
      <c r="K435" s="80"/>
      <c r="L435" s="80"/>
      <c r="M435" s="86" t="str">
        <f t="shared" ca="1" si="97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8"/>
        <v>0.41666666666666635</v>
      </c>
      <c r="C436" s="76"/>
      <c r="D436" s="77"/>
      <c r="E436" s="77"/>
      <c r="F436" s="78"/>
      <c r="G436" s="79" t="str">
        <f t="shared" si="96"/>
        <v/>
      </c>
      <c r="H436" s="76"/>
      <c r="I436" s="85"/>
      <c r="J436" s="76"/>
      <c r="K436" s="80"/>
      <c r="L436" s="80"/>
      <c r="M436" s="81" t="str">
        <f t="shared" ca="1" si="97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8"/>
        <v>0.45833333333333304</v>
      </c>
      <c r="C437" s="76"/>
      <c r="D437" s="77"/>
      <c r="E437" s="77"/>
      <c r="F437" s="78"/>
      <c r="G437" s="84" t="str">
        <f t="shared" si="96"/>
        <v/>
      </c>
      <c r="H437" s="85"/>
      <c r="J437" s="85"/>
      <c r="K437" s="80"/>
      <c r="L437" s="80"/>
      <c r="M437" s="86" t="str">
        <f t="shared" ca="1" si="97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8"/>
        <v>0.49999999999999972</v>
      </c>
      <c r="C438" s="76"/>
      <c r="D438" s="77"/>
      <c r="E438" s="77"/>
      <c r="F438" s="78"/>
      <c r="G438" s="79" t="str">
        <f t="shared" si="96"/>
        <v/>
      </c>
      <c r="H438" s="76"/>
      <c r="I438" s="76"/>
      <c r="J438" s="76"/>
      <c r="K438" s="80"/>
      <c r="L438" s="80"/>
      <c r="M438" s="81" t="str">
        <f t="shared" ca="1" si="97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8"/>
        <v>0.54166666666666641</v>
      </c>
      <c r="C439" s="76"/>
      <c r="D439" s="77"/>
      <c r="E439" s="77"/>
      <c r="F439" s="78"/>
      <c r="G439" s="84" t="str">
        <f t="shared" si="96"/>
        <v/>
      </c>
      <c r="H439" s="85"/>
      <c r="I439" s="85"/>
      <c r="J439" s="85"/>
      <c r="K439" s="80"/>
      <c r="L439" s="80"/>
      <c r="M439" s="86" t="str">
        <f t="shared" ca="1" si="97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8"/>
        <v>0.58333333333333304</v>
      </c>
      <c r="C440" s="76"/>
      <c r="D440" s="77"/>
      <c r="E440" s="77"/>
      <c r="F440" s="78"/>
      <c r="G440" s="79" t="str">
        <f t="shared" si="96"/>
        <v/>
      </c>
      <c r="H440" s="76"/>
      <c r="I440" s="76"/>
      <c r="J440" s="76"/>
      <c r="K440" s="80"/>
      <c r="L440" s="80"/>
      <c r="M440" s="81" t="str">
        <f t="shared" ca="1" si="97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8"/>
        <v>0.62499999999999967</v>
      </c>
      <c r="C441" s="76"/>
      <c r="D441" s="77"/>
      <c r="E441" s="77"/>
      <c r="F441" s="78"/>
      <c r="G441" s="84" t="str">
        <f t="shared" si="96"/>
        <v/>
      </c>
      <c r="H441" s="85"/>
      <c r="I441" s="85"/>
      <c r="J441" s="85"/>
      <c r="K441" s="80"/>
      <c r="L441" s="80"/>
      <c r="M441" s="86" t="str">
        <f t="shared" ca="1" si="97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8"/>
        <v>0.6666666666666663</v>
      </c>
      <c r="C442" s="76"/>
      <c r="D442" s="77"/>
      <c r="E442" s="77"/>
      <c r="F442" s="78"/>
      <c r="G442" s="79" t="str">
        <f t="shared" si="96"/>
        <v/>
      </c>
      <c r="H442" s="76"/>
      <c r="I442" s="76"/>
      <c r="J442" s="76"/>
      <c r="K442" s="80"/>
      <c r="L442" s="80"/>
      <c r="M442" s="81" t="str">
        <f t="shared" ca="1" si="97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8"/>
        <v>0.70833333333333293</v>
      </c>
      <c r="C443" s="76"/>
      <c r="D443" s="77"/>
      <c r="E443" s="77"/>
      <c r="F443" s="78"/>
      <c r="G443" s="84" t="str">
        <f t="shared" si="96"/>
        <v/>
      </c>
      <c r="H443" s="85"/>
      <c r="I443" s="85"/>
      <c r="J443" s="85"/>
      <c r="K443" s="80"/>
      <c r="L443" s="80"/>
      <c r="M443" s="86" t="str">
        <f t="shared" ca="1" si="97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8"/>
        <v>0.74999999999999956</v>
      </c>
      <c r="C444" s="76"/>
      <c r="D444" s="77"/>
      <c r="E444" s="77"/>
      <c r="F444" s="78"/>
      <c r="G444" s="79" t="str">
        <f t="shared" si="96"/>
        <v/>
      </c>
      <c r="H444" s="76"/>
      <c r="I444" s="76"/>
      <c r="K444" s="80"/>
      <c r="L444" s="80"/>
      <c r="M444" s="81" t="str">
        <f t="shared" ca="1" si="97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8"/>
        <v>0.79166666666666619</v>
      </c>
      <c r="C445" s="76"/>
      <c r="D445" s="77"/>
      <c r="E445" s="77"/>
      <c r="F445" s="78"/>
      <c r="G445" s="84" t="str">
        <f t="shared" si="96"/>
        <v/>
      </c>
      <c r="H445" s="85"/>
      <c r="I445" s="85"/>
      <c r="J445" s="85"/>
      <c r="K445" s="80"/>
      <c r="L445" s="80"/>
      <c r="M445" s="86" t="str">
        <f t="shared" ca="1" si="97"/>
        <v/>
      </c>
      <c r="N445" s="95"/>
      <c r="O445" s="96"/>
    </row>
    <row r="446" spans="1:15" ht="15.75" customHeight="1" x14ac:dyDescent="0.25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9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0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1">B447+TIME(0,60,0)</f>
        <v>0.87499999999999967</v>
      </c>
      <c r="C448" s="85"/>
      <c r="D448" s="90"/>
      <c r="E448" s="90"/>
      <c r="F448" s="78"/>
      <c r="G448" s="79" t="str">
        <f t="shared" si="99"/>
        <v/>
      </c>
      <c r="H448" s="76"/>
      <c r="I448" s="76"/>
      <c r="J448" s="76"/>
      <c r="K448" s="80"/>
      <c r="L448" s="80"/>
      <c r="M448" s="81" t="str">
        <f t="shared" ca="1" si="100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1"/>
        <v>0.9166666666666663</v>
      </c>
      <c r="C449" s="85"/>
      <c r="D449" s="90"/>
      <c r="E449" s="90"/>
      <c r="F449" s="78"/>
      <c r="G449" s="84" t="str">
        <f t="shared" si="99"/>
        <v/>
      </c>
      <c r="H449" s="85"/>
      <c r="I449" s="85"/>
      <c r="J449" s="85"/>
      <c r="K449" s="80"/>
      <c r="L449" s="80"/>
      <c r="M449" s="86" t="str">
        <f t="shared" ca="1" si="100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1"/>
        <v>0.95833333333333293</v>
      </c>
      <c r="C450" s="85"/>
      <c r="D450" s="90"/>
      <c r="E450" s="90"/>
      <c r="F450" s="78"/>
      <c r="G450" s="79" t="str">
        <f t="shared" si="99"/>
        <v/>
      </c>
      <c r="H450" s="76"/>
      <c r="I450" s="76"/>
      <c r="J450" s="76"/>
      <c r="K450" s="80"/>
      <c r="L450" s="80"/>
      <c r="M450" s="81" t="str">
        <f t="shared" ca="1" si="100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1"/>
        <v>0.99999999999999956</v>
      </c>
      <c r="C451" s="85"/>
      <c r="D451" s="90"/>
      <c r="E451" s="90"/>
      <c r="F451" s="78"/>
      <c r="G451" s="84" t="str">
        <f t="shared" si="99"/>
        <v/>
      </c>
      <c r="H451" s="85"/>
      <c r="I451" s="85"/>
      <c r="J451" s="85"/>
      <c r="K451" s="80"/>
      <c r="L451" s="80"/>
      <c r="M451" s="86" t="str">
        <f t="shared" ca="1" si="100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1"/>
        <v>1.0416666666666663</v>
      </c>
      <c r="C452" s="85"/>
      <c r="D452" s="90"/>
      <c r="E452" s="90"/>
      <c r="F452" s="78"/>
      <c r="G452" s="79" t="str">
        <f t="shared" si="99"/>
        <v/>
      </c>
      <c r="H452" s="76"/>
      <c r="I452" s="76"/>
      <c r="J452" s="76"/>
      <c r="K452" s="80"/>
      <c r="L452" s="80"/>
      <c r="M452" s="81" t="str">
        <f t="shared" ca="1" si="100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1"/>
        <v>1.083333333333333</v>
      </c>
      <c r="C453" s="85"/>
      <c r="D453" s="90"/>
      <c r="E453" s="90"/>
      <c r="F453" s="78"/>
      <c r="G453" s="79" t="str">
        <f t="shared" si="99"/>
        <v/>
      </c>
      <c r="H453" s="85"/>
      <c r="I453" s="85"/>
      <c r="J453" s="85"/>
      <c r="K453" s="80"/>
      <c r="L453" s="80"/>
      <c r="M453" s="86" t="str">
        <f t="shared" ca="1" si="100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1"/>
        <v>1.1249999999999998</v>
      </c>
      <c r="C454" s="85"/>
      <c r="D454" s="90"/>
      <c r="E454" s="90"/>
      <c r="F454" s="78"/>
      <c r="G454" s="79" t="str">
        <f t="shared" si="99"/>
        <v/>
      </c>
      <c r="H454" s="76"/>
      <c r="I454" s="76"/>
      <c r="J454" s="76"/>
      <c r="K454" s="80"/>
      <c r="L454" s="80"/>
      <c r="M454" s="81" t="str">
        <f t="shared" ca="1" si="100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1"/>
        <v>1.1666666666666665</v>
      </c>
      <c r="C455" s="85"/>
      <c r="D455" s="90"/>
      <c r="E455" s="90"/>
      <c r="F455" s="78"/>
      <c r="G455" s="79" t="str">
        <f t="shared" si="99"/>
        <v/>
      </c>
      <c r="H455" s="85"/>
      <c r="I455" s="85"/>
      <c r="J455" s="85"/>
      <c r="K455" s="80"/>
      <c r="L455" s="80"/>
      <c r="M455" s="86" t="str">
        <f t="shared" ca="1" si="100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1"/>
        <v>1.2083333333333333</v>
      </c>
      <c r="C456" s="85"/>
      <c r="D456" s="90"/>
      <c r="E456" s="90"/>
      <c r="F456" s="78"/>
      <c r="G456" s="79" t="str">
        <f t="shared" si="99"/>
        <v/>
      </c>
      <c r="H456" s="76"/>
      <c r="I456" s="76"/>
      <c r="J456" s="76"/>
      <c r="K456" s="80"/>
      <c r="L456" s="80"/>
      <c r="M456" s="81" t="str">
        <f t="shared" ca="1" si="100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1"/>
        <v>1.25</v>
      </c>
      <c r="C457" s="85"/>
      <c r="D457" s="90"/>
      <c r="E457" s="90"/>
      <c r="F457" s="78"/>
      <c r="G457" s="79" t="str">
        <f t="shared" si="99"/>
        <v/>
      </c>
      <c r="H457" s="85"/>
      <c r="I457" s="85"/>
      <c r="J457" s="85"/>
      <c r="K457" s="80"/>
      <c r="L457" s="80"/>
      <c r="M457" s="86" t="str">
        <f t="shared" ca="1" si="100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1"/>
        <v>1.2916666666666667</v>
      </c>
      <c r="C458" s="85"/>
      <c r="D458" s="90"/>
      <c r="E458" s="90"/>
      <c r="F458" s="78"/>
      <c r="G458" s="79" t="str">
        <f t="shared" si="99"/>
        <v/>
      </c>
      <c r="H458" s="76"/>
      <c r="I458" s="76"/>
      <c r="J458" s="76"/>
      <c r="K458" s="80"/>
      <c r="L458" s="80"/>
      <c r="M458" s="81" t="str">
        <f t="shared" ca="1" si="100"/>
        <v/>
      </c>
      <c r="N458" s="95"/>
      <c r="O458" s="96"/>
    </row>
    <row r="459" spans="1:15" ht="15.75" customHeight="1" x14ac:dyDescent="0.25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 x14ac:dyDescent="0.25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2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3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4">B461+TIME(0,60,0)</f>
        <v>0.37499999999999967</v>
      </c>
      <c r="C462" s="85"/>
      <c r="D462" s="90"/>
      <c r="E462" s="90"/>
      <c r="F462" s="78"/>
      <c r="G462" s="79" t="str">
        <f t="shared" si="102"/>
        <v/>
      </c>
      <c r="H462" s="76"/>
      <c r="I462" s="76"/>
      <c r="J462" s="76"/>
      <c r="K462" s="80"/>
      <c r="L462" s="80"/>
      <c r="M462" s="81" t="str">
        <f t="shared" ca="1" si="103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4"/>
        <v>0.41666666666666635</v>
      </c>
      <c r="C463" s="85"/>
      <c r="D463" s="90"/>
      <c r="E463" s="90"/>
      <c r="F463" s="78"/>
      <c r="G463" s="84" t="str">
        <f t="shared" si="102"/>
        <v/>
      </c>
      <c r="H463" s="85"/>
      <c r="I463" s="85"/>
      <c r="J463" s="85"/>
      <c r="K463" s="80"/>
      <c r="L463" s="80"/>
      <c r="M463" s="81" t="str">
        <f t="shared" ca="1" si="103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4"/>
        <v>0.45833333333333304</v>
      </c>
      <c r="C464" s="85"/>
      <c r="D464" s="90"/>
      <c r="E464" s="90"/>
      <c r="F464" s="78"/>
      <c r="G464" s="79" t="str">
        <f t="shared" si="102"/>
        <v/>
      </c>
      <c r="H464" s="76"/>
      <c r="I464" s="76"/>
      <c r="J464" s="76"/>
      <c r="K464" s="80"/>
      <c r="L464" s="80"/>
      <c r="M464" s="81" t="str">
        <f t="shared" ca="1" si="103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4"/>
        <v>0.49999999999999972</v>
      </c>
      <c r="C465" s="85"/>
      <c r="D465" s="90"/>
      <c r="E465" s="90"/>
      <c r="F465" s="78"/>
      <c r="G465" s="84" t="str">
        <f t="shared" si="102"/>
        <v/>
      </c>
      <c r="H465" s="85"/>
      <c r="I465" s="85"/>
      <c r="J465" s="85"/>
      <c r="K465" s="80"/>
      <c r="L465" s="80"/>
      <c r="M465" s="86" t="str">
        <f t="shared" ca="1" si="103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4"/>
        <v>0.54166666666666641</v>
      </c>
      <c r="C466" s="85"/>
      <c r="D466" s="90"/>
      <c r="E466" s="90"/>
      <c r="F466" s="78"/>
      <c r="G466" s="79" t="str">
        <f t="shared" si="102"/>
        <v/>
      </c>
      <c r="H466" s="76"/>
      <c r="I466" s="76"/>
      <c r="J466" s="76"/>
      <c r="K466" s="80"/>
      <c r="L466" s="80"/>
      <c r="M466" s="81" t="str">
        <f t="shared" ca="1" si="103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4"/>
        <v>0.58333333333333304</v>
      </c>
      <c r="C467" s="85"/>
      <c r="D467" s="90"/>
      <c r="E467" s="90"/>
      <c r="F467" s="78"/>
      <c r="G467" s="84" t="str">
        <f t="shared" si="102"/>
        <v/>
      </c>
      <c r="H467" s="85"/>
      <c r="I467" s="85"/>
      <c r="J467" s="85"/>
      <c r="K467" s="80"/>
      <c r="L467" s="80"/>
      <c r="M467" s="86" t="str">
        <f t="shared" ca="1" si="103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4"/>
        <v>0.62499999999999967</v>
      </c>
      <c r="C468" s="85"/>
      <c r="D468" s="90"/>
      <c r="E468" s="90"/>
      <c r="F468" s="78"/>
      <c r="G468" s="79" t="str">
        <f t="shared" si="102"/>
        <v/>
      </c>
      <c r="H468" s="76"/>
      <c r="I468" s="76"/>
      <c r="J468" s="76"/>
      <c r="K468" s="80"/>
      <c r="L468" s="80"/>
      <c r="M468" s="81" t="str">
        <f t="shared" ca="1" si="103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4"/>
        <v>0.6666666666666663</v>
      </c>
      <c r="C469" s="85"/>
      <c r="D469" s="90"/>
      <c r="E469" s="90"/>
      <c r="F469" s="78"/>
      <c r="G469" s="84" t="str">
        <f t="shared" si="102"/>
        <v/>
      </c>
      <c r="H469" s="85"/>
      <c r="I469" s="85"/>
      <c r="J469" s="85"/>
      <c r="K469" s="80"/>
      <c r="L469" s="80"/>
      <c r="M469" s="86" t="str">
        <f t="shared" ca="1" si="103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4"/>
        <v>0.70833333333333293</v>
      </c>
      <c r="C470" s="85"/>
      <c r="D470" s="90"/>
      <c r="E470" s="90"/>
      <c r="F470" s="78"/>
      <c r="G470" s="79" t="str">
        <f t="shared" si="102"/>
        <v/>
      </c>
      <c r="H470" s="76"/>
      <c r="I470" s="76"/>
      <c r="J470" s="76"/>
      <c r="K470" s="80"/>
      <c r="L470" s="80"/>
      <c r="M470" s="81" t="str">
        <f t="shared" ca="1" si="103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4"/>
        <v>0.74999999999999956</v>
      </c>
      <c r="C471" s="85"/>
      <c r="D471" s="90"/>
      <c r="E471" s="90"/>
      <c r="F471" s="78"/>
      <c r="G471" s="84" t="str">
        <f t="shared" si="102"/>
        <v/>
      </c>
      <c r="H471" s="85"/>
      <c r="I471" s="85"/>
      <c r="J471" s="85"/>
      <c r="K471" s="80"/>
      <c r="L471" s="80"/>
      <c r="M471" s="86" t="str">
        <f t="shared" ca="1" si="103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4"/>
        <v>0.79166666666666619</v>
      </c>
      <c r="C472" s="85"/>
      <c r="D472" s="90"/>
      <c r="E472" s="90"/>
      <c r="F472" s="78"/>
      <c r="G472" s="79" t="str">
        <f t="shared" si="102"/>
        <v/>
      </c>
      <c r="H472" s="76"/>
      <c r="I472" s="76"/>
      <c r="J472" s="76"/>
      <c r="K472" s="80"/>
      <c r="L472" s="80"/>
      <c r="M472" s="81" t="str">
        <f t="shared" ca="1" si="103"/>
        <v/>
      </c>
      <c r="N472" s="95"/>
      <c r="O472" s="96"/>
    </row>
    <row r="473" spans="1:15" ht="15.75" customHeight="1" x14ac:dyDescent="0.25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5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6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7">B474+TIME(0,60,0)</f>
        <v>0.87499999999999967</v>
      </c>
      <c r="C475" s="76"/>
      <c r="D475" s="77"/>
      <c r="E475" s="77"/>
      <c r="F475" s="78"/>
      <c r="G475" s="84" t="str">
        <f t="shared" si="105"/>
        <v/>
      </c>
      <c r="H475" s="85"/>
      <c r="I475" s="85"/>
      <c r="J475" s="85"/>
      <c r="K475" s="80"/>
      <c r="L475" s="80"/>
      <c r="M475" s="86" t="str">
        <f t="shared" ca="1" si="106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7"/>
        <v>0.9166666666666663</v>
      </c>
      <c r="C476" s="76"/>
      <c r="D476" s="77"/>
      <c r="E476" s="77"/>
      <c r="F476" s="78"/>
      <c r="G476" s="79" t="str">
        <f t="shared" si="105"/>
        <v/>
      </c>
      <c r="H476" s="76"/>
      <c r="I476" s="76"/>
      <c r="J476" s="76"/>
      <c r="K476" s="80"/>
      <c r="L476" s="80"/>
      <c r="M476" s="81" t="str">
        <f t="shared" ca="1" si="106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7"/>
        <v>0.95833333333333293</v>
      </c>
      <c r="C477" s="76"/>
      <c r="D477" s="77"/>
      <c r="E477" s="77"/>
      <c r="F477" s="78"/>
      <c r="G477" s="84" t="str">
        <f t="shared" si="105"/>
        <v/>
      </c>
      <c r="H477" s="85"/>
      <c r="I477" s="85"/>
      <c r="J477" s="85"/>
      <c r="K477" s="80"/>
      <c r="L477" s="80"/>
      <c r="M477" s="86" t="str">
        <f t="shared" ca="1" si="106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7"/>
        <v>0.99999999999999956</v>
      </c>
      <c r="C478" s="76"/>
      <c r="D478" s="77"/>
      <c r="E478" s="77"/>
      <c r="F478" s="78"/>
      <c r="G478" s="79" t="str">
        <f t="shared" si="105"/>
        <v/>
      </c>
      <c r="H478" s="76"/>
      <c r="I478" s="76"/>
      <c r="J478" s="76"/>
      <c r="K478" s="80"/>
      <c r="L478" s="80"/>
      <c r="M478" s="81" t="str">
        <f t="shared" ca="1" si="106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7"/>
        <v>1.0416666666666663</v>
      </c>
      <c r="C479" s="76"/>
      <c r="D479" s="77"/>
      <c r="E479" s="77"/>
      <c r="F479" s="78"/>
      <c r="G479" s="84" t="str">
        <f t="shared" si="105"/>
        <v/>
      </c>
      <c r="H479" s="85"/>
      <c r="I479" s="85"/>
      <c r="J479" s="85"/>
      <c r="K479" s="80"/>
      <c r="L479" s="80"/>
      <c r="M479" s="86" t="str">
        <f t="shared" ca="1" si="106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7"/>
        <v>1.083333333333333</v>
      </c>
      <c r="C480" s="76"/>
      <c r="D480" s="77"/>
      <c r="E480" s="77"/>
      <c r="F480" s="78"/>
      <c r="G480" s="79" t="str">
        <f t="shared" si="105"/>
        <v/>
      </c>
      <c r="H480" s="76"/>
      <c r="I480" s="76"/>
      <c r="J480" s="76"/>
      <c r="K480" s="80"/>
      <c r="L480" s="80"/>
      <c r="M480" s="81" t="str">
        <f t="shared" ca="1" si="106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7"/>
        <v>1.1249999999999998</v>
      </c>
      <c r="C481" s="76"/>
      <c r="D481" s="77"/>
      <c r="E481" s="77"/>
      <c r="F481" s="78"/>
      <c r="G481" s="84" t="str">
        <f t="shared" si="105"/>
        <v/>
      </c>
      <c r="H481" s="85"/>
      <c r="I481" s="85"/>
      <c r="J481" s="85"/>
      <c r="K481" s="80"/>
      <c r="L481" s="80"/>
      <c r="M481" s="86" t="str">
        <f t="shared" ca="1" si="106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7"/>
        <v>1.1666666666666665</v>
      </c>
      <c r="C482" s="76"/>
      <c r="D482" s="77"/>
      <c r="E482" s="77"/>
      <c r="F482" s="78"/>
      <c r="G482" s="79" t="str">
        <f t="shared" si="105"/>
        <v/>
      </c>
      <c r="H482" s="76"/>
      <c r="I482" s="76"/>
      <c r="J482" s="76"/>
      <c r="K482" s="80"/>
      <c r="L482" s="80"/>
      <c r="M482" s="81" t="str">
        <f t="shared" ca="1" si="106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7"/>
        <v>1.2083333333333333</v>
      </c>
      <c r="C483" s="76"/>
      <c r="D483" s="77"/>
      <c r="E483" s="77"/>
      <c r="F483" s="78"/>
      <c r="G483" s="84" t="str">
        <f t="shared" si="105"/>
        <v/>
      </c>
      <c r="H483" s="85"/>
      <c r="I483" s="85"/>
      <c r="J483" s="85"/>
      <c r="K483" s="80"/>
      <c r="L483" s="80"/>
      <c r="M483" s="86" t="str">
        <f t="shared" ca="1" si="106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7"/>
        <v>1.25</v>
      </c>
      <c r="C484" s="76"/>
      <c r="D484" s="77"/>
      <c r="E484" s="77"/>
      <c r="F484" s="78"/>
      <c r="G484" s="79" t="str">
        <f t="shared" si="105"/>
        <v/>
      </c>
      <c r="H484" s="76"/>
      <c r="I484" s="76"/>
      <c r="J484" s="76"/>
      <c r="K484" s="80"/>
      <c r="L484" s="80"/>
      <c r="M484" s="81" t="str">
        <f t="shared" ca="1" si="106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7"/>
        <v>1.2916666666666667</v>
      </c>
      <c r="C485" s="76"/>
      <c r="D485" s="77"/>
      <c r="E485" s="77"/>
      <c r="F485" s="78"/>
      <c r="G485" s="84" t="str">
        <f t="shared" si="105"/>
        <v/>
      </c>
      <c r="H485" s="85"/>
      <c r="I485" s="85"/>
      <c r="J485" s="85"/>
      <c r="K485" s="80"/>
      <c r="L485" s="80"/>
      <c r="M485" s="86" t="str">
        <f t="shared" ca="1" si="106"/>
        <v/>
      </c>
      <c r="N485" s="95"/>
      <c r="O485" s="96"/>
    </row>
    <row r="486" spans="1:15" ht="15.75" customHeight="1" x14ac:dyDescent="0.25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 x14ac:dyDescent="0.25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8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9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0">B488+TIME(0,60,0)</f>
        <v>0.37499999999999967</v>
      </c>
      <c r="C489" s="76"/>
      <c r="D489" s="77"/>
      <c r="E489" s="77"/>
      <c r="F489" s="78"/>
      <c r="G489" s="84" t="str">
        <f t="shared" si="108"/>
        <v/>
      </c>
      <c r="H489" s="100"/>
      <c r="I489" s="100"/>
      <c r="J489" s="85"/>
      <c r="K489" s="80"/>
      <c r="L489" s="80"/>
      <c r="M489" s="86" t="str">
        <f t="shared" ca="1" si="109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0"/>
        <v>0.41666666666666635</v>
      </c>
      <c r="C490" s="76"/>
      <c r="D490" s="77"/>
      <c r="E490" s="77"/>
      <c r="F490" s="78"/>
      <c r="G490" s="79" t="str">
        <f t="shared" si="108"/>
        <v/>
      </c>
      <c r="H490" s="76"/>
      <c r="I490" s="76"/>
      <c r="J490" s="76"/>
      <c r="K490" s="80"/>
      <c r="L490" s="80"/>
      <c r="M490" s="81" t="str">
        <f t="shared" ca="1" si="109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0"/>
        <v>0.45833333333333304</v>
      </c>
      <c r="C491" s="76"/>
      <c r="D491" s="77"/>
      <c r="E491" s="77"/>
      <c r="F491" s="78"/>
      <c r="G491" s="84" t="str">
        <f t="shared" si="108"/>
        <v/>
      </c>
      <c r="H491" s="100"/>
      <c r="I491" s="100"/>
      <c r="J491" s="85"/>
      <c r="K491" s="80"/>
      <c r="L491" s="80"/>
      <c r="M491" s="86" t="str">
        <f t="shared" ca="1" si="109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0"/>
        <v>0.49999999999999972</v>
      </c>
      <c r="C492" s="76"/>
      <c r="D492" s="77"/>
      <c r="E492" s="77"/>
      <c r="F492" s="78"/>
      <c r="G492" s="79" t="str">
        <f t="shared" si="108"/>
        <v/>
      </c>
      <c r="H492" s="76"/>
      <c r="I492" s="76"/>
      <c r="J492" s="76"/>
      <c r="K492" s="80"/>
      <c r="L492" s="80"/>
      <c r="M492" s="81" t="str">
        <f t="shared" ca="1" si="109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0"/>
        <v>0.54166666666666641</v>
      </c>
      <c r="C493" s="76"/>
      <c r="D493" s="77"/>
      <c r="E493" s="77"/>
      <c r="F493" s="78"/>
      <c r="G493" s="84" t="str">
        <f t="shared" si="108"/>
        <v/>
      </c>
      <c r="H493" s="85"/>
      <c r="I493" s="85"/>
      <c r="J493" s="85"/>
      <c r="K493" s="80"/>
      <c r="L493" s="80"/>
      <c r="M493" s="86" t="str">
        <f t="shared" ca="1" si="109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0"/>
        <v>0.58333333333333304</v>
      </c>
      <c r="C494" s="76"/>
      <c r="D494" s="77"/>
      <c r="E494" s="77"/>
      <c r="F494" s="78"/>
      <c r="G494" s="79" t="str">
        <f t="shared" si="108"/>
        <v/>
      </c>
      <c r="H494" s="76"/>
      <c r="I494" s="76"/>
      <c r="J494" s="76"/>
      <c r="K494" s="80"/>
      <c r="L494" s="80"/>
      <c r="M494" s="81" t="str">
        <f t="shared" ca="1" si="109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0"/>
        <v>0.62499999999999967</v>
      </c>
      <c r="C495" s="76"/>
      <c r="D495" s="77"/>
      <c r="E495" s="77"/>
      <c r="F495" s="78"/>
      <c r="G495" s="84" t="str">
        <f t="shared" si="108"/>
        <v/>
      </c>
      <c r="H495" s="85"/>
      <c r="I495" s="85"/>
      <c r="J495" s="85"/>
      <c r="K495" s="80"/>
      <c r="L495" s="80"/>
      <c r="M495" s="86" t="str">
        <f t="shared" ca="1" si="109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0"/>
        <v>0.6666666666666663</v>
      </c>
      <c r="C496" s="76"/>
      <c r="D496" s="77"/>
      <c r="E496" s="77"/>
      <c r="F496" s="78"/>
      <c r="G496" s="79" t="str">
        <f t="shared" si="108"/>
        <v/>
      </c>
      <c r="H496" s="76"/>
      <c r="I496" s="76"/>
      <c r="J496" s="76"/>
      <c r="K496" s="80"/>
      <c r="L496" s="80"/>
      <c r="M496" s="81" t="str">
        <f t="shared" ca="1" si="109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0"/>
        <v>0.70833333333333293</v>
      </c>
      <c r="C497" s="76"/>
      <c r="D497" s="77"/>
      <c r="E497" s="77"/>
      <c r="F497" s="78"/>
      <c r="G497" s="84" t="str">
        <f t="shared" si="108"/>
        <v/>
      </c>
      <c r="H497" s="85"/>
      <c r="I497" s="85"/>
      <c r="J497" s="85"/>
      <c r="K497" s="80"/>
      <c r="L497" s="80"/>
      <c r="M497" s="86" t="str">
        <f t="shared" ca="1" si="109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0"/>
        <v>0.74999999999999956</v>
      </c>
      <c r="C498" s="76"/>
      <c r="D498" s="77"/>
      <c r="E498" s="77"/>
      <c r="F498" s="78"/>
      <c r="G498" s="79" t="str">
        <f t="shared" si="108"/>
        <v/>
      </c>
      <c r="H498" s="76"/>
      <c r="I498" s="76"/>
      <c r="J498" s="76"/>
      <c r="K498" s="80"/>
      <c r="L498" s="80"/>
      <c r="M498" s="81" t="str">
        <f t="shared" ca="1" si="109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0"/>
        <v>0.79166666666666619</v>
      </c>
      <c r="C499" s="76"/>
      <c r="D499" s="77"/>
      <c r="E499" s="77"/>
      <c r="F499" s="78"/>
      <c r="G499" s="84" t="str">
        <f t="shared" si="108"/>
        <v/>
      </c>
      <c r="H499" s="85"/>
      <c r="I499" s="85"/>
      <c r="J499" s="85"/>
      <c r="K499" s="80"/>
      <c r="L499" s="80"/>
      <c r="M499" s="86" t="str">
        <f t="shared" ca="1" si="109"/>
        <v/>
      </c>
      <c r="N499" s="95"/>
      <c r="O499" s="96"/>
    </row>
    <row r="500" spans="1:15" ht="15.75" customHeight="1" x14ac:dyDescent="0.25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1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2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3">B501+TIME(0,60,0)</f>
        <v>0.87499999999999967</v>
      </c>
      <c r="C502" s="85"/>
      <c r="D502" s="90"/>
      <c r="E502" s="90"/>
      <c r="F502" s="78"/>
      <c r="G502" s="79" t="str">
        <f t="shared" si="111"/>
        <v/>
      </c>
      <c r="H502" s="76"/>
      <c r="I502" s="76"/>
      <c r="J502" s="76"/>
      <c r="K502" s="80"/>
      <c r="L502" s="80"/>
      <c r="M502" s="81" t="str">
        <f t="shared" ca="1" si="112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3"/>
        <v>0.9166666666666663</v>
      </c>
      <c r="C503" s="85"/>
      <c r="D503" s="90"/>
      <c r="E503" s="90"/>
      <c r="F503" s="78"/>
      <c r="G503" s="84" t="str">
        <f t="shared" si="111"/>
        <v/>
      </c>
      <c r="H503" s="85"/>
      <c r="I503" s="85"/>
      <c r="J503" s="85"/>
      <c r="K503" s="80"/>
      <c r="L503" s="80"/>
      <c r="M503" s="86" t="str">
        <f t="shared" ca="1" si="112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3"/>
        <v>0.95833333333333293</v>
      </c>
      <c r="C504" s="85"/>
      <c r="D504" s="90"/>
      <c r="E504" s="90"/>
      <c r="F504" s="78"/>
      <c r="G504" s="79" t="str">
        <f t="shared" si="111"/>
        <v/>
      </c>
      <c r="H504" s="76"/>
      <c r="I504" s="76"/>
      <c r="J504" s="76"/>
      <c r="K504" s="80"/>
      <c r="L504" s="80"/>
      <c r="M504" s="81" t="str">
        <f t="shared" ca="1" si="112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3"/>
        <v>0.99999999999999956</v>
      </c>
      <c r="C505" s="85"/>
      <c r="D505" s="90"/>
      <c r="E505" s="90"/>
      <c r="F505" s="78"/>
      <c r="G505" s="84" t="str">
        <f t="shared" si="111"/>
        <v/>
      </c>
      <c r="H505" s="85"/>
      <c r="I505" s="85"/>
      <c r="J505" s="85"/>
      <c r="K505" s="80"/>
      <c r="L505" s="80"/>
      <c r="M505" s="86" t="str">
        <f t="shared" ca="1" si="112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3"/>
        <v>1.0416666666666663</v>
      </c>
      <c r="C506" s="85"/>
      <c r="D506" s="90"/>
      <c r="E506" s="90"/>
      <c r="F506" s="78"/>
      <c r="G506" s="79" t="str">
        <f t="shared" si="111"/>
        <v/>
      </c>
      <c r="H506" s="76"/>
      <c r="I506" s="76"/>
      <c r="J506" s="76"/>
      <c r="K506" s="80"/>
      <c r="L506" s="80"/>
      <c r="M506" s="81" t="str">
        <f t="shared" ca="1" si="112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3"/>
        <v>1.083333333333333</v>
      </c>
      <c r="C507" s="85"/>
      <c r="D507" s="90"/>
      <c r="E507" s="90"/>
      <c r="F507" s="78"/>
      <c r="G507" s="84" t="str">
        <f t="shared" si="111"/>
        <v/>
      </c>
      <c r="H507" s="85"/>
      <c r="I507" s="85"/>
      <c r="J507" s="85"/>
      <c r="K507" s="80"/>
      <c r="L507" s="80"/>
      <c r="M507" s="86" t="str">
        <f t="shared" ca="1" si="112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3"/>
        <v>1.1249999999999998</v>
      </c>
      <c r="C508" s="85"/>
      <c r="D508" s="90"/>
      <c r="E508" s="90"/>
      <c r="F508" s="78"/>
      <c r="G508" s="79" t="str">
        <f t="shared" si="111"/>
        <v/>
      </c>
      <c r="H508" s="76"/>
      <c r="I508" s="76"/>
      <c r="J508" s="76"/>
      <c r="K508" s="80"/>
      <c r="L508" s="80"/>
      <c r="M508" s="81" t="str">
        <f t="shared" ca="1" si="112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3"/>
        <v>1.1666666666666665</v>
      </c>
      <c r="C509" s="85"/>
      <c r="D509" s="90"/>
      <c r="E509" s="90"/>
      <c r="F509" s="78"/>
      <c r="G509" s="84" t="str">
        <f t="shared" si="111"/>
        <v/>
      </c>
      <c r="H509" s="85"/>
      <c r="I509" s="85"/>
      <c r="J509" s="85"/>
      <c r="K509" s="80"/>
      <c r="L509" s="80"/>
      <c r="M509" s="86" t="str">
        <f t="shared" ca="1" si="112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3"/>
        <v>1.2083333333333333</v>
      </c>
      <c r="C510" s="85"/>
      <c r="D510" s="90"/>
      <c r="E510" s="90"/>
      <c r="F510" s="78"/>
      <c r="G510" s="79" t="str">
        <f t="shared" si="111"/>
        <v/>
      </c>
      <c r="H510" s="76"/>
      <c r="I510" s="76"/>
      <c r="J510" s="76"/>
      <c r="K510" s="80"/>
      <c r="L510" s="80"/>
      <c r="M510" s="81" t="str">
        <f t="shared" ca="1" si="112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3"/>
        <v>1.25</v>
      </c>
      <c r="C511" s="85"/>
      <c r="D511" s="90"/>
      <c r="E511" s="90"/>
      <c r="F511" s="78"/>
      <c r="G511" s="84" t="str">
        <f t="shared" si="111"/>
        <v/>
      </c>
      <c r="H511" s="85"/>
      <c r="I511" s="85"/>
      <c r="J511" s="85"/>
      <c r="K511" s="80"/>
      <c r="L511" s="80"/>
      <c r="M511" s="86" t="str">
        <f t="shared" ca="1" si="112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3"/>
        <v>1.2916666666666667</v>
      </c>
      <c r="C512" s="85"/>
      <c r="D512" s="90"/>
      <c r="E512" s="90"/>
      <c r="F512" s="78"/>
      <c r="G512" s="79" t="str">
        <f t="shared" si="111"/>
        <v/>
      </c>
      <c r="H512" s="76"/>
      <c r="I512" s="76"/>
      <c r="J512" s="76"/>
      <c r="K512" s="80"/>
      <c r="L512" s="80"/>
      <c r="M512" s="81" t="str">
        <f t="shared" ca="1" si="112"/>
        <v/>
      </c>
      <c r="N512" s="95"/>
      <c r="O512" s="96"/>
    </row>
    <row r="513" spans="1:15" ht="15.75" customHeight="1" x14ac:dyDescent="0.25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 x14ac:dyDescent="0.25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4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5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6">B515+TIME(0,60,0)</f>
        <v>0.37499999999999967</v>
      </c>
      <c r="C516" s="85"/>
      <c r="D516" s="90"/>
      <c r="E516" s="90"/>
      <c r="F516" s="78"/>
      <c r="G516" s="79" t="str">
        <f t="shared" si="114"/>
        <v/>
      </c>
      <c r="H516" s="85"/>
      <c r="I516" s="76"/>
      <c r="J516" s="85"/>
      <c r="K516" s="80"/>
      <c r="L516" s="80"/>
      <c r="M516" s="81" t="str">
        <f t="shared" ca="1" si="115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6"/>
        <v>0.41666666666666635</v>
      </c>
      <c r="C517" s="85"/>
      <c r="D517" s="90"/>
      <c r="E517" s="90"/>
      <c r="F517" s="78"/>
      <c r="G517" s="84" t="str">
        <f t="shared" si="114"/>
        <v/>
      </c>
      <c r="H517" s="85"/>
      <c r="I517" s="85"/>
      <c r="J517" s="85"/>
      <c r="K517" s="80"/>
      <c r="L517" s="80"/>
      <c r="M517" s="86" t="str">
        <f t="shared" ca="1" si="115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6"/>
        <v>0.45833333333333304</v>
      </c>
      <c r="C518" s="85"/>
      <c r="D518" s="90"/>
      <c r="E518" s="90"/>
      <c r="F518" s="78"/>
      <c r="G518" s="79" t="str">
        <f t="shared" si="114"/>
        <v/>
      </c>
      <c r="H518" s="85"/>
      <c r="I518" s="76"/>
      <c r="J518" s="76"/>
      <c r="K518" s="80"/>
      <c r="L518" s="80"/>
      <c r="M518" s="81" t="str">
        <f t="shared" ca="1" si="115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6"/>
        <v>0.49999999999999972</v>
      </c>
      <c r="C519" s="85"/>
      <c r="D519" s="90"/>
      <c r="E519" s="90"/>
      <c r="F519" s="78"/>
      <c r="G519" s="84" t="str">
        <f t="shared" si="114"/>
        <v/>
      </c>
      <c r="H519" s="85"/>
      <c r="I519" s="85"/>
      <c r="J519" s="85"/>
      <c r="K519" s="80"/>
      <c r="L519" s="80"/>
      <c r="M519" s="86" t="str">
        <f t="shared" ca="1" si="115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6"/>
        <v>0.54166666666666641</v>
      </c>
      <c r="C520" s="85"/>
      <c r="D520" s="90"/>
      <c r="E520" s="90"/>
      <c r="F520" s="78"/>
      <c r="G520" s="79" t="str">
        <f t="shared" si="114"/>
        <v/>
      </c>
      <c r="H520" s="76"/>
      <c r="I520" s="76"/>
      <c r="J520" s="76"/>
      <c r="K520" s="80"/>
      <c r="L520" s="80"/>
      <c r="M520" s="81" t="str">
        <f t="shared" ca="1" si="115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6"/>
        <v>0.58333333333333304</v>
      </c>
      <c r="C521" s="85"/>
      <c r="D521" s="90"/>
      <c r="E521" s="90"/>
      <c r="F521" s="78"/>
      <c r="G521" s="84" t="str">
        <f t="shared" si="114"/>
        <v/>
      </c>
      <c r="H521" s="85"/>
      <c r="I521" s="85"/>
      <c r="J521" s="85"/>
      <c r="K521" s="80"/>
      <c r="L521" s="80"/>
      <c r="M521" s="86" t="str">
        <f t="shared" ca="1" si="115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6"/>
        <v>0.62499999999999967</v>
      </c>
      <c r="C522" s="85"/>
      <c r="D522" s="90"/>
      <c r="E522" s="90"/>
      <c r="F522" s="78"/>
      <c r="G522" s="79" t="str">
        <f t="shared" si="114"/>
        <v/>
      </c>
      <c r="H522" s="76"/>
      <c r="I522" s="76"/>
      <c r="J522" s="76"/>
      <c r="K522" s="80"/>
      <c r="L522" s="80"/>
      <c r="M522" s="81" t="str">
        <f t="shared" ca="1" si="115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6"/>
        <v>0.6666666666666663</v>
      </c>
      <c r="C523" s="85"/>
      <c r="D523" s="90"/>
      <c r="E523" s="90"/>
      <c r="F523" s="78"/>
      <c r="G523" s="84" t="str">
        <f t="shared" si="114"/>
        <v/>
      </c>
      <c r="H523" s="85"/>
      <c r="I523" s="85"/>
      <c r="J523" s="85"/>
      <c r="K523" s="80"/>
      <c r="L523" s="80"/>
      <c r="M523" s="86" t="str">
        <f t="shared" ca="1" si="115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6"/>
        <v>0.70833333333333293</v>
      </c>
      <c r="C524" s="85"/>
      <c r="D524" s="90"/>
      <c r="E524" s="90"/>
      <c r="F524" s="78"/>
      <c r="G524" s="79" t="str">
        <f t="shared" si="114"/>
        <v/>
      </c>
      <c r="H524" s="76"/>
      <c r="I524" s="76"/>
      <c r="J524" s="76"/>
      <c r="K524" s="80"/>
      <c r="L524" s="80"/>
      <c r="M524" s="81" t="str">
        <f t="shared" ca="1" si="115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6"/>
        <v>0.74999999999999956</v>
      </c>
      <c r="C525" s="85"/>
      <c r="D525" s="90"/>
      <c r="E525" s="90"/>
      <c r="F525" s="78"/>
      <c r="G525" s="84" t="str">
        <f t="shared" si="114"/>
        <v/>
      </c>
      <c r="H525" s="85"/>
      <c r="I525" s="85"/>
      <c r="J525" s="85"/>
      <c r="K525" s="80"/>
      <c r="L525" s="80"/>
      <c r="M525" s="86" t="str">
        <f t="shared" ca="1" si="115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6"/>
        <v>0.79166666666666619</v>
      </c>
      <c r="C526" s="85"/>
      <c r="D526" s="90"/>
      <c r="E526" s="90"/>
      <c r="F526" s="78"/>
      <c r="G526" s="79" t="str">
        <f t="shared" si="114"/>
        <v/>
      </c>
      <c r="H526" s="76"/>
      <c r="I526" s="76"/>
      <c r="J526" s="76"/>
      <c r="K526" s="80"/>
      <c r="L526" s="80"/>
      <c r="M526" s="81" t="str">
        <f t="shared" ca="1" si="115"/>
        <v/>
      </c>
      <c r="N526" s="95"/>
      <c r="O526" s="96"/>
    </row>
    <row r="527" spans="1:15" ht="15.75" customHeight="1" x14ac:dyDescent="0.25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7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8">B528+TIME(0,60,0)</f>
        <v>0.87499999999999967</v>
      </c>
      <c r="C529" s="76"/>
      <c r="D529" s="77"/>
      <c r="E529" s="77"/>
      <c r="F529" s="78"/>
      <c r="G529" s="84" t="str">
        <f t="shared" si="117"/>
        <v/>
      </c>
      <c r="H529" s="85"/>
      <c r="I529" s="85"/>
      <c r="J529" s="85"/>
      <c r="K529" s="80"/>
      <c r="L529" s="80"/>
      <c r="M529" s="86" t="str">
        <f t="shared" ref="M529:M539" ca="1" si="119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8"/>
        <v>0.9166666666666663</v>
      </c>
      <c r="C530" s="76"/>
      <c r="D530" s="77"/>
      <c r="E530" s="77"/>
      <c r="F530" s="78"/>
      <c r="G530" s="79" t="str">
        <f t="shared" si="117"/>
        <v/>
      </c>
      <c r="H530" s="76"/>
      <c r="I530" s="76"/>
      <c r="J530" s="76"/>
      <c r="K530" s="80"/>
      <c r="L530" s="80"/>
      <c r="M530" s="81" t="str">
        <f t="shared" ca="1" si="119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8"/>
        <v>0.95833333333333293</v>
      </c>
      <c r="C531" s="76"/>
      <c r="D531" s="77"/>
      <c r="E531" s="77"/>
      <c r="F531" s="78"/>
      <c r="G531" s="84" t="str">
        <f t="shared" si="117"/>
        <v/>
      </c>
      <c r="H531" s="85"/>
      <c r="I531" s="85"/>
      <c r="J531" s="85"/>
      <c r="K531" s="80"/>
      <c r="L531" s="80"/>
      <c r="M531" s="86" t="str">
        <f t="shared" ca="1" si="119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8"/>
        <v>0.99999999999999956</v>
      </c>
      <c r="C532" s="76"/>
      <c r="D532" s="77"/>
      <c r="E532" s="77"/>
      <c r="F532" s="78"/>
      <c r="G532" s="79" t="str">
        <f t="shared" si="117"/>
        <v/>
      </c>
      <c r="H532" s="76"/>
      <c r="I532" s="76"/>
      <c r="J532" s="76"/>
      <c r="K532" s="80"/>
      <c r="L532" s="80"/>
      <c r="M532" s="81" t="str">
        <f t="shared" ca="1" si="119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8"/>
        <v>1.0416666666666663</v>
      </c>
      <c r="C533" s="76"/>
      <c r="D533" s="77"/>
      <c r="E533" s="77"/>
      <c r="F533" s="78"/>
      <c r="G533" s="84" t="str">
        <f t="shared" si="117"/>
        <v/>
      </c>
      <c r="H533" s="85"/>
      <c r="I533" s="85"/>
      <c r="J533" s="85"/>
      <c r="K533" s="80"/>
      <c r="L533" s="80"/>
      <c r="M533" s="86" t="str">
        <f t="shared" ca="1" si="119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8"/>
        <v>1.083333333333333</v>
      </c>
      <c r="C534" s="76"/>
      <c r="D534" s="77"/>
      <c r="E534" s="77"/>
      <c r="F534" s="78"/>
      <c r="G534" s="79" t="str">
        <f t="shared" si="117"/>
        <v/>
      </c>
      <c r="H534" s="76"/>
      <c r="I534" s="76"/>
      <c r="J534" s="76"/>
      <c r="K534" s="80"/>
      <c r="L534" s="80"/>
      <c r="M534" s="81" t="str">
        <f t="shared" ca="1" si="119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8"/>
        <v>1.1249999999999998</v>
      </c>
      <c r="C535" s="76"/>
      <c r="D535" s="77"/>
      <c r="E535" s="77"/>
      <c r="F535" s="78"/>
      <c r="G535" s="84" t="str">
        <f t="shared" si="117"/>
        <v/>
      </c>
      <c r="H535" s="85"/>
      <c r="I535" s="85"/>
      <c r="J535" s="85"/>
      <c r="K535" s="80"/>
      <c r="L535" s="80"/>
      <c r="M535" s="86" t="str">
        <f t="shared" ca="1" si="119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8"/>
        <v>1.1666666666666665</v>
      </c>
      <c r="C536" s="76"/>
      <c r="D536" s="77"/>
      <c r="E536" s="77"/>
      <c r="F536" s="78"/>
      <c r="G536" s="79" t="str">
        <f t="shared" si="117"/>
        <v/>
      </c>
      <c r="H536" s="76"/>
      <c r="I536" s="76"/>
      <c r="J536" s="76"/>
      <c r="K536" s="80"/>
      <c r="L536" s="80"/>
      <c r="M536" s="81" t="str">
        <f t="shared" ca="1" si="119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8"/>
        <v>1.2083333333333333</v>
      </c>
      <c r="C537" s="76"/>
      <c r="D537" s="77"/>
      <c r="E537" s="77"/>
      <c r="F537" s="78"/>
      <c r="G537" s="84" t="str">
        <f t="shared" si="117"/>
        <v/>
      </c>
      <c r="H537" s="85"/>
      <c r="I537" s="85"/>
      <c r="J537" s="85"/>
      <c r="K537" s="80"/>
      <c r="L537" s="80"/>
      <c r="M537" s="86" t="str">
        <f t="shared" ca="1" si="119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8"/>
        <v>1.25</v>
      </c>
      <c r="C538" s="76"/>
      <c r="D538" s="77"/>
      <c r="E538" s="77"/>
      <c r="F538" s="78"/>
      <c r="G538" s="79" t="str">
        <f t="shared" si="117"/>
        <v/>
      </c>
      <c r="H538" s="76"/>
      <c r="I538" s="76"/>
      <c r="J538" s="76"/>
      <c r="K538" s="80"/>
      <c r="L538" s="80"/>
      <c r="M538" s="81" t="str">
        <f t="shared" ca="1" si="119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8"/>
        <v>1.2916666666666667</v>
      </c>
      <c r="C539" s="76"/>
      <c r="D539" s="77"/>
      <c r="E539" s="77"/>
      <c r="F539" s="78"/>
      <c r="G539" s="84" t="str">
        <f t="shared" si="117"/>
        <v/>
      </c>
      <c r="H539" s="85"/>
      <c r="I539" s="85"/>
      <c r="J539" s="85"/>
      <c r="K539" s="80"/>
      <c r="L539" s="80"/>
      <c r="M539" s="86" t="str">
        <f t="shared" ca="1" si="119"/>
        <v/>
      </c>
      <c r="N539" s="95"/>
      <c r="O539" s="96"/>
    </row>
    <row r="540" spans="1:15" ht="15.75" customHeight="1" x14ac:dyDescent="0.25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 x14ac:dyDescent="0.25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0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1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2">B542+TIME(0,60,0)</f>
        <v>0.37499999999999967</v>
      </c>
      <c r="C543" s="76"/>
      <c r="D543" s="77"/>
      <c r="E543" s="77"/>
      <c r="F543" s="78"/>
      <c r="G543" s="84" t="str">
        <f t="shared" si="120"/>
        <v/>
      </c>
      <c r="H543" s="85"/>
      <c r="I543" s="85"/>
      <c r="J543" s="85"/>
      <c r="K543" s="80"/>
      <c r="L543" s="80"/>
      <c r="M543" s="86" t="str">
        <f t="shared" ca="1" si="121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2"/>
        <v>0.41666666666666635</v>
      </c>
      <c r="C544" s="76"/>
      <c r="D544" s="77"/>
      <c r="E544" s="77"/>
      <c r="F544" s="78"/>
      <c r="G544" s="79" t="str">
        <f t="shared" si="120"/>
        <v/>
      </c>
      <c r="H544" s="76"/>
      <c r="I544" s="76"/>
      <c r="J544" s="76"/>
      <c r="K544" s="80"/>
      <c r="L544" s="80"/>
      <c r="M544" s="81" t="str">
        <f t="shared" ca="1" si="121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2"/>
        <v>0.45833333333333304</v>
      </c>
      <c r="C545" s="76"/>
      <c r="D545" s="77"/>
      <c r="E545" s="77"/>
      <c r="F545" s="78"/>
      <c r="G545" s="84" t="str">
        <f t="shared" si="120"/>
        <v/>
      </c>
      <c r="H545" s="85"/>
      <c r="I545" s="85"/>
      <c r="J545" s="85"/>
      <c r="K545" s="80"/>
      <c r="L545" s="80"/>
      <c r="M545" s="86" t="str">
        <f t="shared" ca="1" si="121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2"/>
        <v>0.49999999999999972</v>
      </c>
      <c r="C546" s="76"/>
      <c r="D546" s="77"/>
      <c r="E546" s="77"/>
      <c r="F546" s="78"/>
      <c r="G546" s="79" t="str">
        <f t="shared" si="120"/>
        <v/>
      </c>
      <c r="H546" s="76"/>
      <c r="I546" s="76"/>
      <c r="J546" s="76"/>
      <c r="K546" s="80"/>
      <c r="L546" s="80"/>
      <c r="M546" s="81" t="str">
        <f t="shared" ca="1" si="121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2"/>
        <v>0.54166666666666641</v>
      </c>
      <c r="C547" s="76"/>
      <c r="D547" s="77"/>
      <c r="E547" s="77"/>
      <c r="F547" s="78"/>
      <c r="G547" s="84" t="str">
        <f t="shared" si="120"/>
        <v/>
      </c>
      <c r="H547" s="85"/>
      <c r="I547" s="85"/>
      <c r="J547" s="85"/>
      <c r="K547" s="80"/>
      <c r="L547" s="80"/>
      <c r="M547" s="86" t="str">
        <f t="shared" ca="1" si="121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2"/>
        <v>0.58333333333333304</v>
      </c>
      <c r="C548" s="76"/>
      <c r="D548" s="77"/>
      <c r="E548" s="77"/>
      <c r="F548" s="78"/>
      <c r="G548" s="79" t="str">
        <f t="shared" si="120"/>
        <v/>
      </c>
      <c r="H548" s="76"/>
      <c r="I548" s="76"/>
      <c r="J548" s="76"/>
      <c r="K548" s="80"/>
      <c r="L548" s="80"/>
      <c r="M548" s="81" t="str">
        <f t="shared" ca="1" si="121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2"/>
        <v>0.62499999999999967</v>
      </c>
      <c r="C549" s="76"/>
      <c r="D549" s="77"/>
      <c r="E549" s="77"/>
      <c r="F549" s="78"/>
      <c r="G549" s="84" t="str">
        <f t="shared" si="120"/>
        <v/>
      </c>
      <c r="H549" s="85"/>
      <c r="I549" s="85"/>
      <c r="J549" s="85"/>
      <c r="K549" s="80"/>
      <c r="L549" s="80"/>
      <c r="M549" s="86" t="str">
        <f t="shared" ca="1" si="121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2"/>
        <v>0.6666666666666663</v>
      </c>
      <c r="C550" s="76"/>
      <c r="D550" s="77"/>
      <c r="E550" s="77"/>
      <c r="F550" s="78"/>
      <c r="G550" s="79" t="str">
        <f t="shared" si="120"/>
        <v/>
      </c>
      <c r="H550" s="76"/>
      <c r="I550" s="76"/>
      <c r="J550" s="76"/>
      <c r="K550" s="80"/>
      <c r="L550" s="80"/>
      <c r="M550" s="81" t="str">
        <f t="shared" ca="1" si="121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2"/>
        <v>0.70833333333333293</v>
      </c>
      <c r="C551" s="76"/>
      <c r="D551" s="77"/>
      <c r="E551" s="77"/>
      <c r="F551" s="78"/>
      <c r="G551" s="84" t="str">
        <f t="shared" si="120"/>
        <v/>
      </c>
      <c r="H551" s="85"/>
      <c r="I551" s="85"/>
      <c r="J551" s="85"/>
      <c r="K551" s="80"/>
      <c r="L551" s="80"/>
      <c r="M551" s="86" t="str">
        <f t="shared" ca="1" si="121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2"/>
        <v>0.74999999999999956</v>
      </c>
      <c r="C552" s="76"/>
      <c r="D552" s="77"/>
      <c r="E552" s="77"/>
      <c r="F552" s="78"/>
      <c r="G552" s="79" t="str">
        <f t="shared" si="120"/>
        <v/>
      </c>
      <c r="H552" s="76"/>
      <c r="I552" s="76"/>
      <c r="J552" s="76"/>
      <c r="K552" s="80"/>
      <c r="L552" s="80"/>
      <c r="M552" s="81" t="str">
        <f t="shared" ca="1" si="121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2"/>
        <v>0.79166666666666619</v>
      </c>
      <c r="C553" s="76"/>
      <c r="D553" s="77"/>
      <c r="E553" s="77"/>
      <c r="F553" s="78"/>
      <c r="G553" s="84" t="str">
        <f t="shared" si="120"/>
        <v/>
      </c>
      <c r="H553" s="85"/>
      <c r="I553" s="85"/>
      <c r="J553" s="85"/>
      <c r="K553" s="80"/>
      <c r="L553" s="80"/>
      <c r="M553" s="86" t="str">
        <f t="shared" ca="1" si="121"/>
        <v/>
      </c>
      <c r="N553" s="95"/>
      <c r="O553" s="96"/>
    </row>
    <row r="554" spans="1:15" ht="15.75" customHeight="1" x14ac:dyDescent="0.25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3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4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5">B555+TIME(0,60,0)</f>
        <v>0.87499999999999967</v>
      </c>
      <c r="C556" s="85"/>
      <c r="D556" s="90"/>
      <c r="E556" s="90"/>
      <c r="F556" s="78"/>
      <c r="G556" s="79" t="str">
        <f t="shared" si="123"/>
        <v/>
      </c>
      <c r="H556" s="76"/>
      <c r="I556" s="76"/>
      <c r="J556" s="76"/>
      <c r="K556" s="80"/>
      <c r="L556" s="80"/>
      <c r="M556" s="81" t="str">
        <f t="shared" ca="1" si="124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5"/>
        <v>0.9166666666666663</v>
      </c>
      <c r="C557" s="85"/>
      <c r="D557" s="90"/>
      <c r="E557" s="90"/>
      <c r="F557" s="78"/>
      <c r="G557" s="84" t="str">
        <f t="shared" si="123"/>
        <v/>
      </c>
      <c r="H557" s="85"/>
      <c r="I557" s="85"/>
      <c r="J557" s="85"/>
      <c r="K557" s="80"/>
      <c r="L557" s="80"/>
      <c r="M557" s="86" t="str">
        <f t="shared" ca="1" si="124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5"/>
        <v>0.95833333333333293</v>
      </c>
      <c r="C558" s="85"/>
      <c r="D558" s="90"/>
      <c r="E558" s="90"/>
      <c r="F558" s="78"/>
      <c r="G558" s="79" t="str">
        <f t="shared" si="123"/>
        <v/>
      </c>
      <c r="H558" s="76"/>
      <c r="I558" s="76"/>
      <c r="J558" s="76"/>
      <c r="K558" s="80"/>
      <c r="L558" s="80"/>
      <c r="M558" s="81" t="str">
        <f t="shared" ca="1" si="124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5"/>
        <v>0.99999999999999956</v>
      </c>
      <c r="C559" s="85"/>
      <c r="D559" s="90"/>
      <c r="E559" s="90"/>
      <c r="F559" s="78"/>
      <c r="G559" s="84" t="str">
        <f t="shared" si="123"/>
        <v/>
      </c>
      <c r="H559" s="85"/>
      <c r="I559" s="85"/>
      <c r="J559" s="85"/>
      <c r="K559" s="80"/>
      <c r="L559" s="80"/>
      <c r="M559" s="86" t="str">
        <f t="shared" ca="1" si="124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5"/>
        <v>1.0416666666666663</v>
      </c>
      <c r="C560" s="85"/>
      <c r="D560" s="90"/>
      <c r="E560" s="90"/>
      <c r="F560" s="78"/>
      <c r="G560" s="79" t="str">
        <f t="shared" si="123"/>
        <v/>
      </c>
      <c r="H560" s="76"/>
      <c r="I560" s="76"/>
      <c r="J560" s="76"/>
      <c r="K560" s="80"/>
      <c r="L560" s="80"/>
      <c r="M560" s="81" t="str">
        <f t="shared" ca="1" si="124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5"/>
        <v>1.083333333333333</v>
      </c>
      <c r="C561" s="85"/>
      <c r="D561" s="90"/>
      <c r="E561" s="90"/>
      <c r="F561" s="78"/>
      <c r="G561" s="84" t="str">
        <f t="shared" si="123"/>
        <v/>
      </c>
      <c r="H561" s="85"/>
      <c r="I561" s="85"/>
      <c r="J561" s="85"/>
      <c r="K561" s="80"/>
      <c r="L561" s="80"/>
      <c r="M561" s="86" t="str">
        <f t="shared" ca="1" si="124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5"/>
        <v>1.1249999999999998</v>
      </c>
      <c r="C562" s="85"/>
      <c r="D562" s="90"/>
      <c r="E562" s="90"/>
      <c r="F562" s="78"/>
      <c r="G562" s="79" t="str">
        <f t="shared" si="123"/>
        <v/>
      </c>
      <c r="H562" s="76"/>
      <c r="I562" s="76"/>
      <c r="J562" s="76"/>
      <c r="K562" s="80"/>
      <c r="L562" s="80"/>
      <c r="M562" s="81" t="str">
        <f t="shared" ca="1" si="124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5"/>
        <v>1.1666666666666665</v>
      </c>
      <c r="C563" s="85"/>
      <c r="D563" s="90"/>
      <c r="E563" s="90"/>
      <c r="F563" s="78"/>
      <c r="G563" s="84" t="str">
        <f t="shared" si="123"/>
        <v/>
      </c>
      <c r="H563" s="85"/>
      <c r="I563" s="85"/>
      <c r="J563" s="85"/>
      <c r="K563" s="80"/>
      <c r="L563" s="80"/>
      <c r="M563" s="86" t="str">
        <f t="shared" ca="1" si="124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5"/>
        <v>1.2083333333333333</v>
      </c>
      <c r="C564" s="85"/>
      <c r="D564" s="90"/>
      <c r="E564" s="90"/>
      <c r="F564" s="78"/>
      <c r="G564" s="79" t="str">
        <f t="shared" si="123"/>
        <v/>
      </c>
      <c r="H564" s="76"/>
      <c r="I564" s="76"/>
      <c r="J564" s="76"/>
      <c r="K564" s="80"/>
      <c r="L564" s="80"/>
      <c r="M564" s="81" t="str">
        <f t="shared" ca="1" si="124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5"/>
        <v>1.25</v>
      </c>
      <c r="C565" s="85"/>
      <c r="D565" s="90"/>
      <c r="E565" s="90"/>
      <c r="F565" s="78"/>
      <c r="G565" s="84" t="str">
        <f t="shared" si="123"/>
        <v/>
      </c>
      <c r="H565" s="85"/>
      <c r="I565" s="85"/>
      <c r="J565" s="85"/>
      <c r="K565" s="80"/>
      <c r="L565" s="80"/>
      <c r="M565" s="86" t="str">
        <f t="shared" ca="1" si="124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5"/>
        <v>1.2916666666666667</v>
      </c>
      <c r="C566" s="85"/>
      <c r="D566" s="90"/>
      <c r="E566" s="90"/>
      <c r="F566" s="78"/>
      <c r="G566" s="79" t="str">
        <f t="shared" si="123"/>
        <v/>
      </c>
      <c r="H566" s="76"/>
      <c r="I566" s="76"/>
      <c r="J566" s="76"/>
      <c r="K566" s="80"/>
      <c r="L566" s="80"/>
      <c r="M566" s="81" t="str">
        <f t="shared" ca="1" si="124"/>
        <v/>
      </c>
      <c r="N566" s="95"/>
      <c r="O566" s="96"/>
    </row>
    <row r="567" spans="1:15" ht="15.75" customHeight="1" x14ac:dyDescent="0.25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 x14ac:dyDescent="0.25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6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7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8">B569+TIME(0,60,0)</f>
        <v>0.37499999999999967</v>
      </c>
      <c r="C570" s="85"/>
      <c r="D570" s="90"/>
      <c r="E570" s="90"/>
      <c r="F570" s="78"/>
      <c r="G570" s="84" t="str">
        <f t="shared" si="126"/>
        <v/>
      </c>
      <c r="H570" s="76"/>
      <c r="I570" s="76"/>
      <c r="J570" s="76"/>
      <c r="K570" s="80"/>
      <c r="L570" s="80"/>
      <c r="M570" s="81" t="str">
        <f t="shared" ca="1" si="127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8"/>
        <v>0.41666666666666635</v>
      </c>
      <c r="C571" s="85"/>
      <c r="D571" s="90"/>
      <c r="E571" s="90"/>
      <c r="F571" s="78"/>
      <c r="G571" s="84" t="str">
        <f t="shared" si="126"/>
        <v/>
      </c>
      <c r="H571" s="85"/>
      <c r="I571" s="85"/>
      <c r="J571" s="85"/>
      <c r="K571" s="80"/>
      <c r="L571" s="80"/>
      <c r="M571" s="86" t="str">
        <f t="shared" ca="1" si="127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8"/>
        <v>0.45833333333333304</v>
      </c>
      <c r="C572" s="85"/>
      <c r="D572" s="90"/>
      <c r="E572" s="90"/>
      <c r="F572" s="78"/>
      <c r="G572" s="84" t="str">
        <f t="shared" si="126"/>
        <v/>
      </c>
      <c r="H572" s="76"/>
      <c r="I572" s="76"/>
      <c r="J572" s="76"/>
      <c r="K572" s="80"/>
      <c r="L572" s="80"/>
      <c r="M572" s="81" t="str">
        <f t="shared" ca="1" si="127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8"/>
        <v>0.49999999999999972</v>
      </c>
      <c r="C573" s="85"/>
      <c r="D573" s="90"/>
      <c r="E573" s="90"/>
      <c r="F573" s="78"/>
      <c r="G573" s="84" t="str">
        <f t="shared" si="126"/>
        <v/>
      </c>
      <c r="H573" s="85"/>
      <c r="I573" s="85"/>
      <c r="J573" s="85"/>
      <c r="K573" s="80"/>
      <c r="L573" s="80"/>
      <c r="M573" s="86" t="str">
        <f t="shared" ca="1" si="127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8"/>
        <v>0.54166666666666641</v>
      </c>
      <c r="C574" s="85"/>
      <c r="D574" s="90"/>
      <c r="E574" s="90"/>
      <c r="F574" s="78"/>
      <c r="G574" s="84" t="str">
        <f t="shared" si="126"/>
        <v/>
      </c>
      <c r="H574" s="76"/>
      <c r="I574" s="76"/>
      <c r="J574" s="76"/>
      <c r="K574" s="80"/>
      <c r="L574" s="80"/>
      <c r="M574" s="81" t="str">
        <f t="shared" ca="1" si="127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8"/>
        <v>0.58333333333333304</v>
      </c>
      <c r="C575" s="85"/>
      <c r="D575" s="90"/>
      <c r="E575" s="90"/>
      <c r="F575" s="78"/>
      <c r="G575" s="84" t="str">
        <f t="shared" si="126"/>
        <v/>
      </c>
      <c r="H575" s="85"/>
      <c r="I575" s="85"/>
      <c r="J575" s="85"/>
      <c r="K575" s="80"/>
      <c r="L575" s="80"/>
      <c r="M575" s="86" t="str">
        <f t="shared" ca="1" si="127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8"/>
        <v>0.62499999999999967</v>
      </c>
      <c r="C576" s="85"/>
      <c r="D576" s="90"/>
      <c r="E576" s="90"/>
      <c r="F576" s="78"/>
      <c r="G576" s="84" t="str">
        <f t="shared" si="126"/>
        <v/>
      </c>
      <c r="H576" s="76"/>
      <c r="I576" s="76"/>
      <c r="J576" s="76"/>
      <c r="K576" s="80"/>
      <c r="L576" s="80"/>
      <c r="M576" s="81" t="str">
        <f t="shared" ca="1" si="127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8"/>
        <v>0.6666666666666663</v>
      </c>
      <c r="C577" s="85"/>
      <c r="D577" s="90"/>
      <c r="E577" s="90"/>
      <c r="F577" s="78"/>
      <c r="G577" s="84" t="str">
        <f t="shared" si="126"/>
        <v/>
      </c>
      <c r="H577" s="85"/>
      <c r="I577" s="85"/>
      <c r="J577" s="85"/>
      <c r="K577" s="80"/>
      <c r="L577" s="80"/>
      <c r="M577" s="86" t="str">
        <f t="shared" ca="1" si="127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8"/>
        <v>0.70833333333333293</v>
      </c>
      <c r="C578" s="85"/>
      <c r="D578" s="90"/>
      <c r="E578" s="90"/>
      <c r="F578" s="78"/>
      <c r="G578" s="84" t="str">
        <f t="shared" si="126"/>
        <v/>
      </c>
      <c r="H578" s="76"/>
      <c r="I578" s="76"/>
      <c r="J578" s="76"/>
      <c r="K578" s="80"/>
      <c r="L578" s="80"/>
      <c r="M578" s="81" t="str">
        <f t="shared" ca="1" si="127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8"/>
        <v>0.74999999999999956</v>
      </c>
      <c r="C579" s="85"/>
      <c r="D579" s="90"/>
      <c r="E579" s="90"/>
      <c r="F579" s="78"/>
      <c r="G579" s="84" t="str">
        <f t="shared" si="126"/>
        <v/>
      </c>
      <c r="H579" s="85"/>
      <c r="I579" s="85"/>
      <c r="J579" s="85"/>
      <c r="K579" s="80"/>
      <c r="L579" s="80"/>
      <c r="M579" s="86" t="str">
        <f t="shared" ca="1" si="127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8"/>
        <v>0.79166666666666619</v>
      </c>
      <c r="C580" s="85"/>
      <c r="D580" s="90"/>
      <c r="E580" s="90"/>
      <c r="F580" s="78"/>
      <c r="G580" s="84" t="str">
        <f t="shared" si="126"/>
        <v/>
      </c>
      <c r="H580" s="76"/>
      <c r="I580" s="76"/>
      <c r="J580" s="76"/>
      <c r="K580" s="80"/>
      <c r="L580" s="80"/>
      <c r="M580" s="81" t="str">
        <f t="shared" ca="1" si="127"/>
        <v/>
      </c>
      <c r="N580" s="95"/>
      <c r="O580" s="96"/>
    </row>
    <row r="581" spans="1:15" ht="15.75" customHeight="1" x14ac:dyDescent="0.25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9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0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1">B582+TIME(0,60,0)</f>
        <v>0.87499999999999967</v>
      </c>
      <c r="C583" s="76"/>
      <c r="D583" s="77"/>
      <c r="E583" s="77"/>
      <c r="F583" s="78"/>
      <c r="G583" s="84" t="str">
        <f t="shared" si="129"/>
        <v/>
      </c>
      <c r="H583" s="85"/>
      <c r="I583" s="85"/>
      <c r="J583" s="85"/>
      <c r="K583" s="80"/>
      <c r="L583" s="80"/>
      <c r="M583" s="86" t="str">
        <f t="shared" ca="1" si="130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1"/>
        <v>0.9166666666666663</v>
      </c>
      <c r="C584" s="76"/>
      <c r="D584" s="77"/>
      <c r="E584" s="77"/>
      <c r="F584" s="78"/>
      <c r="G584" s="79" t="str">
        <f t="shared" si="129"/>
        <v/>
      </c>
      <c r="H584" s="76"/>
      <c r="I584" s="76"/>
      <c r="J584" s="76"/>
      <c r="K584" s="80"/>
      <c r="L584" s="80"/>
      <c r="M584" s="81" t="str">
        <f t="shared" ca="1" si="130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1"/>
        <v>0.95833333333333293</v>
      </c>
      <c r="C585" s="76"/>
      <c r="D585" s="77"/>
      <c r="E585" s="77"/>
      <c r="F585" s="78"/>
      <c r="G585" s="84" t="str">
        <f t="shared" si="129"/>
        <v/>
      </c>
      <c r="H585" s="85"/>
      <c r="I585" s="85"/>
      <c r="J585" s="85"/>
      <c r="K585" s="80"/>
      <c r="L585" s="80"/>
      <c r="M585" s="86" t="str">
        <f t="shared" ca="1" si="130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1"/>
        <v>0.99999999999999956</v>
      </c>
      <c r="C586" s="76"/>
      <c r="D586" s="77"/>
      <c r="E586" s="77"/>
      <c r="F586" s="78"/>
      <c r="G586" s="79" t="str">
        <f t="shared" si="129"/>
        <v/>
      </c>
      <c r="H586" s="76"/>
      <c r="I586" s="76"/>
      <c r="J586" s="76"/>
      <c r="K586" s="80"/>
      <c r="L586" s="80"/>
      <c r="M586" s="81" t="str">
        <f t="shared" ca="1" si="130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1"/>
        <v>1.0416666666666663</v>
      </c>
      <c r="C587" s="76"/>
      <c r="D587" s="77"/>
      <c r="E587" s="77"/>
      <c r="F587" s="78"/>
      <c r="G587" s="84" t="str">
        <f t="shared" si="129"/>
        <v/>
      </c>
      <c r="H587" s="85"/>
      <c r="I587" s="85"/>
      <c r="J587" s="85"/>
      <c r="K587" s="80"/>
      <c r="L587" s="80"/>
      <c r="M587" s="86" t="str">
        <f t="shared" ca="1" si="130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1"/>
        <v>1.083333333333333</v>
      </c>
      <c r="C588" s="76"/>
      <c r="D588" s="77"/>
      <c r="E588" s="77"/>
      <c r="F588" s="78"/>
      <c r="G588" s="79" t="str">
        <f t="shared" si="129"/>
        <v/>
      </c>
      <c r="H588" s="76"/>
      <c r="I588" s="76"/>
      <c r="J588" s="76"/>
      <c r="K588" s="80"/>
      <c r="L588" s="80"/>
      <c r="M588" s="81" t="str">
        <f t="shared" ca="1" si="130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1"/>
        <v>1.1249999999999998</v>
      </c>
      <c r="C589" s="76"/>
      <c r="D589" s="77"/>
      <c r="E589" s="77"/>
      <c r="F589" s="78"/>
      <c r="G589" s="84" t="str">
        <f t="shared" si="129"/>
        <v/>
      </c>
      <c r="H589" s="85"/>
      <c r="I589" s="85"/>
      <c r="J589" s="85"/>
      <c r="K589" s="80"/>
      <c r="L589" s="80"/>
      <c r="M589" s="86" t="str">
        <f t="shared" ca="1" si="130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1"/>
        <v>1.1666666666666665</v>
      </c>
      <c r="C590" s="76"/>
      <c r="D590" s="77"/>
      <c r="E590" s="77"/>
      <c r="F590" s="78"/>
      <c r="G590" s="79" t="str">
        <f t="shared" si="129"/>
        <v/>
      </c>
      <c r="H590" s="76"/>
      <c r="I590" s="76"/>
      <c r="J590" s="76"/>
      <c r="K590" s="80"/>
      <c r="L590" s="80"/>
      <c r="M590" s="81" t="str">
        <f t="shared" ca="1" si="130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1"/>
        <v>1.2083333333333333</v>
      </c>
      <c r="C591" s="76"/>
      <c r="D591" s="77"/>
      <c r="E591" s="77"/>
      <c r="F591" s="78"/>
      <c r="G591" s="84" t="str">
        <f t="shared" si="129"/>
        <v/>
      </c>
      <c r="H591" s="85"/>
      <c r="I591" s="85"/>
      <c r="J591" s="85"/>
      <c r="K591" s="80"/>
      <c r="L591" s="80"/>
      <c r="M591" s="86" t="str">
        <f t="shared" ca="1" si="130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1"/>
        <v>1.25</v>
      </c>
      <c r="C592" s="76"/>
      <c r="D592" s="77"/>
      <c r="E592" s="77"/>
      <c r="F592" s="78"/>
      <c r="G592" s="79" t="str">
        <f t="shared" si="129"/>
        <v/>
      </c>
      <c r="H592" s="76"/>
      <c r="I592" s="76"/>
      <c r="J592" s="76"/>
      <c r="K592" s="80"/>
      <c r="L592" s="80"/>
      <c r="M592" s="81" t="str">
        <f t="shared" ca="1" si="130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1"/>
        <v>1.2916666666666667</v>
      </c>
      <c r="C593" s="76"/>
      <c r="D593" s="77"/>
      <c r="E593" s="77"/>
      <c r="F593" s="78"/>
      <c r="G593" s="84" t="str">
        <f t="shared" si="129"/>
        <v/>
      </c>
      <c r="H593" s="85"/>
      <c r="I593" s="85"/>
      <c r="J593" s="85"/>
      <c r="K593" s="80"/>
      <c r="L593" s="80"/>
      <c r="M593" s="86" t="str">
        <f t="shared" ca="1" si="130"/>
        <v/>
      </c>
      <c r="N593" s="95"/>
      <c r="O593" s="96"/>
    </row>
    <row r="594" spans="1:15" ht="15.75" customHeight="1" x14ac:dyDescent="0.25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 x14ac:dyDescent="0.25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2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3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4">B596+TIME(0,60,0)</f>
        <v>0.37499999999999967</v>
      </c>
      <c r="C597" s="76"/>
      <c r="D597" s="77"/>
      <c r="E597" s="77"/>
      <c r="F597" s="78"/>
      <c r="G597" s="84" t="str">
        <f t="shared" si="132"/>
        <v/>
      </c>
      <c r="H597" s="85"/>
      <c r="I597" s="85"/>
      <c r="J597" s="85"/>
      <c r="K597" s="80"/>
      <c r="L597" s="80"/>
      <c r="M597" s="86" t="str">
        <f t="shared" ca="1" si="133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4"/>
        <v>0.41666666666666635</v>
      </c>
      <c r="C598" s="76"/>
      <c r="D598" s="77"/>
      <c r="E598" s="77"/>
      <c r="F598" s="78"/>
      <c r="G598" s="79" t="str">
        <f t="shared" si="132"/>
        <v/>
      </c>
      <c r="H598" s="76"/>
      <c r="I598" s="76"/>
      <c r="J598" s="76"/>
      <c r="K598" s="80"/>
      <c r="L598" s="80"/>
      <c r="M598" s="81" t="str">
        <f t="shared" ca="1" si="133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4"/>
        <v>0.45833333333333304</v>
      </c>
      <c r="C599" s="76"/>
      <c r="D599" s="77"/>
      <c r="E599" s="77"/>
      <c r="F599" s="78"/>
      <c r="G599" s="84" t="str">
        <f t="shared" si="132"/>
        <v/>
      </c>
      <c r="H599" s="85"/>
      <c r="I599" s="85"/>
      <c r="J599" s="85"/>
      <c r="K599" s="80"/>
      <c r="L599" s="80"/>
      <c r="M599" s="86" t="str">
        <f t="shared" ca="1" si="133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4"/>
        <v>0.49999999999999972</v>
      </c>
      <c r="C600" s="76"/>
      <c r="D600" s="77"/>
      <c r="E600" s="77"/>
      <c r="F600" s="78"/>
      <c r="G600" s="79" t="str">
        <f t="shared" si="132"/>
        <v/>
      </c>
      <c r="H600" s="76"/>
      <c r="I600" s="76"/>
      <c r="J600" s="76"/>
      <c r="K600" s="80"/>
      <c r="L600" s="80"/>
      <c r="M600" s="81" t="str">
        <f t="shared" ca="1" si="133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4"/>
        <v>0.54166666666666641</v>
      </c>
      <c r="C601" s="76"/>
      <c r="D601" s="77"/>
      <c r="E601" s="77"/>
      <c r="F601" s="78"/>
      <c r="G601" s="84" t="str">
        <f t="shared" si="132"/>
        <v/>
      </c>
      <c r="H601" s="85"/>
      <c r="I601" s="85"/>
      <c r="J601" s="85"/>
      <c r="K601" s="80"/>
      <c r="L601" s="80"/>
      <c r="M601" s="86" t="str">
        <f t="shared" ca="1" si="133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4"/>
        <v>0.58333333333333304</v>
      </c>
      <c r="C602" s="76"/>
      <c r="D602" s="77"/>
      <c r="E602" s="77"/>
      <c r="F602" s="78"/>
      <c r="G602" s="79" t="str">
        <f t="shared" si="132"/>
        <v/>
      </c>
      <c r="H602" s="76"/>
      <c r="I602" s="76"/>
      <c r="J602" s="76"/>
      <c r="K602" s="80"/>
      <c r="L602" s="80"/>
      <c r="M602" s="81" t="str">
        <f t="shared" ca="1" si="133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4"/>
        <v>0.62499999999999967</v>
      </c>
      <c r="C603" s="76"/>
      <c r="D603" s="77"/>
      <c r="E603" s="77"/>
      <c r="F603" s="78"/>
      <c r="G603" s="84" t="str">
        <f t="shared" si="132"/>
        <v/>
      </c>
      <c r="H603" s="85"/>
      <c r="I603" s="85"/>
      <c r="J603" s="85"/>
      <c r="K603" s="80"/>
      <c r="L603" s="80"/>
      <c r="M603" s="86" t="str">
        <f t="shared" ca="1" si="133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4"/>
        <v>0.6666666666666663</v>
      </c>
      <c r="C604" s="76"/>
      <c r="D604" s="77"/>
      <c r="E604" s="77"/>
      <c r="F604" s="78"/>
      <c r="G604" s="79" t="str">
        <f t="shared" si="132"/>
        <v/>
      </c>
      <c r="H604" s="76"/>
      <c r="I604" s="76"/>
      <c r="J604" s="76"/>
      <c r="K604" s="80"/>
      <c r="L604" s="80"/>
      <c r="M604" s="81" t="str">
        <f t="shared" ca="1" si="133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4"/>
        <v>0.70833333333333293</v>
      </c>
      <c r="C605" s="76"/>
      <c r="D605" s="77"/>
      <c r="E605" s="77"/>
      <c r="F605" s="78"/>
      <c r="G605" s="84" t="str">
        <f t="shared" si="132"/>
        <v/>
      </c>
      <c r="H605" s="85"/>
      <c r="I605" s="85"/>
      <c r="J605" s="85"/>
      <c r="K605" s="80"/>
      <c r="L605" s="80"/>
      <c r="M605" s="86" t="str">
        <f t="shared" ca="1" si="133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4"/>
        <v>0.74999999999999956</v>
      </c>
      <c r="C606" s="76"/>
      <c r="D606" s="77"/>
      <c r="E606" s="77"/>
      <c r="F606" s="78"/>
      <c r="G606" s="79" t="str">
        <f t="shared" si="132"/>
        <v/>
      </c>
      <c r="H606" s="76"/>
      <c r="I606" s="76"/>
      <c r="J606" s="76"/>
      <c r="K606" s="80"/>
      <c r="L606" s="80"/>
      <c r="M606" s="81" t="str">
        <f t="shared" ca="1" si="133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4"/>
        <v>0.79166666666666619</v>
      </c>
      <c r="C607" s="76"/>
      <c r="D607" s="77"/>
      <c r="E607" s="77"/>
      <c r="F607" s="78"/>
      <c r="G607" s="84" t="str">
        <f t="shared" si="132"/>
        <v/>
      </c>
      <c r="H607" s="85"/>
      <c r="I607" s="85"/>
      <c r="J607" s="85"/>
      <c r="K607" s="80"/>
      <c r="L607" s="80"/>
      <c r="M607" s="86" t="str">
        <f t="shared" ca="1" si="133"/>
        <v/>
      </c>
      <c r="N607" s="95"/>
      <c r="O607" s="96"/>
    </row>
    <row r="608" spans="1:15" ht="15.75" customHeight="1" x14ac:dyDescent="0.25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5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6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7">B609+TIME(0,60,0)</f>
        <v>0.87499999999999967</v>
      </c>
      <c r="C610" s="85"/>
      <c r="D610" s="102"/>
      <c r="E610" s="90"/>
      <c r="F610" s="78"/>
      <c r="G610" s="79" t="str">
        <f t="shared" si="135"/>
        <v/>
      </c>
      <c r="H610" s="76"/>
      <c r="I610" s="76"/>
      <c r="J610" s="76"/>
      <c r="K610" s="80"/>
      <c r="L610" s="80"/>
      <c r="M610" s="81" t="str">
        <f t="shared" ca="1" si="136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7"/>
        <v>0.9166666666666663</v>
      </c>
      <c r="C611" s="85"/>
      <c r="D611" s="102"/>
      <c r="E611" s="90"/>
      <c r="F611" s="78"/>
      <c r="G611" s="84" t="str">
        <f t="shared" si="135"/>
        <v/>
      </c>
      <c r="H611" s="85"/>
      <c r="I611" s="85"/>
      <c r="J611" s="85"/>
      <c r="K611" s="80"/>
      <c r="L611" s="80"/>
      <c r="M611" s="86" t="str">
        <f t="shared" ca="1" si="136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7"/>
        <v>0.95833333333333293</v>
      </c>
      <c r="C612" s="85"/>
      <c r="D612" s="102"/>
      <c r="E612" s="90"/>
      <c r="F612" s="78"/>
      <c r="G612" s="79" t="str">
        <f t="shared" si="135"/>
        <v/>
      </c>
      <c r="H612" s="76"/>
      <c r="I612" s="76"/>
      <c r="J612" s="76"/>
      <c r="K612" s="80"/>
      <c r="L612" s="80"/>
      <c r="M612" s="81" t="str">
        <f t="shared" ca="1" si="136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7"/>
        <v>0.99999999999999956</v>
      </c>
      <c r="C613" s="85"/>
      <c r="D613" s="102"/>
      <c r="E613" s="90"/>
      <c r="F613" s="78"/>
      <c r="G613" s="84" t="str">
        <f t="shared" si="135"/>
        <v/>
      </c>
      <c r="H613" s="85"/>
      <c r="I613" s="85"/>
      <c r="J613" s="85"/>
      <c r="K613" s="80"/>
      <c r="L613" s="80"/>
      <c r="M613" s="86" t="str">
        <f t="shared" ca="1" si="136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7"/>
        <v>1.0416666666666663</v>
      </c>
      <c r="C614" s="85"/>
      <c r="D614" s="102"/>
      <c r="E614" s="90"/>
      <c r="F614" s="78"/>
      <c r="G614" s="79" t="str">
        <f t="shared" si="135"/>
        <v/>
      </c>
      <c r="H614" s="76"/>
      <c r="I614" s="76"/>
      <c r="J614" s="76"/>
      <c r="K614" s="80"/>
      <c r="L614" s="80"/>
      <c r="M614" s="81" t="str">
        <f t="shared" ca="1" si="136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7"/>
        <v>1.083333333333333</v>
      </c>
      <c r="C615" s="85"/>
      <c r="D615" s="102"/>
      <c r="E615" s="90"/>
      <c r="F615" s="78"/>
      <c r="G615" s="84" t="str">
        <f t="shared" si="135"/>
        <v/>
      </c>
      <c r="H615" s="85"/>
      <c r="I615" s="85"/>
      <c r="J615" s="85"/>
      <c r="K615" s="80"/>
      <c r="L615" s="80"/>
      <c r="M615" s="86" t="str">
        <f t="shared" ca="1" si="136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7"/>
        <v>1.1249999999999998</v>
      </c>
      <c r="C616" s="85"/>
      <c r="D616" s="102"/>
      <c r="E616" s="90"/>
      <c r="F616" s="78"/>
      <c r="G616" s="79" t="str">
        <f t="shared" si="135"/>
        <v/>
      </c>
      <c r="H616" s="76"/>
      <c r="I616" s="76"/>
      <c r="J616" s="76"/>
      <c r="K616" s="80"/>
      <c r="L616" s="80"/>
      <c r="M616" s="81" t="str">
        <f t="shared" ca="1" si="136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7"/>
        <v>1.1666666666666665</v>
      </c>
      <c r="C617" s="85"/>
      <c r="D617" s="102"/>
      <c r="E617" s="90"/>
      <c r="F617" s="78"/>
      <c r="G617" s="84" t="str">
        <f t="shared" si="135"/>
        <v/>
      </c>
      <c r="H617" s="85"/>
      <c r="I617" s="85"/>
      <c r="J617" s="85"/>
      <c r="K617" s="80"/>
      <c r="L617" s="80"/>
      <c r="M617" s="86" t="str">
        <f t="shared" ca="1" si="136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7"/>
        <v>1.2083333333333333</v>
      </c>
      <c r="C618" s="85"/>
      <c r="D618" s="102"/>
      <c r="E618" s="90"/>
      <c r="F618" s="78"/>
      <c r="G618" s="79" t="str">
        <f t="shared" si="135"/>
        <v/>
      </c>
      <c r="H618" s="76"/>
      <c r="I618" s="76"/>
      <c r="J618" s="76"/>
      <c r="K618" s="80"/>
      <c r="L618" s="80"/>
      <c r="M618" s="81" t="str">
        <f t="shared" ca="1" si="136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7"/>
        <v>1.25</v>
      </c>
      <c r="C619" s="85"/>
      <c r="D619" s="102"/>
      <c r="E619" s="90"/>
      <c r="F619" s="78"/>
      <c r="G619" s="84" t="str">
        <f t="shared" si="135"/>
        <v/>
      </c>
      <c r="H619" s="85"/>
      <c r="I619" s="85"/>
      <c r="J619" s="85"/>
      <c r="K619" s="80"/>
      <c r="L619" s="80"/>
      <c r="M619" s="86" t="str">
        <f t="shared" ca="1" si="136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7"/>
        <v>1.2916666666666667</v>
      </c>
      <c r="C620" s="85"/>
      <c r="D620" s="102"/>
      <c r="E620" s="90"/>
      <c r="F620" s="78"/>
      <c r="G620" s="79" t="str">
        <f t="shared" si="135"/>
        <v/>
      </c>
      <c r="H620" s="76"/>
      <c r="I620" s="76"/>
      <c r="J620" s="76"/>
      <c r="K620" s="80"/>
      <c r="L620" s="80"/>
      <c r="M620" s="81" t="str">
        <f t="shared" ca="1" si="136"/>
        <v/>
      </c>
      <c r="N620" s="95"/>
      <c r="O620" s="96"/>
    </row>
    <row r="621" spans="1:15" ht="15.75" customHeight="1" x14ac:dyDescent="0.25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 x14ac:dyDescent="0.25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8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9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0">B623+TIME(0,60,0)</f>
        <v>0.37499999999999967</v>
      </c>
      <c r="C624" s="85"/>
      <c r="D624" s="90"/>
      <c r="E624" s="90"/>
      <c r="F624" s="78"/>
      <c r="G624" s="79" t="str">
        <f t="shared" si="138"/>
        <v/>
      </c>
      <c r="H624" s="76"/>
      <c r="I624" s="76"/>
      <c r="J624" s="76"/>
      <c r="K624" s="80"/>
      <c r="L624" s="80"/>
      <c r="M624" s="81" t="str">
        <f t="shared" ca="1" si="139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0"/>
        <v>0.41666666666666635</v>
      </c>
      <c r="C625" s="85"/>
      <c r="D625" s="90"/>
      <c r="E625" s="90"/>
      <c r="F625" s="78"/>
      <c r="G625" s="84" t="str">
        <f t="shared" si="138"/>
        <v/>
      </c>
      <c r="H625" s="85"/>
      <c r="I625" s="85"/>
      <c r="J625" s="85"/>
      <c r="K625" s="80"/>
      <c r="L625" s="80"/>
      <c r="M625" s="86" t="str">
        <f t="shared" ca="1" si="139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0"/>
        <v>0.45833333333333304</v>
      </c>
      <c r="C626" s="85"/>
      <c r="D626" s="90"/>
      <c r="E626" s="90"/>
      <c r="F626" s="78"/>
      <c r="G626" s="79" t="str">
        <f t="shared" si="138"/>
        <v/>
      </c>
      <c r="H626" s="76"/>
      <c r="I626" s="76"/>
      <c r="J626" s="76"/>
      <c r="K626" s="80"/>
      <c r="L626" s="80"/>
      <c r="M626" s="81" t="str">
        <f t="shared" ca="1" si="139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0"/>
        <v>0.49999999999999972</v>
      </c>
      <c r="C627" s="85"/>
      <c r="D627" s="90"/>
      <c r="E627" s="90"/>
      <c r="F627" s="78"/>
      <c r="G627" s="84" t="str">
        <f t="shared" si="138"/>
        <v/>
      </c>
      <c r="H627" s="85"/>
      <c r="I627" s="85"/>
      <c r="J627" s="85"/>
      <c r="K627" s="80"/>
      <c r="L627" s="80"/>
      <c r="M627" s="86" t="str">
        <f t="shared" ca="1" si="139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0"/>
        <v>0.54166666666666641</v>
      </c>
      <c r="C628" s="85"/>
      <c r="D628" s="90"/>
      <c r="E628" s="90"/>
      <c r="F628" s="78"/>
      <c r="G628" s="79" t="str">
        <f t="shared" si="138"/>
        <v/>
      </c>
      <c r="H628" s="76"/>
      <c r="I628" s="76"/>
      <c r="J628" s="76"/>
      <c r="K628" s="80"/>
      <c r="L628" s="80"/>
      <c r="M628" s="81" t="str">
        <f t="shared" ca="1" si="139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0"/>
        <v>0.58333333333333304</v>
      </c>
      <c r="C629" s="85"/>
      <c r="D629" s="90"/>
      <c r="E629" s="90"/>
      <c r="F629" s="78"/>
      <c r="G629" s="84" t="str">
        <f t="shared" si="138"/>
        <v/>
      </c>
      <c r="H629" s="85"/>
      <c r="I629" s="85"/>
      <c r="J629" s="85"/>
      <c r="K629" s="80"/>
      <c r="L629" s="80"/>
      <c r="M629" s="86" t="str">
        <f t="shared" ca="1" si="139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0"/>
        <v>0.62499999999999967</v>
      </c>
      <c r="C630" s="85"/>
      <c r="D630" s="90"/>
      <c r="E630" s="90"/>
      <c r="F630" s="78"/>
      <c r="G630" s="79" t="str">
        <f t="shared" si="138"/>
        <v/>
      </c>
      <c r="H630" s="76"/>
      <c r="I630" s="76"/>
      <c r="J630" s="76"/>
      <c r="K630" s="80"/>
      <c r="L630" s="80"/>
      <c r="M630" s="81" t="str">
        <f t="shared" ca="1" si="139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0"/>
        <v>0.6666666666666663</v>
      </c>
      <c r="C631" s="85"/>
      <c r="D631" s="90"/>
      <c r="E631" s="90"/>
      <c r="F631" s="78"/>
      <c r="G631" s="84" t="str">
        <f t="shared" si="138"/>
        <v/>
      </c>
      <c r="H631" s="85"/>
      <c r="I631" s="85"/>
      <c r="J631" s="85"/>
      <c r="K631" s="80"/>
      <c r="L631" s="80"/>
      <c r="M631" s="86" t="str">
        <f t="shared" ca="1" si="139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0"/>
        <v>0.70833333333333293</v>
      </c>
      <c r="C632" s="85"/>
      <c r="D632" s="90"/>
      <c r="E632" s="90"/>
      <c r="F632" s="78"/>
      <c r="G632" s="79" t="str">
        <f t="shared" si="138"/>
        <v/>
      </c>
      <c r="H632" s="76"/>
      <c r="I632" s="76"/>
      <c r="J632" s="76"/>
      <c r="K632" s="80"/>
      <c r="L632" s="80"/>
      <c r="M632" s="81" t="str">
        <f t="shared" ca="1" si="139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0"/>
        <v>0.74999999999999956</v>
      </c>
      <c r="C633" s="85"/>
      <c r="D633" s="90"/>
      <c r="E633" s="90"/>
      <c r="F633" s="78"/>
      <c r="G633" s="84" t="str">
        <f t="shared" si="138"/>
        <v/>
      </c>
      <c r="H633" s="85"/>
      <c r="I633" s="85"/>
      <c r="J633" s="85"/>
      <c r="K633" s="80"/>
      <c r="L633" s="80"/>
      <c r="M633" s="86" t="str">
        <f t="shared" ca="1" si="139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0"/>
        <v>0.79166666666666619</v>
      </c>
      <c r="C634" s="85"/>
      <c r="D634" s="90"/>
      <c r="E634" s="90"/>
      <c r="F634" s="78"/>
      <c r="G634" s="79" t="str">
        <f t="shared" si="138"/>
        <v/>
      </c>
      <c r="H634" s="76"/>
      <c r="I634" s="76"/>
      <c r="J634" s="76"/>
      <c r="K634" s="80"/>
      <c r="L634" s="80"/>
      <c r="M634" s="81" t="str">
        <f t="shared" ca="1" si="139"/>
        <v/>
      </c>
      <c r="N634" s="95"/>
      <c r="O634" s="96"/>
    </row>
    <row r="635" spans="1:15" ht="15.75" customHeight="1" x14ac:dyDescent="0.25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1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2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3">B636+TIME(0,60,0)</f>
        <v>0.87499999999999967</v>
      </c>
      <c r="C637" s="76"/>
      <c r="D637" s="77"/>
      <c r="E637" s="77"/>
      <c r="F637" s="78"/>
      <c r="G637" s="84" t="str">
        <f t="shared" si="141"/>
        <v/>
      </c>
      <c r="H637" s="85"/>
      <c r="I637" s="85"/>
      <c r="J637" s="85"/>
      <c r="K637" s="80"/>
      <c r="L637" s="80"/>
      <c r="M637" s="86" t="str">
        <f t="shared" ca="1" si="142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3"/>
        <v>0.9166666666666663</v>
      </c>
      <c r="C638" s="76"/>
      <c r="D638" s="77"/>
      <c r="E638" s="77"/>
      <c r="F638" s="78"/>
      <c r="G638" s="79" t="str">
        <f t="shared" si="141"/>
        <v/>
      </c>
      <c r="H638" s="76"/>
      <c r="I638" s="76"/>
      <c r="J638" s="76"/>
      <c r="K638" s="80"/>
      <c r="L638" s="80"/>
      <c r="M638" s="81" t="str">
        <f t="shared" ca="1" si="142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3"/>
        <v>0.95833333333333293</v>
      </c>
      <c r="C639" s="76"/>
      <c r="D639" s="77"/>
      <c r="E639" s="77"/>
      <c r="F639" s="78"/>
      <c r="G639" s="84" t="str">
        <f t="shared" si="141"/>
        <v/>
      </c>
      <c r="H639" s="85"/>
      <c r="I639" s="85"/>
      <c r="J639" s="85"/>
      <c r="K639" s="80"/>
      <c r="L639" s="80"/>
      <c r="M639" s="86" t="str">
        <f t="shared" ca="1" si="142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3"/>
        <v>0.99999999999999956</v>
      </c>
      <c r="C640" s="76"/>
      <c r="D640" s="77"/>
      <c r="E640" s="77"/>
      <c r="F640" s="78"/>
      <c r="G640" s="79" t="str">
        <f t="shared" si="141"/>
        <v/>
      </c>
      <c r="H640" s="76"/>
      <c r="I640" s="76"/>
      <c r="J640" s="76"/>
      <c r="K640" s="80"/>
      <c r="L640" s="80"/>
      <c r="M640" s="81" t="str">
        <f t="shared" ca="1" si="142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3"/>
        <v>1.0416666666666663</v>
      </c>
      <c r="C641" s="76"/>
      <c r="E641" s="77"/>
      <c r="F641" s="78"/>
      <c r="G641" s="84" t="str">
        <f t="shared" si="141"/>
        <v/>
      </c>
      <c r="H641" s="85"/>
      <c r="I641" s="85"/>
      <c r="J641" s="85"/>
      <c r="K641" s="80"/>
      <c r="L641" s="80"/>
      <c r="M641" s="86" t="str">
        <f t="shared" ca="1" si="142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3"/>
        <v>1.083333333333333</v>
      </c>
      <c r="C642" s="76"/>
      <c r="D642" s="77"/>
      <c r="E642" s="77"/>
      <c r="F642" s="78"/>
      <c r="G642" s="79" t="str">
        <f t="shared" ref="G642:G647" si="144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2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3"/>
        <v>1.1249999999999998</v>
      </c>
      <c r="C643" s="76"/>
      <c r="D643" s="77"/>
      <c r="E643" s="77"/>
      <c r="F643" s="78"/>
      <c r="G643" s="84" t="str">
        <f t="shared" si="144"/>
        <v/>
      </c>
      <c r="H643" s="85"/>
      <c r="I643" s="85"/>
      <c r="J643" s="85"/>
      <c r="K643" s="80"/>
      <c r="L643" s="80"/>
      <c r="M643" s="86" t="str">
        <f t="shared" ca="1" si="142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3"/>
        <v>1.1666666666666665</v>
      </c>
      <c r="C644" s="76"/>
      <c r="D644" s="77"/>
      <c r="E644" s="77"/>
      <c r="F644" s="78"/>
      <c r="G644" s="79" t="str">
        <f t="shared" si="144"/>
        <v/>
      </c>
      <c r="H644" s="76"/>
      <c r="I644" s="76"/>
      <c r="J644" s="76"/>
      <c r="K644" s="80"/>
      <c r="L644" s="80"/>
      <c r="M644" s="81" t="str">
        <f t="shared" ca="1" si="142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3"/>
        <v>1.2083333333333333</v>
      </c>
      <c r="C645" s="76"/>
      <c r="D645" s="77"/>
      <c r="E645" s="77"/>
      <c r="F645" s="78"/>
      <c r="G645" s="84" t="str">
        <f t="shared" si="144"/>
        <v/>
      </c>
      <c r="H645" s="85"/>
      <c r="I645" s="85"/>
      <c r="J645" s="85"/>
      <c r="K645" s="80"/>
      <c r="L645" s="80"/>
      <c r="M645" s="86" t="str">
        <f t="shared" ca="1" si="142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3"/>
        <v>1.25</v>
      </c>
      <c r="C646" s="76"/>
      <c r="D646" s="77"/>
      <c r="E646" s="77"/>
      <c r="F646" s="78"/>
      <c r="G646" s="79" t="str">
        <f t="shared" si="144"/>
        <v/>
      </c>
      <c r="H646" s="76"/>
      <c r="I646" s="76"/>
      <c r="J646" s="76"/>
      <c r="K646" s="80"/>
      <c r="L646" s="80"/>
      <c r="M646" s="81" t="str">
        <f t="shared" ca="1" si="142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3"/>
        <v>1.2916666666666667</v>
      </c>
      <c r="C647" s="76"/>
      <c r="D647" s="77"/>
      <c r="E647" s="77"/>
      <c r="F647" s="78"/>
      <c r="G647" s="84" t="str">
        <f t="shared" si="144"/>
        <v/>
      </c>
      <c r="H647" s="85"/>
      <c r="I647" s="85"/>
      <c r="J647" s="85"/>
      <c r="K647" s="80"/>
      <c r="L647" s="80"/>
      <c r="M647" s="86" t="str">
        <f t="shared" ca="1" si="142"/>
        <v/>
      </c>
      <c r="N647" s="95"/>
      <c r="O647" s="96"/>
    </row>
    <row r="648" spans="1:15" ht="15.75" customHeight="1" x14ac:dyDescent="0.25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 x14ac:dyDescent="0.25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5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6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7">B650+TIME(0,60,0)</f>
        <v>0.37499999999999967</v>
      </c>
      <c r="C651" s="76"/>
      <c r="D651" s="77"/>
      <c r="E651" s="77"/>
      <c r="F651" s="78"/>
      <c r="G651" s="84" t="str">
        <f t="shared" si="145"/>
        <v/>
      </c>
      <c r="H651" s="85"/>
      <c r="I651" s="85"/>
      <c r="J651" s="85"/>
      <c r="K651" s="80"/>
      <c r="L651" s="80"/>
      <c r="M651" s="86" t="str">
        <f t="shared" ca="1" si="146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7"/>
        <v>0.41666666666666635</v>
      </c>
      <c r="C652" s="76"/>
      <c r="D652" s="77"/>
      <c r="E652" s="77"/>
      <c r="F652" s="78"/>
      <c r="G652" s="84" t="str">
        <f t="shared" si="145"/>
        <v/>
      </c>
      <c r="H652" s="76"/>
      <c r="I652" s="76"/>
      <c r="J652" s="76"/>
      <c r="K652" s="80"/>
      <c r="L652" s="80"/>
      <c r="M652" s="81" t="str">
        <f t="shared" ca="1" si="146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7"/>
        <v>0.45833333333333304</v>
      </c>
      <c r="C653" s="76"/>
      <c r="D653" s="77"/>
      <c r="E653" s="77"/>
      <c r="F653" s="78"/>
      <c r="G653" s="84" t="str">
        <f t="shared" si="145"/>
        <v/>
      </c>
      <c r="H653" s="85"/>
      <c r="I653" s="85"/>
      <c r="J653" s="85"/>
      <c r="K653" s="80"/>
      <c r="L653" s="80"/>
      <c r="M653" s="86" t="str">
        <f t="shared" ca="1" si="146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7"/>
        <v>0.49999999999999972</v>
      </c>
      <c r="C654" s="76"/>
      <c r="D654" s="77"/>
      <c r="E654" s="77"/>
      <c r="F654" s="78"/>
      <c r="G654" s="79" t="str">
        <f t="shared" si="145"/>
        <v/>
      </c>
      <c r="H654" s="76"/>
      <c r="I654" s="76"/>
      <c r="J654" s="76"/>
      <c r="K654" s="80"/>
      <c r="L654" s="80"/>
      <c r="M654" s="81" t="str">
        <f t="shared" ca="1" si="146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7"/>
        <v>0.54166666666666641</v>
      </c>
      <c r="C655" s="76"/>
      <c r="D655" s="77"/>
      <c r="E655" s="77"/>
      <c r="F655" s="78"/>
      <c r="G655" s="84" t="str">
        <f t="shared" si="145"/>
        <v/>
      </c>
      <c r="H655" s="85"/>
      <c r="I655" s="85"/>
      <c r="J655" s="85"/>
      <c r="K655" s="80"/>
      <c r="L655" s="80"/>
      <c r="M655" s="86" t="str">
        <f t="shared" ca="1" si="146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7"/>
        <v>0.58333333333333304</v>
      </c>
      <c r="C656" s="76"/>
      <c r="D656" s="77"/>
      <c r="E656" s="77"/>
      <c r="F656" s="78"/>
      <c r="G656" s="79" t="str">
        <f t="shared" si="145"/>
        <v/>
      </c>
      <c r="H656" s="76"/>
      <c r="I656" s="76"/>
      <c r="J656" s="76"/>
      <c r="K656" s="80"/>
      <c r="L656" s="80"/>
      <c r="M656" s="81" t="str">
        <f t="shared" ca="1" si="146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7"/>
        <v>0.62499999999999967</v>
      </c>
      <c r="C657" s="76"/>
      <c r="D657" s="77"/>
      <c r="E657" s="77"/>
      <c r="F657" s="78"/>
      <c r="G657" s="84" t="str">
        <f t="shared" si="145"/>
        <v/>
      </c>
      <c r="H657" s="85"/>
      <c r="I657" s="85"/>
      <c r="J657" s="85"/>
      <c r="K657" s="80"/>
      <c r="L657" s="80"/>
      <c r="M657" s="86" t="str">
        <f t="shared" ca="1" si="146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7"/>
        <v>0.6666666666666663</v>
      </c>
      <c r="C658" s="76"/>
      <c r="D658" s="77"/>
      <c r="E658" s="77"/>
      <c r="F658" s="78"/>
      <c r="G658" s="79" t="str">
        <f t="shared" si="145"/>
        <v/>
      </c>
      <c r="H658" s="76"/>
      <c r="I658" s="76"/>
      <c r="J658" s="76"/>
      <c r="K658" s="80"/>
      <c r="L658" s="80"/>
      <c r="M658" s="81" t="str">
        <f t="shared" ca="1" si="146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7"/>
        <v>0.70833333333333293</v>
      </c>
      <c r="C659" s="76"/>
      <c r="D659" s="77"/>
      <c r="E659" s="77"/>
      <c r="F659" s="78"/>
      <c r="G659" s="84" t="str">
        <f t="shared" si="145"/>
        <v/>
      </c>
      <c r="H659" s="85"/>
      <c r="I659" s="85"/>
      <c r="J659" s="85"/>
      <c r="K659" s="80"/>
      <c r="L659" s="80"/>
      <c r="M659" s="86" t="str">
        <f t="shared" ca="1" si="146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7"/>
        <v>0.74999999999999956</v>
      </c>
      <c r="C660" s="76"/>
      <c r="D660" s="77"/>
      <c r="E660" s="77"/>
      <c r="F660" s="78"/>
      <c r="G660" s="79" t="str">
        <f t="shared" si="145"/>
        <v/>
      </c>
      <c r="H660" s="76"/>
      <c r="I660" s="76"/>
      <c r="J660" s="76"/>
      <c r="K660" s="80"/>
      <c r="L660" s="80"/>
      <c r="M660" s="81" t="str">
        <f t="shared" ca="1" si="146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7"/>
        <v>0.79166666666666619</v>
      </c>
      <c r="C661" s="76"/>
      <c r="D661" s="77"/>
      <c r="E661" s="77"/>
      <c r="F661" s="78"/>
      <c r="G661" s="84" t="str">
        <f t="shared" si="145"/>
        <v/>
      </c>
      <c r="H661" s="85"/>
      <c r="I661" s="85"/>
      <c r="J661" s="85"/>
      <c r="K661" s="80"/>
      <c r="L661" s="80"/>
      <c r="M661" s="86" t="str">
        <f t="shared" ca="1" si="146"/>
        <v/>
      </c>
      <c r="N661" s="95"/>
      <c r="O661" s="96"/>
    </row>
    <row r="662" spans="1:15" ht="15.75" customHeight="1" x14ac:dyDescent="0.25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8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9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0">B663+TIME(0,60,0)</f>
        <v>0.87499999999999967</v>
      </c>
      <c r="C664" s="85"/>
      <c r="D664" s="90"/>
      <c r="E664" s="90"/>
      <c r="F664" s="78"/>
      <c r="G664" s="79" t="str">
        <f t="shared" si="148"/>
        <v/>
      </c>
      <c r="H664" s="76"/>
      <c r="I664" s="76"/>
      <c r="J664" s="76"/>
      <c r="K664" s="80"/>
      <c r="L664" s="80"/>
      <c r="M664" s="81" t="str">
        <f t="shared" ca="1" si="149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0"/>
        <v>0.9166666666666663</v>
      </c>
      <c r="C665" s="85"/>
      <c r="D665" s="90"/>
      <c r="E665" s="90"/>
      <c r="F665" s="78"/>
      <c r="G665" s="84" t="str">
        <f t="shared" si="148"/>
        <v/>
      </c>
      <c r="H665" s="85"/>
      <c r="I665" s="85"/>
      <c r="J665" s="85"/>
      <c r="K665" s="80"/>
      <c r="L665" s="80"/>
      <c r="M665" s="86" t="str">
        <f t="shared" ca="1" si="149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0"/>
        <v>0.95833333333333293</v>
      </c>
      <c r="C666" s="85"/>
      <c r="D666" s="90"/>
      <c r="E666" s="90"/>
      <c r="F666" s="78"/>
      <c r="G666" s="79" t="str">
        <f t="shared" si="148"/>
        <v/>
      </c>
      <c r="H666" s="76"/>
      <c r="I666" s="76"/>
      <c r="J666" s="76"/>
      <c r="K666" s="80"/>
      <c r="L666" s="80"/>
      <c r="M666" s="81" t="str">
        <f t="shared" ca="1" si="149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0"/>
        <v>0.99999999999999956</v>
      </c>
      <c r="C667" s="85"/>
      <c r="D667" s="90"/>
      <c r="E667" s="90"/>
      <c r="F667" s="78"/>
      <c r="G667" s="84" t="str">
        <f t="shared" si="148"/>
        <v/>
      </c>
      <c r="H667" s="85"/>
      <c r="I667" s="85"/>
      <c r="J667" s="85"/>
      <c r="K667" s="80"/>
      <c r="L667" s="80"/>
      <c r="M667" s="86" t="str">
        <f t="shared" ca="1" si="149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0"/>
        <v>1.0416666666666663</v>
      </c>
      <c r="C668" s="85"/>
      <c r="D668" s="90"/>
      <c r="E668" s="90"/>
      <c r="F668" s="78"/>
      <c r="G668" s="79" t="str">
        <f t="shared" si="148"/>
        <v/>
      </c>
      <c r="H668" s="76"/>
      <c r="I668" s="76"/>
      <c r="J668" s="76"/>
      <c r="K668" s="80"/>
      <c r="L668" s="80"/>
      <c r="M668" s="81" t="str">
        <f t="shared" ca="1" si="149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0"/>
        <v>1.083333333333333</v>
      </c>
      <c r="C669" s="85"/>
      <c r="D669" s="90"/>
      <c r="E669" s="90"/>
      <c r="F669" s="78"/>
      <c r="G669" s="84" t="str">
        <f t="shared" si="148"/>
        <v/>
      </c>
      <c r="H669" s="85"/>
      <c r="I669" s="85"/>
      <c r="J669" s="85"/>
      <c r="K669" s="80"/>
      <c r="L669" s="80"/>
      <c r="M669" s="86" t="str">
        <f t="shared" ca="1" si="149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0"/>
        <v>1.1249999999999998</v>
      </c>
      <c r="C670" s="85"/>
      <c r="D670" s="90"/>
      <c r="E670" s="90"/>
      <c r="F670" s="78"/>
      <c r="G670" s="79" t="str">
        <f t="shared" si="148"/>
        <v/>
      </c>
      <c r="H670" s="76"/>
      <c r="I670" s="76"/>
      <c r="J670" s="76"/>
      <c r="K670" s="80"/>
      <c r="L670" s="80"/>
      <c r="M670" s="81" t="str">
        <f t="shared" ca="1" si="149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0"/>
        <v>1.1666666666666665</v>
      </c>
      <c r="C671" s="85"/>
      <c r="D671" s="90"/>
      <c r="E671" s="90"/>
      <c r="F671" s="78"/>
      <c r="G671" s="84" t="str">
        <f t="shared" si="148"/>
        <v/>
      </c>
      <c r="H671" s="85"/>
      <c r="I671" s="85"/>
      <c r="J671" s="85"/>
      <c r="K671" s="80"/>
      <c r="L671" s="80"/>
      <c r="M671" s="86" t="str">
        <f t="shared" ca="1" si="149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0"/>
        <v>1.2083333333333333</v>
      </c>
      <c r="C672" s="85"/>
      <c r="D672" s="90"/>
      <c r="E672" s="90"/>
      <c r="F672" s="78"/>
      <c r="G672" s="79" t="str">
        <f t="shared" si="148"/>
        <v/>
      </c>
      <c r="H672" s="76"/>
      <c r="I672" s="76"/>
      <c r="J672" s="76"/>
      <c r="K672" s="80"/>
      <c r="L672" s="80"/>
      <c r="M672" s="81" t="str">
        <f t="shared" ca="1" si="149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0"/>
        <v>1.25</v>
      </c>
      <c r="C673" s="85"/>
      <c r="D673" s="90"/>
      <c r="E673" s="90"/>
      <c r="F673" s="78"/>
      <c r="G673" s="84" t="str">
        <f t="shared" si="148"/>
        <v/>
      </c>
      <c r="H673" s="85"/>
      <c r="I673" s="85"/>
      <c r="J673" s="85"/>
      <c r="K673" s="80"/>
      <c r="L673" s="80"/>
      <c r="M673" s="86" t="str">
        <f t="shared" ca="1" si="149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0"/>
        <v>1.2916666666666667</v>
      </c>
      <c r="C674" s="103"/>
      <c r="D674" s="77"/>
      <c r="E674" s="77"/>
      <c r="F674" s="78"/>
      <c r="G674" s="79" t="str">
        <f t="shared" si="148"/>
        <v/>
      </c>
      <c r="H674" s="76"/>
      <c r="I674" s="76"/>
      <c r="J674" s="76"/>
      <c r="K674" s="80"/>
      <c r="L674" s="80"/>
      <c r="M674" s="81" t="str">
        <f t="shared" ca="1" si="149"/>
        <v/>
      </c>
      <c r="N674" s="95"/>
      <c r="O674" s="96"/>
    </row>
    <row r="675" spans="1:15" ht="15.75" customHeight="1" x14ac:dyDescent="0.25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 x14ac:dyDescent="0.25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1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2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3">B677+TIME(0,60,0)</f>
        <v>0.37499999999999967</v>
      </c>
      <c r="C678" s="85"/>
      <c r="D678" s="90"/>
      <c r="E678" s="90"/>
      <c r="F678" s="78"/>
      <c r="G678" s="79" t="str">
        <f t="shared" si="151"/>
        <v/>
      </c>
      <c r="H678" s="76"/>
      <c r="I678" s="76"/>
      <c r="J678" s="76"/>
      <c r="K678" s="80"/>
      <c r="L678" s="80"/>
      <c r="M678" s="81" t="str">
        <f t="shared" ca="1" si="152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3"/>
        <v>0.41666666666666635</v>
      </c>
      <c r="C679" s="85"/>
      <c r="D679" s="90"/>
      <c r="E679" s="90"/>
      <c r="F679" s="78"/>
      <c r="G679" s="84" t="str">
        <f t="shared" si="151"/>
        <v/>
      </c>
      <c r="H679" s="85"/>
      <c r="I679" s="85"/>
      <c r="J679" s="85"/>
      <c r="K679" s="80"/>
      <c r="L679" s="80"/>
      <c r="M679" s="86" t="str">
        <f t="shared" ca="1" si="152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3"/>
        <v>0.45833333333333304</v>
      </c>
      <c r="C680" s="85"/>
      <c r="D680" s="90"/>
      <c r="E680" s="90"/>
      <c r="F680" s="78"/>
      <c r="G680" s="79" t="str">
        <f t="shared" si="151"/>
        <v/>
      </c>
      <c r="H680" s="76"/>
      <c r="I680" s="76"/>
      <c r="J680" s="76"/>
      <c r="K680" s="80"/>
      <c r="L680" s="80"/>
      <c r="M680" s="81" t="str">
        <f t="shared" ca="1" si="152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3"/>
        <v>0.49999999999999972</v>
      </c>
      <c r="C681" s="85"/>
      <c r="D681" s="90"/>
      <c r="E681" s="90"/>
      <c r="F681" s="78"/>
      <c r="G681" s="84" t="str">
        <f t="shared" si="151"/>
        <v/>
      </c>
      <c r="H681" s="85"/>
      <c r="I681" s="85"/>
      <c r="J681" s="85"/>
      <c r="K681" s="80"/>
      <c r="L681" s="80"/>
      <c r="M681" s="86" t="str">
        <f t="shared" ca="1" si="152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3"/>
        <v>0.54166666666666641</v>
      </c>
      <c r="C682" s="85"/>
      <c r="D682" s="90"/>
      <c r="E682" s="90"/>
      <c r="F682" s="78"/>
      <c r="G682" s="79" t="str">
        <f t="shared" si="151"/>
        <v/>
      </c>
      <c r="H682" s="76"/>
      <c r="I682" s="76"/>
      <c r="J682" s="76"/>
      <c r="K682" s="80"/>
      <c r="L682" s="80"/>
      <c r="M682" s="81" t="str">
        <f t="shared" ca="1" si="152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3"/>
        <v>0.58333333333333304</v>
      </c>
      <c r="C683" s="85"/>
      <c r="D683" s="90"/>
      <c r="E683" s="90"/>
      <c r="F683" s="78"/>
      <c r="G683" s="84" t="str">
        <f t="shared" si="151"/>
        <v/>
      </c>
      <c r="H683" s="85"/>
      <c r="I683" s="85"/>
      <c r="J683" s="85"/>
      <c r="K683" s="80"/>
      <c r="L683" s="80"/>
      <c r="M683" s="86" t="str">
        <f t="shared" ca="1" si="152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3"/>
        <v>0.62499999999999967</v>
      </c>
      <c r="C684" s="85"/>
      <c r="D684" s="90"/>
      <c r="E684" s="90"/>
      <c r="F684" s="78"/>
      <c r="G684" s="79" t="str">
        <f t="shared" si="151"/>
        <v/>
      </c>
      <c r="H684" s="76"/>
      <c r="I684" s="76"/>
      <c r="J684" s="76"/>
      <c r="K684" s="80"/>
      <c r="L684" s="80"/>
      <c r="M684" s="81" t="str">
        <f t="shared" ca="1" si="152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3"/>
        <v>0.6666666666666663</v>
      </c>
      <c r="C685" s="85"/>
      <c r="D685" s="90"/>
      <c r="E685" s="90"/>
      <c r="F685" s="78"/>
      <c r="G685" s="84" t="str">
        <f t="shared" si="151"/>
        <v/>
      </c>
      <c r="H685" s="85"/>
      <c r="I685" s="85"/>
      <c r="J685" s="85"/>
      <c r="K685" s="80"/>
      <c r="L685" s="80"/>
      <c r="M685" s="86" t="str">
        <f t="shared" ca="1" si="152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3"/>
        <v>0.70833333333333293</v>
      </c>
      <c r="C686" s="85"/>
      <c r="D686" s="90"/>
      <c r="E686" s="90"/>
      <c r="F686" s="78"/>
      <c r="G686" s="79" t="str">
        <f t="shared" si="151"/>
        <v/>
      </c>
      <c r="H686" s="76"/>
      <c r="I686" s="76"/>
      <c r="J686" s="76"/>
      <c r="K686" s="80"/>
      <c r="L686" s="80"/>
      <c r="M686" s="81" t="str">
        <f t="shared" ca="1" si="152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3"/>
        <v>0.74999999999999956</v>
      </c>
      <c r="C687" s="85"/>
      <c r="D687" s="90"/>
      <c r="E687" s="90"/>
      <c r="F687" s="78"/>
      <c r="G687" s="84" t="str">
        <f t="shared" si="151"/>
        <v/>
      </c>
      <c r="H687" s="85"/>
      <c r="I687" s="85"/>
      <c r="J687" s="85"/>
      <c r="K687" s="80"/>
      <c r="L687" s="80"/>
      <c r="M687" s="86" t="str">
        <f t="shared" ca="1" si="152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3"/>
        <v>0.79166666666666619</v>
      </c>
      <c r="C688" s="85"/>
      <c r="D688" s="90"/>
      <c r="E688" s="90"/>
      <c r="F688" s="78"/>
      <c r="G688" s="79" t="str">
        <f t="shared" si="151"/>
        <v/>
      </c>
      <c r="H688" s="76"/>
      <c r="I688" s="76"/>
      <c r="J688" s="76"/>
      <c r="K688" s="80"/>
      <c r="L688" s="80"/>
      <c r="M688" s="81" t="str">
        <f t="shared" ca="1" si="152"/>
        <v/>
      </c>
      <c r="N688" s="95"/>
      <c r="O688" s="96"/>
    </row>
    <row r="689" spans="1:15" ht="15.75" customHeight="1" x14ac:dyDescent="0.25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4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5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6">B690+TIME(0,60,0)</f>
        <v>0.87499999999999967</v>
      </c>
      <c r="C691" s="76"/>
      <c r="D691" s="77"/>
      <c r="E691" s="77"/>
      <c r="F691" s="78"/>
      <c r="G691" s="84" t="str">
        <f t="shared" si="154"/>
        <v/>
      </c>
      <c r="H691" s="85"/>
      <c r="I691" s="85"/>
      <c r="J691" s="85"/>
      <c r="K691" s="80"/>
      <c r="L691" s="80"/>
      <c r="M691" s="86" t="str">
        <f t="shared" ca="1" si="155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6"/>
        <v>0.9166666666666663</v>
      </c>
      <c r="C692" s="76"/>
      <c r="D692" s="77"/>
      <c r="E692" s="77"/>
      <c r="F692" s="78"/>
      <c r="G692" s="79" t="str">
        <f t="shared" si="154"/>
        <v/>
      </c>
      <c r="H692" s="76"/>
      <c r="I692" s="76"/>
      <c r="J692" s="76"/>
      <c r="K692" s="80"/>
      <c r="L692" s="80"/>
      <c r="M692" s="81" t="str">
        <f t="shared" ca="1" si="155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6"/>
        <v>0.95833333333333293</v>
      </c>
      <c r="C693" s="76"/>
      <c r="D693" s="77"/>
      <c r="E693" s="77"/>
      <c r="F693" s="78"/>
      <c r="G693" s="84" t="str">
        <f t="shared" si="154"/>
        <v/>
      </c>
      <c r="H693" s="85"/>
      <c r="I693" s="85"/>
      <c r="J693" s="85"/>
      <c r="K693" s="80"/>
      <c r="L693" s="80"/>
      <c r="M693" s="86" t="str">
        <f t="shared" ca="1" si="155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6"/>
        <v>0.99999999999999956</v>
      </c>
      <c r="C694" s="76"/>
      <c r="D694" s="77"/>
      <c r="E694" s="77"/>
      <c r="F694" s="78"/>
      <c r="G694" s="79" t="str">
        <f t="shared" si="154"/>
        <v/>
      </c>
      <c r="H694" s="76"/>
      <c r="I694" s="76"/>
      <c r="J694" s="76"/>
      <c r="K694" s="80"/>
      <c r="L694" s="80"/>
      <c r="M694" s="81" t="str">
        <f t="shared" ca="1" si="155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6"/>
        <v>1.0416666666666663</v>
      </c>
      <c r="C695" s="76"/>
      <c r="D695" s="77"/>
      <c r="E695" s="77"/>
      <c r="F695" s="78"/>
      <c r="G695" s="84" t="str">
        <f t="shared" si="154"/>
        <v/>
      </c>
      <c r="H695" s="85"/>
      <c r="I695" s="85"/>
      <c r="J695" s="85"/>
      <c r="K695" s="80"/>
      <c r="L695" s="80"/>
      <c r="M695" s="86" t="str">
        <f t="shared" ca="1" si="155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6"/>
        <v>1.083333333333333</v>
      </c>
      <c r="C696" s="76"/>
      <c r="D696" s="77"/>
      <c r="E696" s="77"/>
      <c r="F696" s="78"/>
      <c r="G696" s="79" t="str">
        <f t="shared" si="154"/>
        <v/>
      </c>
      <c r="H696" s="76"/>
      <c r="I696" s="76"/>
      <c r="J696" s="76"/>
      <c r="K696" s="80"/>
      <c r="L696" s="80"/>
      <c r="M696" s="81" t="str">
        <f t="shared" ca="1" si="155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6"/>
        <v>1.1249999999999998</v>
      </c>
      <c r="C697" s="76"/>
      <c r="D697" s="77"/>
      <c r="E697" s="77"/>
      <c r="F697" s="78"/>
      <c r="G697" s="84" t="str">
        <f t="shared" si="154"/>
        <v/>
      </c>
      <c r="H697" s="85"/>
      <c r="I697" s="85"/>
      <c r="J697" s="85"/>
      <c r="K697" s="80"/>
      <c r="L697" s="80"/>
      <c r="M697" s="86" t="str">
        <f t="shared" ca="1" si="155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6"/>
        <v>1.1666666666666665</v>
      </c>
      <c r="C698" s="76"/>
      <c r="D698" s="77"/>
      <c r="E698" s="77"/>
      <c r="F698" s="78"/>
      <c r="G698" s="79" t="str">
        <f t="shared" si="154"/>
        <v/>
      </c>
      <c r="H698" s="76"/>
      <c r="I698" s="76"/>
      <c r="J698" s="76"/>
      <c r="K698" s="80"/>
      <c r="L698" s="80"/>
      <c r="M698" s="81" t="str">
        <f t="shared" ca="1" si="155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6"/>
        <v>1.2083333333333333</v>
      </c>
      <c r="C699" s="76"/>
      <c r="D699" s="77"/>
      <c r="E699" s="77"/>
      <c r="F699" s="78"/>
      <c r="G699" s="84" t="str">
        <f t="shared" si="154"/>
        <v/>
      </c>
      <c r="H699" s="85"/>
      <c r="I699" s="85"/>
      <c r="J699" s="85"/>
      <c r="K699" s="80"/>
      <c r="L699" s="80"/>
      <c r="M699" s="86" t="str">
        <f t="shared" ca="1" si="155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6"/>
        <v>1.25</v>
      </c>
      <c r="C700" s="76"/>
      <c r="D700" s="77"/>
      <c r="E700" s="77"/>
      <c r="F700" s="78"/>
      <c r="G700" s="79" t="str">
        <f t="shared" si="154"/>
        <v/>
      </c>
      <c r="H700" s="76"/>
      <c r="I700" s="76"/>
      <c r="J700" s="76"/>
      <c r="K700" s="80"/>
      <c r="L700" s="80"/>
      <c r="M700" s="81" t="str">
        <f t="shared" ca="1" si="155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6"/>
        <v>1.2916666666666667</v>
      </c>
      <c r="C701" s="76"/>
      <c r="D701" s="77"/>
      <c r="E701" s="77"/>
      <c r="F701" s="78"/>
      <c r="G701" s="84" t="str">
        <f t="shared" si="154"/>
        <v/>
      </c>
      <c r="H701" s="85"/>
      <c r="I701" s="85"/>
      <c r="J701" s="85"/>
      <c r="K701" s="80"/>
      <c r="L701" s="80"/>
      <c r="M701" s="86" t="str">
        <f t="shared" ca="1" si="155"/>
        <v/>
      </c>
      <c r="N701" s="95"/>
      <c r="O701" s="96"/>
    </row>
    <row r="702" spans="1:15" ht="15.75" customHeight="1" x14ac:dyDescent="0.25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 x14ac:dyDescent="0.25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7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8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59">B704+TIME(0,60,0)</f>
        <v>0.37499999999999967</v>
      </c>
      <c r="C705" s="76"/>
      <c r="D705" s="77"/>
      <c r="E705" s="77"/>
      <c r="F705" s="78"/>
      <c r="G705" s="84" t="str">
        <f t="shared" si="157"/>
        <v/>
      </c>
      <c r="H705" s="85"/>
      <c r="I705" s="85"/>
      <c r="J705" s="85"/>
      <c r="K705" s="80"/>
      <c r="L705" s="80"/>
      <c r="M705" s="86" t="str">
        <f t="shared" ca="1" si="158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59"/>
        <v>0.41666666666666635</v>
      </c>
      <c r="C706" s="76"/>
      <c r="D706" s="77"/>
      <c r="E706" s="77"/>
      <c r="F706" s="78"/>
      <c r="G706" s="79" t="str">
        <f t="shared" si="157"/>
        <v/>
      </c>
      <c r="H706" s="76"/>
      <c r="I706" s="76"/>
      <c r="J706" s="76"/>
      <c r="K706" s="80"/>
      <c r="L706" s="80"/>
      <c r="M706" s="81" t="str">
        <f t="shared" ca="1" si="158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59"/>
        <v>0.45833333333333304</v>
      </c>
      <c r="C707" s="76"/>
      <c r="D707" s="77"/>
      <c r="E707" s="77"/>
      <c r="F707" s="78"/>
      <c r="G707" s="84" t="str">
        <f t="shared" si="157"/>
        <v/>
      </c>
      <c r="H707" s="85"/>
      <c r="I707" s="85"/>
      <c r="J707" s="85"/>
      <c r="K707" s="80"/>
      <c r="L707" s="80"/>
      <c r="M707" s="86" t="str">
        <f t="shared" ca="1" si="158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59"/>
        <v>0.49999999999999972</v>
      </c>
      <c r="C708" s="76"/>
      <c r="D708" s="77"/>
      <c r="E708" s="77"/>
      <c r="F708" s="78"/>
      <c r="G708" s="79" t="str">
        <f t="shared" si="157"/>
        <v/>
      </c>
      <c r="H708" s="76"/>
      <c r="I708" s="76"/>
      <c r="J708" s="76"/>
      <c r="K708" s="80"/>
      <c r="L708" s="80"/>
      <c r="M708" s="81" t="str">
        <f t="shared" ca="1" si="158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59"/>
        <v>0.54166666666666641</v>
      </c>
      <c r="C709" s="76"/>
      <c r="D709" s="77"/>
      <c r="E709" s="77"/>
      <c r="F709" s="78"/>
      <c r="G709" s="84" t="str">
        <f t="shared" si="157"/>
        <v/>
      </c>
      <c r="H709" s="85"/>
      <c r="I709" s="85"/>
      <c r="J709" s="85"/>
      <c r="K709" s="80"/>
      <c r="L709" s="80"/>
      <c r="M709" s="86" t="str">
        <f t="shared" ca="1" si="158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59"/>
        <v>0.58333333333333304</v>
      </c>
      <c r="C710" s="76"/>
      <c r="D710" s="77"/>
      <c r="E710" s="77"/>
      <c r="F710" s="78"/>
      <c r="G710" s="79" t="str">
        <f t="shared" si="157"/>
        <v/>
      </c>
      <c r="H710" s="76"/>
      <c r="I710" s="76"/>
      <c r="J710" s="76"/>
      <c r="K710" s="80"/>
      <c r="L710" s="80"/>
      <c r="M710" s="81" t="str">
        <f t="shared" ca="1" si="158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59"/>
        <v>0.62499999999999967</v>
      </c>
      <c r="C711" s="76"/>
      <c r="D711" s="77"/>
      <c r="E711" s="77"/>
      <c r="F711" s="78"/>
      <c r="G711" s="84" t="str">
        <f t="shared" si="157"/>
        <v/>
      </c>
      <c r="H711" s="85"/>
      <c r="I711" s="85"/>
      <c r="J711" s="85"/>
      <c r="K711" s="80"/>
      <c r="L711" s="80"/>
      <c r="M711" s="86" t="str">
        <f t="shared" ca="1" si="158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59"/>
        <v>0.6666666666666663</v>
      </c>
      <c r="C712" s="76"/>
      <c r="D712" s="77"/>
      <c r="E712" s="77"/>
      <c r="F712" s="78"/>
      <c r="G712" s="79" t="str">
        <f t="shared" si="157"/>
        <v/>
      </c>
      <c r="H712" s="76"/>
      <c r="I712" s="76"/>
      <c r="J712" s="76"/>
      <c r="K712" s="80"/>
      <c r="L712" s="80"/>
      <c r="M712" s="81" t="str">
        <f t="shared" ca="1" si="158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59"/>
        <v>0.70833333333333293</v>
      </c>
      <c r="C713" s="76"/>
      <c r="D713" s="77"/>
      <c r="E713" s="77"/>
      <c r="F713" s="78"/>
      <c r="G713" s="84" t="str">
        <f t="shared" si="157"/>
        <v/>
      </c>
      <c r="H713" s="85"/>
      <c r="I713" s="85"/>
      <c r="J713" s="85"/>
      <c r="K713" s="80"/>
      <c r="L713" s="80"/>
      <c r="M713" s="86" t="str">
        <f t="shared" ca="1" si="158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59"/>
        <v>0.74999999999999956</v>
      </c>
      <c r="C714" s="76"/>
      <c r="D714" s="77"/>
      <c r="E714" s="77"/>
      <c r="F714" s="78"/>
      <c r="G714" s="79" t="str">
        <f t="shared" si="157"/>
        <v/>
      </c>
      <c r="H714" s="76"/>
      <c r="I714" s="76"/>
      <c r="J714" s="76"/>
      <c r="K714" s="80"/>
      <c r="L714" s="80"/>
      <c r="M714" s="81" t="str">
        <f t="shared" ca="1" si="158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59"/>
        <v>0.79166666666666619</v>
      </c>
      <c r="C715" s="76"/>
      <c r="D715" s="77"/>
      <c r="E715" s="77"/>
      <c r="F715" s="78"/>
      <c r="G715" s="84" t="str">
        <f t="shared" si="157"/>
        <v/>
      </c>
      <c r="H715" s="85"/>
      <c r="I715" s="85"/>
      <c r="J715" s="85"/>
      <c r="K715" s="80"/>
      <c r="L715" s="80"/>
      <c r="M715" s="86" t="str">
        <f t="shared" ca="1" si="158"/>
        <v/>
      </c>
      <c r="N715" s="95"/>
      <c r="O715" s="96"/>
    </row>
    <row r="716" spans="1:15" ht="15.75" customHeight="1" x14ac:dyDescent="0.25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0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1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2">B717+TIME(0,60,0)</f>
        <v>0.87499999999999967</v>
      </c>
      <c r="C718" s="85"/>
      <c r="D718" s="77"/>
      <c r="E718" s="77"/>
      <c r="F718" s="78"/>
      <c r="G718" s="79" t="str">
        <f t="shared" si="160"/>
        <v/>
      </c>
      <c r="H718" s="76"/>
      <c r="I718" s="76"/>
      <c r="J718" s="76"/>
      <c r="K718" s="80"/>
      <c r="L718" s="80"/>
      <c r="M718" s="81" t="str">
        <f t="shared" ca="1" si="161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2"/>
        <v>0.9166666666666663</v>
      </c>
      <c r="C719" s="85"/>
      <c r="D719" s="90"/>
      <c r="E719" s="90"/>
      <c r="F719" s="78"/>
      <c r="G719" s="84" t="str">
        <f t="shared" si="160"/>
        <v/>
      </c>
      <c r="H719" s="85"/>
      <c r="I719" s="85"/>
      <c r="J719" s="85"/>
      <c r="K719" s="80"/>
      <c r="L719" s="80"/>
      <c r="M719" s="86" t="str">
        <f t="shared" ca="1" si="161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2"/>
        <v>0.95833333333333293</v>
      </c>
      <c r="C720" s="85"/>
      <c r="D720" s="77"/>
      <c r="E720" s="77"/>
      <c r="F720" s="78"/>
      <c r="G720" s="79" t="str">
        <f t="shared" si="160"/>
        <v/>
      </c>
      <c r="H720" s="76"/>
      <c r="I720" s="76"/>
      <c r="J720" s="76"/>
      <c r="K720" s="80"/>
      <c r="L720" s="80"/>
      <c r="M720" s="81" t="str">
        <f t="shared" ca="1" si="161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2"/>
        <v>0.99999999999999956</v>
      </c>
      <c r="C721" s="85"/>
      <c r="D721" s="90"/>
      <c r="F721" s="78"/>
      <c r="G721" s="84" t="str">
        <f t="shared" si="160"/>
        <v/>
      </c>
      <c r="H721" s="85"/>
      <c r="I721" s="85"/>
      <c r="J721" s="85"/>
      <c r="K721" s="80"/>
      <c r="L721" s="80"/>
      <c r="M721" s="86" t="str">
        <f t="shared" ca="1" si="161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2"/>
        <v>1.0416666666666663</v>
      </c>
      <c r="C722" s="85"/>
      <c r="D722" s="77"/>
      <c r="E722" s="90"/>
      <c r="F722" s="78"/>
      <c r="G722" s="79" t="str">
        <f t="shared" si="160"/>
        <v/>
      </c>
      <c r="H722" s="76"/>
      <c r="I722" s="76"/>
      <c r="J722" s="76"/>
      <c r="K722" s="80"/>
      <c r="L722" s="80"/>
      <c r="M722" s="81" t="str">
        <f t="shared" ca="1" si="161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2"/>
        <v>1.083333333333333</v>
      </c>
      <c r="C723" s="85"/>
      <c r="D723" s="90"/>
      <c r="E723" s="90"/>
      <c r="F723" s="78"/>
      <c r="G723" s="84" t="str">
        <f t="shared" ref="G723:G728" si="163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1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2"/>
        <v>1.1249999999999998</v>
      </c>
      <c r="C724" s="85"/>
      <c r="D724" s="77"/>
      <c r="E724" s="77"/>
      <c r="F724" s="78"/>
      <c r="G724" s="79" t="str">
        <f t="shared" si="163"/>
        <v/>
      </c>
      <c r="H724" s="76"/>
      <c r="I724" s="76"/>
      <c r="J724" s="76"/>
      <c r="K724" s="80"/>
      <c r="L724" s="80"/>
      <c r="M724" s="81" t="str">
        <f t="shared" ca="1" si="161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2"/>
        <v>1.1666666666666665</v>
      </c>
      <c r="C725" s="85"/>
      <c r="D725" s="90"/>
      <c r="E725" s="90"/>
      <c r="F725" s="78"/>
      <c r="G725" s="84" t="str">
        <f t="shared" si="163"/>
        <v/>
      </c>
      <c r="H725" s="85"/>
      <c r="I725" s="85"/>
      <c r="J725" s="85"/>
      <c r="K725" s="80"/>
      <c r="L725" s="80"/>
      <c r="M725" s="86" t="str">
        <f t="shared" ca="1" si="161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2"/>
        <v>1.2083333333333333</v>
      </c>
      <c r="C726" s="85"/>
      <c r="D726" s="77"/>
      <c r="E726" s="77"/>
      <c r="F726" s="78"/>
      <c r="G726" s="79" t="str">
        <f t="shared" si="163"/>
        <v/>
      </c>
      <c r="H726" s="76"/>
      <c r="I726" s="76"/>
      <c r="J726" s="76"/>
      <c r="K726" s="80"/>
      <c r="L726" s="80"/>
      <c r="M726" s="81" t="str">
        <f t="shared" ca="1" si="161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2"/>
        <v>1.25</v>
      </c>
      <c r="C727" s="85"/>
      <c r="D727" s="90"/>
      <c r="E727" s="90"/>
      <c r="F727" s="78"/>
      <c r="G727" s="84" t="str">
        <f t="shared" si="163"/>
        <v/>
      </c>
      <c r="H727" s="85"/>
      <c r="I727" s="85"/>
      <c r="J727" s="85"/>
      <c r="K727" s="80"/>
      <c r="L727" s="80"/>
      <c r="M727" s="86" t="str">
        <f t="shared" ca="1" si="161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2"/>
        <v>1.2916666666666667</v>
      </c>
      <c r="C728" s="85"/>
      <c r="D728" s="77"/>
      <c r="E728" s="77"/>
      <c r="F728" s="78"/>
      <c r="G728" s="79" t="str">
        <f t="shared" si="163"/>
        <v/>
      </c>
      <c r="H728" s="76"/>
      <c r="I728" s="76"/>
      <c r="J728" s="76"/>
      <c r="K728" s="80"/>
      <c r="L728" s="80"/>
      <c r="M728" s="81" t="str">
        <f t="shared" ca="1" si="161"/>
        <v/>
      </c>
      <c r="N728" s="95"/>
      <c r="O728" s="96"/>
    </row>
    <row r="729" spans="1:15" ht="15.75" customHeight="1" x14ac:dyDescent="0.25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 x14ac:dyDescent="0.25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4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5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6">B731+TIME(0,60,0)</f>
        <v>0.37499999999999967</v>
      </c>
      <c r="C732" s="85"/>
      <c r="D732" s="77"/>
      <c r="E732" s="90"/>
      <c r="F732" s="78"/>
      <c r="G732" s="79" t="str">
        <f t="shared" si="164"/>
        <v/>
      </c>
      <c r="H732" s="76"/>
      <c r="I732" s="76"/>
      <c r="J732" s="76"/>
      <c r="K732" s="80"/>
      <c r="L732" s="80"/>
      <c r="M732" s="81" t="str">
        <f t="shared" ca="1" si="165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6"/>
        <v>0.41666666666666635</v>
      </c>
      <c r="C733" s="85"/>
      <c r="D733" s="90"/>
      <c r="E733" s="90"/>
      <c r="F733" s="78"/>
      <c r="G733" s="84" t="str">
        <f t="shared" si="164"/>
        <v/>
      </c>
      <c r="H733" s="85"/>
      <c r="I733" s="85"/>
      <c r="J733" s="85"/>
      <c r="K733" s="80"/>
      <c r="L733" s="80"/>
      <c r="M733" s="86" t="str">
        <f t="shared" ca="1" si="165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6"/>
        <v>0.45833333333333304</v>
      </c>
      <c r="C734" s="85"/>
      <c r="D734" s="77"/>
      <c r="E734" s="77"/>
      <c r="F734" s="78"/>
      <c r="G734" s="79" t="str">
        <f t="shared" si="164"/>
        <v/>
      </c>
      <c r="H734" s="76"/>
      <c r="I734" s="76"/>
      <c r="J734" s="76"/>
      <c r="K734" s="80"/>
      <c r="L734" s="80"/>
      <c r="M734" s="81" t="str">
        <f t="shared" ca="1" si="165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6"/>
        <v>0.49999999999999972</v>
      </c>
      <c r="C735" s="85"/>
      <c r="D735" s="90"/>
      <c r="E735" s="90"/>
      <c r="F735" s="78"/>
      <c r="G735" s="84" t="str">
        <f t="shared" si="164"/>
        <v/>
      </c>
      <c r="H735" s="85"/>
      <c r="I735" s="85"/>
      <c r="J735" s="85"/>
      <c r="K735" s="80"/>
      <c r="L735" s="80"/>
      <c r="M735" s="86" t="str">
        <f t="shared" ca="1" si="165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6"/>
        <v>0.54166666666666641</v>
      </c>
      <c r="C736" s="85"/>
      <c r="D736" s="77"/>
      <c r="E736" s="77"/>
      <c r="F736" s="78"/>
      <c r="G736" s="79" t="str">
        <f t="shared" si="164"/>
        <v/>
      </c>
      <c r="H736" s="76"/>
      <c r="I736" s="76"/>
      <c r="J736" s="76"/>
      <c r="K736" s="80"/>
      <c r="L736" s="80"/>
      <c r="M736" s="81" t="str">
        <f t="shared" ca="1" si="165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6"/>
        <v>0.58333333333333304</v>
      </c>
      <c r="C737" s="85"/>
      <c r="D737" s="90"/>
      <c r="E737" s="90"/>
      <c r="F737" s="78"/>
      <c r="G737" s="84" t="str">
        <f t="shared" si="164"/>
        <v/>
      </c>
      <c r="H737" s="85"/>
      <c r="I737" s="85"/>
      <c r="J737" s="85"/>
      <c r="K737" s="80"/>
      <c r="L737" s="80"/>
      <c r="M737" s="86" t="str">
        <f t="shared" ca="1" si="165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6"/>
        <v>0.62499999999999967</v>
      </c>
      <c r="C738" s="85"/>
      <c r="D738" s="77"/>
      <c r="E738" s="77"/>
      <c r="F738" s="78"/>
      <c r="G738" s="79" t="str">
        <f t="shared" si="164"/>
        <v/>
      </c>
      <c r="H738" s="76"/>
      <c r="I738" s="76"/>
      <c r="J738" s="76"/>
      <c r="K738" s="80"/>
      <c r="L738" s="80"/>
      <c r="M738" s="81" t="str">
        <f t="shared" ca="1" si="165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6"/>
        <v>0.6666666666666663</v>
      </c>
      <c r="C739" s="85"/>
      <c r="D739" s="90"/>
      <c r="E739" s="90"/>
      <c r="F739" s="78"/>
      <c r="G739" s="84" t="str">
        <f t="shared" si="164"/>
        <v/>
      </c>
      <c r="H739" s="85"/>
      <c r="I739" s="85"/>
      <c r="J739" s="85"/>
      <c r="K739" s="80"/>
      <c r="L739" s="80"/>
      <c r="M739" s="86" t="str">
        <f t="shared" ca="1" si="165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6"/>
        <v>0.70833333333333293</v>
      </c>
      <c r="C740" s="85"/>
      <c r="D740" s="77"/>
      <c r="E740" s="77"/>
      <c r="F740" s="78"/>
      <c r="G740" s="79" t="str">
        <f t="shared" si="164"/>
        <v/>
      </c>
      <c r="H740" s="76"/>
      <c r="I740" s="76"/>
      <c r="J740" s="76"/>
      <c r="K740" s="80"/>
      <c r="L740" s="80"/>
      <c r="M740" s="81" t="str">
        <f t="shared" ca="1" si="165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6"/>
        <v>0.74999999999999956</v>
      </c>
      <c r="C741" s="85"/>
      <c r="D741" s="90"/>
      <c r="E741" s="90"/>
      <c r="F741" s="78"/>
      <c r="G741" s="84" t="str">
        <f t="shared" si="164"/>
        <v/>
      </c>
      <c r="H741" s="85"/>
      <c r="I741" s="85"/>
      <c r="J741" s="85"/>
      <c r="K741" s="80"/>
      <c r="L741" s="80"/>
      <c r="M741" s="86" t="str">
        <f t="shared" ca="1" si="165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6"/>
        <v>0.79166666666666619</v>
      </c>
      <c r="C742" s="85"/>
      <c r="D742" s="77"/>
      <c r="E742" s="77"/>
      <c r="F742" s="78"/>
      <c r="G742" s="79" t="str">
        <f t="shared" si="164"/>
        <v/>
      </c>
      <c r="H742" s="76"/>
      <c r="I742" s="76"/>
      <c r="J742" s="76"/>
      <c r="K742" s="80"/>
      <c r="L742" s="80"/>
      <c r="M742" s="81" t="str">
        <f t="shared" ca="1" si="165"/>
        <v/>
      </c>
      <c r="N742" s="95"/>
      <c r="O742" s="96"/>
    </row>
    <row r="743" spans="1:15" ht="15.75" customHeight="1" x14ac:dyDescent="0.25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7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8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69">B744+TIME(0,60,0)</f>
        <v>0.87499999999999967</v>
      </c>
      <c r="C745" s="76"/>
      <c r="D745" s="90"/>
      <c r="E745" s="90"/>
      <c r="F745" s="78"/>
      <c r="G745" s="84" t="str">
        <f t="shared" si="167"/>
        <v/>
      </c>
      <c r="H745" s="85"/>
      <c r="I745" s="85"/>
      <c r="J745" s="85"/>
      <c r="K745" s="80"/>
      <c r="L745" s="80"/>
      <c r="M745" s="86" t="str">
        <f t="shared" ca="1" si="168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69"/>
        <v>0.9166666666666663</v>
      </c>
      <c r="C746" s="76"/>
      <c r="D746" s="77"/>
      <c r="E746" s="77"/>
      <c r="F746" s="78"/>
      <c r="G746" s="79" t="str">
        <f t="shared" si="167"/>
        <v/>
      </c>
      <c r="H746" s="76"/>
      <c r="I746" s="76"/>
      <c r="J746" s="76"/>
      <c r="K746" s="80"/>
      <c r="L746" s="80"/>
      <c r="M746" s="81" t="str">
        <f t="shared" ca="1" si="168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69"/>
        <v>0.95833333333333293</v>
      </c>
      <c r="C747" s="76"/>
      <c r="D747" s="90"/>
      <c r="E747" s="90"/>
      <c r="F747" s="78"/>
      <c r="G747" s="84" t="str">
        <f t="shared" si="167"/>
        <v/>
      </c>
      <c r="H747" s="85"/>
      <c r="I747" s="85"/>
      <c r="J747" s="85"/>
      <c r="K747" s="80"/>
      <c r="L747" s="80"/>
      <c r="M747" s="86" t="str">
        <f t="shared" ca="1" si="168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69"/>
        <v>0.99999999999999956</v>
      </c>
      <c r="C748" s="76"/>
      <c r="D748" s="77"/>
      <c r="E748" s="77"/>
      <c r="F748" s="78"/>
      <c r="G748" s="79" t="str">
        <f t="shared" si="167"/>
        <v/>
      </c>
      <c r="H748" s="76"/>
      <c r="I748" s="76"/>
      <c r="J748" s="76"/>
      <c r="K748" s="80"/>
      <c r="L748" s="80"/>
      <c r="M748" s="81" t="str">
        <f t="shared" ca="1" si="168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69"/>
        <v>1.0416666666666663</v>
      </c>
      <c r="C749" s="76"/>
      <c r="D749" s="90"/>
      <c r="E749" s="90"/>
      <c r="F749" s="78"/>
      <c r="G749" s="84" t="str">
        <f t="shared" si="167"/>
        <v/>
      </c>
      <c r="H749" s="85"/>
      <c r="I749" s="85"/>
      <c r="J749" s="85"/>
      <c r="K749" s="80"/>
      <c r="L749" s="80"/>
      <c r="M749" s="86" t="str">
        <f t="shared" ca="1" si="168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69"/>
        <v>1.083333333333333</v>
      </c>
      <c r="C750" s="76"/>
      <c r="D750" s="77"/>
      <c r="E750" s="77"/>
      <c r="F750" s="78"/>
      <c r="G750" s="79" t="str">
        <f t="shared" si="167"/>
        <v/>
      </c>
      <c r="H750" s="76"/>
      <c r="I750" s="76"/>
      <c r="J750" s="76"/>
      <c r="K750" s="80"/>
      <c r="L750" s="80"/>
      <c r="M750" s="81" t="str">
        <f t="shared" ca="1" si="168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69"/>
        <v>1.1249999999999998</v>
      </c>
      <c r="C751" s="76"/>
      <c r="D751" s="90"/>
      <c r="E751" s="90"/>
      <c r="F751" s="78"/>
      <c r="G751" s="84" t="str">
        <f t="shared" si="167"/>
        <v/>
      </c>
      <c r="H751" s="85"/>
      <c r="I751" s="85"/>
      <c r="J751" s="85"/>
      <c r="K751" s="80"/>
      <c r="L751" s="80"/>
      <c r="M751" s="86" t="str">
        <f t="shared" ca="1" si="168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69"/>
        <v>1.1666666666666665</v>
      </c>
      <c r="C752" s="76"/>
      <c r="D752" s="77"/>
      <c r="E752" s="77"/>
      <c r="F752" s="78"/>
      <c r="G752" s="79" t="str">
        <f t="shared" si="167"/>
        <v/>
      </c>
      <c r="H752" s="76"/>
      <c r="I752" s="76"/>
      <c r="J752" s="76"/>
      <c r="K752" s="80"/>
      <c r="L752" s="80"/>
      <c r="M752" s="81" t="str">
        <f t="shared" ca="1" si="168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69"/>
        <v>1.2083333333333333</v>
      </c>
      <c r="C753" s="76"/>
      <c r="D753" s="90"/>
      <c r="E753" s="90"/>
      <c r="F753" s="78"/>
      <c r="G753" s="84" t="str">
        <f t="shared" si="167"/>
        <v/>
      </c>
      <c r="H753" s="85"/>
      <c r="I753" s="85"/>
      <c r="J753" s="85"/>
      <c r="K753" s="80"/>
      <c r="L753" s="80"/>
      <c r="M753" s="86" t="str">
        <f t="shared" ca="1" si="168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69"/>
        <v>1.25</v>
      </c>
      <c r="C754" s="76"/>
      <c r="D754" s="77"/>
      <c r="E754" s="77"/>
      <c r="F754" s="78"/>
      <c r="G754" s="79" t="str">
        <f t="shared" si="167"/>
        <v/>
      </c>
      <c r="H754" s="76"/>
      <c r="I754" s="76"/>
      <c r="J754" s="76"/>
      <c r="K754" s="80"/>
      <c r="L754" s="80"/>
      <c r="M754" s="81" t="str">
        <f t="shared" ca="1" si="168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69"/>
        <v>1.2916666666666667</v>
      </c>
      <c r="C755" s="85"/>
      <c r="D755" s="90"/>
      <c r="E755" s="90"/>
      <c r="F755" s="78"/>
      <c r="G755" s="84" t="str">
        <f t="shared" si="167"/>
        <v/>
      </c>
      <c r="H755" s="85"/>
      <c r="I755" s="85"/>
      <c r="J755" s="85"/>
      <c r="K755" s="80"/>
      <c r="L755" s="80"/>
      <c r="M755" s="86" t="str">
        <f t="shared" ca="1" si="168"/>
        <v/>
      </c>
      <c r="N755" s="95"/>
      <c r="O755" s="96"/>
    </row>
    <row r="756" spans="1:15" ht="15.75" customHeight="1" x14ac:dyDescent="0.25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 x14ac:dyDescent="0.25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0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1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2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1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2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1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2"/>
        <v>0.45833333333333304</v>
      </c>
      <c r="C761" s="76"/>
      <c r="D761" s="90"/>
      <c r="E761" s="90"/>
      <c r="F761" s="78"/>
      <c r="G761" s="84" t="str">
        <f t="shared" si="170"/>
        <v/>
      </c>
      <c r="H761" s="85"/>
      <c r="I761" s="85"/>
      <c r="J761" s="85"/>
      <c r="K761" s="80"/>
      <c r="L761" s="80"/>
      <c r="M761" s="86" t="str">
        <f t="shared" ca="1" si="171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2"/>
        <v>0.49999999999999972</v>
      </c>
      <c r="C762" s="76"/>
      <c r="D762" s="77"/>
      <c r="E762" s="77"/>
      <c r="F762" s="78"/>
      <c r="G762" s="79" t="str">
        <f t="shared" si="170"/>
        <v/>
      </c>
      <c r="H762" s="76"/>
      <c r="I762" s="76"/>
      <c r="J762" s="76"/>
      <c r="K762" s="80"/>
      <c r="L762" s="80"/>
      <c r="M762" s="81" t="str">
        <f t="shared" ca="1" si="171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2"/>
        <v>0.54166666666666641</v>
      </c>
      <c r="C763" s="76"/>
      <c r="D763" s="90"/>
      <c r="E763" s="90"/>
      <c r="F763" s="78"/>
      <c r="G763" s="84" t="str">
        <f t="shared" si="170"/>
        <v/>
      </c>
      <c r="H763" s="85"/>
      <c r="I763" s="85"/>
      <c r="J763" s="85"/>
      <c r="K763" s="80"/>
      <c r="L763" s="80"/>
      <c r="M763" s="86" t="str">
        <f t="shared" ca="1" si="171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2"/>
        <v>0.58333333333333304</v>
      </c>
      <c r="C764" s="76"/>
      <c r="D764" s="77"/>
      <c r="E764" s="77"/>
      <c r="F764" s="78"/>
      <c r="G764" s="79" t="str">
        <f t="shared" si="170"/>
        <v/>
      </c>
      <c r="H764" s="76"/>
      <c r="I764" s="76"/>
      <c r="J764" s="76"/>
      <c r="K764" s="80"/>
      <c r="L764" s="80"/>
      <c r="M764" s="81" t="str">
        <f t="shared" ca="1" si="171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2"/>
        <v>0.62499999999999967</v>
      </c>
      <c r="C765" s="76"/>
      <c r="D765" s="90"/>
      <c r="E765" s="90"/>
      <c r="F765" s="78"/>
      <c r="G765" s="84" t="str">
        <f t="shared" si="170"/>
        <v/>
      </c>
      <c r="H765" s="85"/>
      <c r="I765" s="85"/>
      <c r="J765" s="85"/>
      <c r="K765" s="80"/>
      <c r="L765" s="80"/>
      <c r="M765" s="86" t="str">
        <f t="shared" ca="1" si="171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2"/>
        <v>0.6666666666666663</v>
      </c>
      <c r="C766" s="76"/>
      <c r="D766" s="77"/>
      <c r="E766" s="77"/>
      <c r="F766" s="78"/>
      <c r="G766" s="79" t="str">
        <f t="shared" si="170"/>
        <v/>
      </c>
      <c r="H766" s="76"/>
      <c r="I766" s="76"/>
      <c r="J766" s="76"/>
      <c r="K766" s="80"/>
      <c r="L766" s="80"/>
      <c r="M766" s="81" t="str">
        <f t="shared" ca="1" si="171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2"/>
        <v>0.70833333333333293</v>
      </c>
      <c r="C767" s="76"/>
      <c r="D767" s="90"/>
      <c r="E767" s="90"/>
      <c r="F767" s="78"/>
      <c r="G767" s="84" t="str">
        <f t="shared" si="170"/>
        <v/>
      </c>
      <c r="H767" s="85"/>
      <c r="I767" s="85"/>
      <c r="J767" s="85"/>
      <c r="K767" s="80"/>
      <c r="L767" s="80"/>
      <c r="M767" s="86" t="str">
        <f t="shared" ca="1" si="171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2"/>
        <v>0.74999999999999956</v>
      </c>
      <c r="C768" s="76"/>
      <c r="D768" s="77"/>
      <c r="E768" s="77"/>
      <c r="F768" s="78"/>
      <c r="G768" s="79" t="str">
        <f t="shared" si="170"/>
        <v/>
      </c>
      <c r="H768" s="76"/>
      <c r="I768" s="76"/>
      <c r="J768" s="76"/>
      <c r="K768" s="80"/>
      <c r="L768" s="80"/>
      <c r="M768" s="81" t="str">
        <f t="shared" ca="1" si="171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2"/>
        <v>0.79166666666666619</v>
      </c>
      <c r="C769" s="76"/>
      <c r="D769" s="90"/>
      <c r="E769" s="90"/>
      <c r="F769" s="78"/>
      <c r="G769" s="84" t="str">
        <f t="shared" si="170"/>
        <v/>
      </c>
      <c r="H769" s="85"/>
      <c r="I769" s="85"/>
      <c r="J769" s="85"/>
      <c r="K769" s="80"/>
      <c r="L769" s="80"/>
      <c r="M769" s="86" t="str">
        <f t="shared" ca="1" si="171"/>
        <v/>
      </c>
      <c r="N769" s="95"/>
      <c r="O769" s="96"/>
    </row>
    <row r="770" spans="1:15" ht="15.75" customHeight="1" x14ac:dyDescent="0.25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3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4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5">B771+TIME(0,60,0)</f>
        <v>0.87499999999999967</v>
      </c>
      <c r="C772" s="85"/>
      <c r="D772" s="77"/>
      <c r="E772" s="77"/>
      <c r="F772" s="78"/>
      <c r="G772" s="79" t="str">
        <f t="shared" si="173"/>
        <v/>
      </c>
      <c r="H772" s="76"/>
      <c r="I772" s="76"/>
      <c r="J772" s="76"/>
      <c r="K772" s="80"/>
      <c r="L772" s="80"/>
      <c r="M772" s="81" t="str">
        <f t="shared" ca="1" si="174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5"/>
        <v>0.9166666666666663</v>
      </c>
      <c r="C773" s="85"/>
      <c r="D773" s="90"/>
      <c r="E773" s="90"/>
      <c r="F773" s="78"/>
      <c r="G773" s="84" t="str">
        <f t="shared" si="173"/>
        <v/>
      </c>
      <c r="H773" s="85"/>
      <c r="I773" s="85"/>
      <c r="J773" s="85"/>
      <c r="K773" s="80"/>
      <c r="L773" s="80"/>
      <c r="M773" s="86" t="str">
        <f t="shared" ca="1" si="174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5"/>
        <v>0.95833333333333293</v>
      </c>
      <c r="C774" s="85"/>
      <c r="D774" s="77"/>
      <c r="E774" s="77"/>
      <c r="F774" s="78"/>
      <c r="G774" s="79" t="str">
        <f t="shared" si="173"/>
        <v/>
      </c>
      <c r="H774" s="76"/>
      <c r="I774" s="76"/>
      <c r="J774" s="76"/>
      <c r="K774" s="80"/>
      <c r="L774" s="80"/>
      <c r="M774" s="81" t="str">
        <f t="shared" ca="1" si="174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5"/>
        <v>0.99999999999999956</v>
      </c>
      <c r="C775" s="85"/>
      <c r="D775" s="90"/>
      <c r="E775" s="90"/>
      <c r="F775" s="78"/>
      <c r="G775" s="84" t="str">
        <f t="shared" si="173"/>
        <v/>
      </c>
      <c r="H775" s="85"/>
      <c r="I775" s="85"/>
      <c r="J775" s="85"/>
      <c r="K775" s="80"/>
      <c r="L775" s="80"/>
      <c r="M775" s="86" t="str">
        <f t="shared" ca="1" si="174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5"/>
        <v>1.0416666666666663</v>
      </c>
      <c r="C776" s="85"/>
      <c r="D776" s="77"/>
      <c r="E776" s="77"/>
      <c r="F776" s="78"/>
      <c r="G776" s="79" t="str">
        <f t="shared" si="173"/>
        <v/>
      </c>
      <c r="H776" s="76"/>
      <c r="I776" s="76"/>
      <c r="J776" s="76"/>
      <c r="K776" s="80"/>
      <c r="L776" s="80"/>
      <c r="M776" s="81" t="str">
        <f t="shared" ca="1" si="174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5"/>
        <v>1.083333333333333</v>
      </c>
      <c r="C777" s="85"/>
      <c r="D777" s="90"/>
      <c r="E777" s="90"/>
      <c r="F777" s="78"/>
      <c r="G777" s="84" t="str">
        <f t="shared" si="173"/>
        <v/>
      </c>
      <c r="H777" s="85"/>
      <c r="I777" s="85"/>
      <c r="J777" s="85"/>
      <c r="K777" s="80"/>
      <c r="L777" s="80"/>
      <c r="M777" s="86" t="str">
        <f t="shared" ca="1" si="174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5"/>
        <v>1.1249999999999998</v>
      </c>
      <c r="C778" s="85"/>
      <c r="D778" s="77"/>
      <c r="E778" s="77"/>
      <c r="F778" s="78"/>
      <c r="G778" s="79" t="str">
        <f t="shared" si="173"/>
        <v/>
      </c>
      <c r="H778" s="76"/>
      <c r="I778" s="76"/>
      <c r="J778" s="76"/>
      <c r="K778" s="80"/>
      <c r="L778" s="80"/>
      <c r="M778" s="81" t="str">
        <f t="shared" ca="1" si="174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5"/>
        <v>1.1666666666666665</v>
      </c>
      <c r="C779" s="85"/>
      <c r="D779" s="90"/>
      <c r="E779" s="90"/>
      <c r="F779" s="78"/>
      <c r="G779" s="84" t="str">
        <f t="shared" si="173"/>
        <v/>
      </c>
      <c r="H779" s="85"/>
      <c r="I779" s="85"/>
      <c r="J779" s="85"/>
      <c r="K779" s="80"/>
      <c r="L779" s="80"/>
      <c r="M779" s="86" t="str">
        <f t="shared" ca="1" si="174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5"/>
        <v>1.2083333333333333</v>
      </c>
      <c r="C780" s="85"/>
      <c r="D780" s="77"/>
      <c r="E780" s="77"/>
      <c r="F780" s="78"/>
      <c r="G780" s="79" t="str">
        <f t="shared" si="173"/>
        <v/>
      </c>
      <c r="H780" s="76"/>
      <c r="I780" s="76"/>
      <c r="J780" s="76"/>
      <c r="K780" s="80"/>
      <c r="L780" s="80"/>
      <c r="M780" s="81" t="str">
        <f t="shared" ca="1" si="174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5"/>
        <v>1.25</v>
      </c>
      <c r="C781" s="85"/>
      <c r="D781" s="90"/>
      <c r="E781" s="90"/>
      <c r="F781" s="78"/>
      <c r="G781" s="84" t="str">
        <f t="shared" si="173"/>
        <v/>
      </c>
      <c r="H781" s="85"/>
      <c r="I781" s="85"/>
      <c r="J781" s="85"/>
      <c r="K781" s="80"/>
      <c r="L781" s="80"/>
      <c r="M781" s="86" t="str">
        <f t="shared" ca="1" si="174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5"/>
        <v>1.2916666666666667</v>
      </c>
      <c r="C782" s="85"/>
      <c r="D782" s="77"/>
      <c r="E782" s="77"/>
      <c r="F782" s="78"/>
      <c r="G782" s="79" t="str">
        <f t="shared" si="173"/>
        <v/>
      </c>
      <c r="H782" s="76"/>
      <c r="I782" s="76"/>
      <c r="J782" s="76"/>
      <c r="K782" s="80"/>
      <c r="L782" s="80"/>
      <c r="M782" s="81" t="str">
        <f t="shared" ca="1" si="174"/>
        <v/>
      </c>
      <c r="N782" s="95"/>
      <c r="O782" s="96"/>
    </row>
    <row r="783" spans="1:15" ht="15.75" customHeight="1" x14ac:dyDescent="0.25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 x14ac:dyDescent="0.25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6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7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8">B785+TIME(0,60,0)</f>
        <v>0.37499999999999967</v>
      </c>
      <c r="C786" s="85"/>
      <c r="D786" s="77"/>
      <c r="E786" s="77"/>
      <c r="F786" s="78"/>
      <c r="G786" s="79" t="str">
        <f t="shared" si="176"/>
        <v/>
      </c>
      <c r="H786" s="76"/>
      <c r="I786" s="76"/>
      <c r="J786" s="76"/>
      <c r="K786" s="80"/>
      <c r="L786" s="80"/>
      <c r="M786" s="81" t="str">
        <f t="shared" ca="1" si="177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8"/>
        <v>0.41666666666666635</v>
      </c>
      <c r="C787" s="85"/>
      <c r="D787" s="90"/>
      <c r="E787" s="90"/>
      <c r="F787" s="78"/>
      <c r="G787" s="84" t="str">
        <f t="shared" si="176"/>
        <v/>
      </c>
      <c r="H787" s="85"/>
      <c r="I787" s="85"/>
      <c r="J787" s="85"/>
      <c r="K787" s="80"/>
      <c r="L787" s="80"/>
      <c r="M787" s="86" t="str">
        <f t="shared" ca="1" si="177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8"/>
        <v>0.45833333333333304</v>
      </c>
      <c r="C788" s="85"/>
      <c r="D788" s="77"/>
      <c r="E788" s="77"/>
      <c r="F788" s="78"/>
      <c r="G788" s="79" t="str">
        <f t="shared" si="176"/>
        <v/>
      </c>
      <c r="H788" s="76"/>
      <c r="I788" s="76"/>
      <c r="J788" s="76"/>
      <c r="K788" s="80"/>
      <c r="L788" s="80"/>
      <c r="M788" s="81" t="str">
        <f t="shared" ca="1" si="177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8"/>
        <v>0.49999999999999972</v>
      </c>
      <c r="C789" s="85"/>
      <c r="D789" s="90"/>
      <c r="E789" s="90"/>
      <c r="F789" s="78"/>
      <c r="G789" s="84" t="str">
        <f t="shared" si="176"/>
        <v/>
      </c>
      <c r="H789" s="85"/>
      <c r="I789" s="85"/>
      <c r="J789" s="85"/>
      <c r="K789" s="80"/>
      <c r="L789" s="80"/>
      <c r="M789" s="86" t="str">
        <f t="shared" ca="1" si="177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8"/>
        <v>0.54166666666666641</v>
      </c>
      <c r="C790" s="85"/>
      <c r="D790" s="77"/>
      <c r="E790" s="77"/>
      <c r="F790" s="78"/>
      <c r="G790" s="79" t="str">
        <f t="shared" si="176"/>
        <v/>
      </c>
      <c r="H790" s="76"/>
      <c r="I790" s="76"/>
      <c r="J790" s="76"/>
      <c r="K790" s="80"/>
      <c r="L790" s="80"/>
      <c r="M790" s="81" t="str">
        <f t="shared" ca="1" si="177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8"/>
        <v>0.58333333333333304</v>
      </c>
      <c r="C791" s="85"/>
      <c r="D791" s="90"/>
      <c r="E791" s="90"/>
      <c r="F791" s="78"/>
      <c r="G791" s="84" t="str">
        <f t="shared" si="176"/>
        <v/>
      </c>
      <c r="H791" s="85"/>
      <c r="I791" s="85"/>
      <c r="J791" s="85"/>
      <c r="K791" s="80"/>
      <c r="L791" s="80"/>
      <c r="M791" s="86" t="str">
        <f t="shared" ca="1" si="177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8"/>
        <v>0.62499999999999967</v>
      </c>
      <c r="C792" s="85"/>
      <c r="D792" s="77"/>
      <c r="E792" s="77"/>
      <c r="F792" s="78"/>
      <c r="G792" s="79" t="str">
        <f t="shared" si="176"/>
        <v/>
      </c>
      <c r="H792" s="76"/>
      <c r="I792" s="76"/>
      <c r="J792" s="76"/>
      <c r="K792" s="80"/>
      <c r="L792" s="80"/>
      <c r="M792" s="81" t="str">
        <f t="shared" ca="1" si="177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8"/>
        <v>0.6666666666666663</v>
      </c>
      <c r="C793" s="85"/>
      <c r="D793" s="90"/>
      <c r="E793" s="90"/>
      <c r="F793" s="78"/>
      <c r="G793" s="84" t="str">
        <f t="shared" si="176"/>
        <v/>
      </c>
      <c r="H793" s="85"/>
      <c r="I793" s="85"/>
      <c r="J793" s="85"/>
      <c r="K793" s="80"/>
      <c r="L793" s="80"/>
      <c r="M793" s="86" t="str">
        <f t="shared" ca="1" si="177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8"/>
        <v>0.70833333333333293</v>
      </c>
      <c r="C794" s="85"/>
      <c r="D794" s="77"/>
      <c r="E794" s="77"/>
      <c r="F794" s="78"/>
      <c r="G794" s="79" t="str">
        <f t="shared" si="176"/>
        <v/>
      </c>
      <c r="H794" s="76"/>
      <c r="I794" s="76"/>
      <c r="J794" s="76"/>
      <c r="K794" s="80"/>
      <c r="L794" s="80"/>
      <c r="M794" s="81" t="str">
        <f t="shared" ca="1" si="177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8"/>
        <v>0.74999999999999956</v>
      </c>
      <c r="C795" s="85"/>
      <c r="D795" s="90"/>
      <c r="E795" s="90"/>
      <c r="F795" s="78"/>
      <c r="G795" s="84" t="str">
        <f t="shared" si="176"/>
        <v/>
      </c>
      <c r="H795" s="85"/>
      <c r="I795" s="85"/>
      <c r="J795" s="85"/>
      <c r="K795" s="80"/>
      <c r="L795" s="80"/>
      <c r="M795" s="86" t="str">
        <f t="shared" ca="1" si="177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8"/>
        <v>0.79166666666666619</v>
      </c>
      <c r="C796" s="85"/>
      <c r="D796" s="77"/>
      <c r="E796" s="77"/>
      <c r="F796" s="78"/>
      <c r="G796" s="79" t="str">
        <f t="shared" si="176"/>
        <v/>
      </c>
      <c r="H796" s="76"/>
      <c r="I796" s="76"/>
      <c r="J796" s="76"/>
      <c r="K796" s="80"/>
      <c r="L796" s="80"/>
      <c r="M796" s="81" t="str">
        <f t="shared" ca="1" si="177"/>
        <v/>
      </c>
      <c r="N796" s="95"/>
      <c r="O796" s="96"/>
    </row>
    <row r="797" spans="1:15" ht="15.75" customHeight="1" x14ac:dyDescent="0.25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9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0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9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0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9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0"/>
        <v>0.95833333333333293</v>
      </c>
      <c r="C801" s="76"/>
      <c r="D801" s="77"/>
      <c r="E801" s="77"/>
      <c r="F801" s="78"/>
      <c r="G801" s="162" t="str">
        <f t="shared" ref="G801:G809" si="181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9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0"/>
        <v>0.99999999999999956</v>
      </c>
      <c r="C802" s="76"/>
      <c r="D802" s="77"/>
      <c r="E802" s="77"/>
      <c r="F802" s="78"/>
      <c r="G802" s="161" t="str">
        <f t="shared" si="181"/>
        <v/>
      </c>
      <c r="H802" s="76"/>
      <c r="I802" s="76"/>
      <c r="J802" s="76"/>
      <c r="K802" s="80"/>
      <c r="L802" s="80"/>
      <c r="M802" s="81" t="str">
        <f t="shared" ca="1" si="179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0"/>
        <v>1.0416666666666663</v>
      </c>
      <c r="C803" s="76"/>
      <c r="D803" s="77"/>
      <c r="E803" s="77"/>
      <c r="F803" s="78"/>
      <c r="G803" s="162" t="str">
        <f t="shared" si="181"/>
        <v/>
      </c>
      <c r="H803" s="85"/>
      <c r="I803" s="85"/>
      <c r="J803" s="85"/>
      <c r="K803" s="80"/>
      <c r="L803" s="80"/>
      <c r="M803" s="86" t="str">
        <f t="shared" ca="1" si="179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0"/>
        <v>1.083333333333333</v>
      </c>
      <c r="C804" s="76"/>
      <c r="D804" s="77"/>
      <c r="E804" s="77"/>
      <c r="F804" s="78"/>
      <c r="G804" s="161" t="str">
        <f t="shared" si="181"/>
        <v/>
      </c>
      <c r="H804" s="76"/>
      <c r="I804" s="76"/>
      <c r="J804" s="76"/>
      <c r="K804" s="80"/>
      <c r="L804" s="80"/>
      <c r="M804" s="81" t="str">
        <f t="shared" ca="1" si="179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0"/>
        <v>1.1249999999999998</v>
      </c>
      <c r="C805" s="76"/>
      <c r="D805" s="77"/>
      <c r="E805" s="77"/>
      <c r="F805" s="78"/>
      <c r="G805" s="162" t="str">
        <f t="shared" si="181"/>
        <v/>
      </c>
      <c r="H805" s="85"/>
      <c r="I805" s="85"/>
      <c r="J805" s="85"/>
      <c r="K805" s="80"/>
      <c r="L805" s="80"/>
      <c r="M805" s="86" t="str">
        <f t="shared" ca="1" si="179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0"/>
        <v>1.1666666666666665</v>
      </c>
      <c r="C806" s="76"/>
      <c r="D806" s="77"/>
      <c r="E806" s="77"/>
      <c r="F806" s="78"/>
      <c r="G806" s="161" t="str">
        <f t="shared" si="181"/>
        <v/>
      </c>
      <c r="H806" s="76"/>
      <c r="I806" s="76"/>
      <c r="J806" s="76"/>
      <c r="K806" s="80"/>
      <c r="L806" s="80"/>
      <c r="M806" s="81" t="str">
        <f t="shared" ca="1" si="179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0"/>
        <v>1.2083333333333333</v>
      </c>
      <c r="C807" s="76"/>
      <c r="D807" s="77"/>
      <c r="E807" s="77"/>
      <c r="F807" s="78"/>
      <c r="G807" s="162" t="str">
        <f t="shared" si="181"/>
        <v/>
      </c>
      <c r="H807" s="85"/>
      <c r="I807" s="85"/>
      <c r="J807" s="85"/>
      <c r="K807" s="80"/>
      <c r="L807" s="80"/>
      <c r="M807" s="86" t="str">
        <f t="shared" ca="1" si="179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0"/>
        <v>1.25</v>
      </c>
      <c r="C808" s="76"/>
      <c r="D808" s="77"/>
      <c r="E808" s="77"/>
      <c r="F808" s="78"/>
      <c r="G808" s="161" t="str">
        <f t="shared" si="181"/>
        <v/>
      </c>
      <c r="H808" s="76"/>
      <c r="I808" s="76"/>
      <c r="J808" s="76"/>
      <c r="K808" s="80"/>
      <c r="L808" s="80"/>
      <c r="M808" s="81" t="str">
        <f t="shared" ca="1" si="179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0"/>
        <v>1.2916666666666667</v>
      </c>
      <c r="C809" s="76"/>
      <c r="D809" s="77"/>
      <c r="E809" s="77"/>
      <c r="F809" s="78"/>
      <c r="G809" s="162" t="str">
        <f t="shared" si="181"/>
        <v/>
      </c>
      <c r="H809" s="85"/>
      <c r="I809" s="85"/>
      <c r="J809" s="85"/>
      <c r="K809" s="80"/>
      <c r="L809" s="80"/>
      <c r="M809" s="86" t="str">
        <f t="shared" ca="1" si="179"/>
        <v/>
      </c>
      <c r="N809" s="95"/>
      <c r="O809" s="96"/>
    </row>
    <row r="810" spans="1:15" ht="15.75" customHeight="1" x14ac:dyDescent="0.25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 x14ac:dyDescent="0.25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2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3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4">B812+TIME(0,60,0)</f>
        <v>0.37499999999999967</v>
      </c>
      <c r="C813" s="76"/>
      <c r="D813" s="77"/>
      <c r="E813" s="77"/>
      <c r="F813" s="78"/>
      <c r="G813" s="162" t="str">
        <f t="shared" si="182"/>
        <v/>
      </c>
      <c r="H813" s="76"/>
      <c r="I813" s="76"/>
      <c r="J813" s="76"/>
      <c r="K813" s="80"/>
      <c r="L813" s="80"/>
      <c r="M813" s="81" t="str">
        <f t="shared" ca="1" si="183"/>
        <v/>
      </c>
      <c r="N813" s="78"/>
      <c r="O813" s="82"/>
    </row>
    <row r="814" spans="1:15" ht="15" customHeight="1" x14ac:dyDescent="0.25">
      <c r="A814" s="74"/>
      <c r="B814" s="75">
        <f t="shared" si="184"/>
        <v>0.41666666666666635</v>
      </c>
      <c r="C814" s="76"/>
      <c r="D814" s="77"/>
      <c r="E814" s="77"/>
      <c r="F814" s="78"/>
      <c r="G814" s="161" t="str">
        <f t="shared" si="182"/>
        <v/>
      </c>
      <c r="H814" s="85"/>
      <c r="I814" s="85"/>
      <c r="J814" s="85"/>
      <c r="K814" s="80"/>
      <c r="L814" s="80"/>
      <c r="M814" s="86" t="str">
        <f t="shared" ca="1" si="183"/>
        <v/>
      </c>
      <c r="N814" s="78"/>
      <c r="O814" s="82"/>
    </row>
    <row r="815" spans="1:15" ht="15" customHeight="1" x14ac:dyDescent="0.25">
      <c r="A815" s="18"/>
      <c r="B815" s="83">
        <f t="shared" si="184"/>
        <v>0.45833333333333304</v>
      </c>
      <c r="C815" s="76"/>
      <c r="D815" s="77"/>
      <c r="E815" s="77"/>
      <c r="F815" s="78"/>
      <c r="G815" s="162" t="str">
        <f t="shared" si="182"/>
        <v/>
      </c>
      <c r="H815" s="76"/>
      <c r="I815" s="76"/>
      <c r="J815" s="76"/>
      <c r="K815" s="80"/>
      <c r="L815" s="80"/>
      <c r="M815" s="81" t="str">
        <f t="shared" ca="1" si="183"/>
        <v/>
      </c>
      <c r="N815" s="78"/>
      <c r="O815" s="82"/>
    </row>
    <row r="816" spans="1:15" ht="15" customHeight="1" x14ac:dyDescent="0.25">
      <c r="A816" s="74"/>
      <c r="B816" s="75">
        <f t="shared" si="184"/>
        <v>0.49999999999999972</v>
      </c>
      <c r="C816" s="76"/>
      <c r="D816" s="77"/>
      <c r="E816" s="77"/>
      <c r="F816" s="78"/>
      <c r="G816" s="161" t="str">
        <f t="shared" si="182"/>
        <v/>
      </c>
      <c r="H816" s="85"/>
      <c r="I816" s="85"/>
      <c r="J816" s="85"/>
      <c r="K816" s="80"/>
      <c r="L816" s="80"/>
      <c r="M816" s="86" t="str">
        <f t="shared" ca="1" si="183"/>
        <v/>
      </c>
      <c r="N816" s="78"/>
      <c r="O816" s="82"/>
    </row>
    <row r="817" spans="1:15" ht="15" customHeight="1" x14ac:dyDescent="0.25">
      <c r="A817" s="18"/>
      <c r="B817" s="83">
        <f t="shared" si="184"/>
        <v>0.54166666666666641</v>
      </c>
      <c r="C817" s="76"/>
      <c r="D817" s="77"/>
      <c r="E817" s="77"/>
      <c r="F817" s="78"/>
      <c r="G817" s="162" t="str">
        <f t="shared" si="182"/>
        <v/>
      </c>
      <c r="H817" s="76"/>
      <c r="I817" s="76"/>
      <c r="J817" s="76"/>
      <c r="K817" s="80"/>
      <c r="L817" s="80"/>
      <c r="M817" s="81" t="str">
        <f t="shared" ca="1" si="183"/>
        <v/>
      </c>
      <c r="N817" s="78"/>
      <c r="O817" s="82"/>
    </row>
    <row r="818" spans="1:15" ht="15" customHeight="1" x14ac:dyDescent="0.25">
      <c r="A818" s="74"/>
      <c r="B818" s="75">
        <f t="shared" si="184"/>
        <v>0.58333333333333304</v>
      </c>
      <c r="C818" s="76"/>
      <c r="D818" s="77"/>
      <c r="E818" s="77"/>
      <c r="F818" s="78"/>
      <c r="G818" s="161" t="str">
        <f t="shared" si="182"/>
        <v/>
      </c>
      <c r="H818" s="85"/>
      <c r="I818" s="85"/>
      <c r="J818" s="85"/>
      <c r="K818" s="80"/>
      <c r="L818" s="80"/>
      <c r="M818" s="86" t="str">
        <f t="shared" ca="1" si="183"/>
        <v/>
      </c>
      <c r="N818" s="78"/>
      <c r="O818" s="82"/>
    </row>
    <row r="819" spans="1:15" ht="15" customHeight="1" x14ac:dyDescent="0.25">
      <c r="A819" s="18"/>
      <c r="B819" s="83">
        <f t="shared" si="184"/>
        <v>0.62499999999999967</v>
      </c>
      <c r="C819" s="76"/>
      <c r="D819" s="77"/>
      <c r="E819" s="77"/>
      <c r="F819" s="78"/>
      <c r="G819" s="162" t="str">
        <f t="shared" si="182"/>
        <v/>
      </c>
      <c r="H819" s="76"/>
      <c r="I819" s="76"/>
      <c r="J819" s="76"/>
      <c r="K819" s="80"/>
      <c r="L819" s="80"/>
      <c r="M819" s="81" t="str">
        <f t="shared" ca="1" si="183"/>
        <v/>
      </c>
      <c r="N819" s="78"/>
      <c r="O819" s="82"/>
    </row>
    <row r="820" spans="1:15" ht="15" customHeight="1" x14ac:dyDescent="0.25">
      <c r="A820" s="74"/>
      <c r="B820" s="75">
        <f t="shared" si="184"/>
        <v>0.6666666666666663</v>
      </c>
      <c r="C820" s="76"/>
      <c r="D820" s="77"/>
      <c r="E820" s="77"/>
      <c r="F820" s="78"/>
      <c r="G820" s="161" t="str">
        <f t="shared" si="182"/>
        <v/>
      </c>
      <c r="H820" s="85"/>
      <c r="I820" s="85"/>
      <c r="J820" s="85"/>
      <c r="K820" s="80"/>
      <c r="L820" s="80"/>
      <c r="M820" s="86" t="str">
        <f t="shared" ca="1" si="183"/>
        <v/>
      </c>
      <c r="N820" s="78"/>
      <c r="O820" s="82"/>
    </row>
    <row r="821" spans="1:15" ht="15" customHeight="1" x14ac:dyDescent="0.25">
      <c r="A821" s="18"/>
      <c r="B821" s="83">
        <f t="shared" si="184"/>
        <v>0.70833333333333293</v>
      </c>
      <c r="C821" s="76"/>
      <c r="D821" s="77"/>
      <c r="E821" s="77"/>
      <c r="F821" s="78"/>
      <c r="G821" s="162" t="str">
        <f t="shared" si="182"/>
        <v/>
      </c>
      <c r="H821" s="76"/>
      <c r="I821" s="76"/>
      <c r="J821" s="76"/>
      <c r="K821" s="80"/>
      <c r="L821" s="80"/>
      <c r="M821" s="81" t="str">
        <f t="shared" ca="1" si="183"/>
        <v/>
      </c>
      <c r="N821" s="78"/>
      <c r="O821" s="82"/>
    </row>
    <row r="822" spans="1:15" ht="15" customHeight="1" x14ac:dyDescent="0.25">
      <c r="A822" s="74"/>
      <c r="B822" s="75">
        <f t="shared" si="184"/>
        <v>0.74999999999999956</v>
      </c>
      <c r="C822" s="76"/>
      <c r="D822" s="77"/>
      <c r="E822" s="77"/>
      <c r="F822" s="78"/>
      <c r="G822" s="161" t="str">
        <f t="shared" si="182"/>
        <v/>
      </c>
      <c r="H822" s="85"/>
      <c r="I822" s="85"/>
      <c r="J822" s="85"/>
      <c r="K822" s="80"/>
      <c r="L822" s="80"/>
      <c r="M822" s="86" t="str">
        <f t="shared" ca="1" si="183"/>
        <v/>
      </c>
      <c r="N822" s="78"/>
      <c r="O822" s="82"/>
    </row>
    <row r="823" spans="1:15" ht="15" customHeight="1" x14ac:dyDescent="0.25">
      <c r="A823" s="18"/>
      <c r="B823" s="83">
        <f t="shared" si="184"/>
        <v>0.79166666666666619</v>
      </c>
      <c r="C823" s="76"/>
      <c r="D823" s="77"/>
      <c r="E823" s="77"/>
      <c r="F823" s="78"/>
      <c r="G823" s="162" t="str">
        <f t="shared" si="182"/>
        <v/>
      </c>
      <c r="H823" s="76"/>
      <c r="I823" s="76"/>
      <c r="J823" s="76"/>
      <c r="K823" s="80"/>
      <c r="L823" s="80"/>
      <c r="M823" s="81" t="str">
        <f t="shared" ca="1" si="183"/>
        <v/>
      </c>
      <c r="N823" s="78"/>
      <c r="O823" s="82"/>
    </row>
    <row r="824" spans="1:15" ht="15.75" customHeight="1" x14ac:dyDescent="0.25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5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6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7">B825+TIME(0,60,0)</f>
        <v>0.87499999999999967</v>
      </c>
      <c r="C826" s="85"/>
      <c r="D826" s="90"/>
      <c r="E826" s="90"/>
      <c r="F826" s="78"/>
      <c r="G826" s="79" t="str">
        <f t="shared" si="185"/>
        <v/>
      </c>
      <c r="H826" s="85"/>
      <c r="I826" s="85"/>
      <c r="J826" s="85"/>
      <c r="K826" s="80"/>
      <c r="L826" s="80"/>
      <c r="M826" s="86" t="str">
        <f t="shared" ca="1" si="186"/>
        <v/>
      </c>
      <c r="N826" s="78"/>
      <c r="O826" s="82"/>
    </row>
    <row r="827" spans="1:15" ht="15" customHeight="1" x14ac:dyDescent="0.25">
      <c r="A827" s="18"/>
      <c r="B827" s="83">
        <f t="shared" si="187"/>
        <v>0.9166666666666663</v>
      </c>
      <c r="C827" s="85"/>
      <c r="D827" s="90"/>
      <c r="E827" s="90"/>
      <c r="F827" s="78"/>
      <c r="G827" s="84" t="str">
        <f t="shared" si="185"/>
        <v/>
      </c>
      <c r="H827" s="76"/>
      <c r="I827" s="76"/>
      <c r="J827" s="76"/>
      <c r="K827" s="80"/>
      <c r="L827" s="80"/>
      <c r="M827" s="81" t="str">
        <f t="shared" ca="1" si="186"/>
        <v/>
      </c>
      <c r="N827" s="78"/>
      <c r="O827" s="82"/>
    </row>
    <row r="828" spans="1:15" ht="15" customHeight="1" x14ac:dyDescent="0.25">
      <c r="A828" s="74"/>
      <c r="B828" s="75">
        <f t="shared" si="187"/>
        <v>0.95833333333333293</v>
      </c>
      <c r="C828" s="85"/>
      <c r="D828" s="90"/>
      <c r="E828" s="90"/>
      <c r="F828" s="78"/>
      <c r="G828" s="79" t="str">
        <f t="shared" si="185"/>
        <v/>
      </c>
      <c r="H828" s="85"/>
      <c r="I828" s="85"/>
      <c r="J828" s="85"/>
      <c r="K828" s="80"/>
      <c r="L828" s="80"/>
      <c r="M828" s="86" t="str">
        <f t="shared" ca="1" si="186"/>
        <v/>
      </c>
      <c r="N828" s="78"/>
      <c r="O828" s="82"/>
    </row>
    <row r="829" spans="1:15" ht="15" customHeight="1" x14ac:dyDescent="0.25">
      <c r="A829" s="18"/>
      <c r="B829" s="83">
        <f t="shared" si="187"/>
        <v>0.99999999999999956</v>
      </c>
      <c r="C829" s="85"/>
      <c r="D829" s="90"/>
      <c r="E829" s="90"/>
      <c r="F829" s="78"/>
      <c r="G829" s="84" t="str">
        <f t="shared" si="185"/>
        <v/>
      </c>
      <c r="H829" s="76"/>
      <c r="I829" s="76"/>
      <c r="J829" s="76"/>
      <c r="K829" s="80"/>
      <c r="L829" s="80"/>
      <c r="M829" s="81" t="str">
        <f t="shared" ca="1" si="186"/>
        <v/>
      </c>
      <c r="N829" s="78"/>
      <c r="O829" s="82"/>
    </row>
    <row r="830" spans="1:15" ht="15" customHeight="1" x14ac:dyDescent="0.25">
      <c r="A830" s="74"/>
      <c r="B830" s="75">
        <f t="shared" si="187"/>
        <v>1.0416666666666663</v>
      </c>
      <c r="C830" s="85"/>
      <c r="D830" s="90"/>
      <c r="E830" s="90"/>
      <c r="F830" s="78"/>
      <c r="G830" s="79" t="str">
        <f t="shared" si="185"/>
        <v/>
      </c>
      <c r="H830" s="85"/>
      <c r="I830" s="85"/>
      <c r="J830" s="85"/>
      <c r="K830" s="80"/>
      <c r="L830" s="80"/>
      <c r="M830" s="86" t="str">
        <f t="shared" ca="1" si="186"/>
        <v/>
      </c>
      <c r="N830" s="78"/>
      <c r="O830" s="82"/>
    </row>
    <row r="831" spans="1:15" ht="15" customHeight="1" x14ac:dyDescent="0.25">
      <c r="A831" s="18"/>
      <c r="B831" s="83">
        <f t="shared" si="187"/>
        <v>1.083333333333333</v>
      </c>
      <c r="C831" s="85"/>
      <c r="D831" s="90"/>
      <c r="E831" s="90"/>
      <c r="F831" s="78"/>
      <c r="G831" s="84" t="str">
        <f t="shared" si="185"/>
        <v/>
      </c>
      <c r="H831" s="76"/>
      <c r="I831" s="76"/>
      <c r="J831" s="76"/>
      <c r="K831" s="80"/>
      <c r="L831" s="80"/>
      <c r="M831" s="81" t="str">
        <f t="shared" ca="1" si="186"/>
        <v/>
      </c>
      <c r="N831" s="78"/>
      <c r="O831" s="82"/>
    </row>
    <row r="832" spans="1:15" ht="15" customHeight="1" x14ac:dyDescent="0.25">
      <c r="A832" s="74"/>
      <c r="B832" s="75">
        <f t="shared" si="187"/>
        <v>1.1249999999999998</v>
      </c>
      <c r="C832" s="85"/>
      <c r="D832" s="90"/>
      <c r="E832" s="90"/>
      <c r="F832" s="78"/>
      <c r="G832" s="79" t="str">
        <f t="shared" si="185"/>
        <v/>
      </c>
      <c r="H832" s="85"/>
      <c r="I832" s="85"/>
      <c r="J832" s="85"/>
      <c r="K832" s="80"/>
      <c r="L832" s="80"/>
      <c r="M832" s="86" t="str">
        <f t="shared" ca="1" si="186"/>
        <v/>
      </c>
      <c r="N832" s="78"/>
      <c r="O832" s="82"/>
    </row>
    <row r="833" spans="1:15" ht="15" customHeight="1" x14ac:dyDescent="0.25">
      <c r="A833" s="18"/>
      <c r="B833" s="83">
        <f t="shared" si="187"/>
        <v>1.1666666666666665</v>
      </c>
      <c r="C833" s="85"/>
      <c r="D833" s="90"/>
      <c r="E833" s="90"/>
      <c r="F833" s="78"/>
      <c r="G833" s="84" t="str">
        <f t="shared" si="185"/>
        <v/>
      </c>
      <c r="H833" s="76"/>
      <c r="I833" s="76"/>
      <c r="J833" s="76"/>
      <c r="K833" s="80"/>
      <c r="L833" s="80"/>
      <c r="M833" s="81" t="str">
        <f t="shared" ca="1" si="186"/>
        <v/>
      </c>
      <c r="N833" s="78"/>
      <c r="O833" s="82"/>
    </row>
    <row r="834" spans="1:15" ht="15" customHeight="1" x14ac:dyDescent="0.25">
      <c r="A834" s="74"/>
      <c r="B834" s="75">
        <f t="shared" si="187"/>
        <v>1.2083333333333333</v>
      </c>
      <c r="C834" s="85"/>
      <c r="D834" s="90"/>
      <c r="E834" s="90"/>
      <c r="F834" s="78"/>
      <c r="G834" s="79" t="str">
        <f t="shared" si="185"/>
        <v/>
      </c>
      <c r="H834" s="85"/>
      <c r="I834" s="85"/>
      <c r="J834" s="85"/>
      <c r="K834" s="80"/>
      <c r="L834" s="80"/>
      <c r="M834" s="86" t="str">
        <f t="shared" ca="1" si="186"/>
        <v/>
      </c>
      <c r="N834" s="78"/>
      <c r="O834" s="82"/>
    </row>
    <row r="835" spans="1:15" ht="15" customHeight="1" x14ac:dyDescent="0.25">
      <c r="A835" s="18"/>
      <c r="B835" s="83">
        <f t="shared" si="187"/>
        <v>1.25</v>
      </c>
      <c r="C835" s="85"/>
      <c r="D835" s="90"/>
      <c r="E835" s="90"/>
      <c r="F835" s="78"/>
      <c r="G835" s="84" t="str">
        <f t="shared" si="185"/>
        <v/>
      </c>
      <c r="H835" s="76"/>
      <c r="I835" s="76"/>
      <c r="J835" s="76"/>
      <c r="K835" s="80"/>
      <c r="L835" s="80"/>
      <c r="M835" s="81" t="str">
        <f t="shared" ca="1" si="186"/>
        <v/>
      </c>
      <c r="N835" s="78"/>
      <c r="O835" s="82"/>
    </row>
    <row r="836" spans="1:15" ht="15" customHeight="1" x14ac:dyDescent="0.25">
      <c r="A836" s="74"/>
      <c r="B836" s="75">
        <f t="shared" si="187"/>
        <v>1.2916666666666667</v>
      </c>
      <c r="C836" s="85"/>
      <c r="D836" s="90"/>
      <c r="E836" s="90"/>
      <c r="F836" s="78"/>
      <c r="G836" s="79" t="str">
        <f t="shared" si="185"/>
        <v/>
      </c>
      <c r="H836" s="85"/>
      <c r="I836" s="85"/>
      <c r="J836" s="85"/>
      <c r="K836" s="80"/>
      <c r="L836" s="80"/>
      <c r="M836" s="86" t="str">
        <f t="shared" ca="1" si="186"/>
        <v/>
      </c>
      <c r="N836" s="78"/>
      <c r="O836" s="82"/>
    </row>
    <row r="837" spans="1:15" ht="15.75" customHeight="1" x14ac:dyDescent="0.25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 x14ac:dyDescent="0.25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35" activePane="bottomLeft" state="frozen"/>
      <selection pane="bottomLeft" activeCell="G58" sqref="G58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 x14ac:dyDescent="0.25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67" t="s">
        <v>272</v>
      </c>
      <c r="B54" s="167"/>
      <c r="C54" s="167"/>
      <c r="D54" s="167"/>
      <c r="E54" s="16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 x14ac:dyDescent="0.25">
      <c r="A55" s="168" t="s">
        <v>256</v>
      </c>
      <c r="B55" s="168"/>
      <c r="C55" s="168"/>
      <c r="D55" s="168"/>
      <c r="E55" s="16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67" t="s">
        <v>269</v>
      </c>
      <c r="B68" s="167"/>
      <c r="C68" s="167"/>
      <c r="D68" s="167"/>
      <c r="E68" s="167"/>
      <c r="F68" s="114"/>
      <c r="G68" s="115">
        <f>SUM(G56:G67)</f>
        <v>50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 x14ac:dyDescent="0.25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 x14ac:dyDescent="0.25">
      <c r="A82" s="168" t="s">
        <v>256</v>
      </c>
      <c r="B82" s="168"/>
      <c r="C82" s="168"/>
      <c r="D82" s="168"/>
      <c r="E82" s="168"/>
      <c r="F82" s="127"/>
      <c r="G82" s="128">
        <f>G68+G81</f>
        <v>50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210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 x14ac:dyDescent="0.25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 x14ac:dyDescent="0.25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 x14ac:dyDescent="0.25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 x14ac:dyDescent="0.25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 x14ac:dyDescent="0.25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 x14ac:dyDescent="0.25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25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 x14ac:dyDescent="0.25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34" activePane="bottomLeft" state="frozen"/>
      <selection activeCell="B1" sqref="B1"/>
      <selection pane="bottomLeft" activeCell="G58" sqref="G58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 x14ac:dyDescent="0.25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67" t="s">
        <v>272</v>
      </c>
      <c r="B54" s="167"/>
      <c r="C54" s="167"/>
      <c r="D54" s="167"/>
      <c r="E54" s="16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 x14ac:dyDescent="0.25">
      <c r="A55" s="168" t="s">
        <v>256</v>
      </c>
      <c r="B55" s="168"/>
      <c r="C55" s="168"/>
      <c r="D55" s="168"/>
      <c r="E55" s="16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29.400000000000002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67" t="s">
        <v>269</v>
      </c>
      <c r="B68" s="167"/>
      <c r="C68" s="167"/>
      <c r="D68" s="167"/>
      <c r="E68" s="167"/>
      <c r="F68" s="114"/>
      <c r="G68" s="115">
        <f>SUM(G56:G67)</f>
        <v>34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142.80000000000001</v>
      </c>
      <c r="L68" s="87"/>
      <c r="M68" s="87"/>
      <c r="N68" s="87"/>
      <c r="O68" s="87"/>
      <c r="P68" s="87"/>
      <c r="Q68" s="88">
        <f ca="1">IFERROR(SUM(Q56:Q67),"")</f>
        <v>5.5555555555555913E-3</v>
      </c>
      <c r="R68" s="2" t="s">
        <v>270</v>
      </c>
      <c r="S68" s="89"/>
      <c r="T68" s="118">
        <f>IFERROR(J68,"")</f>
        <v>0</v>
      </c>
    </row>
    <row r="69" spans="1:20" ht="15" customHeight="1" x14ac:dyDescent="0.25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 x14ac:dyDescent="0.25">
      <c r="A82" s="168" t="s">
        <v>256</v>
      </c>
      <c r="B82" s="168"/>
      <c r="C82" s="168"/>
      <c r="D82" s="168"/>
      <c r="E82" s="168"/>
      <c r="F82" s="127"/>
      <c r="G82" s="128">
        <f>G68+G81</f>
        <v>34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142.80000000000001</v>
      </c>
      <c r="L82" s="91"/>
      <c r="M82" s="91"/>
      <c r="N82" s="91"/>
      <c r="O82" s="91"/>
      <c r="P82" s="91"/>
      <c r="Q82" s="92">
        <f ca="1">IFERROR(Q68+Q81,"")</f>
        <v>5.5555555555555913E-3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 x14ac:dyDescent="0.25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 x14ac:dyDescent="0.25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 x14ac:dyDescent="0.25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 x14ac:dyDescent="0.25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 x14ac:dyDescent="0.25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25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25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25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4" activePane="bottomLeft" state="frozen"/>
      <selection pane="bottomLeft" activeCell="N56" sqref="N56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 x14ac:dyDescent="0.25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67" t="s">
        <v>272</v>
      </c>
      <c r="B54" s="167"/>
      <c r="C54" s="167"/>
      <c r="D54" s="167"/>
      <c r="E54" s="16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 x14ac:dyDescent="0.25">
      <c r="A55" s="168" t="s">
        <v>256</v>
      </c>
      <c r="B55" s="168"/>
      <c r="C55" s="168"/>
      <c r="D55" s="168"/>
      <c r="E55" s="16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/>
      <c r="Q56" s="81">
        <f t="shared" ref="Q56:Q67" ca="1" si="18">IFERROR(IF(O56="","",IF(P56="",MOD(NOW()-O56,1),IF(P56&gt;=O56,P56-O56,P56+1-O56))),"")</f>
        <v>1.5628125001967419E-2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67" t="s">
        <v>269</v>
      </c>
      <c r="B68" s="167"/>
      <c r="C68" s="167"/>
      <c r="D68" s="167"/>
      <c r="E68" s="167"/>
      <c r="F68" s="114"/>
      <c r="G68" s="115">
        <f>SUM(G56:G67)</f>
        <v>52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218.40000000000003</v>
      </c>
      <c r="L68" s="87"/>
      <c r="M68" s="87"/>
      <c r="N68" s="87"/>
      <c r="O68" s="154"/>
      <c r="P68" s="154"/>
      <c r="Q68" s="88">
        <f ca="1">IFERROR(SUM(Q56:Q67),"")</f>
        <v>1.5628125001967419E-2</v>
      </c>
      <c r="R68" s="2" t="s">
        <v>270</v>
      </c>
      <c r="S68" s="89"/>
      <c r="T68" s="118">
        <f>IFERROR(J68,"")</f>
        <v>0</v>
      </c>
    </row>
    <row r="69" spans="1:20" ht="15" customHeight="1" x14ac:dyDescent="0.25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 x14ac:dyDescent="0.25">
      <c r="A82" s="168" t="s">
        <v>256</v>
      </c>
      <c r="B82" s="168"/>
      <c r="C82" s="168"/>
      <c r="D82" s="168"/>
      <c r="E82" s="168"/>
      <c r="F82" s="127"/>
      <c r="G82" s="128">
        <f>G68+G81</f>
        <v>52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218.40000000000003</v>
      </c>
      <c r="L82" s="91"/>
      <c r="M82" s="91"/>
      <c r="N82" s="91"/>
      <c r="O82" s="155"/>
      <c r="P82" s="155"/>
      <c r="Q82" s="92">
        <f ca="1">IFERROR(Q68+Q81,"")</f>
        <v>1.5628125001967419E-2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 x14ac:dyDescent="0.25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 x14ac:dyDescent="0.25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 x14ac:dyDescent="0.25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 x14ac:dyDescent="0.25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 x14ac:dyDescent="0.25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 x14ac:dyDescent="0.25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25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 x14ac:dyDescent="0.25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25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 x14ac:dyDescent="0.25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 x14ac:dyDescent="0.25">
      <c r="C249" s="164"/>
      <c r="D249" s="164"/>
      <c r="E249" s="165"/>
      <c r="J249" s="164"/>
      <c r="K249" s="165"/>
      <c r="Q249" s="165"/>
      <c r="R249" s="165"/>
      <c r="S249" s="165"/>
    </row>
    <row r="250" spans="1:19" x14ac:dyDescent="0.25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 x14ac:dyDescent="0.25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 x14ac:dyDescent="0.25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 x14ac:dyDescent="0.25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 x14ac:dyDescent="0.25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 x14ac:dyDescent="0.25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 x14ac:dyDescent="0.25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 x14ac:dyDescent="0.25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 x14ac:dyDescent="0.25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 x14ac:dyDescent="0.25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 x14ac:dyDescent="0.25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 x14ac:dyDescent="0.25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 x14ac:dyDescent="0.25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 x14ac:dyDescent="0.25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 x14ac:dyDescent="0.25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 x14ac:dyDescent="0.25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 x14ac:dyDescent="0.25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 x14ac:dyDescent="0.25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 x14ac:dyDescent="0.25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 x14ac:dyDescent="0.25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 x14ac:dyDescent="0.25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 x14ac:dyDescent="0.25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 x14ac:dyDescent="0.25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 x14ac:dyDescent="0.25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 x14ac:dyDescent="0.25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 x14ac:dyDescent="0.25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 x14ac:dyDescent="0.25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 x14ac:dyDescent="0.25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 x14ac:dyDescent="0.25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 x14ac:dyDescent="0.25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 x14ac:dyDescent="0.25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 x14ac:dyDescent="0.25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 x14ac:dyDescent="0.25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 x14ac:dyDescent="0.25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 x14ac:dyDescent="0.25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 x14ac:dyDescent="0.25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 x14ac:dyDescent="0.25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 x14ac:dyDescent="0.25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 x14ac:dyDescent="0.25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 x14ac:dyDescent="0.25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 x14ac:dyDescent="0.25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 x14ac:dyDescent="0.25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 x14ac:dyDescent="0.25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 x14ac:dyDescent="0.25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 x14ac:dyDescent="0.25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 x14ac:dyDescent="0.25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 x14ac:dyDescent="0.25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 x14ac:dyDescent="0.25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 x14ac:dyDescent="0.25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 x14ac:dyDescent="0.25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 x14ac:dyDescent="0.25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 x14ac:dyDescent="0.25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 x14ac:dyDescent="0.25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 x14ac:dyDescent="0.25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 x14ac:dyDescent="0.25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 x14ac:dyDescent="0.25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 x14ac:dyDescent="0.25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 x14ac:dyDescent="0.25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 x14ac:dyDescent="0.25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 x14ac:dyDescent="0.25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 x14ac:dyDescent="0.25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 x14ac:dyDescent="0.25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 x14ac:dyDescent="0.25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 x14ac:dyDescent="0.25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 x14ac:dyDescent="0.25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 x14ac:dyDescent="0.25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 x14ac:dyDescent="0.25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 x14ac:dyDescent="0.25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 x14ac:dyDescent="0.25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 x14ac:dyDescent="0.25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 x14ac:dyDescent="0.25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 x14ac:dyDescent="0.25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 x14ac:dyDescent="0.25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 x14ac:dyDescent="0.25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 x14ac:dyDescent="0.25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 x14ac:dyDescent="0.25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 x14ac:dyDescent="0.25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 x14ac:dyDescent="0.25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 x14ac:dyDescent="0.25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 x14ac:dyDescent="0.25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 x14ac:dyDescent="0.25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 x14ac:dyDescent="0.25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 x14ac:dyDescent="0.25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 x14ac:dyDescent="0.25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 x14ac:dyDescent="0.25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 x14ac:dyDescent="0.25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 x14ac:dyDescent="0.25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 x14ac:dyDescent="0.25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 x14ac:dyDescent="0.25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 x14ac:dyDescent="0.25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 x14ac:dyDescent="0.25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 x14ac:dyDescent="0.25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 x14ac:dyDescent="0.25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 x14ac:dyDescent="0.25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 x14ac:dyDescent="0.25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 x14ac:dyDescent="0.25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 x14ac:dyDescent="0.25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 x14ac:dyDescent="0.25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 x14ac:dyDescent="0.25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 x14ac:dyDescent="0.25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 x14ac:dyDescent="0.25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 x14ac:dyDescent="0.25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 x14ac:dyDescent="0.25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 x14ac:dyDescent="0.25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 x14ac:dyDescent="0.25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 x14ac:dyDescent="0.25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 x14ac:dyDescent="0.25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 x14ac:dyDescent="0.25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 x14ac:dyDescent="0.25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 x14ac:dyDescent="0.25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 x14ac:dyDescent="0.25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 x14ac:dyDescent="0.25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 x14ac:dyDescent="0.25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 x14ac:dyDescent="0.25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 x14ac:dyDescent="0.25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 x14ac:dyDescent="0.25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 x14ac:dyDescent="0.25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 x14ac:dyDescent="0.25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 x14ac:dyDescent="0.25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 x14ac:dyDescent="0.25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 x14ac:dyDescent="0.25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 x14ac:dyDescent="0.25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 x14ac:dyDescent="0.25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 x14ac:dyDescent="0.25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 x14ac:dyDescent="0.25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 x14ac:dyDescent="0.25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 x14ac:dyDescent="0.25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 x14ac:dyDescent="0.25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 x14ac:dyDescent="0.25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 x14ac:dyDescent="0.25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 x14ac:dyDescent="0.25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 x14ac:dyDescent="0.25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 x14ac:dyDescent="0.25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 x14ac:dyDescent="0.25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 x14ac:dyDescent="0.25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 x14ac:dyDescent="0.25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 x14ac:dyDescent="0.25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 x14ac:dyDescent="0.25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 x14ac:dyDescent="0.25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 x14ac:dyDescent="0.25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 x14ac:dyDescent="0.25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 x14ac:dyDescent="0.25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 x14ac:dyDescent="0.25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 x14ac:dyDescent="0.25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 x14ac:dyDescent="0.25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 x14ac:dyDescent="0.25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 x14ac:dyDescent="0.25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 x14ac:dyDescent="0.25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 x14ac:dyDescent="0.25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 x14ac:dyDescent="0.25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 x14ac:dyDescent="0.25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 x14ac:dyDescent="0.25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 x14ac:dyDescent="0.25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 x14ac:dyDescent="0.25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 x14ac:dyDescent="0.25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 x14ac:dyDescent="0.25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 x14ac:dyDescent="0.25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 x14ac:dyDescent="0.25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 x14ac:dyDescent="0.25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 x14ac:dyDescent="0.25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 x14ac:dyDescent="0.25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 x14ac:dyDescent="0.25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 x14ac:dyDescent="0.25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 x14ac:dyDescent="0.25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 x14ac:dyDescent="0.25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 x14ac:dyDescent="0.25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 x14ac:dyDescent="0.25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 x14ac:dyDescent="0.25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 x14ac:dyDescent="0.25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 x14ac:dyDescent="0.25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 x14ac:dyDescent="0.25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 x14ac:dyDescent="0.25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 x14ac:dyDescent="0.25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 x14ac:dyDescent="0.25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 x14ac:dyDescent="0.25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 x14ac:dyDescent="0.25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 x14ac:dyDescent="0.25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 x14ac:dyDescent="0.25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 x14ac:dyDescent="0.25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 x14ac:dyDescent="0.25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 x14ac:dyDescent="0.25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 x14ac:dyDescent="0.25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 x14ac:dyDescent="0.25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 x14ac:dyDescent="0.25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 x14ac:dyDescent="0.25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 x14ac:dyDescent="0.25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 x14ac:dyDescent="0.25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 x14ac:dyDescent="0.25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 x14ac:dyDescent="0.25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 x14ac:dyDescent="0.25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 x14ac:dyDescent="0.25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 x14ac:dyDescent="0.25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 x14ac:dyDescent="0.25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 x14ac:dyDescent="0.25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 x14ac:dyDescent="0.25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 x14ac:dyDescent="0.25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 x14ac:dyDescent="0.25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 x14ac:dyDescent="0.25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 x14ac:dyDescent="0.25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 x14ac:dyDescent="0.25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 x14ac:dyDescent="0.25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 x14ac:dyDescent="0.25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 x14ac:dyDescent="0.25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 x14ac:dyDescent="0.25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 x14ac:dyDescent="0.25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 x14ac:dyDescent="0.25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 x14ac:dyDescent="0.25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 x14ac:dyDescent="0.25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 x14ac:dyDescent="0.25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 x14ac:dyDescent="0.25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 x14ac:dyDescent="0.25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 x14ac:dyDescent="0.25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 x14ac:dyDescent="0.25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 x14ac:dyDescent="0.25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 x14ac:dyDescent="0.25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 x14ac:dyDescent="0.25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 x14ac:dyDescent="0.25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 x14ac:dyDescent="0.25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 x14ac:dyDescent="0.25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 x14ac:dyDescent="0.25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 x14ac:dyDescent="0.25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 x14ac:dyDescent="0.25">
      <c r="C471" s="164"/>
      <c r="D471" s="164"/>
      <c r="E471" s="165"/>
      <c r="J471" s="164"/>
      <c r="K471" s="165"/>
      <c r="Q471" s="165"/>
      <c r="R471" s="165"/>
      <c r="S471" s="165"/>
    </row>
    <row r="472" spans="3:19" x14ac:dyDescent="0.25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 x14ac:dyDescent="0.25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 x14ac:dyDescent="0.25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 x14ac:dyDescent="0.25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 x14ac:dyDescent="0.25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 x14ac:dyDescent="0.25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 x14ac:dyDescent="0.25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 x14ac:dyDescent="0.25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 x14ac:dyDescent="0.25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 x14ac:dyDescent="0.25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 x14ac:dyDescent="0.25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 x14ac:dyDescent="0.25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 x14ac:dyDescent="0.25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 x14ac:dyDescent="0.25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 x14ac:dyDescent="0.25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 x14ac:dyDescent="0.25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 x14ac:dyDescent="0.25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 x14ac:dyDescent="0.25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 x14ac:dyDescent="0.25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 x14ac:dyDescent="0.25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 x14ac:dyDescent="0.25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 x14ac:dyDescent="0.25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 x14ac:dyDescent="0.25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 x14ac:dyDescent="0.25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 x14ac:dyDescent="0.25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 x14ac:dyDescent="0.25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 x14ac:dyDescent="0.25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 x14ac:dyDescent="0.25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 x14ac:dyDescent="0.25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 x14ac:dyDescent="0.25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 x14ac:dyDescent="0.25">
      <c r="E502" s="163"/>
      <c r="K502" s="163"/>
      <c r="Q502" s="163"/>
      <c r="R502" s="163"/>
      <c r="S502" s="163"/>
    </row>
    <row r="503" spans="3:19" x14ac:dyDescent="0.25">
      <c r="E503" s="163"/>
      <c r="K503" s="163"/>
      <c r="Q503" s="163"/>
      <c r="R503" s="163"/>
      <c r="S503" s="163"/>
    </row>
    <row r="504" spans="3:19" x14ac:dyDescent="0.25">
      <c r="E504" s="163"/>
      <c r="K504" s="163"/>
      <c r="Q504" s="163"/>
      <c r="R504" s="163"/>
      <c r="S504" s="163"/>
    </row>
    <row r="505" spans="3:19" x14ac:dyDescent="0.25">
      <c r="E505" s="163"/>
      <c r="K505" s="163"/>
      <c r="Q505" s="163"/>
      <c r="R505" s="163"/>
      <c r="S505" s="163"/>
    </row>
    <row r="506" spans="3:19" x14ac:dyDescent="0.25">
      <c r="E506" s="163"/>
      <c r="K506" s="163"/>
      <c r="Q506" s="163"/>
      <c r="R506" s="163"/>
      <c r="S506" s="163"/>
    </row>
    <row r="507" spans="3:19" x14ac:dyDescent="0.25">
      <c r="E507" s="163"/>
      <c r="K507" s="163"/>
      <c r="Q507" s="163"/>
      <c r="R507" s="163"/>
      <c r="S507" s="163"/>
    </row>
    <row r="508" spans="3:19" x14ac:dyDescent="0.25">
      <c r="E508" s="163"/>
      <c r="K508" s="163"/>
      <c r="Q508" s="163"/>
      <c r="R508" s="163"/>
      <c r="S508" s="163"/>
    </row>
    <row r="509" spans="3:19" x14ac:dyDescent="0.25">
      <c r="E509" s="163"/>
      <c r="K509" s="163"/>
      <c r="Q509" s="163"/>
      <c r="R509" s="163"/>
      <c r="S509" s="163"/>
    </row>
    <row r="510" spans="3:19" x14ac:dyDescent="0.25">
      <c r="E510" s="163"/>
      <c r="K510" s="163"/>
      <c r="Q510" s="163"/>
      <c r="R510" s="163"/>
      <c r="S510" s="163"/>
    </row>
    <row r="511" spans="3:19" x14ac:dyDescent="0.25">
      <c r="E511" s="163"/>
      <c r="K511" s="163"/>
      <c r="Q511" s="163"/>
      <c r="R511" s="163"/>
      <c r="S511" s="163"/>
    </row>
    <row r="512" spans="3:19" x14ac:dyDescent="0.25">
      <c r="E512" s="163"/>
      <c r="K512" s="163"/>
      <c r="Q512" s="163"/>
      <c r="R512" s="163"/>
      <c r="S512" s="163"/>
    </row>
    <row r="513" spans="5:19" x14ac:dyDescent="0.25">
      <c r="E513" s="163"/>
      <c r="K513" s="163"/>
      <c r="Q513" s="163"/>
      <c r="R513" s="163"/>
      <c r="S513" s="163"/>
    </row>
    <row r="514" spans="5:19" x14ac:dyDescent="0.25">
      <c r="E514" s="163"/>
      <c r="K514" s="163"/>
      <c r="Q514" s="163"/>
      <c r="R514" s="163"/>
      <c r="S514" s="163"/>
    </row>
    <row r="515" spans="5:19" x14ac:dyDescent="0.25">
      <c r="E515" s="163"/>
      <c r="K515" s="163"/>
      <c r="Q515" s="163"/>
      <c r="R515" s="163"/>
      <c r="S515" s="163"/>
    </row>
    <row r="516" spans="5:19" x14ac:dyDescent="0.25">
      <c r="E516" s="163"/>
      <c r="K516" s="163"/>
      <c r="Q516" s="163"/>
      <c r="R516" s="163"/>
      <c r="S516" s="163"/>
    </row>
    <row r="517" spans="5:19" x14ac:dyDescent="0.25">
      <c r="E517" s="163"/>
      <c r="K517" s="163"/>
      <c r="Q517" s="163"/>
      <c r="R517" s="163"/>
      <c r="S517" s="163"/>
    </row>
    <row r="518" spans="5:19" x14ac:dyDescent="0.25">
      <c r="E518" s="163"/>
      <c r="K518" s="163"/>
      <c r="Q518" s="163"/>
      <c r="R518" s="163"/>
      <c r="S518" s="163"/>
    </row>
    <row r="519" spans="5:19" x14ac:dyDescent="0.25">
      <c r="E519" s="163"/>
      <c r="K519" s="163"/>
      <c r="Q519" s="163"/>
      <c r="R519" s="163"/>
      <c r="S519" s="163"/>
    </row>
    <row r="520" spans="5:19" x14ac:dyDescent="0.25">
      <c r="E520" s="163"/>
      <c r="K520" s="163"/>
      <c r="Q520" s="163"/>
      <c r="R520" s="163"/>
      <c r="S520" s="163"/>
    </row>
    <row r="521" spans="5:19" x14ac:dyDescent="0.25">
      <c r="E521" s="163"/>
      <c r="K521" s="163"/>
      <c r="Q521" s="163"/>
      <c r="R521" s="163"/>
      <c r="S521" s="163"/>
    </row>
    <row r="522" spans="5:19" x14ac:dyDescent="0.25">
      <c r="E522" s="163"/>
      <c r="K522" s="163"/>
      <c r="Q522" s="163"/>
      <c r="R522" s="163"/>
      <c r="S522" s="163"/>
    </row>
    <row r="523" spans="5:19" x14ac:dyDescent="0.25">
      <c r="E523" s="163"/>
      <c r="K523" s="163"/>
      <c r="Q523" s="163"/>
      <c r="R523" s="163"/>
      <c r="S523" s="163"/>
    </row>
    <row r="524" spans="5:19" x14ac:dyDescent="0.25">
      <c r="E524" s="163"/>
      <c r="K524" s="163"/>
      <c r="Q524" s="163"/>
      <c r="R524" s="163"/>
      <c r="S524" s="163"/>
    </row>
    <row r="525" spans="5:19" x14ac:dyDescent="0.25">
      <c r="E525" s="163"/>
      <c r="K525" s="163"/>
      <c r="Q525" s="163"/>
      <c r="R525" s="163"/>
      <c r="S525" s="163"/>
    </row>
    <row r="526" spans="5:19" x14ac:dyDescent="0.25">
      <c r="E526" s="163"/>
      <c r="K526" s="163"/>
      <c r="Q526" s="163"/>
      <c r="R526" s="163"/>
      <c r="S526" s="163"/>
    </row>
    <row r="527" spans="5:19" x14ac:dyDescent="0.25">
      <c r="E527" s="163"/>
      <c r="K527" s="163"/>
      <c r="Q527" s="163"/>
      <c r="R527" s="163"/>
      <c r="S527" s="163"/>
    </row>
    <row r="528" spans="5:19" x14ac:dyDescent="0.25">
      <c r="E528" s="163"/>
      <c r="K528" s="163"/>
      <c r="Q528" s="163"/>
      <c r="R528" s="163"/>
      <c r="S528" s="163"/>
    </row>
    <row r="529" spans="5:19" x14ac:dyDescent="0.25">
      <c r="E529" s="163"/>
      <c r="K529" s="163"/>
      <c r="Q529" s="163"/>
      <c r="R529" s="163"/>
      <c r="S529" s="163"/>
    </row>
    <row r="530" spans="5:19" x14ac:dyDescent="0.25">
      <c r="E530" s="163"/>
      <c r="K530" s="163"/>
      <c r="Q530" s="163"/>
      <c r="R530" s="163"/>
      <c r="S530" s="163"/>
    </row>
    <row r="531" spans="5:19" x14ac:dyDescent="0.25">
      <c r="E531" s="163"/>
      <c r="K531" s="163"/>
      <c r="Q531" s="163"/>
      <c r="R531" s="163"/>
      <c r="S531" s="163"/>
    </row>
    <row r="532" spans="5:19" x14ac:dyDescent="0.25">
      <c r="E532" s="163"/>
      <c r="K532" s="163"/>
      <c r="Q532" s="163"/>
      <c r="R532" s="163"/>
      <c r="S532" s="163"/>
    </row>
    <row r="533" spans="5:19" x14ac:dyDescent="0.25">
      <c r="E533" s="163"/>
      <c r="K533" s="163"/>
      <c r="Q533" s="163"/>
      <c r="R533" s="163"/>
      <c r="S533" s="163"/>
    </row>
    <row r="534" spans="5:19" x14ac:dyDescent="0.25">
      <c r="E534" s="163"/>
      <c r="K534" s="163"/>
      <c r="Q534" s="163"/>
      <c r="R534" s="163"/>
      <c r="S534" s="163"/>
    </row>
    <row r="535" spans="5:19" x14ac:dyDescent="0.25">
      <c r="E535" s="163"/>
      <c r="K535" s="163"/>
      <c r="Q535" s="163"/>
      <c r="R535" s="163"/>
      <c r="S535" s="163"/>
    </row>
    <row r="536" spans="5:19" x14ac:dyDescent="0.25">
      <c r="E536" s="163"/>
      <c r="K536" s="163"/>
      <c r="Q536" s="163"/>
      <c r="R536" s="163"/>
      <c r="S536" s="163"/>
    </row>
    <row r="537" spans="5:19" x14ac:dyDescent="0.25">
      <c r="E537" s="163"/>
      <c r="K537" s="163"/>
      <c r="Q537" s="163"/>
      <c r="R537" s="163"/>
      <c r="S537" s="163"/>
    </row>
    <row r="538" spans="5:19" x14ac:dyDescent="0.25">
      <c r="E538" s="163"/>
      <c r="K538" s="163"/>
      <c r="Q538" s="163"/>
      <c r="R538" s="163"/>
      <c r="S538" s="163"/>
    </row>
    <row r="539" spans="5:19" x14ac:dyDescent="0.25">
      <c r="E539" s="163"/>
      <c r="K539" s="163"/>
      <c r="Q539" s="163"/>
      <c r="R539" s="163"/>
      <c r="S539" s="163"/>
    </row>
    <row r="540" spans="5:19" x14ac:dyDescent="0.25">
      <c r="E540" s="163"/>
      <c r="K540" s="163"/>
      <c r="Q540" s="163"/>
      <c r="R540" s="163"/>
      <c r="S540" s="163"/>
    </row>
    <row r="541" spans="5:19" x14ac:dyDescent="0.25">
      <c r="E541" s="163"/>
      <c r="K541" s="163"/>
      <c r="Q541" s="163"/>
      <c r="R541" s="163"/>
      <c r="S541" s="163"/>
    </row>
    <row r="542" spans="5:19" x14ac:dyDescent="0.25">
      <c r="E542" s="163"/>
      <c r="K542" s="163"/>
      <c r="Q542" s="163"/>
      <c r="R542" s="163"/>
      <c r="S542" s="163"/>
    </row>
    <row r="543" spans="5:19" x14ac:dyDescent="0.25">
      <c r="E543" s="163"/>
      <c r="K543" s="163"/>
      <c r="Q543" s="163"/>
      <c r="R543" s="163"/>
      <c r="S543" s="163"/>
    </row>
    <row r="544" spans="5:19" x14ac:dyDescent="0.25">
      <c r="E544" s="163"/>
      <c r="K544" s="163"/>
      <c r="Q544" s="163"/>
      <c r="R544" s="163"/>
      <c r="S544" s="163"/>
    </row>
    <row r="545" spans="5:19" x14ac:dyDescent="0.25">
      <c r="E545" s="163"/>
      <c r="K545" s="163"/>
      <c r="Q545" s="163"/>
      <c r="R545" s="163"/>
      <c r="S545" s="163"/>
    </row>
    <row r="546" spans="5:19" x14ac:dyDescent="0.25">
      <c r="E546" s="163"/>
      <c r="K546" s="163"/>
      <c r="Q546" s="163"/>
      <c r="R546" s="163"/>
      <c r="S546" s="163"/>
    </row>
    <row r="547" spans="5:19" x14ac:dyDescent="0.25">
      <c r="E547" s="163"/>
      <c r="K547" s="163"/>
      <c r="Q547" s="163"/>
      <c r="R547" s="163"/>
      <c r="S547" s="163"/>
    </row>
    <row r="548" spans="5:19" x14ac:dyDescent="0.25">
      <c r="E548" s="163"/>
      <c r="K548" s="163"/>
      <c r="Q548" s="163"/>
      <c r="R548" s="163"/>
      <c r="S548" s="163"/>
    </row>
    <row r="549" spans="5:19" x14ac:dyDescent="0.25">
      <c r="E549" s="163"/>
      <c r="K549" s="163"/>
      <c r="Q549" s="163"/>
      <c r="R549" s="163"/>
      <c r="S549" s="163"/>
    </row>
    <row r="550" spans="5:19" x14ac:dyDescent="0.25">
      <c r="E550" s="163"/>
      <c r="K550" s="163"/>
      <c r="Q550" s="163"/>
      <c r="R550" s="163"/>
      <c r="S550" s="163"/>
    </row>
    <row r="551" spans="5:19" x14ac:dyDescent="0.25">
      <c r="E551" s="163"/>
      <c r="K551" s="163"/>
      <c r="Q551" s="163"/>
      <c r="R551" s="163"/>
      <c r="S551" s="163"/>
    </row>
    <row r="552" spans="5:19" x14ac:dyDescent="0.25">
      <c r="E552" s="163"/>
      <c r="K552" s="163"/>
      <c r="Q552" s="163"/>
      <c r="R552" s="163"/>
      <c r="S552" s="163"/>
    </row>
    <row r="553" spans="5:19" x14ac:dyDescent="0.25">
      <c r="E553" s="163"/>
      <c r="K553" s="163"/>
      <c r="Q553" s="163"/>
      <c r="R553" s="163"/>
      <c r="S553" s="163"/>
    </row>
    <row r="554" spans="5:19" x14ac:dyDescent="0.25">
      <c r="E554" s="163"/>
      <c r="K554" s="163"/>
      <c r="Q554" s="163"/>
      <c r="R554" s="163"/>
      <c r="S554" s="163"/>
    </row>
    <row r="555" spans="5:19" x14ac:dyDescent="0.25">
      <c r="E555" s="163"/>
      <c r="K555" s="163"/>
      <c r="Q555" s="163"/>
      <c r="R555" s="163"/>
      <c r="S555" s="163"/>
    </row>
    <row r="556" spans="5:19" x14ac:dyDescent="0.25">
      <c r="E556" s="163"/>
      <c r="K556" s="163"/>
      <c r="Q556" s="163"/>
      <c r="R556" s="163"/>
      <c r="S556" s="163"/>
    </row>
    <row r="557" spans="5:19" x14ac:dyDescent="0.25">
      <c r="E557" s="163"/>
      <c r="K557" s="163"/>
      <c r="Q557" s="163"/>
      <c r="R557" s="163"/>
      <c r="S557" s="163"/>
    </row>
    <row r="558" spans="5:19" x14ac:dyDescent="0.25">
      <c r="E558" s="163"/>
      <c r="K558" s="163"/>
      <c r="Q558" s="163"/>
      <c r="R558" s="163"/>
      <c r="S558" s="163"/>
    </row>
    <row r="559" spans="5:19" x14ac:dyDescent="0.25">
      <c r="E559" s="163"/>
      <c r="K559" s="163"/>
      <c r="Q559" s="163"/>
      <c r="R559" s="163"/>
      <c r="S559" s="163"/>
    </row>
    <row r="560" spans="5:19" x14ac:dyDescent="0.25">
      <c r="E560" s="163"/>
      <c r="K560" s="163"/>
      <c r="Q560" s="163"/>
      <c r="R560" s="163"/>
      <c r="S560" s="163"/>
    </row>
    <row r="561" spans="5:19" x14ac:dyDescent="0.25">
      <c r="E561" s="163"/>
      <c r="K561" s="163"/>
      <c r="Q561" s="163"/>
      <c r="R561" s="163"/>
      <c r="S561" s="163"/>
    </row>
    <row r="562" spans="5:19" x14ac:dyDescent="0.25">
      <c r="E562" s="163"/>
      <c r="K562" s="163"/>
      <c r="Q562" s="163"/>
      <c r="R562" s="163"/>
      <c r="S562" s="163"/>
    </row>
    <row r="563" spans="5:19" x14ac:dyDescent="0.25">
      <c r="E563" s="163"/>
      <c r="K563" s="163"/>
      <c r="Q563" s="163"/>
      <c r="R563" s="163"/>
      <c r="S563" s="163"/>
    </row>
    <row r="564" spans="5:19" x14ac:dyDescent="0.25">
      <c r="E564" s="163"/>
      <c r="K564" s="163"/>
      <c r="Q564" s="163"/>
      <c r="R564" s="163"/>
      <c r="S564" s="163"/>
    </row>
    <row r="565" spans="5:19" x14ac:dyDescent="0.25">
      <c r="E565" s="163"/>
      <c r="K565" s="163"/>
      <c r="Q565" s="163"/>
      <c r="R565" s="163"/>
      <c r="S565" s="163"/>
    </row>
    <row r="566" spans="5:19" x14ac:dyDescent="0.25">
      <c r="E566" s="163"/>
      <c r="K566" s="163"/>
      <c r="Q566" s="163"/>
      <c r="R566" s="163"/>
      <c r="S566" s="163"/>
    </row>
    <row r="567" spans="5:19" x14ac:dyDescent="0.25">
      <c r="E567" s="163"/>
      <c r="K567" s="163"/>
      <c r="Q567" s="163"/>
      <c r="R567" s="163"/>
      <c r="S567" s="163"/>
    </row>
    <row r="568" spans="5:19" x14ac:dyDescent="0.25">
      <c r="E568" s="163"/>
      <c r="K568" s="163"/>
      <c r="Q568" s="163"/>
      <c r="R568" s="163"/>
      <c r="S568" s="163"/>
    </row>
    <row r="569" spans="5:19" x14ac:dyDescent="0.25">
      <c r="E569" s="163"/>
      <c r="K569" s="163"/>
      <c r="Q569" s="163"/>
      <c r="R569" s="163"/>
      <c r="S569" s="163"/>
    </row>
    <row r="570" spans="5:19" x14ac:dyDescent="0.25">
      <c r="E570" s="163"/>
      <c r="K570" s="163"/>
      <c r="Q570" s="163"/>
      <c r="R570" s="163"/>
      <c r="S570" s="163"/>
    </row>
    <row r="571" spans="5:19" x14ac:dyDescent="0.25">
      <c r="E571" s="163"/>
      <c r="K571" s="163"/>
      <c r="Q571" s="163"/>
      <c r="R571" s="163"/>
      <c r="S571" s="163"/>
    </row>
    <row r="572" spans="5:19" x14ac:dyDescent="0.25">
      <c r="E572" s="163"/>
      <c r="K572" s="163"/>
      <c r="Q572" s="163"/>
      <c r="R572" s="163"/>
      <c r="S572" s="163"/>
    </row>
    <row r="573" spans="5:19" x14ac:dyDescent="0.25">
      <c r="E573" s="163"/>
      <c r="K573" s="163"/>
      <c r="Q573" s="163"/>
      <c r="R573" s="163"/>
      <c r="S573" s="163"/>
    </row>
    <row r="574" spans="5:19" x14ac:dyDescent="0.25">
      <c r="E574" s="163"/>
      <c r="K574" s="163"/>
      <c r="Q574" s="163"/>
      <c r="R574" s="163"/>
      <c r="S574" s="163"/>
    </row>
    <row r="575" spans="5:19" x14ac:dyDescent="0.25">
      <c r="E575" s="163"/>
      <c r="K575" s="163"/>
      <c r="Q575" s="163"/>
      <c r="R575" s="163"/>
      <c r="S575" s="163"/>
    </row>
    <row r="576" spans="5:19" x14ac:dyDescent="0.25">
      <c r="E576" s="163"/>
      <c r="K576" s="163"/>
      <c r="Q576" s="163"/>
      <c r="R576" s="163"/>
      <c r="S576" s="163"/>
    </row>
    <row r="577" spans="5:19" x14ac:dyDescent="0.25">
      <c r="E577" s="163"/>
      <c r="K577" s="163"/>
      <c r="Q577" s="163"/>
      <c r="R577" s="163"/>
      <c r="S577" s="163"/>
    </row>
    <row r="578" spans="5:19" x14ac:dyDescent="0.25">
      <c r="E578" s="163"/>
      <c r="K578" s="163"/>
      <c r="Q578" s="163"/>
      <c r="R578" s="163"/>
      <c r="S578" s="163"/>
    </row>
    <row r="579" spans="5:19" x14ac:dyDescent="0.25">
      <c r="E579" s="163"/>
      <c r="K579" s="163"/>
      <c r="Q579" s="163"/>
      <c r="R579" s="163"/>
      <c r="S579" s="163"/>
    </row>
    <row r="580" spans="5:19" x14ac:dyDescent="0.25">
      <c r="E580" s="163"/>
      <c r="K580" s="163"/>
      <c r="Q580" s="163"/>
      <c r="R580" s="163"/>
      <c r="S580" s="163"/>
    </row>
    <row r="581" spans="5:19" x14ac:dyDescent="0.25">
      <c r="E581" s="163"/>
      <c r="K581" s="163"/>
      <c r="Q581" s="163"/>
      <c r="R581" s="163"/>
      <c r="S581" s="163"/>
    </row>
    <row r="582" spans="5:19" x14ac:dyDescent="0.25">
      <c r="E582" s="163"/>
      <c r="K582" s="163"/>
      <c r="Q582" s="163"/>
      <c r="R582" s="163"/>
      <c r="S582" s="163"/>
    </row>
    <row r="583" spans="5:19" x14ac:dyDescent="0.25">
      <c r="E583" s="163"/>
      <c r="K583" s="163"/>
      <c r="Q583" s="163"/>
      <c r="R583" s="163"/>
      <c r="S583" s="163"/>
    </row>
    <row r="584" spans="5:19" x14ac:dyDescent="0.25">
      <c r="E584" s="163"/>
      <c r="K584" s="163"/>
      <c r="Q584" s="163"/>
      <c r="R584" s="163"/>
      <c r="S584" s="163"/>
    </row>
    <row r="585" spans="5:19" x14ac:dyDescent="0.25">
      <c r="E585" s="163"/>
      <c r="K585" s="163"/>
      <c r="Q585" s="163"/>
      <c r="R585" s="163"/>
      <c r="S585" s="163"/>
    </row>
    <row r="586" spans="5:19" x14ac:dyDescent="0.25">
      <c r="E586" s="163"/>
      <c r="K586" s="163"/>
      <c r="Q586" s="163"/>
      <c r="R586" s="163"/>
      <c r="S586" s="163"/>
    </row>
    <row r="587" spans="5:19" x14ac:dyDescent="0.25">
      <c r="E587" s="163"/>
      <c r="K587" s="163"/>
      <c r="Q587" s="163"/>
      <c r="R587" s="163"/>
      <c r="S587" s="163"/>
    </row>
    <row r="588" spans="5:19" x14ac:dyDescent="0.25">
      <c r="E588" s="163"/>
      <c r="K588" s="163"/>
      <c r="Q588" s="163"/>
      <c r="R588" s="163"/>
      <c r="S588" s="163"/>
    </row>
    <row r="589" spans="5:19" x14ac:dyDescent="0.25">
      <c r="E589" s="163"/>
      <c r="K589" s="163"/>
      <c r="Q589" s="163"/>
      <c r="R589" s="163"/>
      <c r="S589" s="163"/>
    </row>
    <row r="590" spans="5:19" x14ac:dyDescent="0.25">
      <c r="E590" s="163"/>
      <c r="K590" s="163"/>
      <c r="Q590" s="163"/>
      <c r="R590" s="163"/>
      <c r="S590" s="163"/>
    </row>
    <row r="591" spans="5:19" x14ac:dyDescent="0.25">
      <c r="E591" s="163"/>
      <c r="K591" s="163"/>
      <c r="Q591" s="163"/>
      <c r="R591" s="163"/>
      <c r="S591" s="163"/>
    </row>
    <row r="592" spans="5:19" x14ac:dyDescent="0.25">
      <c r="E592" s="163"/>
      <c r="K592" s="163"/>
      <c r="Q592" s="163"/>
      <c r="R592" s="163"/>
      <c r="S592" s="163"/>
    </row>
    <row r="593" spans="5:19" x14ac:dyDescent="0.25">
      <c r="E593" s="163"/>
      <c r="K593" s="163"/>
      <c r="Q593" s="163"/>
      <c r="R593" s="163"/>
      <c r="S593" s="163"/>
    </row>
    <row r="594" spans="5:19" x14ac:dyDescent="0.25">
      <c r="E594" s="163"/>
      <c r="K594" s="163"/>
      <c r="Q594" s="163"/>
      <c r="R594" s="163"/>
      <c r="S594" s="163"/>
    </row>
    <row r="595" spans="5:19" x14ac:dyDescent="0.25">
      <c r="E595" s="163"/>
      <c r="K595" s="163"/>
      <c r="Q595" s="163"/>
      <c r="R595" s="163"/>
      <c r="S595" s="163"/>
    </row>
    <row r="596" spans="5:19" x14ac:dyDescent="0.25">
      <c r="E596" s="163"/>
      <c r="K596" s="163"/>
      <c r="Q596" s="163"/>
      <c r="R596" s="163"/>
      <c r="S596" s="163"/>
    </row>
    <row r="597" spans="5:19" x14ac:dyDescent="0.25">
      <c r="E597" s="163"/>
      <c r="K597" s="163"/>
      <c r="Q597" s="163"/>
      <c r="R597" s="163"/>
      <c r="S597" s="163"/>
    </row>
    <row r="598" spans="5:19" x14ac:dyDescent="0.25">
      <c r="E598" s="163"/>
      <c r="K598" s="163"/>
      <c r="Q598" s="163"/>
      <c r="R598" s="163"/>
      <c r="S598" s="163"/>
    </row>
    <row r="599" spans="5:19" x14ac:dyDescent="0.25">
      <c r="E599" s="163"/>
      <c r="K599" s="163"/>
      <c r="Q599" s="163"/>
      <c r="R599" s="163"/>
      <c r="S599" s="163"/>
    </row>
    <row r="600" spans="5:19" x14ac:dyDescent="0.25">
      <c r="E600" s="163"/>
      <c r="K600" s="163"/>
      <c r="Q600" s="163"/>
      <c r="R600" s="163"/>
      <c r="S600" s="163"/>
    </row>
    <row r="601" spans="5:19" x14ac:dyDescent="0.25">
      <c r="E601" s="163"/>
      <c r="K601" s="163"/>
      <c r="Q601" s="163"/>
      <c r="R601" s="163"/>
      <c r="S601" s="163"/>
    </row>
    <row r="602" spans="5:19" x14ac:dyDescent="0.25">
      <c r="E602" s="163"/>
      <c r="K602" s="163"/>
      <c r="Q602" s="163"/>
      <c r="R602" s="163"/>
      <c r="S602" s="163"/>
    </row>
    <row r="603" spans="5:19" x14ac:dyDescent="0.25">
      <c r="E603" s="163"/>
      <c r="K603" s="163"/>
      <c r="Q603" s="163"/>
      <c r="R603" s="163"/>
      <c r="S603" s="163"/>
    </row>
    <row r="604" spans="5:19" x14ac:dyDescent="0.25">
      <c r="E604" s="163"/>
      <c r="K604" s="163"/>
      <c r="Q604" s="163"/>
      <c r="R604" s="163"/>
      <c r="S604" s="163"/>
    </row>
    <row r="605" spans="5:19" x14ac:dyDescent="0.25">
      <c r="E605" s="163"/>
      <c r="K605" s="163"/>
      <c r="Q605" s="163"/>
      <c r="R605" s="163"/>
      <c r="S605" s="163"/>
    </row>
    <row r="606" spans="5:19" x14ac:dyDescent="0.25">
      <c r="E606" s="163"/>
      <c r="K606" s="163"/>
      <c r="Q606" s="163"/>
      <c r="R606" s="163"/>
      <c r="S606" s="163"/>
    </row>
    <row r="607" spans="5:19" x14ac:dyDescent="0.25">
      <c r="E607" s="163"/>
      <c r="K607" s="163"/>
      <c r="Q607" s="163"/>
      <c r="R607" s="163"/>
      <c r="S607" s="163"/>
    </row>
    <row r="608" spans="5:19" x14ac:dyDescent="0.25">
      <c r="E608" s="163"/>
      <c r="K608" s="163"/>
      <c r="Q608" s="163"/>
      <c r="R608" s="163"/>
      <c r="S608" s="163"/>
    </row>
    <row r="609" spans="5:19" x14ac:dyDescent="0.25">
      <c r="E609" s="163"/>
      <c r="K609" s="163"/>
      <c r="Q609" s="163"/>
      <c r="R609" s="163"/>
      <c r="S609" s="163"/>
    </row>
    <row r="610" spans="5:19" x14ac:dyDescent="0.25">
      <c r="E610" s="163"/>
      <c r="K610" s="163"/>
      <c r="Q610" s="163"/>
      <c r="R610" s="163"/>
      <c r="S610" s="163"/>
    </row>
    <row r="611" spans="5:19" x14ac:dyDescent="0.25">
      <c r="E611" s="163"/>
      <c r="K611" s="163"/>
      <c r="Q611" s="163"/>
      <c r="R611" s="163"/>
      <c r="S611" s="163"/>
    </row>
    <row r="612" spans="5:19" x14ac:dyDescent="0.25">
      <c r="E612" s="163"/>
      <c r="K612" s="163"/>
      <c r="Q612" s="163"/>
      <c r="R612" s="163"/>
      <c r="S612" s="163"/>
    </row>
    <row r="613" spans="5:19" x14ac:dyDescent="0.25">
      <c r="E613" s="163"/>
      <c r="K613" s="163"/>
      <c r="Q613" s="163"/>
      <c r="R613" s="163"/>
      <c r="S613" s="163"/>
    </row>
    <row r="614" spans="5:19" x14ac:dyDescent="0.25">
      <c r="E614" s="163"/>
      <c r="K614" s="163"/>
      <c r="Q614" s="163"/>
      <c r="R614" s="163"/>
      <c r="S614" s="163"/>
    </row>
    <row r="615" spans="5:19" x14ac:dyDescent="0.25">
      <c r="E615" s="163"/>
      <c r="K615" s="163"/>
      <c r="Q615" s="163"/>
      <c r="R615" s="163"/>
      <c r="S615" s="163"/>
    </row>
    <row r="616" spans="5:19" x14ac:dyDescent="0.25">
      <c r="E616" s="163"/>
      <c r="K616" s="163"/>
      <c r="Q616" s="163"/>
      <c r="R616" s="163"/>
      <c r="S616" s="163"/>
    </row>
    <row r="617" spans="5:19" x14ac:dyDescent="0.25">
      <c r="E617" s="163"/>
      <c r="K617" s="163"/>
      <c r="Q617" s="163"/>
      <c r="R617" s="163"/>
      <c r="S617" s="163"/>
    </row>
    <row r="618" spans="5:19" x14ac:dyDescent="0.25">
      <c r="E618" s="163"/>
      <c r="K618" s="163"/>
      <c r="Q618" s="163"/>
      <c r="R618" s="163"/>
      <c r="S618" s="163"/>
    </row>
    <row r="619" spans="5:19" x14ac:dyDescent="0.25">
      <c r="E619" s="163"/>
      <c r="K619" s="163"/>
      <c r="Q619" s="163"/>
      <c r="R619" s="163"/>
      <c r="S619" s="163"/>
    </row>
    <row r="620" spans="5:19" x14ac:dyDescent="0.25">
      <c r="E620" s="163"/>
      <c r="K620" s="163"/>
      <c r="Q620" s="163"/>
      <c r="R620" s="163"/>
      <c r="S620" s="163"/>
    </row>
    <row r="621" spans="5:19" x14ac:dyDescent="0.25">
      <c r="E621" s="163"/>
      <c r="K621" s="163"/>
      <c r="Q621" s="163"/>
      <c r="R621" s="163"/>
      <c r="S621" s="163"/>
    </row>
    <row r="622" spans="5:19" x14ac:dyDescent="0.25">
      <c r="E622" s="163"/>
      <c r="K622" s="163"/>
      <c r="Q622" s="163"/>
      <c r="R622" s="163"/>
      <c r="S622" s="163"/>
    </row>
    <row r="623" spans="5:19" x14ac:dyDescent="0.25">
      <c r="E623" s="163"/>
      <c r="K623" s="163"/>
      <c r="Q623" s="163"/>
      <c r="R623" s="163"/>
      <c r="S623" s="163"/>
    </row>
    <row r="624" spans="5:19" x14ac:dyDescent="0.25">
      <c r="E624" s="163"/>
      <c r="K624" s="163"/>
      <c r="Q624" s="163"/>
      <c r="R624" s="163"/>
      <c r="S624" s="163"/>
    </row>
    <row r="625" spans="5:19" x14ac:dyDescent="0.25">
      <c r="E625" s="163"/>
      <c r="K625" s="163"/>
      <c r="Q625" s="163"/>
      <c r="R625" s="163"/>
      <c r="S625" s="163"/>
    </row>
    <row r="626" spans="5:19" x14ac:dyDescent="0.25">
      <c r="E626" s="163"/>
      <c r="K626" s="163"/>
      <c r="Q626" s="163"/>
      <c r="R626" s="163"/>
      <c r="S626" s="163"/>
    </row>
    <row r="627" spans="5:19" x14ac:dyDescent="0.25">
      <c r="E627" s="163"/>
      <c r="K627" s="163"/>
      <c r="Q627" s="163"/>
      <c r="R627" s="163"/>
      <c r="S627" s="163"/>
    </row>
    <row r="628" spans="5:19" x14ac:dyDescent="0.25">
      <c r="E628" s="163"/>
      <c r="K628" s="163"/>
      <c r="Q628" s="163"/>
      <c r="R628" s="163"/>
      <c r="S628" s="163"/>
    </row>
    <row r="629" spans="5:19" x14ac:dyDescent="0.25">
      <c r="E629" s="163"/>
      <c r="K629" s="163"/>
      <c r="Q629" s="163"/>
      <c r="R629" s="163"/>
      <c r="S629" s="163"/>
    </row>
    <row r="630" spans="5:19" x14ac:dyDescent="0.25">
      <c r="E630" s="163"/>
      <c r="K630" s="163"/>
      <c r="Q630" s="163"/>
      <c r="R630" s="163"/>
      <c r="S630" s="163"/>
    </row>
    <row r="631" spans="5:19" x14ac:dyDescent="0.25">
      <c r="E631" s="163"/>
      <c r="K631" s="163"/>
      <c r="Q631" s="163"/>
      <c r="R631" s="163"/>
      <c r="S631" s="163"/>
    </row>
    <row r="632" spans="5:19" x14ac:dyDescent="0.25">
      <c r="E632" s="163"/>
      <c r="K632" s="163"/>
      <c r="Q632" s="163"/>
      <c r="R632" s="163"/>
      <c r="S632" s="163"/>
    </row>
    <row r="633" spans="5:19" x14ac:dyDescent="0.25">
      <c r="E633" s="163"/>
      <c r="K633" s="163"/>
      <c r="Q633" s="163"/>
      <c r="R633" s="163"/>
      <c r="S633" s="163"/>
    </row>
    <row r="634" spans="5:19" x14ac:dyDescent="0.25">
      <c r="E634" s="163"/>
      <c r="K634" s="163"/>
      <c r="Q634" s="163"/>
      <c r="R634" s="163"/>
      <c r="S634" s="163"/>
    </row>
    <row r="635" spans="5:19" x14ac:dyDescent="0.25">
      <c r="E635" s="163"/>
      <c r="K635" s="163"/>
      <c r="Q635" s="163"/>
      <c r="R635" s="163"/>
      <c r="S635" s="163"/>
    </row>
    <row r="636" spans="5:19" x14ac:dyDescent="0.25">
      <c r="E636" s="163"/>
      <c r="K636" s="163"/>
      <c r="Q636" s="163"/>
      <c r="R636" s="163"/>
      <c r="S636" s="163"/>
    </row>
    <row r="637" spans="5:19" x14ac:dyDescent="0.25">
      <c r="E637" s="163"/>
      <c r="K637" s="163"/>
      <c r="Q637" s="163"/>
      <c r="R637" s="163"/>
      <c r="S637" s="163"/>
    </row>
    <row r="638" spans="5:19" x14ac:dyDescent="0.25">
      <c r="E638" s="163"/>
      <c r="K638" s="163"/>
      <c r="Q638" s="163"/>
      <c r="R638" s="163"/>
      <c r="S638" s="163"/>
    </row>
    <row r="639" spans="5:19" x14ac:dyDescent="0.25">
      <c r="E639" s="163"/>
      <c r="K639" s="163"/>
      <c r="Q639" s="163"/>
      <c r="R639" s="163"/>
      <c r="S639" s="163"/>
    </row>
    <row r="640" spans="5:19" x14ac:dyDescent="0.25">
      <c r="E640" s="163"/>
      <c r="K640" s="163"/>
      <c r="Q640" s="163"/>
      <c r="R640" s="163"/>
      <c r="S640" s="163"/>
    </row>
    <row r="641" spans="5:19" x14ac:dyDescent="0.25">
      <c r="E641" s="163"/>
      <c r="K641" s="163"/>
      <c r="Q641" s="163"/>
      <c r="R641" s="163"/>
      <c r="S641" s="163"/>
    </row>
    <row r="642" spans="5:19" x14ac:dyDescent="0.25">
      <c r="E642" s="163"/>
      <c r="K642" s="163"/>
      <c r="Q642" s="163"/>
      <c r="R642" s="163"/>
      <c r="S642" s="163"/>
    </row>
    <row r="643" spans="5:19" x14ac:dyDescent="0.25">
      <c r="E643" s="163"/>
      <c r="K643" s="163"/>
      <c r="Q643" s="163"/>
      <c r="R643" s="163"/>
      <c r="S643" s="163"/>
    </row>
    <row r="644" spans="5:19" x14ac:dyDescent="0.25">
      <c r="E644" s="163"/>
      <c r="K644" s="163"/>
      <c r="Q644" s="163"/>
      <c r="R644" s="163"/>
      <c r="S644" s="163"/>
    </row>
    <row r="645" spans="5:19" x14ac:dyDescent="0.25">
      <c r="E645" s="163"/>
      <c r="K645" s="163"/>
      <c r="Q645" s="163"/>
      <c r="R645" s="163"/>
      <c r="S645" s="163"/>
    </row>
    <row r="646" spans="5:19" x14ac:dyDescent="0.25">
      <c r="E646" s="163"/>
      <c r="K646" s="163"/>
      <c r="Q646" s="163"/>
      <c r="R646" s="163"/>
      <c r="S646" s="163"/>
    </row>
    <row r="647" spans="5:19" x14ac:dyDescent="0.25">
      <c r="E647" s="163"/>
      <c r="K647" s="163"/>
      <c r="Q647" s="163"/>
      <c r="R647" s="163"/>
      <c r="S647" s="163"/>
    </row>
    <row r="648" spans="5:19" x14ac:dyDescent="0.25">
      <c r="E648" s="163"/>
      <c r="K648" s="163"/>
      <c r="Q648" s="163"/>
      <c r="R648" s="163"/>
      <c r="S648" s="163"/>
    </row>
    <row r="649" spans="5:19" x14ac:dyDescent="0.25">
      <c r="E649" s="163"/>
      <c r="K649" s="163"/>
      <c r="Q649" s="163"/>
      <c r="R649" s="163"/>
      <c r="S649" s="163"/>
    </row>
    <row r="650" spans="5:19" x14ac:dyDescent="0.25">
      <c r="E650" s="163"/>
      <c r="K650" s="163"/>
      <c r="Q650" s="163"/>
      <c r="R650" s="163"/>
      <c r="S650" s="163"/>
    </row>
    <row r="651" spans="5:19" x14ac:dyDescent="0.25">
      <c r="E651" s="163"/>
      <c r="K651" s="163"/>
      <c r="Q651" s="163"/>
      <c r="R651" s="163"/>
      <c r="S651" s="163"/>
    </row>
    <row r="652" spans="5:19" x14ac:dyDescent="0.25">
      <c r="E652" s="163"/>
      <c r="K652" s="163"/>
      <c r="Q652" s="163"/>
      <c r="R652" s="163"/>
      <c r="S652" s="163"/>
    </row>
    <row r="653" spans="5:19" x14ac:dyDescent="0.25">
      <c r="E653" s="163"/>
      <c r="K653" s="163"/>
      <c r="Q653" s="163"/>
      <c r="R653" s="163"/>
      <c r="S653" s="163"/>
    </row>
    <row r="654" spans="5:19" x14ac:dyDescent="0.25">
      <c r="E654" s="163"/>
      <c r="K654" s="163"/>
      <c r="Q654" s="163"/>
      <c r="R654" s="163"/>
      <c r="S654" s="163"/>
    </row>
    <row r="655" spans="5:19" x14ac:dyDescent="0.25">
      <c r="E655" s="163"/>
      <c r="K655" s="163"/>
      <c r="Q655" s="163"/>
      <c r="R655" s="163"/>
      <c r="S655" s="163"/>
    </row>
    <row r="656" spans="5:19" x14ac:dyDescent="0.25">
      <c r="E656" s="163"/>
      <c r="K656" s="163"/>
      <c r="Q656" s="163"/>
      <c r="R656" s="163"/>
      <c r="S656" s="163"/>
    </row>
    <row r="657" spans="5:19" x14ac:dyDescent="0.25">
      <c r="E657" s="163"/>
      <c r="K657" s="163"/>
      <c r="Q657" s="163"/>
      <c r="R657" s="163"/>
      <c r="S657" s="163"/>
    </row>
    <row r="658" spans="5:19" x14ac:dyDescent="0.25">
      <c r="E658" s="163"/>
      <c r="K658" s="163"/>
      <c r="Q658" s="163"/>
      <c r="R658" s="163"/>
      <c r="S658" s="163"/>
    </row>
    <row r="659" spans="5:19" x14ac:dyDescent="0.25">
      <c r="E659" s="163"/>
      <c r="K659" s="163"/>
      <c r="Q659" s="163"/>
      <c r="R659" s="163"/>
      <c r="S659" s="163"/>
    </row>
    <row r="660" spans="5:19" x14ac:dyDescent="0.25">
      <c r="E660" s="163"/>
      <c r="K660" s="163"/>
      <c r="Q660" s="163"/>
      <c r="R660" s="163"/>
      <c r="S660" s="163"/>
    </row>
    <row r="661" spans="5:19" x14ac:dyDescent="0.25">
      <c r="E661" s="163"/>
      <c r="K661" s="163"/>
      <c r="Q661" s="163"/>
      <c r="R661" s="163"/>
      <c r="S661" s="163"/>
    </row>
    <row r="662" spans="5:19" x14ac:dyDescent="0.25">
      <c r="E662" s="163"/>
      <c r="K662" s="163"/>
      <c r="Q662" s="163"/>
      <c r="R662" s="163"/>
      <c r="S662" s="163"/>
    </row>
    <row r="663" spans="5:19" x14ac:dyDescent="0.25">
      <c r="E663" s="163"/>
      <c r="K663" s="163"/>
      <c r="Q663" s="163"/>
      <c r="R663" s="163"/>
      <c r="S663" s="163"/>
    </row>
    <row r="664" spans="5:19" x14ac:dyDescent="0.25">
      <c r="E664" s="163"/>
      <c r="K664" s="163"/>
      <c r="Q664" s="163"/>
      <c r="R664" s="163"/>
      <c r="S664" s="163"/>
    </row>
    <row r="665" spans="5:19" x14ac:dyDescent="0.25">
      <c r="E665" s="163"/>
      <c r="K665" s="163"/>
      <c r="Q665" s="163"/>
      <c r="R665" s="163"/>
      <c r="S665" s="163"/>
    </row>
    <row r="666" spans="5:19" x14ac:dyDescent="0.25">
      <c r="E666" s="163"/>
      <c r="K666" s="163"/>
      <c r="Q666" s="163"/>
      <c r="R666" s="163"/>
      <c r="S666" s="163"/>
    </row>
    <row r="667" spans="5:19" x14ac:dyDescent="0.25">
      <c r="E667" s="163"/>
      <c r="K667" s="163"/>
      <c r="Q667" s="163"/>
      <c r="R667" s="163"/>
      <c r="S667" s="163"/>
    </row>
    <row r="668" spans="5:19" x14ac:dyDescent="0.25">
      <c r="E668" s="163"/>
      <c r="K668" s="163"/>
      <c r="Q668" s="163"/>
      <c r="R668" s="163"/>
      <c r="S668" s="163"/>
    </row>
    <row r="669" spans="5:19" x14ac:dyDescent="0.25">
      <c r="E669" s="163"/>
      <c r="K669" s="163"/>
      <c r="Q669" s="163"/>
      <c r="R669" s="163"/>
      <c r="S669" s="163"/>
    </row>
    <row r="670" spans="5:19" x14ac:dyDescent="0.25">
      <c r="E670" s="163"/>
      <c r="K670" s="163"/>
      <c r="Q670" s="163"/>
      <c r="R670" s="163"/>
      <c r="S670" s="163"/>
    </row>
    <row r="671" spans="5:19" x14ac:dyDescent="0.25">
      <c r="E671" s="163"/>
      <c r="K671" s="163"/>
      <c r="Q671" s="163"/>
      <c r="R671" s="163"/>
      <c r="S671" s="163"/>
    </row>
    <row r="672" spans="5:19" x14ac:dyDescent="0.25">
      <c r="E672" s="163"/>
      <c r="K672" s="163"/>
      <c r="Q672" s="163"/>
      <c r="R672" s="163"/>
      <c r="S672" s="163"/>
    </row>
    <row r="673" spans="5:19" x14ac:dyDescent="0.25">
      <c r="E673" s="163"/>
      <c r="K673" s="163"/>
      <c r="Q673" s="163"/>
      <c r="R673" s="163"/>
      <c r="S673" s="163"/>
    </row>
    <row r="674" spans="5:19" x14ac:dyDescent="0.25">
      <c r="E674" s="163"/>
      <c r="K674" s="163"/>
      <c r="Q674" s="163"/>
      <c r="R674" s="163"/>
      <c r="S674" s="163"/>
    </row>
    <row r="675" spans="5:19" x14ac:dyDescent="0.25">
      <c r="E675" s="163"/>
      <c r="K675" s="163"/>
      <c r="Q675" s="163"/>
      <c r="R675" s="163"/>
      <c r="S675" s="163"/>
    </row>
    <row r="676" spans="5:19" x14ac:dyDescent="0.25">
      <c r="E676" s="163"/>
      <c r="K676" s="163"/>
      <c r="Q676" s="163"/>
      <c r="R676" s="163"/>
      <c r="S676" s="163"/>
    </row>
    <row r="677" spans="5:19" x14ac:dyDescent="0.25">
      <c r="E677" s="163"/>
      <c r="K677" s="163"/>
      <c r="Q677" s="163"/>
      <c r="R677" s="163"/>
      <c r="S677" s="163"/>
    </row>
    <row r="678" spans="5:19" x14ac:dyDescent="0.25">
      <c r="E678" s="163"/>
      <c r="K678" s="163"/>
      <c r="Q678" s="163"/>
      <c r="R678" s="163"/>
      <c r="S678" s="163"/>
    </row>
    <row r="679" spans="5:19" x14ac:dyDescent="0.25">
      <c r="E679" s="163"/>
      <c r="K679" s="163"/>
      <c r="Q679" s="163"/>
      <c r="R679" s="163"/>
      <c r="S679" s="163"/>
    </row>
    <row r="680" spans="5:19" x14ac:dyDescent="0.25">
      <c r="E680" s="163"/>
      <c r="K680" s="163"/>
      <c r="Q680" s="163"/>
      <c r="R680" s="163"/>
      <c r="S680" s="163"/>
    </row>
    <row r="681" spans="5:19" x14ac:dyDescent="0.25">
      <c r="E681" s="163"/>
      <c r="K681" s="163"/>
      <c r="Q681" s="163"/>
      <c r="R681" s="163"/>
      <c r="S681" s="163"/>
    </row>
    <row r="682" spans="5:19" x14ac:dyDescent="0.25">
      <c r="E682" s="163"/>
      <c r="K682" s="163"/>
      <c r="Q682" s="163"/>
      <c r="R682" s="163"/>
      <c r="S682" s="163"/>
    </row>
    <row r="683" spans="5:19" x14ac:dyDescent="0.25">
      <c r="E683" s="163"/>
      <c r="K683" s="163"/>
      <c r="Q683" s="163"/>
      <c r="R683" s="163"/>
      <c r="S683" s="163"/>
    </row>
    <row r="684" spans="5:19" x14ac:dyDescent="0.25">
      <c r="E684" s="163"/>
      <c r="K684" s="163"/>
      <c r="Q684" s="163"/>
      <c r="R684" s="163"/>
      <c r="S684" s="163"/>
    </row>
    <row r="685" spans="5:19" x14ac:dyDescent="0.25">
      <c r="E685" s="163"/>
      <c r="K685" s="163"/>
      <c r="Q685" s="163"/>
      <c r="R685" s="163"/>
      <c r="S685" s="163"/>
    </row>
    <row r="686" spans="5:19" x14ac:dyDescent="0.25">
      <c r="E686" s="163"/>
      <c r="K686" s="163"/>
      <c r="Q686" s="163"/>
      <c r="R686" s="163"/>
      <c r="S686" s="163"/>
    </row>
    <row r="687" spans="5:19" x14ac:dyDescent="0.25">
      <c r="E687" s="163"/>
      <c r="K687" s="163"/>
      <c r="Q687" s="163"/>
      <c r="R687" s="163"/>
      <c r="S687" s="163"/>
    </row>
    <row r="688" spans="5:19" x14ac:dyDescent="0.25">
      <c r="E688" s="163"/>
      <c r="K688" s="163"/>
      <c r="Q688" s="163"/>
      <c r="R688" s="163"/>
      <c r="S688" s="163"/>
    </row>
    <row r="689" spans="5:19" x14ac:dyDescent="0.25">
      <c r="E689" s="163"/>
      <c r="K689" s="163"/>
      <c r="Q689" s="163"/>
      <c r="R689" s="163"/>
      <c r="S689" s="163"/>
    </row>
    <row r="690" spans="5:19" x14ac:dyDescent="0.25">
      <c r="E690" s="163"/>
      <c r="K690" s="163"/>
      <c r="Q690" s="163"/>
      <c r="R690" s="163"/>
      <c r="S690" s="163"/>
    </row>
    <row r="691" spans="5:19" x14ac:dyDescent="0.25">
      <c r="E691" s="163"/>
      <c r="K691" s="163"/>
      <c r="Q691" s="163"/>
      <c r="R691" s="163"/>
      <c r="S691" s="163"/>
    </row>
    <row r="692" spans="5:19" x14ac:dyDescent="0.25">
      <c r="E692" s="163"/>
      <c r="K692" s="163"/>
      <c r="Q692" s="163"/>
      <c r="R692" s="163"/>
      <c r="S692" s="163"/>
    </row>
    <row r="693" spans="5:19" x14ac:dyDescent="0.25">
      <c r="E693" s="163"/>
      <c r="K693" s="163"/>
      <c r="Q693" s="163"/>
      <c r="R693" s="163"/>
      <c r="S693" s="163"/>
    </row>
    <row r="694" spans="5:19" x14ac:dyDescent="0.25">
      <c r="E694" s="163"/>
      <c r="K694" s="163"/>
      <c r="Q694" s="163"/>
      <c r="R694" s="163"/>
      <c r="S694" s="163"/>
    </row>
    <row r="695" spans="5:19" x14ac:dyDescent="0.25">
      <c r="E695" s="163"/>
      <c r="K695" s="163"/>
      <c r="Q695" s="163"/>
      <c r="R695" s="163"/>
      <c r="S695" s="163"/>
    </row>
    <row r="696" spans="5:19" x14ac:dyDescent="0.25">
      <c r="E696" s="163"/>
      <c r="K696" s="163"/>
      <c r="Q696" s="163"/>
      <c r="R696" s="163"/>
      <c r="S696" s="163"/>
    </row>
    <row r="697" spans="5:19" x14ac:dyDescent="0.25">
      <c r="E697" s="163"/>
      <c r="K697" s="163"/>
      <c r="Q697" s="163"/>
      <c r="R697" s="163"/>
      <c r="S697" s="163"/>
    </row>
    <row r="698" spans="5:19" x14ac:dyDescent="0.25">
      <c r="E698" s="163"/>
      <c r="K698" s="163"/>
      <c r="Q698" s="163"/>
      <c r="R698" s="163"/>
      <c r="S698" s="163"/>
    </row>
    <row r="699" spans="5:19" x14ac:dyDescent="0.25">
      <c r="E699" s="163"/>
      <c r="K699" s="163"/>
      <c r="Q699" s="163"/>
      <c r="R699" s="163"/>
      <c r="S699" s="163"/>
    </row>
    <row r="700" spans="5:19" x14ac:dyDescent="0.25">
      <c r="E700" s="163"/>
      <c r="K700" s="163"/>
      <c r="Q700" s="163"/>
      <c r="R700" s="163"/>
      <c r="S700" s="163"/>
    </row>
    <row r="701" spans="5:19" x14ac:dyDescent="0.25">
      <c r="E701" s="163"/>
      <c r="K701" s="163"/>
      <c r="Q701" s="163"/>
      <c r="R701" s="163"/>
      <c r="S701" s="163"/>
    </row>
    <row r="702" spans="5:19" x14ac:dyDescent="0.25">
      <c r="E702" s="163"/>
      <c r="K702" s="163"/>
      <c r="Q702" s="163"/>
      <c r="R702" s="163"/>
      <c r="S702" s="163"/>
    </row>
    <row r="703" spans="5:19" x14ac:dyDescent="0.25">
      <c r="E703" s="163"/>
      <c r="K703" s="163"/>
      <c r="Q703" s="163"/>
      <c r="R703" s="163"/>
      <c r="S703" s="163"/>
    </row>
    <row r="704" spans="5:19" x14ac:dyDescent="0.25">
      <c r="E704" s="163"/>
      <c r="K704" s="163"/>
      <c r="Q704" s="163"/>
      <c r="R704" s="163"/>
      <c r="S704" s="163"/>
    </row>
    <row r="705" spans="5:19" x14ac:dyDescent="0.25">
      <c r="E705" s="163"/>
      <c r="K705" s="163"/>
      <c r="Q705" s="163"/>
      <c r="R705" s="163"/>
      <c r="S705" s="163"/>
    </row>
    <row r="706" spans="5:19" x14ac:dyDescent="0.25">
      <c r="E706" s="163"/>
      <c r="K706" s="163"/>
      <c r="Q706" s="163"/>
      <c r="R706" s="163"/>
      <c r="S706" s="163"/>
    </row>
    <row r="707" spans="5:19" x14ac:dyDescent="0.25">
      <c r="E707" s="163"/>
      <c r="K707" s="163"/>
      <c r="Q707" s="163"/>
      <c r="R707" s="163"/>
      <c r="S707" s="163"/>
    </row>
    <row r="708" spans="5:19" x14ac:dyDescent="0.25">
      <c r="E708" s="163"/>
      <c r="K708" s="163"/>
      <c r="Q708" s="163"/>
      <c r="R708" s="163"/>
      <c r="S708" s="163"/>
    </row>
    <row r="709" spans="5:19" x14ac:dyDescent="0.25">
      <c r="E709" s="163"/>
      <c r="K709" s="163"/>
      <c r="Q709" s="163"/>
      <c r="R709" s="163"/>
      <c r="S709" s="163"/>
    </row>
    <row r="710" spans="5:19" x14ac:dyDescent="0.25">
      <c r="E710" s="163"/>
      <c r="K710" s="163"/>
      <c r="Q710" s="163"/>
      <c r="R710" s="163"/>
      <c r="S710" s="163"/>
    </row>
    <row r="711" spans="5:19" x14ac:dyDescent="0.25">
      <c r="E711" s="163"/>
      <c r="K711" s="163"/>
      <c r="Q711" s="163"/>
      <c r="R711" s="163"/>
      <c r="S711" s="163"/>
    </row>
    <row r="712" spans="5:19" x14ac:dyDescent="0.25">
      <c r="E712" s="163"/>
      <c r="K712" s="163"/>
      <c r="Q712" s="163"/>
      <c r="R712" s="163"/>
      <c r="S712" s="163"/>
    </row>
    <row r="713" spans="5:19" x14ac:dyDescent="0.25">
      <c r="E713" s="163"/>
      <c r="K713" s="163"/>
      <c r="Q713" s="163"/>
      <c r="R713" s="163"/>
      <c r="S713" s="163"/>
    </row>
    <row r="714" spans="5:19" x14ac:dyDescent="0.25">
      <c r="E714" s="163"/>
      <c r="K714" s="163"/>
      <c r="Q714" s="163"/>
      <c r="R714" s="163"/>
      <c r="S714" s="163"/>
    </row>
    <row r="715" spans="5:19" x14ac:dyDescent="0.25">
      <c r="E715" s="163"/>
      <c r="K715" s="163"/>
      <c r="Q715" s="163"/>
      <c r="R715" s="163"/>
      <c r="S715" s="163"/>
    </row>
    <row r="716" spans="5:19" x14ac:dyDescent="0.25">
      <c r="E716" s="163"/>
      <c r="K716" s="163"/>
      <c r="Q716" s="163"/>
      <c r="R716" s="163"/>
      <c r="S716" s="163"/>
    </row>
    <row r="717" spans="5:19" x14ac:dyDescent="0.25">
      <c r="E717" s="163"/>
      <c r="K717" s="163"/>
      <c r="Q717" s="163"/>
      <c r="R717" s="163"/>
      <c r="S717" s="163"/>
    </row>
    <row r="718" spans="5:19" x14ac:dyDescent="0.25">
      <c r="E718" s="163"/>
      <c r="K718" s="163"/>
      <c r="Q718" s="163"/>
      <c r="R718" s="163"/>
      <c r="S718" s="163"/>
    </row>
    <row r="719" spans="5:19" x14ac:dyDescent="0.25">
      <c r="E719" s="163"/>
      <c r="K719" s="163"/>
      <c r="Q719" s="163"/>
      <c r="R719" s="163"/>
      <c r="S719" s="163"/>
    </row>
    <row r="720" spans="5:19" x14ac:dyDescent="0.25">
      <c r="E720" s="163"/>
      <c r="K720" s="163"/>
      <c r="Q720" s="163"/>
      <c r="R720" s="163"/>
      <c r="S720" s="163"/>
    </row>
    <row r="721" spans="5:19" x14ac:dyDescent="0.25">
      <c r="E721" s="163"/>
      <c r="K721" s="163"/>
      <c r="Q721" s="163"/>
      <c r="R721" s="163"/>
      <c r="S721" s="163"/>
    </row>
    <row r="722" spans="5:19" x14ac:dyDescent="0.25">
      <c r="E722" s="163"/>
      <c r="K722" s="163"/>
      <c r="Q722" s="163"/>
      <c r="R722" s="163"/>
      <c r="S722" s="163"/>
    </row>
    <row r="723" spans="5:19" x14ac:dyDescent="0.25">
      <c r="E723" s="163"/>
      <c r="K723" s="163"/>
      <c r="Q723" s="163"/>
      <c r="R723" s="163"/>
      <c r="S723" s="163"/>
    </row>
    <row r="724" spans="5:19" x14ac:dyDescent="0.25">
      <c r="E724" s="163"/>
      <c r="K724" s="163"/>
      <c r="Q724" s="163"/>
      <c r="R724" s="163"/>
      <c r="S724" s="163"/>
    </row>
    <row r="725" spans="5:19" x14ac:dyDescent="0.25">
      <c r="E725" s="163"/>
      <c r="K725" s="163"/>
      <c r="Q725" s="163"/>
      <c r="R725" s="163"/>
      <c r="S725" s="163"/>
    </row>
    <row r="726" spans="5:19" x14ac:dyDescent="0.25">
      <c r="E726" s="163"/>
      <c r="K726" s="163"/>
      <c r="Q726" s="163"/>
      <c r="R726" s="163"/>
      <c r="S726" s="163"/>
    </row>
    <row r="727" spans="5:19" x14ac:dyDescent="0.25">
      <c r="E727" s="163"/>
      <c r="K727" s="163"/>
      <c r="Q727" s="163"/>
      <c r="R727" s="163"/>
      <c r="S727" s="163"/>
    </row>
    <row r="728" spans="5:19" x14ac:dyDescent="0.25">
      <c r="E728" s="163"/>
      <c r="K728" s="163"/>
      <c r="Q728" s="163"/>
      <c r="R728" s="163"/>
      <c r="S728" s="163"/>
    </row>
    <row r="729" spans="5:19" x14ac:dyDescent="0.25">
      <c r="E729" s="163"/>
      <c r="K729" s="163"/>
      <c r="Q729" s="163"/>
      <c r="R729" s="163"/>
      <c r="S729" s="163"/>
    </row>
    <row r="730" spans="5:19" x14ac:dyDescent="0.25">
      <c r="E730" s="163"/>
      <c r="K730" s="163"/>
      <c r="Q730" s="163"/>
      <c r="R730" s="163"/>
      <c r="S730" s="163"/>
    </row>
    <row r="731" spans="5:19" x14ac:dyDescent="0.25">
      <c r="E731" s="163"/>
      <c r="K731" s="163"/>
      <c r="Q731" s="163"/>
      <c r="R731" s="163"/>
      <c r="S731" s="163"/>
    </row>
    <row r="732" spans="5:19" x14ac:dyDescent="0.25">
      <c r="E732" s="163"/>
      <c r="K732" s="163"/>
      <c r="Q732" s="163"/>
      <c r="R732" s="163"/>
      <c r="S732" s="163"/>
    </row>
    <row r="733" spans="5:19" x14ac:dyDescent="0.25">
      <c r="E733" s="163"/>
      <c r="K733" s="163"/>
      <c r="Q733" s="163"/>
      <c r="R733" s="163"/>
      <c r="S733" s="163"/>
    </row>
    <row r="734" spans="5:19" x14ac:dyDescent="0.25">
      <c r="E734" s="163"/>
      <c r="K734" s="163"/>
      <c r="Q734" s="163"/>
      <c r="R734" s="163"/>
      <c r="S734" s="163"/>
    </row>
    <row r="735" spans="5:19" x14ac:dyDescent="0.25">
      <c r="E735" s="163"/>
      <c r="K735" s="163"/>
      <c r="Q735" s="163"/>
      <c r="R735" s="163"/>
      <c r="S735" s="163"/>
    </row>
    <row r="736" spans="5:19" x14ac:dyDescent="0.25">
      <c r="E736" s="163"/>
      <c r="K736" s="163"/>
      <c r="Q736" s="163"/>
      <c r="R736" s="163"/>
      <c r="S736" s="163"/>
    </row>
    <row r="737" spans="5:19" x14ac:dyDescent="0.25">
      <c r="E737" s="163"/>
      <c r="K737" s="163"/>
      <c r="Q737" s="163"/>
      <c r="R737" s="163"/>
      <c r="S737" s="163"/>
    </row>
    <row r="738" spans="5:19" x14ac:dyDescent="0.25">
      <c r="E738" s="163"/>
      <c r="K738" s="163"/>
      <c r="Q738" s="163"/>
      <c r="R738" s="163"/>
      <c r="S738" s="163"/>
    </row>
    <row r="739" spans="5:19" x14ac:dyDescent="0.25">
      <c r="E739" s="163"/>
      <c r="K739" s="163"/>
      <c r="Q739" s="163"/>
      <c r="R739" s="163"/>
      <c r="S739" s="163"/>
    </row>
    <row r="740" spans="5:19" x14ac:dyDescent="0.25">
      <c r="E740" s="163"/>
      <c r="K740" s="163"/>
      <c r="Q740" s="163"/>
      <c r="R740" s="163"/>
      <c r="S740" s="163"/>
    </row>
    <row r="741" spans="5:19" x14ac:dyDescent="0.25">
      <c r="E741" s="163"/>
      <c r="K741" s="163"/>
      <c r="Q741" s="163"/>
      <c r="R741" s="163"/>
      <c r="S741" s="163"/>
    </row>
    <row r="742" spans="5:19" x14ac:dyDescent="0.25">
      <c r="E742" s="163"/>
      <c r="K742" s="163"/>
      <c r="Q742" s="163"/>
      <c r="R742" s="163"/>
      <c r="S742" s="163"/>
    </row>
    <row r="743" spans="5:19" x14ac:dyDescent="0.25">
      <c r="E743" s="163"/>
      <c r="K743" s="163"/>
      <c r="Q743" s="163"/>
      <c r="R743" s="163"/>
      <c r="S743" s="163"/>
    </row>
    <row r="744" spans="5:19" x14ac:dyDescent="0.25">
      <c r="E744" s="163"/>
      <c r="K744" s="163"/>
      <c r="Q744" s="163"/>
      <c r="R744" s="163"/>
      <c r="S744" s="163"/>
    </row>
    <row r="745" spans="5:19" x14ac:dyDescent="0.25">
      <c r="E745" s="163"/>
      <c r="K745" s="163"/>
      <c r="Q745" s="163"/>
      <c r="R745" s="163"/>
      <c r="S745" s="163"/>
    </row>
    <row r="746" spans="5:19" x14ac:dyDescent="0.25">
      <c r="E746" s="163"/>
      <c r="K746" s="163"/>
      <c r="Q746" s="163"/>
      <c r="R746" s="163"/>
      <c r="S746" s="163"/>
    </row>
    <row r="747" spans="5:19" x14ac:dyDescent="0.25">
      <c r="E747" s="163"/>
      <c r="K747" s="163"/>
      <c r="Q747" s="163"/>
      <c r="R747" s="163"/>
      <c r="S747" s="163"/>
    </row>
    <row r="748" spans="5:19" x14ac:dyDescent="0.25">
      <c r="E748" s="163"/>
      <c r="K748" s="163"/>
      <c r="Q748" s="163"/>
      <c r="R748" s="163"/>
      <c r="S748" s="163"/>
    </row>
    <row r="749" spans="5:19" x14ac:dyDescent="0.25">
      <c r="E749" s="163"/>
      <c r="K749" s="163"/>
      <c r="Q749" s="163"/>
      <c r="R749" s="163"/>
      <c r="S749" s="163"/>
    </row>
    <row r="750" spans="5:19" x14ac:dyDescent="0.25">
      <c r="E750" s="163"/>
      <c r="K750" s="163"/>
      <c r="Q750" s="163"/>
      <c r="R750" s="163"/>
      <c r="S750" s="163"/>
    </row>
    <row r="751" spans="5:19" x14ac:dyDescent="0.25">
      <c r="E751" s="163"/>
      <c r="K751" s="163"/>
      <c r="Q751" s="163"/>
      <c r="R751" s="163"/>
      <c r="S751" s="163"/>
    </row>
    <row r="752" spans="5:19" x14ac:dyDescent="0.25">
      <c r="E752" s="163"/>
      <c r="K752" s="163"/>
      <c r="Q752" s="163"/>
      <c r="R752" s="163"/>
      <c r="S752" s="163"/>
    </row>
    <row r="753" spans="5:19" x14ac:dyDescent="0.25">
      <c r="E753" s="163"/>
      <c r="K753" s="163"/>
      <c r="Q753" s="163"/>
      <c r="R753" s="163"/>
      <c r="S753" s="163"/>
    </row>
    <row r="754" spans="5:19" x14ac:dyDescent="0.25">
      <c r="E754" s="163"/>
      <c r="K754" s="163"/>
      <c r="Q754" s="163"/>
      <c r="R754" s="163"/>
      <c r="S754" s="163"/>
    </row>
    <row r="755" spans="5:19" x14ac:dyDescent="0.25">
      <c r="E755" s="163"/>
      <c r="K755" s="163"/>
      <c r="Q755" s="163"/>
      <c r="R755" s="163"/>
      <c r="S755" s="163"/>
    </row>
    <row r="756" spans="5:19" x14ac:dyDescent="0.25">
      <c r="E756" s="163"/>
      <c r="K756" s="163"/>
      <c r="Q756" s="163"/>
      <c r="R756" s="163"/>
      <c r="S756" s="163"/>
    </row>
    <row r="757" spans="5:19" x14ac:dyDescent="0.25">
      <c r="E757" s="163"/>
      <c r="K757" s="163"/>
      <c r="Q757" s="163"/>
      <c r="R757" s="163"/>
      <c r="S757" s="163"/>
    </row>
    <row r="758" spans="5:19" x14ac:dyDescent="0.25">
      <c r="E758" s="163"/>
      <c r="K758" s="163"/>
      <c r="Q758" s="163"/>
      <c r="R758" s="163"/>
      <c r="S758" s="163"/>
    </row>
    <row r="759" spans="5:19" x14ac:dyDescent="0.25">
      <c r="E759" s="163"/>
      <c r="K759" s="163"/>
      <c r="Q759" s="163"/>
      <c r="R759" s="163"/>
      <c r="S759" s="163"/>
    </row>
    <row r="760" spans="5:19" x14ac:dyDescent="0.25">
      <c r="E760" s="163"/>
      <c r="K760" s="163"/>
      <c r="Q760" s="163"/>
      <c r="R760" s="163"/>
      <c r="S760" s="163"/>
    </row>
    <row r="761" spans="5:19" x14ac:dyDescent="0.25">
      <c r="E761" s="163"/>
      <c r="K761" s="163"/>
      <c r="Q761" s="163"/>
      <c r="R761" s="163"/>
      <c r="S761" s="163"/>
    </row>
    <row r="762" spans="5:19" x14ac:dyDescent="0.25">
      <c r="E762" s="163"/>
      <c r="K762" s="163"/>
      <c r="Q762" s="163"/>
      <c r="R762" s="163"/>
      <c r="S762" s="163"/>
    </row>
    <row r="763" spans="5:19" x14ac:dyDescent="0.25">
      <c r="E763" s="163"/>
      <c r="K763" s="163"/>
      <c r="Q763" s="163"/>
      <c r="R763" s="163"/>
      <c r="S763" s="163"/>
    </row>
    <row r="764" spans="5:19" x14ac:dyDescent="0.25">
      <c r="E764" s="163"/>
      <c r="K764" s="163"/>
      <c r="Q764" s="163"/>
      <c r="R764" s="163"/>
      <c r="S764" s="163"/>
    </row>
    <row r="765" spans="5:19" x14ac:dyDescent="0.25">
      <c r="E765" s="163"/>
      <c r="K765" s="163"/>
      <c r="Q765" s="163"/>
      <c r="R765" s="163"/>
      <c r="S765" s="163"/>
    </row>
    <row r="766" spans="5:19" x14ac:dyDescent="0.25">
      <c r="E766" s="163"/>
      <c r="K766" s="163"/>
      <c r="Q766" s="163"/>
      <c r="R766" s="163"/>
      <c r="S766" s="163"/>
    </row>
    <row r="767" spans="5:19" x14ac:dyDescent="0.25">
      <c r="E767" s="163"/>
      <c r="K767" s="163"/>
      <c r="Q767" s="163"/>
      <c r="R767" s="163"/>
      <c r="S767" s="163"/>
    </row>
    <row r="768" spans="5:19" x14ac:dyDescent="0.25">
      <c r="E768" s="163"/>
      <c r="K768" s="163"/>
      <c r="Q768" s="163"/>
      <c r="R768" s="163"/>
      <c r="S768" s="163"/>
    </row>
    <row r="769" spans="5:19" x14ac:dyDescent="0.25">
      <c r="E769" s="163"/>
      <c r="K769" s="163"/>
      <c r="Q769" s="163"/>
      <c r="R769" s="163"/>
      <c r="S769" s="163"/>
    </row>
    <row r="770" spans="5:19" x14ac:dyDescent="0.25">
      <c r="E770" s="163"/>
      <c r="K770" s="163"/>
      <c r="Q770" s="163"/>
      <c r="R770" s="163"/>
      <c r="S770" s="163"/>
    </row>
    <row r="771" spans="5:19" x14ac:dyDescent="0.25">
      <c r="E771" s="163"/>
      <c r="K771" s="163"/>
      <c r="Q771" s="163"/>
      <c r="R771" s="163"/>
      <c r="S771" s="163"/>
    </row>
    <row r="772" spans="5:19" x14ac:dyDescent="0.25">
      <c r="E772" s="163"/>
      <c r="K772" s="163"/>
      <c r="Q772" s="163"/>
      <c r="R772" s="163"/>
      <c r="S772" s="163"/>
    </row>
    <row r="773" spans="5:19" x14ac:dyDescent="0.25">
      <c r="E773" s="163"/>
      <c r="K773" s="163"/>
      <c r="Q773" s="163"/>
      <c r="R773" s="163"/>
      <c r="S773" s="163"/>
    </row>
    <row r="774" spans="5:19" x14ac:dyDescent="0.25">
      <c r="E774" s="163"/>
      <c r="K774" s="163"/>
      <c r="Q774" s="163"/>
      <c r="R774" s="163"/>
      <c r="S774" s="163"/>
    </row>
    <row r="775" spans="5:19" x14ac:dyDescent="0.25">
      <c r="E775" s="163"/>
      <c r="K775" s="163"/>
      <c r="Q775" s="163"/>
      <c r="R775" s="163"/>
      <c r="S775" s="163"/>
    </row>
    <row r="776" spans="5:19" x14ac:dyDescent="0.25">
      <c r="E776" s="163"/>
      <c r="K776" s="163"/>
      <c r="Q776" s="163"/>
      <c r="R776" s="163"/>
      <c r="S776" s="163"/>
    </row>
    <row r="777" spans="5:19" x14ac:dyDescent="0.25">
      <c r="E777" s="163"/>
      <c r="K777" s="163"/>
      <c r="Q777" s="163"/>
      <c r="R777" s="163"/>
      <c r="S777" s="163"/>
    </row>
    <row r="778" spans="5:19" x14ac:dyDescent="0.25">
      <c r="E778" s="163"/>
      <c r="K778" s="163"/>
      <c r="Q778" s="163"/>
      <c r="R778" s="163"/>
      <c r="S778" s="163"/>
    </row>
    <row r="779" spans="5:19" x14ac:dyDescent="0.25">
      <c r="E779" s="163"/>
      <c r="K779" s="163"/>
      <c r="Q779" s="163"/>
      <c r="R779" s="163"/>
      <c r="S779" s="163"/>
    </row>
    <row r="780" spans="5:19" x14ac:dyDescent="0.25">
      <c r="E780" s="163"/>
      <c r="K780" s="163"/>
      <c r="Q780" s="163"/>
      <c r="R780" s="163"/>
      <c r="S780" s="163"/>
    </row>
    <row r="781" spans="5:19" x14ac:dyDescent="0.25">
      <c r="E781" s="163"/>
      <c r="K781" s="163"/>
      <c r="Q781" s="163"/>
      <c r="R781" s="163"/>
      <c r="S781" s="163"/>
    </row>
    <row r="782" spans="5:19" x14ac:dyDescent="0.25">
      <c r="E782" s="163"/>
      <c r="K782" s="163"/>
      <c r="Q782" s="163"/>
      <c r="R782" s="163"/>
      <c r="S782" s="163"/>
    </row>
    <row r="783" spans="5:19" x14ac:dyDescent="0.25">
      <c r="E783" s="163"/>
      <c r="K783" s="163"/>
      <c r="Q783" s="163"/>
      <c r="R783" s="163"/>
      <c r="S783" s="163"/>
    </row>
    <row r="784" spans="5:19" x14ac:dyDescent="0.25">
      <c r="E784" s="163"/>
      <c r="K784" s="163"/>
      <c r="Q784" s="163"/>
      <c r="R784" s="163"/>
      <c r="S784" s="163"/>
    </row>
    <row r="785" spans="5:19" x14ac:dyDescent="0.25">
      <c r="E785" s="163"/>
      <c r="K785" s="163"/>
      <c r="Q785" s="163"/>
      <c r="R785" s="163"/>
      <c r="S785" s="163"/>
    </row>
    <row r="786" spans="5:19" x14ac:dyDescent="0.25">
      <c r="E786" s="163"/>
      <c r="K786" s="163"/>
      <c r="Q786" s="163"/>
      <c r="R786" s="163"/>
      <c r="S786" s="163"/>
    </row>
    <row r="787" spans="5:19" x14ac:dyDescent="0.25">
      <c r="E787" s="163"/>
      <c r="K787" s="163"/>
      <c r="Q787" s="163"/>
      <c r="R787" s="163"/>
      <c r="S787" s="163"/>
    </row>
    <row r="788" spans="5:19" x14ac:dyDescent="0.25">
      <c r="E788" s="163"/>
      <c r="K788" s="163"/>
      <c r="Q788" s="163"/>
      <c r="R788" s="163"/>
      <c r="S788" s="163"/>
    </row>
    <row r="789" spans="5:19" x14ac:dyDescent="0.25">
      <c r="E789" s="163"/>
      <c r="K789" s="163"/>
      <c r="Q789" s="163"/>
      <c r="R789" s="163"/>
      <c r="S789" s="163"/>
    </row>
    <row r="790" spans="5:19" x14ac:dyDescent="0.25">
      <c r="E790" s="163"/>
      <c r="K790" s="163"/>
      <c r="Q790" s="163"/>
      <c r="R790" s="163"/>
      <c r="S790" s="163"/>
    </row>
    <row r="791" spans="5:19" x14ac:dyDescent="0.25">
      <c r="E791" s="163"/>
      <c r="K791" s="163"/>
      <c r="Q791" s="163"/>
      <c r="R791" s="163"/>
      <c r="S791" s="163"/>
    </row>
    <row r="792" spans="5:19" x14ac:dyDescent="0.25">
      <c r="E792" s="163"/>
      <c r="K792" s="163"/>
      <c r="Q792" s="163"/>
      <c r="R792" s="163"/>
      <c r="S792" s="163"/>
    </row>
    <row r="793" spans="5:19" x14ac:dyDescent="0.25">
      <c r="E793" s="163"/>
      <c r="K793" s="163"/>
      <c r="Q793" s="163"/>
      <c r="R793" s="163"/>
      <c r="S793" s="163"/>
    </row>
    <row r="794" spans="5:19" x14ac:dyDescent="0.25">
      <c r="E794" s="163"/>
      <c r="K794" s="163"/>
      <c r="Q794" s="163"/>
      <c r="R794" s="163"/>
      <c r="S794" s="163"/>
    </row>
    <row r="795" spans="5:19" x14ac:dyDescent="0.25">
      <c r="E795" s="163"/>
      <c r="K795" s="163"/>
      <c r="Q795" s="163"/>
      <c r="R795" s="163"/>
      <c r="S795" s="163"/>
    </row>
    <row r="796" spans="5:19" x14ac:dyDescent="0.25">
      <c r="E796" s="163"/>
      <c r="K796" s="163"/>
      <c r="Q796" s="163"/>
      <c r="R796" s="163"/>
      <c r="S796" s="163"/>
    </row>
    <row r="797" spans="5:19" x14ac:dyDescent="0.25">
      <c r="E797" s="163"/>
      <c r="K797" s="163"/>
      <c r="Q797" s="163"/>
      <c r="R797" s="163"/>
      <c r="S797" s="163"/>
    </row>
    <row r="798" spans="5:19" x14ac:dyDescent="0.25">
      <c r="E798" s="163"/>
      <c r="K798" s="163"/>
      <c r="Q798" s="163"/>
      <c r="R798" s="163"/>
      <c r="S798" s="163"/>
    </row>
    <row r="799" spans="5:19" x14ac:dyDescent="0.25">
      <c r="E799" s="163"/>
      <c r="K799" s="163"/>
      <c r="Q799" s="163"/>
      <c r="R799" s="163"/>
      <c r="S799" s="163"/>
    </row>
    <row r="800" spans="5:19" x14ac:dyDescent="0.25">
      <c r="E800" s="163"/>
      <c r="K800" s="163"/>
      <c r="Q800" s="163"/>
      <c r="R800" s="163"/>
      <c r="S800" s="163"/>
    </row>
    <row r="801" spans="5:19" x14ac:dyDescent="0.25">
      <c r="E801" s="163"/>
      <c r="K801" s="163"/>
      <c r="Q801" s="163"/>
      <c r="R801" s="163"/>
      <c r="S801" s="163"/>
    </row>
    <row r="802" spans="5:19" x14ac:dyDescent="0.25">
      <c r="E802" s="163"/>
      <c r="K802" s="163"/>
      <c r="Q802" s="163"/>
      <c r="R802" s="163"/>
      <c r="S802" s="163"/>
    </row>
    <row r="803" spans="5:19" x14ac:dyDescent="0.25">
      <c r="E803" s="163"/>
      <c r="K803" s="163"/>
      <c r="Q803" s="163"/>
      <c r="R803" s="163"/>
      <c r="S803" s="163"/>
    </row>
    <row r="804" spans="5:19" x14ac:dyDescent="0.25">
      <c r="E804" s="163"/>
      <c r="K804" s="163"/>
      <c r="Q804" s="163"/>
      <c r="R804" s="163"/>
      <c r="S804" s="163"/>
    </row>
    <row r="805" spans="5:19" x14ac:dyDescent="0.25">
      <c r="E805" s="163"/>
      <c r="K805" s="163"/>
      <c r="Q805" s="163"/>
      <c r="R805" s="163"/>
      <c r="S805" s="163"/>
    </row>
    <row r="806" spans="5:19" x14ac:dyDescent="0.25">
      <c r="E806" s="163"/>
      <c r="K806" s="163"/>
      <c r="Q806" s="163"/>
      <c r="R806" s="163"/>
      <c r="S806" s="163"/>
    </row>
    <row r="807" spans="5:19" x14ac:dyDescent="0.25">
      <c r="E807" s="163"/>
      <c r="K807" s="163"/>
      <c r="Q807" s="163"/>
      <c r="R807" s="163"/>
      <c r="S807" s="163"/>
    </row>
    <row r="808" spans="5:19" x14ac:dyDescent="0.25">
      <c r="E808" s="163"/>
      <c r="K808" s="163"/>
      <c r="Q808" s="163"/>
      <c r="R808" s="163"/>
      <c r="S808" s="163"/>
    </row>
    <row r="809" spans="5:19" x14ac:dyDescent="0.25">
      <c r="E809" s="163"/>
      <c r="K809" s="163"/>
      <c r="Q809" s="163"/>
      <c r="R809" s="163"/>
      <c r="S809" s="163"/>
    </row>
    <row r="810" spans="5:19" x14ac:dyDescent="0.25">
      <c r="E810" s="163"/>
      <c r="K810" s="163"/>
      <c r="Q810" s="163"/>
      <c r="R810" s="163"/>
      <c r="S810" s="163"/>
    </row>
    <row r="811" spans="5:19" x14ac:dyDescent="0.25">
      <c r="E811" s="163"/>
      <c r="K811" s="163"/>
      <c r="Q811" s="163"/>
      <c r="R811" s="163"/>
      <c r="S811" s="163"/>
    </row>
    <row r="812" spans="5:19" x14ac:dyDescent="0.25">
      <c r="E812" s="163"/>
      <c r="K812" s="163"/>
      <c r="Q812" s="163"/>
      <c r="R812" s="163"/>
      <c r="S812" s="163"/>
    </row>
    <row r="813" spans="5:19" x14ac:dyDescent="0.25">
      <c r="E813" s="163"/>
      <c r="K813" s="163"/>
      <c r="Q813" s="163"/>
      <c r="R813" s="163"/>
      <c r="S813" s="163"/>
    </row>
    <row r="814" spans="5:19" x14ac:dyDescent="0.25">
      <c r="E814" s="163"/>
      <c r="K814" s="163"/>
      <c r="Q814" s="163"/>
      <c r="R814" s="163"/>
      <c r="S814" s="163"/>
    </row>
    <row r="815" spans="5:19" x14ac:dyDescent="0.25">
      <c r="E815" s="163"/>
      <c r="K815" s="163"/>
      <c r="Q815" s="163"/>
      <c r="R815" s="163"/>
      <c r="S815" s="163"/>
    </row>
    <row r="816" spans="5:19" x14ac:dyDescent="0.25">
      <c r="E816" s="163"/>
      <c r="K816" s="163"/>
      <c r="Q816" s="163"/>
      <c r="R816" s="163"/>
      <c r="S816" s="163"/>
    </row>
    <row r="817" spans="5:19" x14ac:dyDescent="0.25">
      <c r="E817" s="163"/>
      <c r="K817" s="163"/>
      <c r="Q817" s="163"/>
      <c r="R817" s="163"/>
      <c r="S817" s="163"/>
    </row>
    <row r="818" spans="5:19" x14ac:dyDescent="0.25">
      <c r="E818" s="163"/>
      <c r="K818" s="163"/>
      <c r="Q818" s="163"/>
      <c r="R818" s="163"/>
      <c r="S818" s="163"/>
    </row>
    <row r="819" spans="5:19" x14ac:dyDescent="0.25">
      <c r="E819" s="163"/>
      <c r="K819" s="163"/>
      <c r="Q819" s="163"/>
      <c r="R819" s="163"/>
      <c r="S819" s="163"/>
    </row>
    <row r="820" spans="5:19" x14ac:dyDescent="0.25">
      <c r="E820" s="163"/>
      <c r="K820" s="163"/>
      <c r="Q820" s="163"/>
      <c r="R820" s="163"/>
      <c r="S820" s="163"/>
    </row>
    <row r="821" spans="5:19" x14ac:dyDescent="0.25">
      <c r="E821" s="163"/>
      <c r="K821" s="163"/>
      <c r="Q821" s="163"/>
      <c r="R821" s="163"/>
      <c r="S821" s="163"/>
    </row>
    <row r="822" spans="5:19" x14ac:dyDescent="0.25">
      <c r="E822" s="163"/>
      <c r="K822" s="163"/>
      <c r="Q822" s="163"/>
      <c r="R822" s="163"/>
      <c r="S822" s="163"/>
    </row>
    <row r="823" spans="5:19" x14ac:dyDescent="0.25">
      <c r="E823" s="163"/>
      <c r="K823" s="163"/>
      <c r="Q823" s="163"/>
      <c r="R823" s="163"/>
      <c r="S823" s="163"/>
    </row>
    <row r="824" spans="5:19" x14ac:dyDescent="0.25">
      <c r="E824" s="163"/>
      <c r="K824" s="163"/>
      <c r="Q824" s="163"/>
      <c r="R824" s="163"/>
      <c r="S824" s="163"/>
    </row>
    <row r="825" spans="5:19" x14ac:dyDescent="0.25">
      <c r="E825" s="163"/>
      <c r="K825" s="163"/>
      <c r="Q825" s="163"/>
      <c r="R825" s="163"/>
      <c r="S825" s="163"/>
    </row>
    <row r="826" spans="5:19" x14ac:dyDescent="0.25">
      <c r="E826" s="163"/>
      <c r="K826" s="163"/>
      <c r="Q826" s="163"/>
      <c r="R826" s="163"/>
      <c r="S826" s="163"/>
    </row>
    <row r="827" spans="5:19" x14ac:dyDescent="0.25">
      <c r="E827" s="163"/>
      <c r="K827" s="163"/>
      <c r="Q827" s="163"/>
      <c r="R827" s="163"/>
      <c r="S827" s="163"/>
    </row>
    <row r="828" spans="5:19" x14ac:dyDescent="0.25">
      <c r="E828" s="163"/>
      <c r="K828" s="163"/>
      <c r="Q828" s="163"/>
      <c r="R828" s="163"/>
      <c r="S828" s="163"/>
    </row>
    <row r="829" spans="5:19" x14ac:dyDescent="0.25">
      <c r="E829" s="163"/>
      <c r="K829" s="163"/>
      <c r="Q829" s="163"/>
      <c r="R829" s="163"/>
      <c r="S829" s="163"/>
    </row>
    <row r="830" spans="5:19" x14ac:dyDescent="0.25">
      <c r="E830" s="163"/>
      <c r="K830" s="163"/>
      <c r="Q830" s="163"/>
      <c r="R830" s="163"/>
      <c r="S830" s="163"/>
    </row>
    <row r="831" spans="5:19" x14ac:dyDescent="0.25">
      <c r="E831" s="163"/>
      <c r="K831" s="163"/>
      <c r="Q831" s="163"/>
      <c r="R831" s="163"/>
      <c r="S831" s="163"/>
    </row>
    <row r="832" spans="5:19" x14ac:dyDescent="0.25">
      <c r="E832" s="163"/>
      <c r="K832" s="163"/>
      <c r="Q832" s="163"/>
      <c r="R832" s="163"/>
      <c r="S832" s="163"/>
    </row>
    <row r="833" spans="5:19" x14ac:dyDescent="0.25">
      <c r="E833" s="163"/>
      <c r="K833" s="163"/>
      <c r="Q833" s="163"/>
      <c r="R833" s="163"/>
      <c r="S833" s="163"/>
    </row>
    <row r="834" spans="5:19" x14ac:dyDescent="0.25">
      <c r="E834" s="163"/>
      <c r="K834" s="163"/>
      <c r="Q834" s="163"/>
      <c r="R834" s="163"/>
      <c r="S834" s="163"/>
    </row>
    <row r="835" spans="5:19" x14ac:dyDescent="0.25">
      <c r="E835" s="163"/>
      <c r="K835" s="163"/>
      <c r="Q835" s="163"/>
      <c r="R835" s="163"/>
      <c r="S835" s="163"/>
    </row>
    <row r="836" spans="5:19" x14ac:dyDescent="0.25">
      <c r="E836" s="163"/>
      <c r="K836" s="163"/>
      <c r="Q836" s="163"/>
      <c r="R836" s="163"/>
      <c r="S836" s="163"/>
    </row>
    <row r="837" spans="5:19" x14ac:dyDescent="0.25">
      <c r="E837" s="163"/>
      <c r="K837" s="163"/>
      <c r="Q837" s="163"/>
      <c r="R837" s="163"/>
      <c r="S837" s="163"/>
    </row>
    <row r="838" spans="5:19" x14ac:dyDescent="0.25">
      <c r="E838" s="163"/>
      <c r="K838" s="163"/>
      <c r="Q838" s="163"/>
      <c r="R838" s="163"/>
      <c r="S838" s="163"/>
    </row>
    <row r="839" spans="5:19" x14ac:dyDescent="0.25">
      <c r="E839" s="163"/>
      <c r="K839" s="163"/>
      <c r="Q839" s="163"/>
      <c r="R839" s="163"/>
      <c r="S839" s="163"/>
    </row>
    <row r="840" spans="5:19" x14ac:dyDescent="0.25">
      <c r="E840" s="163"/>
      <c r="K840" s="163"/>
      <c r="Q840" s="163"/>
      <c r="R840" s="163"/>
      <c r="S840" s="163"/>
    </row>
    <row r="841" spans="5:19" x14ac:dyDescent="0.25">
      <c r="E841" s="163"/>
      <c r="K841" s="163"/>
      <c r="Q841" s="163"/>
      <c r="R841" s="163"/>
      <c r="S841" s="163"/>
    </row>
    <row r="842" spans="5:19" x14ac:dyDescent="0.25">
      <c r="E842" s="163"/>
      <c r="K842" s="163"/>
      <c r="Q842" s="163"/>
      <c r="R842" s="163"/>
      <c r="S842" s="163"/>
    </row>
    <row r="843" spans="5:19" x14ac:dyDescent="0.25">
      <c r="E843" s="163"/>
      <c r="K843" s="163"/>
      <c r="Q843" s="163"/>
      <c r="R843" s="163"/>
      <c r="S843" s="163"/>
    </row>
    <row r="844" spans="5:19" x14ac:dyDescent="0.25">
      <c r="E844" s="163"/>
      <c r="K844" s="163"/>
      <c r="Q844" s="163"/>
      <c r="R844" s="163"/>
      <c r="S844" s="163"/>
    </row>
    <row r="845" spans="5:19" x14ac:dyDescent="0.25">
      <c r="E845" s="163"/>
      <c r="K845" s="163"/>
      <c r="Q845" s="163"/>
      <c r="R845" s="163"/>
      <c r="S845" s="163"/>
    </row>
    <row r="846" spans="5:19" x14ac:dyDescent="0.25">
      <c r="E846" s="163"/>
      <c r="K846" s="163"/>
      <c r="Q846" s="163"/>
      <c r="R846" s="163"/>
      <c r="S846" s="163"/>
    </row>
    <row r="847" spans="5:19" x14ac:dyDescent="0.25">
      <c r="E847" s="163"/>
      <c r="K847" s="163"/>
      <c r="Q847" s="163"/>
      <c r="R847" s="163"/>
      <c r="S847" s="163"/>
    </row>
    <row r="848" spans="5:19" x14ac:dyDescent="0.25">
      <c r="E848" s="163"/>
      <c r="K848" s="163"/>
      <c r="Q848" s="163"/>
      <c r="R848" s="163"/>
      <c r="S848" s="163"/>
    </row>
    <row r="849" spans="5:19" x14ac:dyDescent="0.25">
      <c r="E849" s="163"/>
      <c r="K849" s="163"/>
      <c r="Q849" s="163"/>
      <c r="R849" s="163"/>
      <c r="S849" s="163"/>
    </row>
    <row r="850" spans="5:19" x14ac:dyDescent="0.25">
      <c r="E850" s="163"/>
      <c r="K850" s="163"/>
      <c r="Q850" s="163"/>
      <c r="R850" s="163"/>
      <c r="S850" s="163"/>
    </row>
    <row r="851" spans="5:19" x14ac:dyDescent="0.25">
      <c r="E851" s="163"/>
      <c r="K851" s="163"/>
      <c r="Q851" s="163"/>
      <c r="R851" s="163"/>
      <c r="S851" s="163"/>
    </row>
    <row r="852" spans="5:19" x14ac:dyDescent="0.25">
      <c r="E852" s="163"/>
      <c r="K852" s="163"/>
      <c r="Q852" s="163"/>
      <c r="R852" s="163"/>
      <c r="S852" s="163"/>
    </row>
    <row r="853" spans="5:19" x14ac:dyDescent="0.25">
      <c r="E853" s="163"/>
      <c r="K853" s="163"/>
      <c r="Q853" s="163"/>
      <c r="R853" s="163"/>
      <c r="S853" s="163"/>
    </row>
    <row r="854" spans="5:19" x14ac:dyDescent="0.25">
      <c r="E854" s="163"/>
      <c r="K854" s="163"/>
      <c r="Q854" s="163"/>
      <c r="R854" s="163"/>
      <c r="S854" s="163"/>
    </row>
    <row r="855" spans="5:19" x14ac:dyDescent="0.25">
      <c r="E855" s="163"/>
      <c r="K855" s="163"/>
      <c r="Q855" s="163"/>
      <c r="R855" s="163"/>
      <c r="S855" s="163"/>
    </row>
    <row r="856" spans="5:19" x14ac:dyDescent="0.25">
      <c r="E856" s="163"/>
      <c r="K856" s="163"/>
      <c r="Q856" s="163"/>
      <c r="R856" s="163"/>
      <c r="S856" s="163"/>
    </row>
    <row r="857" spans="5:19" x14ac:dyDescent="0.25">
      <c r="E857" s="163"/>
      <c r="K857" s="163"/>
      <c r="Q857" s="163"/>
      <c r="R857" s="163"/>
      <c r="S857" s="163"/>
    </row>
    <row r="858" spans="5:19" x14ac:dyDescent="0.25">
      <c r="E858" s="163"/>
      <c r="K858" s="163"/>
      <c r="Q858" s="163"/>
      <c r="R858" s="163"/>
      <c r="S858" s="163"/>
    </row>
    <row r="859" spans="5:19" x14ac:dyDescent="0.25">
      <c r="E859" s="163"/>
      <c r="K859" s="163"/>
      <c r="Q859" s="163"/>
      <c r="R859" s="163"/>
      <c r="S859" s="163"/>
    </row>
    <row r="860" spans="5:19" x14ac:dyDescent="0.25">
      <c r="E860" s="163"/>
      <c r="K860" s="163"/>
      <c r="Q860" s="163"/>
      <c r="R860" s="163"/>
      <c r="S860" s="163"/>
    </row>
    <row r="861" spans="5:19" x14ac:dyDescent="0.25">
      <c r="E861" s="163"/>
      <c r="K861" s="163"/>
      <c r="Q861" s="163"/>
      <c r="R861" s="163"/>
      <c r="S861" s="163"/>
    </row>
    <row r="862" spans="5:19" x14ac:dyDescent="0.25">
      <c r="E862" s="163"/>
      <c r="K862" s="163"/>
      <c r="Q862" s="163"/>
      <c r="R862" s="163"/>
      <c r="S862" s="163"/>
    </row>
    <row r="863" spans="5:19" x14ac:dyDescent="0.25">
      <c r="E863" s="163"/>
      <c r="K863" s="163"/>
      <c r="Q863" s="163"/>
      <c r="R863" s="163"/>
      <c r="S863" s="163"/>
    </row>
    <row r="864" spans="5:19" x14ac:dyDescent="0.25">
      <c r="E864" s="163"/>
      <c r="K864" s="163"/>
      <c r="Q864" s="163"/>
      <c r="R864" s="163"/>
      <c r="S864" s="163"/>
    </row>
    <row r="865" spans="5:19" x14ac:dyDescent="0.25">
      <c r="E865" s="163"/>
      <c r="K865" s="163"/>
      <c r="Q865" s="163"/>
      <c r="R865" s="163"/>
      <c r="S865" s="163"/>
    </row>
    <row r="866" spans="5:19" x14ac:dyDescent="0.25">
      <c r="E866" s="163"/>
      <c r="K866" s="163"/>
      <c r="Q866" s="163"/>
      <c r="R866" s="163"/>
      <c r="S866" s="163"/>
    </row>
    <row r="867" spans="5:19" x14ac:dyDescent="0.25">
      <c r="E867" s="163"/>
      <c r="K867" s="163"/>
      <c r="Q867" s="163"/>
      <c r="R867" s="163"/>
      <c r="S867" s="163"/>
    </row>
    <row r="868" spans="5:19" x14ac:dyDescent="0.25">
      <c r="E868" s="163"/>
      <c r="K868" s="163"/>
      <c r="Q868" s="163"/>
      <c r="R868" s="163"/>
      <c r="S868" s="163"/>
    </row>
    <row r="869" spans="5:19" x14ac:dyDescent="0.25">
      <c r="E869" s="163"/>
      <c r="K869" s="163"/>
      <c r="Q869" s="163"/>
      <c r="R869" s="163"/>
      <c r="S869" s="163"/>
    </row>
    <row r="870" spans="5:19" x14ac:dyDescent="0.25">
      <c r="E870" s="163"/>
      <c r="K870" s="163"/>
      <c r="Q870" s="163"/>
      <c r="R870" s="163"/>
      <c r="S870" s="163"/>
    </row>
    <row r="871" spans="5:19" x14ac:dyDescent="0.25">
      <c r="E871" s="163"/>
      <c r="K871" s="163"/>
      <c r="Q871" s="163"/>
      <c r="R871" s="163"/>
      <c r="S871" s="163"/>
    </row>
    <row r="872" spans="5:19" x14ac:dyDescent="0.25">
      <c r="E872" s="163"/>
      <c r="K872" s="163"/>
      <c r="Q872" s="163"/>
      <c r="R872" s="163"/>
      <c r="S872" s="163"/>
    </row>
    <row r="873" spans="5:19" x14ac:dyDescent="0.25">
      <c r="E873" s="163"/>
      <c r="K873" s="163"/>
      <c r="Q873" s="163"/>
      <c r="R873" s="163"/>
      <c r="S873" s="163"/>
    </row>
    <row r="874" spans="5:19" x14ac:dyDescent="0.25">
      <c r="E874" s="163"/>
      <c r="K874" s="163"/>
      <c r="Q874" s="163"/>
      <c r="R874" s="163"/>
      <c r="S874" s="163"/>
    </row>
    <row r="875" spans="5:19" x14ac:dyDescent="0.25">
      <c r="E875" s="163"/>
      <c r="K875" s="163"/>
      <c r="Q875" s="163"/>
      <c r="R875" s="163"/>
      <c r="S875" s="163"/>
    </row>
    <row r="876" spans="5:19" x14ac:dyDescent="0.25">
      <c r="E876" s="163"/>
      <c r="K876" s="163"/>
      <c r="Q876" s="163"/>
      <c r="R876" s="163"/>
      <c r="S876" s="163"/>
    </row>
    <row r="877" spans="5:19" x14ac:dyDescent="0.25">
      <c r="E877" s="163"/>
      <c r="K877" s="163"/>
      <c r="Q877" s="163"/>
      <c r="R877" s="163"/>
      <c r="S877" s="163"/>
    </row>
    <row r="878" spans="5:19" x14ac:dyDescent="0.25">
      <c r="E878" s="163"/>
      <c r="K878" s="163"/>
      <c r="Q878" s="163"/>
      <c r="R878" s="163"/>
      <c r="S878" s="163"/>
    </row>
    <row r="879" spans="5:19" x14ac:dyDescent="0.25">
      <c r="E879" s="163"/>
      <c r="K879" s="163"/>
      <c r="Q879" s="163"/>
      <c r="R879" s="163"/>
      <c r="S879" s="163"/>
    </row>
    <row r="880" spans="5:19" x14ac:dyDescent="0.25">
      <c r="E880" s="163"/>
      <c r="K880" s="163"/>
      <c r="Q880" s="163"/>
      <c r="R880" s="163"/>
      <c r="S880" s="163"/>
    </row>
    <row r="881" spans="5:19" x14ac:dyDescent="0.25">
      <c r="E881" s="163"/>
      <c r="K881" s="163"/>
      <c r="Q881" s="163"/>
      <c r="R881" s="163"/>
      <c r="S881" s="163"/>
    </row>
    <row r="882" spans="5:19" x14ac:dyDescent="0.25">
      <c r="E882" s="163"/>
      <c r="K882" s="163"/>
      <c r="Q882" s="163"/>
      <c r="R882" s="163"/>
      <c r="S882" s="163"/>
    </row>
    <row r="883" spans="5:19" x14ac:dyDescent="0.25">
      <c r="E883" s="163"/>
      <c r="K883" s="163"/>
      <c r="Q883" s="163"/>
      <c r="R883" s="163"/>
      <c r="S883" s="163"/>
    </row>
    <row r="884" spans="5:19" x14ac:dyDescent="0.25">
      <c r="E884" s="163"/>
      <c r="K884" s="163"/>
      <c r="Q884" s="163"/>
      <c r="R884" s="163"/>
      <c r="S884" s="163"/>
    </row>
    <row r="885" spans="5:19" x14ac:dyDescent="0.25">
      <c r="E885" s="163"/>
      <c r="K885" s="163"/>
      <c r="Q885" s="163"/>
      <c r="R885" s="163"/>
      <c r="S885" s="163"/>
    </row>
    <row r="886" spans="5:19" x14ac:dyDescent="0.25">
      <c r="E886" s="163"/>
      <c r="K886" s="163"/>
      <c r="Q886" s="163"/>
      <c r="R886" s="163"/>
      <c r="S886" s="163"/>
    </row>
    <row r="887" spans="5:19" x14ac:dyDescent="0.25">
      <c r="E887" s="163"/>
      <c r="K887" s="163"/>
      <c r="Q887" s="163"/>
      <c r="R887" s="163"/>
      <c r="S887" s="163"/>
    </row>
    <row r="888" spans="5:19" x14ac:dyDescent="0.25">
      <c r="E888" s="163"/>
      <c r="K888" s="163"/>
      <c r="Q888" s="163"/>
      <c r="R888" s="163"/>
      <c r="S888" s="163"/>
    </row>
    <row r="889" spans="5:19" x14ac:dyDescent="0.25">
      <c r="E889" s="163"/>
      <c r="K889" s="163"/>
      <c r="Q889" s="163"/>
      <c r="R889" s="163"/>
      <c r="S889" s="163"/>
    </row>
    <row r="890" spans="5:19" x14ac:dyDescent="0.25">
      <c r="E890" s="163"/>
      <c r="K890" s="163"/>
      <c r="Q890" s="163"/>
      <c r="R890" s="163"/>
      <c r="S890" s="163"/>
    </row>
    <row r="891" spans="5:19" x14ac:dyDescent="0.25">
      <c r="E891" s="163"/>
      <c r="K891" s="163"/>
      <c r="Q891" s="163"/>
      <c r="R891" s="163"/>
      <c r="S891" s="163"/>
    </row>
    <row r="892" spans="5:19" x14ac:dyDescent="0.25">
      <c r="E892" s="163"/>
      <c r="K892" s="163"/>
      <c r="Q892" s="163"/>
      <c r="R892" s="163"/>
      <c r="S892" s="163"/>
    </row>
    <row r="893" spans="5:19" x14ac:dyDescent="0.25">
      <c r="E893" s="163"/>
      <c r="K893" s="163"/>
      <c r="Q893" s="163"/>
      <c r="R893" s="163"/>
      <c r="S893" s="163"/>
    </row>
    <row r="894" spans="5:19" x14ac:dyDescent="0.25">
      <c r="E894" s="163"/>
      <c r="K894" s="163"/>
      <c r="Q894" s="163"/>
      <c r="R894" s="163"/>
      <c r="S894" s="163"/>
    </row>
    <row r="895" spans="5:19" x14ac:dyDescent="0.25">
      <c r="E895" s="163"/>
      <c r="K895" s="163"/>
      <c r="Q895" s="163"/>
      <c r="R895" s="163"/>
      <c r="S895" s="163"/>
    </row>
    <row r="896" spans="5:19" x14ac:dyDescent="0.25">
      <c r="E896" s="163"/>
      <c r="K896" s="163"/>
      <c r="Q896" s="163"/>
      <c r="R896" s="163"/>
      <c r="S896" s="163"/>
    </row>
    <row r="897" spans="5:19" x14ac:dyDescent="0.25">
      <c r="E897" s="163"/>
      <c r="K897" s="163"/>
      <c r="Q897" s="163"/>
      <c r="R897" s="163"/>
      <c r="S897" s="163"/>
    </row>
    <row r="898" spans="5:19" x14ac:dyDescent="0.25">
      <c r="E898" s="163"/>
      <c r="K898" s="163"/>
      <c r="Q898" s="163"/>
      <c r="R898" s="163"/>
      <c r="S898" s="163"/>
    </row>
    <row r="899" spans="5:19" x14ac:dyDescent="0.25">
      <c r="E899" s="163"/>
      <c r="K899" s="163"/>
      <c r="Q899" s="163"/>
      <c r="R899" s="163"/>
      <c r="S899" s="163"/>
    </row>
    <row r="900" spans="5:19" x14ac:dyDescent="0.25">
      <c r="E900" s="163"/>
      <c r="K900" s="163"/>
      <c r="Q900" s="163"/>
      <c r="R900" s="163"/>
      <c r="S900" s="163"/>
    </row>
    <row r="901" spans="5:19" x14ac:dyDescent="0.25">
      <c r="E901" s="163"/>
      <c r="K901" s="163"/>
      <c r="Q901" s="163"/>
      <c r="R901" s="163"/>
      <c r="S901" s="163"/>
    </row>
    <row r="902" spans="5:19" x14ac:dyDescent="0.25">
      <c r="E902" s="163"/>
      <c r="K902" s="163"/>
      <c r="Q902" s="163"/>
      <c r="R902" s="163"/>
      <c r="S902" s="163"/>
    </row>
    <row r="903" spans="5:19" x14ac:dyDescent="0.25">
      <c r="E903" s="163"/>
      <c r="K903" s="163"/>
      <c r="Q903" s="163"/>
      <c r="R903" s="163"/>
      <c r="S903" s="163"/>
    </row>
    <row r="904" spans="5:19" x14ac:dyDescent="0.25">
      <c r="E904" s="163"/>
      <c r="K904" s="163"/>
      <c r="Q904" s="163"/>
      <c r="R904" s="163"/>
      <c r="S904" s="163"/>
    </row>
    <row r="905" spans="5:19" x14ac:dyDescent="0.25">
      <c r="E905" s="163"/>
      <c r="K905" s="163"/>
      <c r="Q905" s="163"/>
      <c r="R905" s="163"/>
      <c r="S905" s="163"/>
    </row>
    <row r="906" spans="5:19" x14ac:dyDescent="0.25">
      <c r="E906" s="163"/>
      <c r="K906" s="163"/>
      <c r="Q906" s="163"/>
      <c r="R906" s="163"/>
      <c r="S906" s="163"/>
    </row>
    <row r="907" spans="5:19" x14ac:dyDescent="0.25">
      <c r="E907" s="163"/>
      <c r="K907" s="163"/>
      <c r="Q907" s="163"/>
      <c r="R907" s="163"/>
      <c r="S907" s="163"/>
    </row>
    <row r="908" spans="5:19" x14ac:dyDescent="0.25">
      <c r="E908" s="163"/>
      <c r="K908" s="163"/>
      <c r="Q908" s="163"/>
      <c r="R908" s="163"/>
      <c r="S908" s="163"/>
    </row>
    <row r="909" spans="5:19" x14ac:dyDescent="0.25">
      <c r="E909" s="163"/>
      <c r="K909" s="163"/>
      <c r="Q909" s="163"/>
      <c r="R909" s="163"/>
      <c r="S909" s="163"/>
    </row>
    <row r="910" spans="5:19" x14ac:dyDescent="0.25">
      <c r="E910" s="163"/>
      <c r="K910" s="163"/>
      <c r="Q910" s="163"/>
      <c r="R910" s="163"/>
      <c r="S910" s="163"/>
    </row>
    <row r="911" spans="5:19" x14ac:dyDescent="0.25">
      <c r="E911" s="163"/>
      <c r="K911" s="163"/>
      <c r="Q911" s="163"/>
      <c r="R911" s="163"/>
      <c r="S911" s="163"/>
    </row>
    <row r="912" spans="5:19" x14ac:dyDescent="0.25">
      <c r="E912" s="163"/>
      <c r="K912" s="163"/>
      <c r="Q912" s="163"/>
      <c r="R912" s="163"/>
      <c r="S912" s="163"/>
    </row>
    <row r="913" spans="5:19" x14ac:dyDescent="0.25">
      <c r="E913" s="163"/>
      <c r="K913" s="163"/>
      <c r="Q913" s="163"/>
      <c r="R913" s="163"/>
      <c r="S913" s="163"/>
    </row>
    <row r="914" spans="5:19" x14ac:dyDescent="0.25">
      <c r="E914" s="163"/>
      <c r="K914" s="163"/>
      <c r="Q914" s="163"/>
      <c r="R914" s="163"/>
      <c r="S914" s="163"/>
    </row>
    <row r="915" spans="5:19" x14ac:dyDescent="0.25">
      <c r="E915" s="163"/>
      <c r="K915" s="163"/>
      <c r="Q915" s="163"/>
      <c r="R915" s="163"/>
      <c r="S915" s="163"/>
    </row>
    <row r="916" spans="5:19" x14ac:dyDescent="0.25">
      <c r="E916" s="163"/>
      <c r="K916" s="163"/>
      <c r="Q916" s="163"/>
      <c r="R916" s="163"/>
      <c r="S916" s="163"/>
    </row>
    <row r="917" spans="5:19" x14ac:dyDescent="0.25">
      <c r="E917" s="163"/>
      <c r="K917" s="163"/>
      <c r="Q917" s="163"/>
      <c r="R917" s="163"/>
      <c r="S917" s="163"/>
    </row>
    <row r="918" spans="5:19" x14ac:dyDescent="0.25">
      <c r="E918" s="163"/>
      <c r="K918" s="163"/>
      <c r="Q918" s="163"/>
      <c r="R918" s="163"/>
      <c r="S918" s="163"/>
    </row>
    <row r="919" spans="5:19" x14ac:dyDescent="0.25">
      <c r="E919" s="163"/>
      <c r="K919" s="163"/>
      <c r="Q919" s="163"/>
      <c r="R919" s="163"/>
      <c r="S919" s="163"/>
    </row>
    <row r="920" spans="5:19" x14ac:dyDescent="0.25">
      <c r="E920" s="163"/>
      <c r="K920" s="163"/>
      <c r="Q920" s="163"/>
      <c r="R920" s="163"/>
      <c r="S920" s="163"/>
    </row>
    <row r="921" spans="5:19" x14ac:dyDescent="0.25">
      <c r="E921" s="163"/>
      <c r="K921" s="163"/>
      <c r="Q921" s="163"/>
      <c r="R921" s="163"/>
      <c r="S921" s="163"/>
    </row>
    <row r="922" spans="5:19" x14ac:dyDescent="0.25">
      <c r="E922" s="163"/>
      <c r="K922" s="163"/>
      <c r="Q922" s="163"/>
      <c r="R922" s="163"/>
      <c r="S922" s="163"/>
    </row>
    <row r="923" spans="5:19" x14ac:dyDescent="0.25">
      <c r="E923" s="163"/>
      <c r="K923" s="163"/>
      <c r="Q923" s="163"/>
      <c r="R923" s="163"/>
      <c r="S923" s="163"/>
    </row>
    <row r="924" spans="5:19" x14ac:dyDescent="0.25">
      <c r="E924" s="163"/>
      <c r="K924" s="163"/>
      <c r="Q924" s="163"/>
      <c r="R924" s="163"/>
      <c r="S924" s="163"/>
    </row>
    <row r="925" spans="5:19" x14ac:dyDescent="0.25">
      <c r="E925" s="163"/>
      <c r="K925" s="163"/>
      <c r="Q925" s="163"/>
      <c r="R925" s="163"/>
      <c r="S925" s="163"/>
    </row>
    <row r="926" spans="5:19" x14ac:dyDescent="0.25">
      <c r="E926" s="163"/>
      <c r="K926" s="163"/>
      <c r="Q926" s="163"/>
      <c r="R926" s="163"/>
      <c r="S926" s="163"/>
    </row>
    <row r="927" spans="5:19" x14ac:dyDescent="0.25">
      <c r="E927" s="163"/>
      <c r="K927" s="163"/>
      <c r="Q927" s="163"/>
      <c r="R927" s="163"/>
      <c r="S927" s="163"/>
    </row>
    <row r="928" spans="5:19" x14ac:dyDescent="0.25">
      <c r="E928" s="163"/>
      <c r="K928" s="163"/>
      <c r="Q928" s="163"/>
      <c r="R928" s="163"/>
      <c r="S928" s="163"/>
    </row>
    <row r="929" spans="5:19" x14ac:dyDescent="0.25">
      <c r="E929" s="163"/>
      <c r="K929" s="163"/>
      <c r="Q929" s="163"/>
      <c r="R929" s="163"/>
      <c r="S929" s="163"/>
    </row>
    <row r="930" spans="5:19" x14ac:dyDescent="0.25">
      <c r="E930" s="163"/>
      <c r="K930" s="163"/>
      <c r="Q930" s="163"/>
      <c r="R930" s="163"/>
      <c r="S930" s="163"/>
    </row>
    <row r="931" spans="5:19" x14ac:dyDescent="0.25">
      <c r="E931" s="163"/>
      <c r="K931" s="163"/>
      <c r="Q931" s="163"/>
      <c r="R931" s="163"/>
      <c r="S931" s="163"/>
    </row>
    <row r="932" spans="5:19" x14ac:dyDescent="0.25">
      <c r="E932" s="163"/>
      <c r="K932" s="163"/>
      <c r="Q932" s="163"/>
      <c r="R932" s="163"/>
      <c r="S932" s="163"/>
    </row>
    <row r="933" spans="5:19" x14ac:dyDescent="0.25">
      <c r="E933" s="163"/>
      <c r="K933" s="163"/>
      <c r="Q933" s="163"/>
      <c r="R933" s="163"/>
      <c r="S933" s="163"/>
    </row>
    <row r="934" spans="5:19" x14ac:dyDescent="0.25">
      <c r="E934" s="163"/>
      <c r="K934" s="163"/>
      <c r="Q934" s="163"/>
      <c r="R934" s="163"/>
      <c r="S934" s="163"/>
    </row>
    <row r="935" spans="5:19" x14ac:dyDescent="0.25">
      <c r="E935" s="163"/>
      <c r="K935" s="163"/>
      <c r="Q935" s="163"/>
      <c r="R935" s="163"/>
      <c r="S935" s="163"/>
    </row>
    <row r="936" spans="5:19" x14ac:dyDescent="0.25">
      <c r="E936" s="163"/>
      <c r="K936" s="163"/>
      <c r="Q936" s="163"/>
      <c r="R936" s="163"/>
      <c r="S936" s="163"/>
    </row>
    <row r="937" spans="5:19" x14ac:dyDescent="0.25">
      <c r="E937" s="163"/>
      <c r="K937" s="163"/>
      <c r="Q937" s="163"/>
      <c r="R937" s="163"/>
      <c r="S937" s="163"/>
    </row>
    <row r="938" spans="5:19" x14ac:dyDescent="0.25">
      <c r="E938" s="163"/>
      <c r="K938" s="163"/>
      <c r="Q938" s="163"/>
      <c r="R938" s="163"/>
      <c r="S938" s="163"/>
    </row>
    <row r="939" spans="5:19" x14ac:dyDescent="0.25">
      <c r="E939" s="163"/>
      <c r="K939" s="163"/>
      <c r="Q939" s="163"/>
      <c r="R939" s="163"/>
      <c r="S939" s="163"/>
    </row>
    <row r="940" spans="5:19" x14ac:dyDescent="0.25">
      <c r="E940" s="163"/>
      <c r="K940" s="163"/>
      <c r="Q940" s="163"/>
      <c r="R940" s="163"/>
      <c r="S940" s="163"/>
    </row>
    <row r="941" spans="5:19" x14ac:dyDescent="0.25">
      <c r="E941" s="163"/>
      <c r="K941" s="163"/>
      <c r="Q941" s="163"/>
      <c r="R941" s="163"/>
      <c r="S941" s="163"/>
    </row>
    <row r="942" spans="5:19" x14ac:dyDescent="0.25">
      <c r="E942" s="163"/>
      <c r="K942" s="163"/>
      <c r="Q942" s="163"/>
      <c r="R942" s="163"/>
      <c r="S942" s="163"/>
    </row>
    <row r="943" spans="5:19" x14ac:dyDescent="0.25">
      <c r="E943" s="163"/>
      <c r="K943" s="163"/>
      <c r="Q943" s="163"/>
      <c r="R943" s="163"/>
      <c r="S943" s="163"/>
    </row>
    <row r="944" spans="5:19" x14ac:dyDescent="0.25">
      <c r="E944" s="163"/>
      <c r="K944" s="163"/>
      <c r="Q944" s="163"/>
      <c r="R944" s="163"/>
      <c r="S944" s="163"/>
    </row>
    <row r="945" spans="5:19" x14ac:dyDescent="0.25">
      <c r="E945" s="163"/>
      <c r="K945" s="163"/>
      <c r="Q945" s="163"/>
      <c r="R945" s="163"/>
      <c r="S945" s="163"/>
    </row>
    <row r="946" spans="5:19" x14ac:dyDescent="0.25">
      <c r="E946" s="163"/>
      <c r="K946" s="163"/>
      <c r="Q946" s="163"/>
      <c r="R946" s="163"/>
      <c r="S946" s="163"/>
    </row>
    <row r="947" spans="5:19" x14ac:dyDescent="0.25">
      <c r="E947" s="163"/>
      <c r="K947" s="163"/>
      <c r="Q947" s="163"/>
      <c r="R947" s="163"/>
      <c r="S947" s="163"/>
    </row>
    <row r="948" spans="5:19" x14ac:dyDescent="0.25">
      <c r="E948" s="163"/>
      <c r="K948" s="163"/>
      <c r="Q948" s="163"/>
      <c r="R948" s="163"/>
      <c r="S948" s="163"/>
    </row>
    <row r="949" spans="5:19" x14ac:dyDescent="0.25">
      <c r="E949" s="163"/>
      <c r="K949" s="163"/>
      <c r="Q949" s="163"/>
      <c r="R949" s="163"/>
      <c r="S949" s="163"/>
    </row>
    <row r="950" spans="5:19" x14ac:dyDescent="0.25">
      <c r="E950" s="163"/>
      <c r="K950" s="163"/>
      <c r="Q950" s="163"/>
      <c r="R950" s="163"/>
      <c r="S950" s="163"/>
    </row>
    <row r="951" spans="5:19" x14ac:dyDescent="0.25">
      <c r="E951" s="163"/>
      <c r="K951" s="163"/>
      <c r="Q951" s="163"/>
      <c r="R951" s="163"/>
      <c r="S951" s="163"/>
    </row>
    <row r="952" spans="5:19" x14ac:dyDescent="0.25">
      <c r="E952" s="163"/>
      <c r="K952" s="163"/>
      <c r="Q952" s="163"/>
      <c r="R952" s="163"/>
      <c r="S952" s="163"/>
    </row>
    <row r="953" spans="5:19" x14ac:dyDescent="0.25">
      <c r="E953" s="163"/>
      <c r="K953" s="163"/>
      <c r="Q953" s="163"/>
      <c r="R953" s="163"/>
      <c r="S953" s="163"/>
    </row>
    <row r="954" spans="5:19" x14ac:dyDescent="0.25">
      <c r="E954" s="163"/>
      <c r="K954" s="163"/>
      <c r="Q954" s="163"/>
      <c r="R954" s="163"/>
      <c r="S954" s="163"/>
    </row>
    <row r="955" spans="5:19" x14ac:dyDescent="0.25">
      <c r="E955" s="163"/>
      <c r="K955" s="163"/>
      <c r="Q955" s="163"/>
      <c r="R955" s="163"/>
      <c r="S955" s="163"/>
    </row>
    <row r="956" spans="5:19" x14ac:dyDescent="0.25">
      <c r="E956" s="163"/>
      <c r="K956" s="163"/>
      <c r="Q956" s="163"/>
      <c r="R956" s="163"/>
      <c r="S956" s="163"/>
    </row>
    <row r="957" spans="5:19" x14ac:dyDescent="0.25">
      <c r="E957" s="163"/>
      <c r="K957" s="163"/>
      <c r="Q957" s="163"/>
      <c r="R957" s="163"/>
      <c r="S957" s="163"/>
    </row>
    <row r="958" spans="5:19" x14ac:dyDescent="0.25">
      <c r="E958" s="163"/>
      <c r="K958" s="163"/>
      <c r="Q958" s="163"/>
      <c r="R958" s="163"/>
      <c r="S958" s="163"/>
    </row>
    <row r="959" spans="5:19" x14ac:dyDescent="0.25">
      <c r="E959" s="163"/>
      <c r="K959" s="163"/>
      <c r="Q959" s="163"/>
      <c r="R959" s="163"/>
      <c r="S959" s="163"/>
    </row>
    <row r="960" spans="5:19" x14ac:dyDescent="0.25">
      <c r="E960" s="163"/>
      <c r="K960" s="163"/>
      <c r="Q960" s="163"/>
      <c r="R960" s="163"/>
      <c r="S960" s="163"/>
    </row>
    <row r="961" spans="5:19" x14ac:dyDescent="0.25">
      <c r="E961" s="163"/>
      <c r="K961" s="163"/>
      <c r="Q961" s="163"/>
      <c r="R961" s="163"/>
      <c r="S961" s="163"/>
    </row>
    <row r="962" spans="5:19" x14ac:dyDescent="0.25">
      <c r="E962" s="163"/>
      <c r="K962" s="163"/>
      <c r="Q962" s="163"/>
      <c r="R962" s="163"/>
      <c r="S962" s="163"/>
    </row>
    <row r="963" spans="5:19" x14ac:dyDescent="0.25">
      <c r="E963" s="163"/>
      <c r="K963" s="163"/>
      <c r="Q963" s="163"/>
      <c r="R963" s="163"/>
      <c r="S963" s="163"/>
    </row>
    <row r="964" spans="5:19" x14ac:dyDescent="0.25">
      <c r="E964" s="163"/>
      <c r="K964" s="163"/>
      <c r="Q964" s="163"/>
      <c r="R964" s="163"/>
      <c r="S964" s="163"/>
    </row>
    <row r="965" spans="5:19" x14ac:dyDescent="0.25">
      <c r="E965" s="163"/>
      <c r="K965" s="163"/>
      <c r="Q965" s="163"/>
      <c r="R965" s="163"/>
      <c r="S965" s="163"/>
    </row>
    <row r="966" spans="5:19" x14ac:dyDescent="0.25">
      <c r="E966" s="163"/>
      <c r="K966" s="163"/>
      <c r="Q966" s="163"/>
      <c r="R966" s="163"/>
      <c r="S966" s="163"/>
    </row>
    <row r="967" spans="5:19" x14ac:dyDescent="0.25">
      <c r="E967" s="163"/>
      <c r="K967" s="163"/>
      <c r="Q967" s="163"/>
      <c r="R967" s="163"/>
      <c r="S967" s="163"/>
    </row>
    <row r="968" spans="5:19" x14ac:dyDescent="0.25">
      <c r="E968" s="163"/>
      <c r="K968" s="163"/>
      <c r="Q968" s="163"/>
      <c r="R968" s="163"/>
      <c r="S968" s="163"/>
    </row>
    <row r="969" spans="5:19" x14ac:dyDescent="0.25">
      <c r="E969" s="163"/>
      <c r="K969" s="163"/>
      <c r="Q969" s="163"/>
      <c r="R969" s="163"/>
      <c r="S969" s="163"/>
    </row>
    <row r="970" spans="5:19" x14ac:dyDescent="0.25">
      <c r="E970" s="163"/>
      <c r="K970" s="163"/>
      <c r="Q970" s="163"/>
      <c r="R970" s="163"/>
      <c r="S970" s="163"/>
    </row>
    <row r="971" spans="5:19" x14ac:dyDescent="0.25">
      <c r="E971" s="163"/>
      <c r="K971" s="163"/>
      <c r="Q971" s="163"/>
      <c r="R971" s="163"/>
      <c r="S971" s="163"/>
    </row>
    <row r="972" spans="5:19" x14ac:dyDescent="0.25">
      <c r="E972" s="163"/>
      <c r="K972" s="163"/>
      <c r="Q972" s="163"/>
      <c r="R972" s="163"/>
      <c r="S972" s="163"/>
    </row>
    <row r="973" spans="5:19" x14ac:dyDescent="0.25">
      <c r="E973" s="163"/>
      <c r="K973" s="163"/>
      <c r="Q973" s="163"/>
      <c r="R973" s="163"/>
      <c r="S973" s="163"/>
    </row>
    <row r="974" spans="5:19" x14ac:dyDescent="0.25">
      <c r="E974" s="163"/>
      <c r="K974" s="163"/>
      <c r="Q974" s="163"/>
      <c r="R974" s="163"/>
      <c r="S974" s="163"/>
    </row>
    <row r="975" spans="5:19" x14ac:dyDescent="0.25">
      <c r="E975" s="163"/>
      <c r="K975" s="163"/>
      <c r="Q975" s="163"/>
      <c r="R975" s="163"/>
      <c r="S975" s="163"/>
    </row>
    <row r="976" spans="5:19" x14ac:dyDescent="0.25">
      <c r="E976" s="163"/>
      <c r="K976" s="163"/>
      <c r="Q976" s="163"/>
      <c r="R976" s="163"/>
      <c r="S976" s="163"/>
    </row>
    <row r="977" spans="5:19" x14ac:dyDescent="0.25">
      <c r="E977" s="163"/>
      <c r="K977" s="163"/>
      <c r="Q977" s="163"/>
      <c r="R977" s="163"/>
      <c r="S977" s="163"/>
    </row>
    <row r="978" spans="5:19" x14ac:dyDescent="0.25">
      <c r="E978" s="163"/>
      <c r="K978" s="163"/>
      <c r="Q978" s="163"/>
      <c r="R978" s="163"/>
      <c r="S978" s="163"/>
    </row>
    <row r="979" spans="5:19" x14ac:dyDescent="0.25">
      <c r="E979" s="163"/>
      <c r="K979" s="163"/>
      <c r="Q979" s="163"/>
      <c r="R979" s="163"/>
      <c r="S979" s="163"/>
    </row>
    <row r="980" spans="5:19" x14ac:dyDescent="0.25">
      <c r="E980" s="163"/>
      <c r="K980" s="163"/>
      <c r="Q980" s="163"/>
      <c r="R980" s="163"/>
      <c r="S980" s="163"/>
    </row>
    <row r="981" spans="5:19" x14ac:dyDescent="0.25">
      <c r="E981" s="163"/>
      <c r="K981" s="163"/>
      <c r="Q981" s="163"/>
      <c r="R981" s="163"/>
      <c r="S981" s="163"/>
    </row>
    <row r="982" spans="5:19" x14ac:dyDescent="0.25">
      <c r="E982" s="163"/>
      <c r="K982" s="163"/>
      <c r="Q982" s="163"/>
      <c r="R982" s="163"/>
      <c r="S982" s="163"/>
    </row>
    <row r="983" spans="5:19" x14ac:dyDescent="0.25">
      <c r="E983" s="163"/>
      <c r="K983" s="163"/>
      <c r="Q983" s="163"/>
      <c r="R983" s="163"/>
      <c r="S983" s="163"/>
    </row>
    <row r="984" spans="5:19" x14ac:dyDescent="0.25">
      <c r="E984" s="163"/>
      <c r="K984" s="163"/>
      <c r="Q984" s="163"/>
      <c r="R984" s="163"/>
      <c r="S984" s="163"/>
    </row>
    <row r="985" spans="5:19" x14ac:dyDescent="0.25">
      <c r="E985" s="163"/>
      <c r="K985" s="163"/>
      <c r="Q985" s="163"/>
      <c r="R985" s="163"/>
      <c r="S985" s="163"/>
    </row>
    <row r="986" spans="5:19" x14ac:dyDescent="0.25">
      <c r="E986" s="163"/>
      <c r="K986" s="163"/>
      <c r="Q986" s="163"/>
      <c r="R986" s="163"/>
      <c r="S986" s="163"/>
    </row>
    <row r="987" spans="5:19" x14ac:dyDescent="0.25">
      <c r="E987" s="163"/>
      <c r="K987" s="163"/>
      <c r="Q987" s="163"/>
      <c r="R987" s="163"/>
      <c r="S987" s="163"/>
    </row>
    <row r="988" spans="5:19" x14ac:dyDescent="0.25">
      <c r="E988" s="163"/>
      <c r="K988" s="163"/>
      <c r="Q988" s="163"/>
      <c r="R988" s="163"/>
      <c r="S988" s="163"/>
    </row>
    <row r="989" spans="5:19" x14ac:dyDescent="0.25">
      <c r="E989" s="163"/>
      <c r="K989" s="163"/>
      <c r="Q989" s="163"/>
      <c r="R989" s="163"/>
      <c r="S989" s="163"/>
    </row>
    <row r="990" spans="5:19" x14ac:dyDescent="0.25">
      <c r="E990" s="163"/>
      <c r="K990" s="163"/>
      <c r="Q990" s="163"/>
      <c r="R990" s="163"/>
      <c r="S990" s="163"/>
    </row>
    <row r="991" spans="5:19" x14ac:dyDescent="0.25">
      <c r="E991" s="163"/>
      <c r="K991" s="163"/>
      <c r="Q991" s="163"/>
      <c r="R991" s="163"/>
      <c r="S991" s="163"/>
    </row>
    <row r="992" spans="5:19" x14ac:dyDescent="0.25">
      <c r="E992" s="163"/>
      <c r="K992" s="163"/>
      <c r="Q992" s="163"/>
      <c r="R992" s="163"/>
      <c r="S992" s="163"/>
    </row>
    <row r="993" spans="5:19" x14ac:dyDescent="0.25">
      <c r="E993" s="163"/>
      <c r="K993" s="163"/>
      <c r="Q993" s="163"/>
      <c r="R993" s="163"/>
      <c r="S993" s="163"/>
    </row>
    <row r="994" spans="5:19" x14ac:dyDescent="0.25">
      <c r="E994" s="163"/>
      <c r="K994" s="163"/>
      <c r="Q994" s="163"/>
      <c r="R994" s="163"/>
      <c r="S994" s="163"/>
    </row>
    <row r="995" spans="5:19" x14ac:dyDescent="0.25">
      <c r="E995" s="163"/>
      <c r="K995" s="163"/>
      <c r="Q995" s="163"/>
      <c r="R995" s="163"/>
      <c r="S995" s="163"/>
    </row>
    <row r="996" spans="5:19" x14ac:dyDescent="0.25">
      <c r="E996" s="163"/>
      <c r="K996" s="163"/>
      <c r="Q996" s="163"/>
      <c r="R996" s="163"/>
      <c r="S996" s="163"/>
    </row>
    <row r="997" spans="5:19" x14ac:dyDescent="0.25">
      <c r="E997" s="163"/>
      <c r="K997" s="163"/>
      <c r="Q997" s="163"/>
      <c r="R997" s="163"/>
      <c r="S997" s="163"/>
    </row>
    <row r="998" spans="5:19" x14ac:dyDescent="0.25">
      <c r="E998" s="163"/>
      <c r="K998" s="163"/>
      <c r="Q998" s="163"/>
      <c r="R998" s="163"/>
      <c r="S998" s="163"/>
    </row>
    <row r="999" spans="5:19" x14ac:dyDescent="0.25">
      <c r="E999" s="163"/>
      <c r="K999" s="163"/>
      <c r="Q999" s="163"/>
      <c r="R999" s="163"/>
      <c r="S999" s="163"/>
    </row>
    <row r="1000" spans="5:19" x14ac:dyDescent="0.25">
      <c r="E1000" s="163"/>
      <c r="K1000" s="163"/>
      <c r="Q1000" s="163"/>
      <c r="R1000" s="163"/>
      <c r="S1000" s="163"/>
    </row>
    <row r="1001" spans="5:19" x14ac:dyDescent="0.25">
      <c r="E1001" s="163"/>
      <c r="K1001" s="163"/>
      <c r="Q1001" s="163"/>
      <c r="R1001" s="163"/>
      <c r="S1001" s="163"/>
    </row>
    <row r="1002" spans="5:19" x14ac:dyDescent="0.25">
      <c r="E1002" s="163"/>
      <c r="K1002" s="163"/>
      <c r="Q1002" s="163"/>
      <c r="R1002" s="163"/>
      <c r="S1002" s="163"/>
    </row>
    <row r="1003" spans="5:19" x14ac:dyDescent="0.25">
      <c r="E1003" s="163"/>
      <c r="K1003" s="163"/>
      <c r="Q1003" s="163"/>
      <c r="R1003" s="163"/>
      <c r="S1003" s="163"/>
    </row>
    <row r="1004" spans="5:19" x14ac:dyDescent="0.25">
      <c r="E1004" s="163"/>
      <c r="K1004" s="163"/>
      <c r="Q1004" s="163"/>
      <c r="R1004" s="163"/>
      <c r="S1004" s="163"/>
    </row>
    <row r="1005" spans="5:19" x14ac:dyDescent="0.25">
      <c r="E1005" s="163"/>
      <c r="K1005" s="163"/>
      <c r="Q1005" s="163"/>
      <c r="R1005" s="163"/>
      <c r="S1005" s="163"/>
    </row>
    <row r="1006" spans="5:19" x14ac:dyDescent="0.25">
      <c r="E1006" s="163"/>
      <c r="K1006" s="163"/>
      <c r="Q1006" s="163"/>
      <c r="R1006" s="163"/>
      <c r="S1006" s="163"/>
    </row>
    <row r="1007" spans="5:19" x14ac:dyDescent="0.25">
      <c r="E1007" s="163"/>
      <c r="K1007" s="163"/>
      <c r="Q1007" s="163"/>
      <c r="R1007" s="163"/>
      <c r="S1007" s="163"/>
    </row>
    <row r="1008" spans="5:19" x14ac:dyDescent="0.25">
      <c r="E1008" s="163"/>
      <c r="K1008" s="163"/>
      <c r="Q1008" s="163"/>
      <c r="R1008" s="163"/>
      <c r="S1008" s="163"/>
    </row>
    <row r="1009" spans="5:19" x14ac:dyDescent="0.25">
      <c r="E1009" s="163"/>
      <c r="K1009" s="163"/>
      <c r="Q1009" s="163"/>
      <c r="R1009" s="163"/>
      <c r="S1009" s="163"/>
    </row>
    <row r="1010" spans="5:19" x14ac:dyDescent="0.25">
      <c r="E1010" s="163"/>
      <c r="K1010" s="163"/>
      <c r="Q1010" s="163"/>
      <c r="R1010" s="163"/>
      <c r="S1010" s="163"/>
    </row>
    <row r="1011" spans="5:19" x14ac:dyDescent="0.25">
      <c r="E1011" s="163"/>
      <c r="K1011" s="163"/>
      <c r="Q1011" s="163"/>
      <c r="R1011" s="163"/>
      <c r="S1011" s="163"/>
    </row>
    <row r="1012" spans="5:19" x14ac:dyDescent="0.25">
      <c r="E1012" s="163"/>
      <c r="K1012" s="163"/>
      <c r="Q1012" s="163"/>
      <c r="R1012" s="163"/>
      <c r="S1012" s="163"/>
    </row>
    <row r="1013" spans="5:19" x14ac:dyDescent="0.25">
      <c r="E1013" s="163"/>
      <c r="K1013" s="163"/>
      <c r="Q1013" s="163"/>
      <c r="R1013" s="163"/>
      <c r="S1013" s="163"/>
    </row>
    <row r="1014" spans="5:19" x14ac:dyDescent="0.25">
      <c r="E1014" s="163"/>
      <c r="K1014" s="163"/>
      <c r="Q1014" s="163"/>
      <c r="R1014" s="163"/>
      <c r="S1014" s="163"/>
    </row>
    <row r="1015" spans="5:19" x14ac:dyDescent="0.25">
      <c r="E1015" s="163"/>
      <c r="K1015" s="163"/>
      <c r="Q1015" s="163"/>
      <c r="R1015" s="163"/>
      <c r="S1015" s="163"/>
    </row>
    <row r="1016" spans="5:19" x14ac:dyDescent="0.25">
      <c r="E1016" s="163"/>
      <c r="K1016" s="163"/>
      <c r="Q1016" s="163"/>
      <c r="R1016" s="163"/>
      <c r="S1016" s="163"/>
    </row>
    <row r="1017" spans="5:19" x14ac:dyDescent="0.25">
      <c r="E1017" s="163"/>
      <c r="K1017" s="163"/>
      <c r="Q1017" s="163"/>
      <c r="R1017" s="163"/>
      <c r="S1017" s="163"/>
    </row>
    <row r="1018" spans="5:19" x14ac:dyDescent="0.25">
      <c r="E1018" s="163"/>
      <c r="K1018" s="163"/>
      <c r="Q1018" s="163"/>
      <c r="R1018" s="163"/>
      <c r="S1018" s="163"/>
    </row>
    <row r="1019" spans="5:19" x14ac:dyDescent="0.25">
      <c r="E1019" s="163"/>
      <c r="K1019" s="163"/>
      <c r="Q1019" s="163"/>
      <c r="R1019" s="163"/>
      <c r="S1019" s="163"/>
    </row>
    <row r="1020" spans="5:19" x14ac:dyDescent="0.25">
      <c r="E1020" s="163"/>
      <c r="K1020" s="163"/>
      <c r="Q1020" s="163"/>
      <c r="R1020" s="163"/>
      <c r="S1020" s="163"/>
    </row>
    <row r="1021" spans="5:19" x14ac:dyDescent="0.25">
      <c r="E1021" s="163"/>
      <c r="K1021" s="163"/>
      <c r="Q1021" s="163"/>
      <c r="R1021" s="163"/>
      <c r="S1021" s="163"/>
    </row>
    <row r="1022" spans="5:19" x14ac:dyDescent="0.25">
      <c r="E1022" s="163"/>
      <c r="K1022" s="163"/>
      <c r="Q1022" s="163"/>
      <c r="R1022" s="163"/>
      <c r="S1022" s="163"/>
    </row>
    <row r="1023" spans="5:19" x14ac:dyDescent="0.25">
      <c r="E1023" s="163"/>
      <c r="K1023" s="163"/>
      <c r="Q1023" s="163"/>
      <c r="R1023" s="163"/>
      <c r="S1023" s="163"/>
    </row>
    <row r="1024" spans="5:19" x14ac:dyDescent="0.25">
      <c r="E1024" s="163"/>
      <c r="K1024" s="163"/>
      <c r="Q1024" s="163"/>
      <c r="R1024" s="163"/>
      <c r="S1024" s="163"/>
    </row>
    <row r="1025" spans="5:19" x14ac:dyDescent="0.25">
      <c r="E1025" s="163"/>
      <c r="K1025" s="163"/>
      <c r="Q1025" s="163"/>
      <c r="R1025" s="163"/>
      <c r="S1025" s="163"/>
    </row>
    <row r="1026" spans="5:19" x14ac:dyDescent="0.25">
      <c r="E1026" s="163"/>
      <c r="K1026" s="163"/>
      <c r="Q1026" s="163"/>
      <c r="R1026" s="163"/>
      <c r="S1026" s="163"/>
    </row>
    <row r="1027" spans="5:19" x14ac:dyDescent="0.25">
      <c r="E1027" s="163"/>
      <c r="K1027" s="163"/>
      <c r="Q1027" s="163"/>
      <c r="R1027" s="163"/>
      <c r="S1027" s="163"/>
    </row>
    <row r="1028" spans="5:19" x14ac:dyDescent="0.25">
      <c r="E1028" s="163"/>
      <c r="K1028" s="163"/>
      <c r="Q1028" s="163"/>
      <c r="R1028" s="163"/>
      <c r="S1028" s="163"/>
    </row>
    <row r="1029" spans="5:19" x14ac:dyDescent="0.25">
      <c r="E1029" s="163"/>
      <c r="K1029" s="163"/>
      <c r="Q1029" s="163"/>
      <c r="R1029" s="163"/>
      <c r="S1029" s="163"/>
    </row>
    <row r="1030" spans="5:19" x14ac:dyDescent="0.25">
      <c r="E1030" s="163"/>
      <c r="K1030" s="163"/>
      <c r="Q1030" s="163"/>
      <c r="R1030" s="163"/>
      <c r="S1030" s="163"/>
    </row>
    <row r="1031" spans="5:19" x14ac:dyDescent="0.25">
      <c r="E1031" s="163"/>
      <c r="K1031" s="163"/>
      <c r="Q1031" s="163"/>
      <c r="R1031" s="163"/>
      <c r="S1031" s="163"/>
    </row>
    <row r="1032" spans="5:19" x14ac:dyDescent="0.25">
      <c r="E1032" s="163"/>
      <c r="K1032" s="163"/>
      <c r="Q1032" s="163"/>
      <c r="R1032" s="163"/>
      <c r="S1032" s="163"/>
    </row>
    <row r="1033" spans="5:19" x14ac:dyDescent="0.25">
      <c r="E1033" s="163"/>
      <c r="K1033" s="163"/>
      <c r="Q1033" s="163"/>
      <c r="R1033" s="163"/>
      <c r="S1033" s="163"/>
    </row>
    <row r="1034" spans="5:19" x14ac:dyDescent="0.25">
      <c r="E1034" s="163"/>
      <c r="K1034" s="163"/>
      <c r="Q1034" s="163"/>
      <c r="R1034" s="163"/>
      <c r="S1034" s="163"/>
    </row>
    <row r="1035" spans="5:19" x14ac:dyDescent="0.25">
      <c r="E1035" s="163"/>
      <c r="K1035" s="163"/>
      <c r="Q1035" s="163"/>
      <c r="R1035" s="163"/>
      <c r="S1035" s="163"/>
    </row>
    <row r="1036" spans="5:19" x14ac:dyDescent="0.25">
      <c r="E1036" s="163"/>
      <c r="K1036" s="163"/>
      <c r="Q1036" s="163"/>
      <c r="R1036" s="163"/>
      <c r="S1036" s="163"/>
    </row>
    <row r="1037" spans="5:19" x14ac:dyDescent="0.25">
      <c r="E1037" s="163"/>
      <c r="K1037" s="163"/>
      <c r="Q1037" s="163"/>
      <c r="R1037" s="163"/>
      <c r="S1037" s="163"/>
    </row>
    <row r="1038" spans="5:19" x14ac:dyDescent="0.25">
      <c r="E1038" s="163"/>
      <c r="K1038" s="163"/>
      <c r="Q1038" s="163"/>
      <c r="R1038" s="163"/>
      <c r="S1038" s="163"/>
    </row>
    <row r="1039" spans="5:19" x14ac:dyDescent="0.25">
      <c r="E1039" s="163"/>
      <c r="K1039" s="163"/>
      <c r="Q1039" s="163"/>
      <c r="R1039" s="163"/>
      <c r="S1039" s="163"/>
    </row>
    <row r="1040" spans="5:19" x14ac:dyDescent="0.25">
      <c r="E1040" s="163"/>
      <c r="K1040" s="163"/>
      <c r="Q1040" s="163"/>
      <c r="R1040" s="163"/>
      <c r="S1040" s="163"/>
    </row>
    <row r="1041" spans="5:19" x14ac:dyDescent="0.25">
      <c r="E1041" s="163"/>
      <c r="K1041" s="163"/>
      <c r="Q1041" s="163"/>
      <c r="R1041" s="163"/>
      <c r="S1041" s="163"/>
    </row>
    <row r="1042" spans="5:19" x14ac:dyDescent="0.25">
      <c r="E1042" s="163"/>
      <c r="K1042" s="163"/>
      <c r="Q1042" s="163"/>
      <c r="R1042" s="163"/>
      <c r="S1042" s="163"/>
    </row>
    <row r="1043" spans="5:19" x14ac:dyDescent="0.25">
      <c r="E1043" s="163"/>
      <c r="K1043" s="163"/>
      <c r="Q1043" s="163"/>
      <c r="R1043" s="163"/>
      <c r="S1043" s="163"/>
    </row>
    <row r="1044" spans="5:19" x14ac:dyDescent="0.25">
      <c r="E1044" s="163"/>
      <c r="K1044" s="163"/>
      <c r="Q1044" s="163"/>
      <c r="R1044" s="163"/>
      <c r="S1044" s="163"/>
    </row>
    <row r="1045" spans="5:19" x14ac:dyDescent="0.25">
      <c r="E1045" s="163"/>
      <c r="K1045" s="163"/>
      <c r="Q1045" s="163"/>
      <c r="R1045" s="163"/>
      <c r="S1045" s="163"/>
    </row>
    <row r="1046" spans="5:19" x14ac:dyDescent="0.25">
      <c r="E1046" s="163"/>
      <c r="K1046" s="163"/>
      <c r="Q1046" s="163"/>
      <c r="R1046" s="163"/>
      <c r="S1046" s="163"/>
    </row>
    <row r="1047" spans="5:19" x14ac:dyDescent="0.25">
      <c r="E1047" s="163"/>
      <c r="K1047" s="163"/>
      <c r="Q1047" s="163"/>
      <c r="R1047" s="163"/>
      <c r="S1047" s="163"/>
    </row>
    <row r="1048" spans="5:19" x14ac:dyDescent="0.25">
      <c r="E1048" s="163"/>
      <c r="K1048" s="163"/>
      <c r="Q1048" s="163"/>
      <c r="R1048" s="163"/>
      <c r="S1048" s="163"/>
    </row>
    <row r="1049" spans="5:19" x14ac:dyDescent="0.25">
      <c r="E1049" s="163"/>
      <c r="K1049" s="163"/>
      <c r="Q1049" s="163"/>
      <c r="R1049" s="163"/>
      <c r="S1049" s="163"/>
    </row>
    <row r="1050" spans="5:19" x14ac:dyDescent="0.25">
      <c r="E1050" s="163"/>
      <c r="K1050" s="163"/>
      <c r="Q1050" s="163"/>
      <c r="R1050" s="163"/>
      <c r="S1050" s="163"/>
    </row>
    <row r="1051" spans="5:19" x14ac:dyDescent="0.25">
      <c r="E1051" s="163"/>
      <c r="K1051" s="163"/>
      <c r="Q1051" s="163"/>
      <c r="R1051" s="163"/>
      <c r="S1051" s="163"/>
    </row>
    <row r="1052" spans="5:19" x14ac:dyDescent="0.25">
      <c r="E1052" s="163"/>
      <c r="K1052" s="163"/>
      <c r="Q1052" s="163"/>
      <c r="R1052" s="163"/>
      <c r="S1052" s="163"/>
    </row>
    <row r="1053" spans="5:19" x14ac:dyDescent="0.25">
      <c r="E1053" s="163"/>
      <c r="K1053" s="163"/>
      <c r="Q1053" s="163"/>
      <c r="R1053" s="163"/>
      <c r="S1053" s="163"/>
    </row>
    <row r="1054" spans="5:19" x14ac:dyDescent="0.25">
      <c r="E1054" s="163"/>
      <c r="K1054" s="163"/>
      <c r="Q1054" s="163"/>
      <c r="R1054" s="163"/>
      <c r="S1054" s="163"/>
    </row>
    <row r="1055" spans="5:19" x14ac:dyDescent="0.25">
      <c r="E1055" s="163"/>
      <c r="K1055" s="163"/>
      <c r="Q1055" s="163"/>
      <c r="R1055" s="163"/>
      <c r="S1055" s="163"/>
    </row>
    <row r="1056" spans="5:19" x14ac:dyDescent="0.25">
      <c r="E1056" s="163"/>
      <c r="K1056" s="163"/>
      <c r="Q1056" s="163"/>
      <c r="R1056" s="163"/>
      <c r="S1056" s="163"/>
    </row>
    <row r="1057" spans="5:19" x14ac:dyDescent="0.25">
      <c r="E1057" s="163"/>
      <c r="K1057" s="163"/>
      <c r="Q1057" s="163"/>
      <c r="R1057" s="163"/>
      <c r="S1057" s="163"/>
    </row>
    <row r="1058" spans="5:19" x14ac:dyDescent="0.25">
      <c r="E1058" s="163"/>
      <c r="K1058" s="163"/>
      <c r="Q1058" s="163"/>
      <c r="R1058" s="163"/>
      <c r="S1058" s="163"/>
    </row>
    <row r="1059" spans="5:19" x14ac:dyDescent="0.25">
      <c r="E1059" s="163"/>
      <c r="K1059" s="163"/>
      <c r="Q1059" s="163"/>
      <c r="R1059" s="163"/>
      <c r="S1059" s="163"/>
    </row>
    <row r="1060" spans="5:19" x14ac:dyDescent="0.25">
      <c r="E1060" s="163"/>
      <c r="K1060" s="163"/>
      <c r="Q1060" s="163"/>
      <c r="R1060" s="163"/>
      <c r="S1060" s="163"/>
    </row>
    <row r="1061" spans="5:19" x14ac:dyDescent="0.25">
      <c r="E1061" s="163"/>
      <c r="K1061" s="163"/>
      <c r="Q1061" s="163"/>
      <c r="R1061" s="163"/>
      <c r="S1061" s="163"/>
    </row>
    <row r="1062" spans="5:19" x14ac:dyDescent="0.25">
      <c r="E1062" s="163"/>
      <c r="K1062" s="163"/>
      <c r="Q1062" s="163"/>
      <c r="R1062" s="163"/>
      <c r="S1062" s="163"/>
    </row>
    <row r="1063" spans="5:19" x14ac:dyDescent="0.25">
      <c r="E1063" s="163"/>
      <c r="K1063" s="163"/>
      <c r="Q1063" s="163"/>
      <c r="R1063" s="163"/>
      <c r="S1063" s="163"/>
    </row>
    <row r="1064" spans="5:19" x14ac:dyDescent="0.25">
      <c r="E1064" s="163"/>
      <c r="K1064" s="163"/>
      <c r="Q1064" s="163"/>
      <c r="R1064" s="163"/>
      <c r="S1064" s="163"/>
    </row>
    <row r="1065" spans="5:19" x14ac:dyDescent="0.25">
      <c r="E1065" s="163"/>
      <c r="K1065" s="163"/>
      <c r="Q1065" s="163"/>
      <c r="R1065" s="163"/>
      <c r="S1065" s="163"/>
    </row>
    <row r="1066" spans="5:19" x14ac:dyDescent="0.25">
      <c r="E1066" s="163"/>
      <c r="K1066" s="163"/>
      <c r="Q1066" s="163"/>
      <c r="R1066" s="163"/>
      <c r="S1066" s="163"/>
    </row>
    <row r="1067" spans="5:19" x14ac:dyDescent="0.25">
      <c r="E1067" s="163"/>
      <c r="K1067" s="163"/>
      <c r="Q1067" s="163"/>
      <c r="R1067" s="163"/>
      <c r="S1067" s="163"/>
    </row>
    <row r="1068" spans="5:19" x14ac:dyDescent="0.25">
      <c r="E1068" s="163"/>
      <c r="K1068" s="163"/>
      <c r="Q1068" s="163"/>
      <c r="R1068" s="163"/>
      <c r="S1068" s="163"/>
    </row>
    <row r="1069" spans="5:19" x14ac:dyDescent="0.25">
      <c r="E1069" s="163"/>
      <c r="K1069" s="163"/>
      <c r="Q1069" s="163"/>
      <c r="R1069" s="163"/>
      <c r="S1069" s="163"/>
    </row>
    <row r="1070" spans="5:19" x14ac:dyDescent="0.25">
      <c r="E1070" s="163"/>
      <c r="K1070" s="163"/>
      <c r="Q1070" s="163"/>
      <c r="R1070" s="163"/>
      <c r="S1070" s="163"/>
    </row>
    <row r="1071" spans="5:19" x14ac:dyDescent="0.25">
      <c r="E1071" s="163"/>
      <c r="K1071" s="163"/>
      <c r="Q1071" s="163"/>
      <c r="R1071" s="163"/>
      <c r="S1071" s="163"/>
    </row>
    <row r="1072" spans="5:19" x14ac:dyDescent="0.25">
      <c r="E1072" s="163"/>
      <c r="K1072" s="163"/>
      <c r="Q1072" s="163"/>
      <c r="R1072" s="163"/>
      <c r="S1072" s="163"/>
    </row>
    <row r="1073" spans="5:19" x14ac:dyDescent="0.25">
      <c r="E1073" s="163"/>
      <c r="K1073" s="163"/>
      <c r="Q1073" s="163"/>
      <c r="R1073" s="163"/>
      <c r="S1073" s="163"/>
    </row>
    <row r="1074" spans="5:19" x14ac:dyDescent="0.25">
      <c r="E1074" s="163"/>
      <c r="K1074" s="163"/>
      <c r="Q1074" s="163"/>
      <c r="R1074" s="163"/>
      <c r="S1074" s="163"/>
    </row>
    <row r="1075" spans="5:19" x14ac:dyDescent="0.25">
      <c r="E1075" s="163"/>
      <c r="K1075" s="163"/>
      <c r="Q1075" s="163"/>
      <c r="R1075" s="163"/>
      <c r="S1075" s="163"/>
    </row>
    <row r="1076" spans="5:19" x14ac:dyDescent="0.25">
      <c r="E1076" s="163"/>
      <c r="K1076" s="163"/>
      <c r="Q1076" s="163"/>
      <c r="R1076" s="163"/>
      <c r="S1076" s="163"/>
    </row>
    <row r="1077" spans="5:19" x14ac:dyDescent="0.25">
      <c r="E1077" s="163"/>
      <c r="K1077" s="163"/>
      <c r="Q1077" s="163"/>
      <c r="R1077" s="163"/>
      <c r="S1077" s="163"/>
    </row>
    <row r="1078" spans="5:19" x14ac:dyDescent="0.25">
      <c r="E1078" s="163"/>
      <c r="K1078" s="163"/>
      <c r="Q1078" s="163"/>
      <c r="R1078" s="163"/>
      <c r="S1078" s="163"/>
    </row>
    <row r="1079" spans="5:19" x14ac:dyDescent="0.25">
      <c r="E1079" s="163"/>
      <c r="K1079" s="163"/>
      <c r="Q1079" s="163"/>
      <c r="R1079" s="163"/>
      <c r="S1079" s="163"/>
    </row>
    <row r="1080" spans="5:19" x14ac:dyDescent="0.25">
      <c r="E1080" s="163"/>
      <c r="K1080" s="163"/>
      <c r="Q1080" s="163"/>
      <c r="R1080" s="163"/>
      <c r="S1080" s="163"/>
    </row>
    <row r="1081" spans="5:19" x14ac:dyDescent="0.25">
      <c r="E1081" s="163"/>
      <c r="K1081" s="163"/>
      <c r="Q1081" s="163"/>
      <c r="R1081" s="163"/>
      <c r="S1081" s="163"/>
    </row>
    <row r="1082" spans="5:19" x14ac:dyDescent="0.25">
      <c r="E1082" s="163"/>
      <c r="K1082" s="163"/>
      <c r="Q1082" s="163"/>
      <c r="R1082" s="163"/>
      <c r="S1082" s="163"/>
    </row>
    <row r="1083" spans="5:19" x14ac:dyDescent="0.25">
      <c r="E1083" s="163"/>
      <c r="K1083" s="163"/>
      <c r="Q1083" s="163"/>
      <c r="R1083" s="163"/>
      <c r="S1083" s="163"/>
    </row>
    <row r="1084" spans="5:19" x14ac:dyDescent="0.25">
      <c r="E1084" s="163"/>
      <c r="K1084" s="163"/>
      <c r="Q1084" s="163"/>
      <c r="R1084" s="163"/>
      <c r="S1084" s="163"/>
    </row>
    <row r="1085" spans="5:19" x14ac:dyDescent="0.25">
      <c r="E1085" s="163"/>
      <c r="K1085" s="163"/>
      <c r="Q1085" s="163"/>
      <c r="R1085" s="163"/>
      <c r="S1085" s="163"/>
    </row>
    <row r="1086" spans="5:19" x14ac:dyDescent="0.25">
      <c r="E1086" s="163"/>
      <c r="K1086" s="163"/>
      <c r="Q1086" s="163"/>
      <c r="R1086" s="163"/>
      <c r="S1086" s="163"/>
    </row>
    <row r="1087" spans="5:19" x14ac:dyDescent="0.25">
      <c r="E1087" s="163"/>
      <c r="K1087" s="163"/>
      <c r="Q1087" s="163"/>
      <c r="R1087" s="163"/>
      <c r="S1087" s="163"/>
    </row>
    <row r="1088" spans="5:19" x14ac:dyDescent="0.25">
      <c r="E1088" s="163"/>
      <c r="K1088" s="163"/>
      <c r="Q1088" s="163"/>
      <c r="R1088" s="163"/>
      <c r="S1088" s="163"/>
    </row>
    <row r="1089" spans="5:19" x14ac:dyDescent="0.25">
      <c r="E1089" s="163"/>
      <c r="K1089" s="163"/>
      <c r="Q1089" s="163"/>
      <c r="R1089" s="163"/>
      <c r="S1089" s="163"/>
    </row>
    <row r="1090" spans="5:19" x14ac:dyDescent="0.25">
      <c r="E1090" s="163"/>
      <c r="K1090" s="163"/>
      <c r="Q1090" s="163"/>
      <c r="R1090" s="163"/>
      <c r="S1090" s="163"/>
    </row>
    <row r="1091" spans="5:19" x14ac:dyDescent="0.25">
      <c r="E1091" s="163"/>
      <c r="K1091" s="163"/>
      <c r="Q1091" s="163"/>
      <c r="R1091" s="163"/>
      <c r="S1091" s="163"/>
    </row>
    <row r="1092" spans="5:19" x14ac:dyDescent="0.25">
      <c r="E1092" s="163"/>
      <c r="K1092" s="163"/>
      <c r="Q1092" s="163"/>
      <c r="R1092" s="163"/>
      <c r="S1092" s="163"/>
    </row>
    <row r="1093" spans="5:19" x14ac:dyDescent="0.25">
      <c r="E1093" s="163"/>
      <c r="K1093" s="163"/>
      <c r="Q1093" s="163"/>
      <c r="R1093" s="163"/>
      <c r="S1093" s="163"/>
    </row>
    <row r="1094" spans="5:19" x14ac:dyDescent="0.25">
      <c r="E1094" s="163"/>
      <c r="K1094" s="163"/>
      <c r="Q1094" s="163"/>
      <c r="R1094" s="163"/>
      <c r="S1094" s="163"/>
    </row>
    <row r="1095" spans="5:19" x14ac:dyDescent="0.25">
      <c r="E1095" s="163"/>
      <c r="K1095" s="163"/>
      <c r="Q1095" s="163"/>
      <c r="R1095" s="163"/>
      <c r="S1095" s="163"/>
    </row>
    <row r="1096" spans="5:19" x14ac:dyDescent="0.25">
      <c r="E1096" s="163"/>
      <c r="K1096" s="163"/>
      <c r="Q1096" s="163"/>
      <c r="R1096" s="163"/>
      <c r="S1096" s="163"/>
    </row>
    <row r="1097" spans="5:19" x14ac:dyDescent="0.25">
      <c r="E1097" s="163"/>
      <c r="K1097" s="163"/>
      <c r="Q1097" s="163"/>
      <c r="R1097" s="163"/>
      <c r="S1097" s="163"/>
    </row>
    <row r="1098" spans="5:19" x14ac:dyDescent="0.25">
      <c r="E1098" s="163"/>
      <c r="K1098" s="163"/>
      <c r="Q1098" s="163"/>
      <c r="R1098" s="163"/>
      <c r="S1098" s="163"/>
    </row>
    <row r="1099" spans="5:19" x14ac:dyDescent="0.25">
      <c r="E1099" s="163"/>
      <c r="K1099" s="163"/>
      <c r="Q1099" s="163"/>
      <c r="R1099" s="163"/>
      <c r="S1099" s="163"/>
    </row>
    <row r="1100" spans="5:19" x14ac:dyDescent="0.25">
      <c r="E1100" s="163"/>
      <c r="K1100" s="163"/>
      <c r="Q1100" s="163"/>
      <c r="R1100" s="163"/>
      <c r="S1100" s="163"/>
    </row>
    <row r="1101" spans="5:19" x14ac:dyDescent="0.25">
      <c r="E1101" s="163"/>
      <c r="K1101" s="163"/>
      <c r="Q1101" s="163"/>
      <c r="R1101" s="163"/>
      <c r="S1101" s="163"/>
    </row>
    <row r="1102" spans="5:19" x14ac:dyDescent="0.25">
      <c r="E1102" s="163"/>
      <c r="K1102" s="163"/>
      <c r="Q1102" s="163"/>
      <c r="R1102" s="163"/>
      <c r="S1102" s="163"/>
    </row>
    <row r="1103" spans="5:19" x14ac:dyDescent="0.25">
      <c r="E1103" s="163"/>
      <c r="K1103" s="163"/>
      <c r="Q1103" s="163"/>
      <c r="R1103" s="163"/>
      <c r="S1103" s="163"/>
    </row>
    <row r="1104" spans="5:19" x14ac:dyDescent="0.25">
      <c r="E1104" s="163"/>
      <c r="K1104" s="163"/>
      <c r="Q1104" s="163"/>
      <c r="R1104" s="163"/>
      <c r="S1104" s="163"/>
    </row>
    <row r="1105" spans="5:19" x14ac:dyDescent="0.25">
      <c r="E1105" s="163"/>
      <c r="K1105" s="163"/>
      <c r="Q1105" s="163"/>
      <c r="R1105" s="163"/>
      <c r="S1105" s="163"/>
    </row>
    <row r="1106" spans="5:19" x14ac:dyDescent="0.25">
      <c r="E1106" s="163"/>
      <c r="K1106" s="163"/>
      <c r="Q1106" s="163"/>
      <c r="R1106" s="163"/>
      <c r="S1106" s="163"/>
    </row>
    <row r="1107" spans="5:19" x14ac:dyDescent="0.25">
      <c r="E1107" s="163"/>
      <c r="K1107" s="163"/>
      <c r="Q1107" s="163"/>
      <c r="R1107" s="163"/>
      <c r="S1107" s="163"/>
    </row>
    <row r="1108" spans="5:19" x14ac:dyDescent="0.25">
      <c r="E1108" s="163"/>
      <c r="K1108" s="163"/>
      <c r="Q1108" s="163"/>
      <c r="R1108" s="163"/>
      <c r="S1108" s="163"/>
    </row>
    <row r="1109" spans="5:19" x14ac:dyDescent="0.25">
      <c r="E1109" s="163"/>
      <c r="K1109" s="163"/>
      <c r="Q1109" s="163"/>
      <c r="R1109" s="163"/>
      <c r="S1109" s="163"/>
    </row>
    <row r="1110" spans="5:19" x14ac:dyDescent="0.25">
      <c r="E1110" s="163"/>
      <c r="K1110" s="163"/>
      <c r="Q1110" s="163"/>
      <c r="R1110" s="163"/>
      <c r="S1110" s="163"/>
    </row>
    <row r="1111" spans="5:19" x14ac:dyDescent="0.25">
      <c r="E1111" s="163"/>
      <c r="K1111" s="163"/>
      <c r="Q1111" s="163"/>
      <c r="R1111" s="163"/>
      <c r="S1111" s="163"/>
    </row>
    <row r="1112" spans="5:19" x14ac:dyDescent="0.25">
      <c r="E1112" s="163"/>
      <c r="K1112" s="163"/>
      <c r="Q1112" s="163"/>
      <c r="R1112" s="163"/>
      <c r="S1112" s="163"/>
    </row>
    <row r="1113" spans="5:19" x14ac:dyDescent="0.25">
      <c r="E1113" s="163"/>
      <c r="K1113" s="163"/>
      <c r="Q1113" s="163"/>
      <c r="R1113" s="163"/>
      <c r="S1113" s="163"/>
    </row>
    <row r="1114" spans="5:19" x14ac:dyDescent="0.25">
      <c r="E1114" s="163"/>
      <c r="K1114" s="163"/>
      <c r="Q1114" s="163"/>
      <c r="R1114" s="163"/>
      <c r="S1114" s="163"/>
    </row>
    <row r="1115" spans="5:19" x14ac:dyDescent="0.25">
      <c r="E1115" s="163"/>
      <c r="K1115" s="163"/>
      <c r="Q1115" s="163"/>
      <c r="R1115" s="163"/>
      <c r="S1115" s="163"/>
    </row>
    <row r="1116" spans="5:19" x14ac:dyDescent="0.25">
      <c r="E1116" s="163"/>
      <c r="K1116" s="163"/>
      <c r="Q1116" s="163"/>
      <c r="R1116" s="163"/>
      <c r="S1116" s="163"/>
    </row>
    <row r="1117" spans="5:19" x14ac:dyDescent="0.25">
      <c r="E1117" s="163"/>
      <c r="K1117" s="163"/>
      <c r="Q1117" s="163"/>
      <c r="R1117" s="163"/>
      <c r="S1117" s="163"/>
    </row>
    <row r="1118" spans="5:19" x14ac:dyDescent="0.25">
      <c r="E1118" s="163"/>
      <c r="K1118" s="163"/>
      <c r="Q1118" s="163"/>
      <c r="R1118" s="163"/>
      <c r="S1118" s="163"/>
    </row>
    <row r="1119" spans="5:19" x14ac:dyDescent="0.25">
      <c r="E1119" s="163"/>
      <c r="K1119" s="163"/>
      <c r="Q1119" s="163"/>
      <c r="R1119" s="163"/>
      <c r="S1119" s="163"/>
    </row>
    <row r="1120" spans="5:19" x14ac:dyDescent="0.25">
      <c r="E1120" s="163"/>
      <c r="K1120" s="163"/>
      <c r="Q1120" s="163"/>
      <c r="R1120" s="163"/>
      <c r="S1120" s="163"/>
    </row>
    <row r="1121" spans="5:19" x14ac:dyDescent="0.25">
      <c r="E1121" s="163"/>
      <c r="K1121" s="163"/>
      <c r="Q1121" s="163"/>
      <c r="R1121" s="163"/>
      <c r="S1121" s="163"/>
    </row>
    <row r="1122" spans="5:19" x14ac:dyDescent="0.25">
      <c r="E1122" s="163"/>
      <c r="K1122" s="163"/>
      <c r="Q1122" s="163"/>
      <c r="R1122" s="163"/>
      <c r="S1122" s="163"/>
    </row>
    <row r="1123" spans="5:19" x14ac:dyDescent="0.25">
      <c r="E1123" s="163"/>
      <c r="K1123" s="163"/>
      <c r="Q1123" s="163"/>
      <c r="R1123" s="163"/>
      <c r="S1123" s="163"/>
    </row>
    <row r="1124" spans="5:19" x14ac:dyDescent="0.25">
      <c r="E1124" s="163"/>
      <c r="K1124" s="163"/>
      <c r="Q1124" s="163"/>
      <c r="R1124" s="163"/>
      <c r="S1124" s="163"/>
    </row>
    <row r="1125" spans="5:19" x14ac:dyDescent="0.25">
      <c r="E1125" s="163"/>
      <c r="K1125" s="163"/>
      <c r="Q1125" s="163"/>
      <c r="R1125" s="163"/>
      <c r="S1125" s="163"/>
    </row>
    <row r="1126" spans="5:19" x14ac:dyDescent="0.25">
      <c r="E1126" s="163"/>
      <c r="K1126" s="163"/>
      <c r="Q1126" s="163"/>
      <c r="R1126" s="163"/>
      <c r="S1126" s="163"/>
    </row>
    <row r="1127" spans="5:19" x14ac:dyDescent="0.25">
      <c r="E1127" s="163"/>
      <c r="K1127" s="163"/>
      <c r="Q1127" s="163"/>
      <c r="R1127" s="163"/>
      <c r="S1127" s="163"/>
    </row>
    <row r="1128" spans="5:19" x14ac:dyDescent="0.25">
      <c r="E1128" s="163"/>
      <c r="K1128" s="163"/>
      <c r="Q1128" s="163"/>
      <c r="R1128" s="163"/>
      <c r="S1128" s="163"/>
    </row>
    <row r="1129" spans="5:19" x14ac:dyDescent="0.25">
      <c r="E1129" s="163"/>
      <c r="K1129" s="163"/>
      <c r="Q1129" s="163"/>
      <c r="R1129" s="163"/>
      <c r="S1129" s="163"/>
    </row>
    <row r="1130" spans="5:19" x14ac:dyDescent="0.25">
      <c r="E1130" s="163"/>
      <c r="K1130" s="163"/>
      <c r="Q1130" s="163"/>
      <c r="R1130" s="163"/>
      <c r="S1130" s="163"/>
    </row>
    <row r="1131" spans="5:19" x14ac:dyDescent="0.25">
      <c r="E1131" s="163"/>
      <c r="K1131" s="163"/>
      <c r="Q1131" s="163"/>
      <c r="R1131" s="163"/>
      <c r="S1131" s="163"/>
    </row>
    <row r="1132" spans="5:19" x14ac:dyDescent="0.25">
      <c r="E1132" s="163"/>
      <c r="K1132" s="163"/>
      <c r="Q1132" s="163"/>
      <c r="R1132" s="163"/>
      <c r="S1132" s="163"/>
    </row>
    <row r="1133" spans="5:19" x14ac:dyDescent="0.25">
      <c r="E1133" s="163"/>
      <c r="K1133" s="163"/>
      <c r="Q1133" s="163"/>
      <c r="R1133" s="163"/>
      <c r="S1133" s="163"/>
    </row>
    <row r="1134" spans="5:19" x14ac:dyDescent="0.25">
      <c r="E1134" s="163"/>
      <c r="K1134" s="163"/>
      <c r="Q1134" s="163"/>
      <c r="R1134" s="163"/>
      <c r="S1134" s="163"/>
    </row>
    <row r="1135" spans="5:19" x14ac:dyDescent="0.25">
      <c r="E1135" s="163"/>
      <c r="K1135" s="163"/>
      <c r="Q1135" s="163"/>
      <c r="R1135" s="163"/>
      <c r="S1135" s="163"/>
    </row>
    <row r="1136" spans="5:19" x14ac:dyDescent="0.25">
      <c r="E1136" s="163"/>
      <c r="K1136" s="163"/>
      <c r="Q1136" s="163"/>
      <c r="R1136" s="163"/>
      <c r="S1136" s="163"/>
    </row>
    <row r="1137" spans="5:19" x14ac:dyDescent="0.25">
      <c r="E1137" s="163"/>
      <c r="K1137" s="163"/>
      <c r="Q1137" s="163"/>
      <c r="R1137" s="163"/>
      <c r="S1137" s="163"/>
    </row>
    <row r="1138" spans="5:19" x14ac:dyDescent="0.25">
      <c r="E1138" s="163"/>
      <c r="K1138" s="163"/>
      <c r="Q1138" s="163"/>
      <c r="R1138" s="163"/>
      <c r="S1138" s="163"/>
    </row>
    <row r="1139" spans="5:19" x14ac:dyDescent="0.25">
      <c r="E1139" s="163"/>
      <c r="K1139" s="163"/>
      <c r="Q1139" s="163"/>
      <c r="R1139" s="163"/>
      <c r="S1139" s="163"/>
    </row>
    <row r="1140" spans="5:19" x14ac:dyDescent="0.25">
      <c r="E1140" s="163"/>
      <c r="K1140" s="163"/>
      <c r="Q1140" s="163"/>
      <c r="R1140" s="163"/>
      <c r="S1140" s="163"/>
    </row>
    <row r="1141" spans="5:19" x14ac:dyDescent="0.25">
      <c r="E1141" s="163"/>
      <c r="K1141" s="163"/>
      <c r="Q1141" s="163"/>
      <c r="R1141" s="163"/>
      <c r="S1141" s="163"/>
    </row>
    <row r="1142" spans="5:19" x14ac:dyDescent="0.25">
      <c r="E1142" s="163"/>
      <c r="K1142" s="163"/>
      <c r="Q1142" s="163"/>
      <c r="R1142" s="163"/>
      <c r="S1142" s="163"/>
    </row>
    <row r="1143" spans="5:19" x14ac:dyDescent="0.25">
      <c r="E1143" s="163"/>
      <c r="K1143" s="163"/>
      <c r="Q1143" s="163"/>
      <c r="R1143" s="163"/>
      <c r="S1143" s="163"/>
    </row>
    <row r="1144" spans="5:19" x14ac:dyDescent="0.25">
      <c r="E1144" s="163"/>
      <c r="K1144" s="163"/>
      <c r="Q1144" s="163"/>
      <c r="R1144" s="163"/>
      <c r="S1144" s="163"/>
    </row>
    <row r="1145" spans="5:19" x14ac:dyDescent="0.25">
      <c r="E1145" s="163"/>
      <c r="K1145" s="163"/>
      <c r="Q1145" s="163"/>
      <c r="R1145" s="163"/>
      <c r="S1145" s="163"/>
    </row>
    <row r="1146" spans="5:19" x14ac:dyDescent="0.25">
      <c r="E1146" s="163"/>
      <c r="K1146" s="163"/>
      <c r="Q1146" s="163"/>
      <c r="R1146" s="163"/>
      <c r="S1146" s="163"/>
    </row>
    <row r="1147" spans="5:19" x14ac:dyDescent="0.25">
      <c r="E1147" s="163"/>
      <c r="K1147" s="163"/>
      <c r="Q1147" s="163"/>
      <c r="R1147" s="163"/>
      <c r="S1147" s="163"/>
    </row>
    <row r="1148" spans="5:19" x14ac:dyDescent="0.25">
      <c r="E1148" s="163"/>
      <c r="K1148" s="163"/>
      <c r="Q1148" s="163"/>
      <c r="R1148" s="163"/>
      <c r="S1148" s="163"/>
    </row>
    <row r="1149" spans="5:19" x14ac:dyDescent="0.25">
      <c r="E1149" s="163"/>
      <c r="K1149" s="163"/>
      <c r="Q1149" s="163"/>
      <c r="R1149" s="163"/>
      <c r="S1149" s="163"/>
    </row>
    <row r="1150" spans="5:19" x14ac:dyDescent="0.25">
      <c r="E1150" s="163"/>
      <c r="K1150" s="163"/>
      <c r="Q1150" s="163"/>
      <c r="R1150" s="163"/>
      <c r="S1150" s="163"/>
    </row>
    <row r="1151" spans="5:19" x14ac:dyDescent="0.25">
      <c r="E1151" s="163"/>
      <c r="K1151" s="163"/>
      <c r="Q1151" s="163"/>
      <c r="R1151" s="163"/>
      <c r="S1151" s="163"/>
    </row>
    <row r="1152" spans="5:19" x14ac:dyDescent="0.25">
      <c r="E1152" s="163"/>
      <c r="K1152" s="163"/>
      <c r="Q1152" s="163"/>
      <c r="R1152" s="163"/>
      <c r="S1152" s="163"/>
    </row>
    <row r="1153" spans="5:19" x14ac:dyDescent="0.25">
      <c r="E1153" s="163"/>
      <c r="K1153" s="163"/>
      <c r="Q1153" s="163"/>
      <c r="R1153" s="163"/>
      <c r="S1153" s="163"/>
    </row>
    <row r="1154" spans="5:19" x14ac:dyDescent="0.25">
      <c r="E1154" s="163"/>
      <c r="K1154" s="163"/>
      <c r="Q1154" s="163"/>
      <c r="R1154" s="163"/>
      <c r="S1154" s="163"/>
    </row>
    <row r="1155" spans="5:19" x14ac:dyDescent="0.25">
      <c r="E1155" s="163"/>
      <c r="K1155" s="163"/>
      <c r="Q1155" s="163"/>
      <c r="R1155" s="163"/>
      <c r="S1155" s="163"/>
    </row>
    <row r="1156" spans="5:19" x14ac:dyDescent="0.25">
      <c r="E1156" s="163"/>
      <c r="K1156" s="163"/>
      <c r="Q1156" s="163"/>
      <c r="R1156" s="163"/>
      <c r="S1156" s="163"/>
    </row>
    <row r="1157" spans="5:19" x14ac:dyDescent="0.25">
      <c r="E1157" s="163"/>
      <c r="K1157" s="163"/>
      <c r="Q1157" s="163"/>
      <c r="R1157" s="163"/>
      <c r="S1157" s="163"/>
    </row>
    <row r="1158" spans="5:19" x14ac:dyDescent="0.25">
      <c r="E1158" s="163"/>
      <c r="K1158" s="163"/>
      <c r="Q1158" s="163"/>
      <c r="R1158" s="163"/>
      <c r="S1158" s="163"/>
    </row>
    <row r="1159" spans="5:19" x14ac:dyDescent="0.25">
      <c r="E1159" s="163"/>
      <c r="K1159" s="163"/>
      <c r="Q1159" s="163"/>
      <c r="R1159" s="163"/>
      <c r="S1159" s="163"/>
    </row>
    <row r="1160" spans="5:19" x14ac:dyDescent="0.25">
      <c r="E1160" s="163"/>
      <c r="K1160" s="163"/>
      <c r="Q1160" s="163"/>
      <c r="R1160" s="163"/>
      <c r="S1160" s="163"/>
    </row>
    <row r="1161" spans="5:19" x14ac:dyDescent="0.25">
      <c r="E1161" s="163"/>
      <c r="K1161" s="163"/>
      <c r="Q1161" s="163"/>
      <c r="R1161" s="163"/>
      <c r="S1161" s="163"/>
    </row>
    <row r="1162" spans="5:19" x14ac:dyDescent="0.25">
      <c r="E1162" s="163"/>
      <c r="K1162" s="163"/>
      <c r="Q1162" s="163"/>
      <c r="R1162" s="163"/>
      <c r="S1162" s="163"/>
    </row>
    <row r="1163" spans="5:19" x14ac:dyDescent="0.25">
      <c r="E1163" s="163"/>
      <c r="K1163" s="163"/>
      <c r="Q1163" s="163"/>
      <c r="R1163" s="163"/>
      <c r="S1163" s="163"/>
    </row>
    <row r="1164" spans="5:19" x14ac:dyDescent="0.25">
      <c r="E1164" s="163"/>
      <c r="K1164" s="163"/>
      <c r="Q1164" s="163"/>
      <c r="R1164" s="163"/>
      <c r="S1164" s="163"/>
    </row>
    <row r="1165" spans="5:19" x14ac:dyDescent="0.25">
      <c r="E1165" s="163"/>
      <c r="K1165" s="163"/>
      <c r="Q1165" s="163"/>
      <c r="R1165" s="163"/>
      <c r="S1165" s="163"/>
    </row>
    <row r="1166" spans="5:19" x14ac:dyDescent="0.25">
      <c r="E1166" s="163"/>
      <c r="K1166" s="163"/>
      <c r="Q1166" s="163"/>
      <c r="R1166" s="163"/>
      <c r="S1166" s="163"/>
    </row>
    <row r="1167" spans="5:19" x14ac:dyDescent="0.25">
      <c r="E1167" s="163"/>
      <c r="K1167" s="163"/>
      <c r="Q1167" s="163"/>
      <c r="R1167" s="163"/>
      <c r="S1167" s="163"/>
    </row>
    <row r="1168" spans="5:19" x14ac:dyDescent="0.25">
      <c r="E1168" s="163"/>
      <c r="K1168" s="163"/>
      <c r="Q1168" s="163"/>
      <c r="R1168" s="163"/>
      <c r="S1168" s="163"/>
    </row>
    <row r="1169" spans="5:19" x14ac:dyDescent="0.25">
      <c r="E1169" s="163"/>
      <c r="K1169" s="163"/>
      <c r="Q1169" s="163"/>
      <c r="R1169" s="163"/>
      <c r="S1169" s="163"/>
    </row>
    <row r="1170" spans="5:19" x14ac:dyDescent="0.25">
      <c r="E1170" s="163"/>
      <c r="K1170" s="163"/>
      <c r="Q1170" s="163"/>
      <c r="R1170" s="163"/>
      <c r="S1170" s="163"/>
    </row>
    <row r="1171" spans="5:19" x14ac:dyDescent="0.25">
      <c r="E1171" s="163"/>
      <c r="K1171" s="163"/>
      <c r="Q1171" s="163"/>
      <c r="R1171" s="163"/>
      <c r="S1171" s="163"/>
    </row>
    <row r="1172" spans="5:19" x14ac:dyDescent="0.25">
      <c r="E1172" s="163"/>
      <c r="K1172" s="163"/>
      <c r="Q1172" s="163"/>
      <c r="R1172" s="163"/>
      <c r="S1172" s="163"/>
    </row>
    <row r="1173" spans="5:19" x14ac:dyDescent="0.25">
      <c r="E1173" s="163"/>
      <c r="K1173" s="163"/>
      <c r="Q1173" s="163"/>
      <c r="R1173" s="163"/>
      <c r="S1173" s="163"/>
    </row>
    <row r="1174" spans="5:19" x14ac:dyDescent="0.25">
      <c r="E1174" s="163"/>
      <c r="K1174" s="163"/>
      <c r="Q1174" s="163"/>
      <c r="R1174" s="163"/>
      <c r="S1174" s="163"/>
    </row>
    <row r="1175" spans="5:19" x14ac:dyDescent="0.25">
      <c r="E1175" s="163"/>
      <c r="K1175" s="163"/>
      <c r="Q1175" s="163"/>
      <c r="R1175" s="163"/>
      <c r="S1175" s="163"/>
    </row>
    <row r="1176" spans="5:19" x14ac:dyDescent="0.25">
      <c r="E1176" s="163"/>
      <c r="K1176" s="163"/>
      <c r="Q1176" s="163"/>
      <c r="R1176" s="163"/>
      <c r="S1176" s="163"/>
    </row>
    <row r="1177" spans="5:19" x14ac:dyDescent="0.25">
      <c r="E1177" s="163"/>
      <c r="K1177" s="163"/>
      <c r="Q1177" s="163"/>
      <c r="R1177" s="163"/>
      <c r="S1177" s="163"/>
    </row>
    <row r="1178" spans="5:19" x14ac:dyDescent="0.25">
      <c r="E1178" s="163"/>
      <c r="K1178" s="163"/>
      <c r="Q1178" s="163"/>
      <c r="R1178" s="163"/>
      <c r="S1178" s="163"/>
    </row>
    <row r="1179" spans="5:19" x14ac:dyDescent="0.25">
      <c r="E1179" s="163"/>
      <c r="K1179" s="163"/>
      <c r="Q1179" s="163"/>
      <c r="R1179" s="163"/>
      <c r="S1179" s="163"/>
    </row>
    <row r="1180" spans="5:19" x14ac:dyDescent="0.25">
      <c r="E1180" s="163"/>
      <c r="K1180" s="163"/>
      <c r="Q1180" s="163"/>
      <c r="R1180" s="163"/>
      <c r="S1180" s="163"/>
    </row>
    <row r="1181" spans="5:19" x14ac:dyDescent="0.25">
      <c r="E1181" s="163"/>
      <c r="K1181" s="163"/>
      <c r="Q1181" s="163"/>
      <c r="R1181" s="163"/>
      <c r="S1181" s="163"/>
    </row>
    <row r="1182" spans="5:19" x14ac:dyDescent="0.25">
      <c r="E1182" s="163"/>
      <c r="K1182" s="163"/>
      <c r="Q1182" s="163"/>
      <c r="R1182" s="163"/>
      <c r="S1182" s="163"/>
    </row>
    <row r="1183" spans="5:19" x14ac:dyDescent="0.25">
      <c r="E1183" s="163"/>
      <c r="K1183" s="163"/>
      <c r="Q1183" s="163"/>
      <c r="R1183" s="163"/>
      <c r="S1183" s="163"/>
    </row>
    <row r="1184" spans="5:19" x14ac:dyDescent="0.25">
      <c r="E1184" s="163"/>
      <c r="K1184" s="163"/>
      <c r="Q1184" s="163"/>
      <c r="R1184" s="163"/>
      <c r="S1184" s="163"/>
    </row>
    <row r="1185" spans="5:19" x14ac:dyDescent="0.25">
      <c r="E1185" s="163"/>
      <c r="K1185" s="163"/>
      <c r="Q1185" s="163"/>
      <c r="R1185" s="163"/>
      <c r="S1185" s="163"/>
    </row>
    <row r="1186" spans="5:19" x14ac:dyDescent="0.25">
      <c r="E1186" s="163"/>
      <c r="K1186" s="163"/>
      <c r="Q1186" s="163"/>
      <c r="R1186" s="163"/>
      <c r="S1186" s="163"/>
    </row>
    <row r="1187" spans="5:19" x14ac:dyDescent="0.25">
      <c r="E1187" s="163"/>
      <c r="K1187" s="163"/>
      <c r="Q1187" s="163"/>
      <c r="R1187" s="163"/>
      <c r="S1187" s="163"/>
    </row>
    <row r="1188" spans="5:19" x14ac:dyDescent="0.25">
      <c r="E1188" s="163"/>
      <c r="K1188" s="163"/>
      <c r="Q1188" s="163"/>
      <c r="R1188" s="163"/>
      <c r="S1188" s="163"/>
    </row>
    <row r="1189" spans="5:19" x14ac:dyDescent="0.25">
      <c r="E1189" s="163"/>
      <c r="K1189" s="163"/>
      <c r="Q1189" s="163"/>
      <c r="R1189" s="163"/>
      <c r="S1189" s="163"/>
    </row>
    <row r="1190" spans="5:19" x14ac:dyDescent="0.25">
      <c r="E1190" s="163"/>
      <c r="K1190" s="163"/>
      <c r="Q1190" s="163"/>
      <c r="R1190" s="163"/>
      <c r="S1190" s="163"/>
    </row>
    <row r="1191" spans="5:19" x14ac:dyDescent="0.25">
      <c r="E1191" s="163"/>
      <c r="K1191" s="163"/>
      <c r="Q1191" s="163"/>
      <c r="R1191" s="163"/>
      <c r="S1191" s="163"/>
    </row>
    <row r="1192" spans="5:19" x14ac:dyDescent="0.25">
      <c r="E1192" s="163"/>
      <c r="K1192" s="163"/>
      <c r="Q1192" s="163"/>
      <c r="R1192" s="163"/>
      <c r="S1192" s="163"/>
    </row>
    <row r="1193" spans="5:19" x14ac:dyDescent="0.25">
      <c r="E1193" s="163"/>
      <c r="K1193" s="163"/>
      <c r="Q1193" s="163"/>
      <c r="R1193" s="163"/>
      <c r="S1193" s="163"/>
    </row>
    <row r="1194" spans="5:19" x14ac:dyDescent="0.25">
      <c r="E1194" s="163"/>
      <c r="K1194" s="163"/>
      <c r="Q1194" s="163"/>
      <c r="R1194" s="163"/>
      <c r="S1194" s="163"/>
    </row>
    <row r="1195" spans="5:19" x14ac:dyDescent="0.25">
      <c r="E1195" s="163"/>
      <c r="K1195" s="163"/>
      <c r="Q1195" s="163"/>
      <c r="R1195" s="163"/>
      <c r="S1195" s="163"/>
    </row>
    <row r="1196" spans="5:19" x14ac:dyDescent="0.25">
      <c r="E1196" s="163"/>
      <c r="K1196" s="163"/>
      <c r="Q1196" s="163"/>
      <c r="R1196" s="163"/>
      <c r="S1196" s="163"/>
    </row>
    <row r="1197" spans="5:19" x14ac:dyDescent="0.25">
      <c r="E1197" s="163"/>
      <c r="K1197" s="163"/>
      <c r="Q1197" s="163"/>
      <c r="R1197" s="163"/>
      <c r="S1197" s="163"/>
    </row>
    <row r="1198" spans="5:19" x14ac:dyDescent="0.25">
      <c r="E1198" s="163"/>
      <c r="K1198" s="163"/>
      <c r="Q1198" s="163"/>
      <c r="R1198" s="163"/>
      <c r="S1198" s="163"/>
    </row>
    <row r="1199" spans="5:19" x14ac:dyDescent="0.25">
      <c r="E1199" s="163"/>
      <c r="K1199" s="163"/>
      <c r="Q1199" s="163"/>
      <c r="R1199" s="163"/>
      <c r="S1199" s="163"/>
    </row>
    <row r="1200" spans="5:19" x14ac:dyDescent="0.25">
      <c r="E1200" s="163"/>
      <c r="K1200" s="163"/>
      <c r="Q1200" s="163"/>
      <c r="R1200" s="163"/>
      <c r="S1200" s="163"/>
    </row>
    <row r="1201" spans="5:19" x14ac:dyDescent="0.25">
      <c r="E1201" s="163"/>
      <c r="K1201" s="163"/>
      <c r="Q1201" s="163"/>
      <c r="R1201" s="163"/>
      <c r="S1201" s="163"/>
    </row>
    <row r="1202" spans="5:19" x14ac:dyDescent="0.25">
      <c r="E1202" s="163"/>
      <c r="K1202" s="163"/>
      <c r="Q1202" s="163"/>
      <c r="R1202" s="163"/>
      <c r="S1202" s="163"/>
    </row>
    <row r="1203" spans="5:19" x14ac:dyDescent="0.25">
      <c r="E1203" s="163"/>
      <c r="K1203" s="163"/>
      <c r="Q1203" s="163"/>
      <c r="R1203" s="163"/>
      <c r="S1203" s="163"/>
    </row>
    <row r="1204" spans="5:19" x14ac:dyDescent="0.25">
      <c r="E1204" s="163"/>
      <c r="K1204" s="163"/>
      <c r="Q1204" s="163"/>
      <c r="R1204" s="163"/>
      <c r="S1204" s="163"/>
    </row>
    <row r="1205" spans="5:19" x14ac:dyDescent="0.25">
      <c r="E1205" s="163"/>
      <c r="K1205" s="163"/>
      <c r="Q1205" s="163"/>
      <c r="R1205" s="163"/>
      <c r="S1205" s="163"/>
    </row>
    <row r="1206" spans="5:19" x14ac:dyDescent="0.25">
      <c r="E1206" s="163"/>
      <c r="K1206" s="163"/>
      <c r="Q1206" s="163"/>
      <c r="R1206" s="163"/>
      <c r="S1206" s="163"/>
    </row>
    <row r="1207" spans="5:19" x14ac:dyDescent="0.25">
      <c r="E1207" s="163"/>
      <c r="K1207" s="163"/>
      <c r="Q1207" s="163"/>
      <c r="R1207" s="163"/>
      <c r="S1207" s="163"/>
    </row>
    <row r="1208" spans="5:19" x14ac:dyDescent="0.25">
      <c r="E1208" s="163"/>
      <c r="K1208" s="163"/>
      <c r="Q1208" s="163"/>
      <c r="R1208" s="163"/>
      <c r="S1208" s="163"/>
    </row>
    <row r="1209" spans="5:19" x14ac:dyDescent="0.25">
      <c r="E1209" s="163"/>
      <c r="K1209" s="163"/>
      <c r="Q1209" s="163"/>
      <c r="R1209" s="163"/>
      <c r="S1209" s="163"/>
    </row>
    <row r="1210" spans="5:19" x14ac:dyDescent="0.25">
      <c r="E1210" s="163"/>
      <c r="K1210" s="163"/>
      <c r="Q1210" s="163"/>
      <c r="R1210" s="163"/>
      <c r="S1210" s="163"/>
    </row>
    <row r="1211" spans="5:19" x14ac:dyDescent="0.25">
      <c r="E1211" s="163"/>
      <c r="K1211" s="163"/>
      <c r="Q1211" s="163"/>
      <c r="R1211" s="163"/>
      <c r="S1211" s="163"/>
    </row>
    <row r="1212" spans="5:19" x14ac:dyDescent="0.25">
      <c r="E1212" s="163"/>
      <c r="K1212" s="163"/>
      <c r="Q1212" s="163"/>
      <c r="R1212" s="163"/>
      <c r="S1212" s="163"/>
    </row>
    <row r="1213" spans="5:19" x14ac:dyDescent="0.25">
      <c r="E1213" s="163"/>
      <c r="K1213" s="163"/>
      <c r="Q1213" s="163"/>
      <c r="R1213" s="163"/>
      <c r="S1213" s="163"/>
    </row>
    <row r="1214" spans="5:19" x14ac:dyDescent="0.25">
      <c r="E1214" s="163"/>
      <c r="K1214" s="163"/>
      <c r="Q1214" s="163"/>
      <c r="R1214" s="163"/>
      <c r="S1214" s="163"/>
    </row>
    <row r="1215" spans="5:19" x14ac:dyDescent="0.25">
      <c r="E1215" s="163"/>
      <c r="K1215" s="163"/>
      <c r="Q1215" s="163"/>
      <c r="R1215" s="163"/>
      <c r="S1215" s="163"/>
    </row>
    <row r="1216" spans="5:19" x14ac:dyDescent="0.25">
      <c r="E1216" s="163"/>
      <c r="K1216" s="163"/>
      <c r="Q1216" s="163"/>
      <c r="R1216" s="163"/>
      <c r="S1216" s="163"/>
    </row>
    <row r="1217" spans="5:19" x14ac:dyDescent="0.25">
      <c r="E1217" s="163"/>
      <c r="K1217" s="163"/>
      <c r="Q1217" s="163"/>
      <c r="R1217" s="163"/>
      <c r="S1217" s="163"/>
    </row>
    <row r="1218" spans="5:19" x14ac:dyDescent="0.25">
      <c r="E1218" s="163"/>
      <c r="K1218" s="163"/>
      <c r="Q1218" s="163"/>
      <c r="R1218" s="163"/>
      <c r="S1218" s="163"/>
    </row>
    <row r="1219" spans="5:19" x14ac:dyDescent="0.25">
      <c r="E1219" s="163"/>
      <c r="K1219" s="163"/>
      <c r="Q1219" s="163"/>
      <c r="R1219" s="163"/>
      <c r="S1219" s="163"/>
    </row>
    <row r="1220" spans="5:19" x14ac:dyDescent="0.25">
      <c r="E1220" s="163"/>
      <c r="K1220" s="163"/>
      <c r="Q1220" s="163"/>
      <c r="R1220" s="163"/>
      <c r="S1220" s="163"/>
    </row>
    <row r="1221" spans="5:19" x14ac:dyDescent="0.25">
      <c r="E1221" s="163"/>
      <c r="K1221" s="163"/>
      <c r="Q1221" s="163"/>
      <c r="R1221" s="163"/>
      <c r="S1221" s="163"/>
    </row>
    <row r="1222" spans="5:19" x14ac:dyDescent="0.25">
      <c r="E1222" s="163"/>
      <c r="K1222" s="163"/>
      <c r="Q1222" s="163"/>
      <c r="R1222" s="163"/>
      <c r="S1222" s="163"/>
    </row>
    <row r="1223" spans="5:19" x14ac:dyDescent="0.25">
      <c r="E1223" s="163"/>
      <c r="K1223" s="163"/>
      <c r="Q1223" s="163"/>
      <c r="R1223" s="163"/>
      <c r="S1223" s="163"/>
    </row>
    <row r="1224" spans="5:19" x14ac:dyDescent="0.25">
      <c r="E1224" s="163"/>
      <c r="K1224" s="163"/>
      <c r="Q1224" s="163"/>
      <c r="R1224" s="163"/>
      <c r="S1224" s="163"/>
    </row>
    <row r="1225" spans="5:19" x14ac:dyDescent="0.25">
      <c r="E1225" s="163"/>
      <c r="K1225" s="163"/>
      <c r="Q1225" s="163"/>
      <c r="R1225" s="163"/>
      <c r="S1225" s="163"/>
    </row>
    <row r="1226" spans="5:19" x14ac:dyDescent="0.25">
      <c r="E1226" s="163"/>
      <c r="K1226" s="163"/>
      <c r="Q1226" s="163"/>
      <c r="R1226" s="163"/>
      <c r="S1226" s="163"/>
    </row>
    <row r="1227" spans="5:19" x14ac:dyDescent="0.25">
      <c r="E1227" s="163"/>
      <c r="K1227" s="163"/>
      <c r="Q1227" s="163"/>
      <c r="R1227" s="163"/>
      <c r="S1227" s="163"/>
    </row>
    <row r="1228" spans="5:19" x14ac:dyDescent="0.25">
      <c r="E1228" s="163"/>
      <c r="K1228" s="163"/>
      <c r="Q1228" s="163"/>
      <c r="R1228" s="163"/>
      <c r="S1228" s="163"/>
    </row>
    <row r="1229" spans="5:19" x14ac:dyDescent="0.25">
      <c r="E1229" s="163"/>
      <c r="K1229" s="163"/>
      <c r="Q1229" s="163"/>
      <c r="R1229" s="163"/>
      <c r="S1229" s="163"/>
    </row>
    <row r="1230" spans="5:19" x14ac:dyDescent="0.25">
      <c r="E1230" s="163"/>
      <c r="K1230" s="163"/>
      <c r="Q1230" s="163"/>
      <c r="R1230" s="163"/>
      <c r="S1230" s="163"/>
    </row>
    <row r="1231" spans="5:19" x14ac:dyDescent="0.25">
      <c r="E1231" s="163"/>
      <c r="K1231" s="163"/>
      <c r="Q1231" s="163"/>
      <c r="R1231" s="163"/>
      <c r="S1231" s="163"/>
    </row>
    <row r="1232" spans="5:19" x14ac:dyDescent="0.25">
      <c r="E1232" s="163"/>
      <c r="K1232" s="163"/>
      <c r="Q1232" s="163"/>
      <c r="R1232" s="163"/>
      <c r="S1232" s="163"/>
    </row>
    <row r="1233" spans="5:19" x14ac:dyDescent="0.25">
      <c r="E1233" s="163"/>
      <c r="K1233" s="163"/>
      <c r="Q1233" s="163"/>
      <c r="R1233" s="163"/>
      <c r="S1233" s="163"/>
    </row>
    <row r="1234" spans="5:19" x14ac:dyDescent="0.25">
      <c r="E1234" s="163"/>
      <c r="K1234" s="163"/>
      <c r="Q1234" s="163"/>
      <c r="R1234" s="163"/>
      <c r="S1234" s="163"/>
    </row>
    <row r="1235" spans="5:19" x14ac:dyDescent="0.25">
      <c r="E1235" s="163"/>
      <c r="K1235" s="163"/>
      <c r="Q1235" s="163"/>
      <c r="R1235" s="163"/>
      <c r="S1235" s="163"/>
    </row>
    <row r="1236" spans="5:19" x14ac:dyDescent="0.25">
      <c r="E1236" s="163"/>
      <c r="K1236" s="163"/>
      <c r="Q1236" s="163"/>
      <c r="R1236" s="163"/>
      <c r="S1236" s="163"/>
    </row>
    <row r="1237" spans="5:19" x14ac:dyDescent="0.25">
      <c r="E1237" s="163"/>
      <c r="K1237" s="163"/>
      <c r="Q1237" s="163"/>
      <c r="R1237" s="163"/>
      <c r="S1237" s="163"/>
    </row>
    <row r="1238" spans="5:19" x14ac:dyDescent="0.25">
      <c r="E1238" s="163"/>
      <c r="K1238" s="163"/>
      <c r="Q1238" s="163"/>
      <c r="R1238" s="163"/>
      <c r="S1238" s="163"/>
    </row>
    <row r="1239" spans="5:19" x14ac:dyDescent="0.25">
      <c r="E1239" s="163"/>
      <c r="K1239" s="163"/>
      <c r="Q1239" s="163"/>
      <c r="R1239" s="163"/>
      <c r="S1239" s="163"/>
    </row>
    <row r="1240" spans="5:19" x14ac:dyDescent="0.25">
      <c r="E1240" s="163"/>
      <c r="K1240" s="163"/>
      <c r="Q1240" s="163"/>
      <c r="R1240" s="163"/>
      <c r="S1240" s="163"/>
    </row>
    <row r="1241" spans="5:19" x14ac:dyDescent="0.25">
      <c r="E1241" s="163"/>
      <c r="K1241" s="163"/>
      <c r="Q1241" s="163"/>
      <c r="R1241" s="163"/>
      <c r="S1241" s="163"/>
    </row>
    <row r="1242" spans="5:19" x14ac:dyDescent="0.25">
      <c r="E1242" s="163"/>
      <c r="K1242" s="163"/>
      <c r="Q1242" s="163"/>
      <c r="R1242" s="163"/>
      <c r="S1242" s="163"/>
    </row>
    <row r="1243" spans="5:19" x14ac:dyDescent="0.25">
      <c r="E1243" s="163"/>
      <c r="K1243" s="163"/>
      <c r="Q1243" s="163"/>
      <c r="R1243" s="163"/>
      <c r="S1243" s="163"/>
    </row>
    <row r="1244" spans="5:19" x14ac:dyDescent="0.25">
      <c r="E1244" s="163"/>
      <c r="K1244" s="163"/>
      <c r="Q1244" s="163"/>
      <c r="R1244" s="163"/>
      <c r="S1244" s="163"/>
    </row>
    <row r="1245" spans="5:19" x14ac:dyDescent="0.25">
      <c r="E1245" s="163"/>
      <c r="K1245" s="163"/>
      <c r="Q1245" s="163"/>
      <c r="R1245" s="163"/>
      <c r="S1245" s="163"/>
    </row>
    <row r="1246" spans="5:19" x14ac:dyDescent="0.25">
      <c r="E1246" s="163"/>
      <c r="K1246" s="163"/>
      <c r="Q1246" s="163"/>
      <c r="R1246" s="163"/>
      <c r="S1246" s="163"/>
    </row>
    <row r="1247" spans="5:19" x14ac:dyDescent="0.25">
      <c r="E1247" s="163"/>
      <c r="K1247" s="163"/>
      <c r="Q1247" s="163"/>
      <c r="R1247" s="163"/>
      <c r="S1247" s="163"/>
    </row>
    <row r="1248" spans="5:19" x14ac:dyDescent="0.25">
      <c r="E1248" s="163"/>
      <c r="K1248" s="163"/>
      <c r="Q1248" s="163"/>
      <c r="R1248" s="163"/>
      <c r="S1248" s="163"/>
    </row>
    <row r="1249" spans="5:19" x14ac:dyDescent="0.25">
      <c r="E1249" s="163"/>
      <c r="K1249" s="163"/>
      <c r="Q1249" s="163"/>
      <c r="R1249" s="163"/>
      <c r="S1249" s="163"/>
    </row>
    <row r="1250" spans="5:19" x14ac:dyDescent="0.25">
      <c r="E1250" s="163"/>
      <c r="K1250" s="163"/>
      <c r="Q1250" s="163"/>
      <c r="R1250" s="163"/>
      <c r="S1250" s="163"/>
    </row>
    <row r="1251" spans="5:19" x14ac:dyDescent="0.25">
      <c r="E1251" s="163"/>
      <c r="K1251" s="163"/>
      <c r="Q1251" s="163"/>
      <c r="R1251" s="163"/>
      <c r="S1251" s="163"/>
    </row>
    <row r="1252" spans="5:19" x14ac:dyDescent="0.25">
      <c r="E1252" s="163"/>
      <c r="K1252" s="163"/>
      <c r="Q1252" s="163"/>
      <c r="R1252" s="163"/>
      <c r="S1252" s="163"/>
    </row>
    <row r="1253" spans="5:19" x14ac:dyDescent="0.25">
      <c r="E1253" s="163"/>
      <c r="K1253" s="163"/>
      <c r="Q1253" s="163"/>
      <c r="R1253" s="163"/>
      <c r="S1253" s="163"/>
    </row>
    <row r="1254" spans="5:19" x14ac:dyDescent="0.25">
      <c r="E1254" s="163"/>
      <c r="K1254" s="163"/>
      <c r="Q1254" s="163"/>
      <c r="R1254" s="163"/>
      <c r="S1254" s="163"/>
    </row>
    <row r="1255" spans="5:19" x14ac:dyDescent="0.25">
      <c r="E1255" s="163"/>
      <c r="K1255" s="163"/>
      <c r="Q1255" s="163"/>
      <c r="R1255" s="163"/>
      <c r="S1255" s="163"/>
    </row>
    <row r="1256" spans="5:19" x14ac:dyDescent="0.25">
      <c r="E1256" s="163"/>
      <c r="K1256" s="163"/>
      <c r="Q1256" s="163"/>
      <c r="R1256" s="163"/>
      <c r="S1256" s="163"/>
    </row>
    <row r="1257" spans="5:19" x14ac:dyDescent="0.25">
      <c r="E1257" s="163"/>
      <c r="K1257" s="163"/>
      <c r="Q1257" s="163"/>
      <c r="R1257" s="163"/>
      <c r="S1257" s="163"/>
    </row>
    <row r="1258" spans="5:19" x14ac:dyDescent="0.25">
      <c r="E1258" s="163"/>
      <c r="K1258" s="163"/>
      <c r="Q1258" s="163"/>
      <c r="R1258" s="163"/>
      <c r="S1258" s="163"/>
    </row>
    <row r="1259" spans="5:19" x14ac:dyDescent="0.25">
      <c r="E1259" s="163"/>
      <c r="K1259" s="163"/>
      <c r="Q1259" s="163"/>
      <c r="R1259" s="163"/>
      <c r="S1259" s="163"/>
    </row>
    <row r="1260" spans="5:19" x14ac:dyDescent="0.25">
      <c r="E1260" s="163"/>
      <c r="K1260" s="163"/>
      <c r="Q1260" s="163"/>
      <c r="R1260" s="163"/>
      <c r="S1260" s="163"/>
    </row>
    <row r="1261" spans="5:19" x14ac:dyDescent="0.25">
      <c r="E1261" s="163"/>
      <c r="K1261" s="163"/>
      <c r="Q1261" s="163"/>
      <c r="R1261" s="163"/>
      <c r="S1261" s="163"/>
    </row>
    <row r="1262" spans="5:19" x14ac:dyDescent="0.25">
      <c r="E1262" s="163"/>
      <c r="K1262" s="163"/>
      <c r="Q1262" s="163"/>
      <c r="R1262" s="163"/>
      <c r="S1262" s="163"/>
    </row>
    <row r="1263" spans="5:19" x14ac:dyDescent="0.25">
      <c r="E1263" s="163"/>
      <c r="K1263" s="163"/>
      <c r="Q1263" s="163"/>
      <c r="R1263" s="163"/>
      <c r="S1263" s="163"/>
    </row>
    <row r="1264" spans="5:19" x14ac:dyDescent="0.25">
      <c r="E1264" s="163"/>
      <c r="K1264" s="163"/>
      <c r="Q1264" s="163"/>
      <c r="R1264" s="163"/>
      <c r="S1264" s="163"/>
    </row>
    <row r="1265" spans="5:19" x14ac:dyDescent="0.25">
      <c r="E1265" s="163"/>
      <c r="K1265" s="163"/>
      <c r="Q1265" s="163"/>
      <c r="R1265" s="163"/>
      <c r="S1265" s="163"/>
    </row>
    <row r="1266" spans="5:19" x14ac:dyDescent="0.25">
      <c r="E1266" s="163"/>
      <c r="K1266" s="163"/>
      <c r="Q1266" s="163"/>
      <c r="R1266" s="163"/>
      <c r="S1266" s="163"/>
    </row>
    <row r="1267" spans="5:19" x14ac:dyDescent="0.25">
      <c r="E1267" s="163"/>
      <c r="K1267" s="163"/>
      <c r="Q1267" s="163"/>
      <c r="R1267" s="163"/>
      <c r="S1267" s="163"/>
    </row>
    <row r="1268" spans="5:19" x14ac:dyDescent="0.25">
      <c r="E1268" s="163"/>
      <c r="K1268" s="163"/>
      <c r="Q1268" s="163"/>
      <c r="R1268" s="163"/>
      <c r="S1268" s="163"/>
    </row>
    <row r="1269" spans="5:19" x14ac:dyDescent="0.25">
      <c r="E1269" s="163"/>
      <c r="K1269" s="163"/>
      <c r="Q1269" s="163"/>
      <c r="R1269" s="163"/>
      <c r="S1269" s="163"/>
    </row>
    <row r="1270" spans="5:19" x14ac:dyDescent="0.25">
      <c r="E1270" s="163"/>
      <c r="K1270" s="163"/>
      <c r="Q1270" s="163"/>
      <c r="R1270" s="163"/>
      <c r="S1270" s="163"/>
    </row>
    <row r="1271" spans="5:19" x14ac:dyDescent="0.25">
      <c r="E1271" s="163"/>
      <c r="K1271" s="163"/>
      <c r="Q1271" s="163"/>
      <c r="R1271" s="163"/>
      <c r="S1271" s="163"/>
    </row>
    <row r="1272" spans="5:19" x14ac:dyDescent="0.25">
      <c r="E1272" s="163"/>
      <c r="K1272" s="163"/>
      <c r="Q1272" s="163"/>
      <c r="R1272" s="163"/>
      <c r="S1272" s="163"/>
    </row>
    <row r="1273" spans="5:19" x14ac:dyDescent="0.25">
      <c r="E1273" s="163"/>
      <c r="K1273" s="163"/>
      <c r="Q1273" s="163"/>
      <c r="R1273" s="163"/>
      <c r="S1273" s="163"/>
    </row>
    <row r="1274" spans="5:19" x14ac:dyDescent="0.25">
      <c r="E1274" s="163"/>
      <c r="K1274" s="163"/>
      <c r="Q1274" s="163"/>
      <c r="R1274" s="163"/>
      <c r="S1274" s="163"/>
    </row>
    <row r="1275" spans="5:19" x14ac:dyDescent="0.25">
      <c r="E1275" s="163"/>
      <c r="K1275" s="163"/>
      <c r="Q1275" s="163"/>
      <c r="R1275" s="163"/>
      <c r="S1275" s="163"/>
    </row>
    <row r="1276" spans="5:19" x14ac:dyDescent="0.25">
      <c r="E1276" s="163"/>
      <c r="K1276" s="163"/>
      <c r="Q1276" s="163"/>
      <c r="R1276" s="163"/>
      <c r="S1276" s="163"/>
    </row>
    <row r="1277" spans="5:19" x14ac:dyDescent="0.25">
      <c r="E1277" s="163"/>
      <c r="K1277" s="163"/>
      <c r="Q1277" s="163"/>
      <c r="R1277" s="163"/>
      <c r="S1277" s="163"/>
    </row>
    <row r="1278" spans="5:19" x14ac:dyDescent="0.25">
      <c r="E1278" s="163"/>
      <c r="K1278" s="163"/>
      <c r="Q1278" s="163"/>
      <c r="R1278" s="163"/>
      <c r="S1278" s="163"/>
    </row>
    <row r="1279" spans="5:19" x14ac:dyDescent="0.25">
      <c r="E1279" s="163"/>
      <c r="K1279" s="163"/>
      <c r="Q1279" s="163"/>
      <c r="R1279" s="163"/>
      <c r="S1279" s="163"/>
    </row>
    <row r="1280" spans="5:19" x14ac:dyDescent="0.25">
      <c r="E1280" s="163"/>
      <c r="K1280" s="163"/>
      <c r="Q1280" s="163"/>
      <c r="R1280" s="163"/>
      <c r="S1280" s="163"/>
    </row>
    <row r="1281" spans="5:19" x14ac:dyDescent="0.25">
      <c r="E1281" s="163"/>
      <c r="K1281" s="163"/>
      <c r="Q1281" s="163"/>
      <c r="R1281" s="163"/>
      <c r="S1281" s="163"/>
    </row>
    <row r="1282" spans="5:19" x14ac:dyDescent="0.25">
      <c r="E1282" s="163"/>
      <c r="K1282" s="163"/>
      <c r="Q1282" s="163"/>
      <c r="R1282" s="163"/>
      <c r="S1282" s="163"/>
    </row>
    <row r="1283" spans="5:19" x14ac:dyDescent="0.25">
      <c r="E1283" s="163"/>
      <c r="K1283" s="163"/>
      <c r="Q1283" s="163"/>
      <c r="R1283" s="163"/>
      <c r="S1283" s="163"/>
    </row>
    <row r="1284" spans="5:19" x14ac:dyDescent="0.25">
      <c r="E1284" s="163"/>
      <c r="K1284" s="163"/>
      <c r="Q1284" s="163"/>
      <c r="R1284" s="163"/>
      <c r="S1284" s="163"/>
    </row>
    <row r="1285" spans="5:19" x14ac:dyDescent="0.25">
      <c r="E1285" s="163"/>
      <c r="K1285" s="163"/>
      <c r="Q1285" s="163"/>
      <c r="R1285" s="163"/>
      <c r="S1285" s="163"/>
    </row>
    <row r="1286" spans="5:19" x14ac:dyDescent="0.25">
      <c r="E1286" s="163"/>
      <c r="K1286" s="163"/>
      <c r="Q1286" s="163"/>
      <c r="R1286" s="163"/>
      <c r="S1286" s="163"/>
    </row>
    <row r="1287" spans="5:19" x14ac:dyDescent="0.25">
      <c r="E1287" s="163"/>
      <c r="K1287" s="163"/>
      <c r="Q1287" s="163"/>
      <c r="R1287" s="163"/>
      <c r="S1287" s="163"/>
    </row>
    <row r="1288" spans="5:19" x14ac:dyDescent="0.25">
      <c r="E1288" s="163"/>
      <c r="K1288" s="163"/>
      <c r="Q1288" s="163"/>
      <c r="R1288" s="163"/>
      <c r="S1288" s="163"/>
    </row>
    <row r="1289" spans="5:19" x14ac:dyDescent="0.25">
      <c r="E1289" s="163"/>
      <c r="K1289" s="163"/>
      <c r="Q1289" s="163"/>
      <c r="R1289" s="163"/>
      <c r="S1289" s="163"/>
    </row>
    <row r="1290" spans="5:19" x14ac:dyDescent="0.25">
      <c r="E1290" s="163"/>
      <c r="K1290" s="163"/>
      <c r="Q1290" s="163"/>
      <c r="R1290" s="163"/>
      <c r="S1290" s="163"/>
    </row>
    <row r="1291" spans="5:19" x14ac:dyDescent="0.25">
      <c r="E1291" s="163"/>
      <c r="K1291" s="163"/>
      <c r="Q1291" s="163"/>
      <c r="R1291" s="163"/>
      <c r="S1291" s="163"/>
    </row>
    <row r="1292" spans="5:19" x14ac:dyDescent="0.25">
      <c r="E1292" s="163"/>
      <c r="K1292" s="163"/>
      <c r="Q1292" s="163"/>
      <c r="R1292" s="163"/>
      <c r="S1292" s="163"/>
    </row>
    <row r="1293" spans="5:19" x14ac:dyDescent="0.25">
      <c r="E1293" s="163"/>
      <c r="K1293" s="163"/>
      <c r="Q1293" s="163"/>
      <c r="R1293" s="163"/>
      <c r="S1293" s="163"/>
    </row>
    <row r="1294" spans="5:19" x14ac:dyDescent="0.25">
      <c r="E1294" s="163"/>
      <c r="K1294" s="163"/>
      <c r="Q1294" s="163"/>
      <c r="R1294" s="163"/>
      <c r="S1294" s="163"/>
    </row>
    <row r="1295" spans="5:19" x14ac:dyDescent="0.25">
      <c r="E1295" s="163"/>
      <c r="K1295" s="163"/>
      <c r="Q1295" s="163"/>
      <c r="R1295" s="163"/>
      <c r="S1295" s="163"/>
    </row>
    <row r="1296" spans="5:19" x14ac:dyDescent="0.25">
      <c r="E1296" s="163"/>
      <c r="K1296" s="163"/>
      <c r="Q1296" s="163"/>
      <c r="R1296" s="163"/>
      <c r="S1296" s="163"/>
    </row>
    <row r="1297" spans="5:19" x14ac:dyDescent="0.25">
      <c r="E1297" s="163"/>
      <c r="K1297" s="163"/>
      <c r="Q1297" s="163"/>
      <c r="R1297" s="163"/>
      <c r="S1297" s="163"/>
    </row>
    <row r="1298" spans="5:19" x14ac:dyDescent="0.25">
      <c r="E1298" s="163"/>
      <c r="K1298" s="163"/>
      <c r="Q1298" s="163"/>
      <c r="R1298" s="163"/>
      <c r="S1298" s="163"/>
    </row>
    <row r="1299" spans="5:19" x14ac:dyDescent="0.25">
      <c r="E1299" s="163"/>
      <c r="K1299" s="163"/>
      <c r="Q1299" s="163"/>
      <c r="R1299" s="163"/>
      <c r="S1299" s="163"/>
    </row>
    <row r="1300" spans="5:19" x14ac:dyDescent="0.25">
      <c r="E1300" s="163"/>
      <c r="K1300" s="163"/>
      <c r="Q1300" s="163"/>
      <c r="R1300" s="163"/>
      <c r="S1300" s="163"/>
    </row>
    <row r="1301" spans="5:19" x14ac:dyDescent="0.25">
      <c r="E1301" s="163"/>
      <c r="K1301" s="163"/>
      <c r="Q1301" s="163"/>
      <c r="R1301" s="163"/>
      <c r="S1301" s="163"/>
    </row>
    <row r="1302" spans="5:19" x14ac:dyDescent="0.25">
      <c r="E1302" s="163"/>
      <c r="K1302" s="163"/>
      <c r="Q1302" s="163"/>
      <c r="R1302" s="163"/>
      <c r="S1302" s="163"/>
    </row>
    <row r="1303" spans="5:19" x14ac:dyDescent="0.25">
      <c r="E1303" s="163"/>
      <c r="K1303" s="163"/>
      <c r="Q1303" s="163"/>
      <c r="R1303" s="163"/>
      <c r="S1303" s="163"/>
    </row>
    <row r="1304" spans="5:19" x14ac:dyDescent="0.25">
      <c r="E1304" s="163"/>
      <c r="K1304" s="163"/>
      <c r="Q1304" s="163"/>
      <c r="R1304" s="163"/>
      <c r="S1304" s="163"/>
    </row>
    <row r="1305" spans="5:19" x14ac:dyDescent="0.25">
      <c r="E1305" s="163"/>
      <c r="K1305" s="163"/>
      <c r="Q1305" s="163"/>
      <c r="R1305" s="163"/>
      <c r="S1305" s="163"/>
    </row>
    <row r="1306" spans="5:19" x14ac:dyDescent="0.25">
      <c r="E1306" s="163"/>
      <c r="K1306" s="163"/>
      <c r="Q1306" s="163"/>
      <c r="R1306" s="163"/>
      <c r="S1306" s="163"/>
    </row>
    <row r="1307" spans="5:19" x14ac:dyDescent="0.25">
      <c r="E1307" s="163"/>
      <c r="K1307" s="163"/>
      <c r="Q1307" s="163"/>
      <c r="R1307" s="163"/>
      <c r="S1307" s="163"/>
    </row>
    <row r="1308" spans="5:19" x14ac:dyDescent="0.25">
      <c r="E1308" s="163"/>
      <c r="K1308" s="163"/>
      <c r="Q1308" s="163"/>
      <c r="R1308" s="163"/>
      <c r="S1308" s="163"/>
    </row>
    <row r="1309" spans="5:19" x14ac:dyDescent="0.25">
      <c r="E1309" s="163"/>
      <c r="K1309" s="163"/>
      <c r="Q1309" s="163"/>
      <c r="R1309" s="163"/>
      <c r="S1309" s="163"/>
    </row>
    <row r="1310" spans="5:19" x14ac:dyDescent="0.25">
      <c r="E1310" s="163"/>
      <c r="K1310" s="163"/>
      <c r="Q1310" s="163"/>
      <c r="R1310" s="163"/>
      <c r="S1310" s="163"/>
    </row>
    <row r="1311" spans="5:19" x14ac:dyDescent="0.25">
      <c r="E1311" s="163"/>
      <c r="K1311" s="163"/>
      <c r="Q1311" s="163"/>
      <c r="R1311" s="163"/>
      <c r="S1311" s="163"/>
    </row>
    <row r="1312" spans="5:19" x14ac:dyDescent="0.25">
      <c r="E1312" s="163"/>
      <c r="K1312" s="163"/>
      <c r="Q1312" s="163"/>
      <c r="R1312" s="163"/>
      <c r="S1312" s="163"/>
    </row>
    <row r="1313" spans="5:19" x14ac:dyDescent="0.25">
      <c r="E1313" s="163"/>
      <c r="K1313" s="163"/>
      <c r="Q1313" s="163"/>
      <c r="R1313" s="163"/>
      <c r="S1313" s="163"/>
    </row>
    <row r="1314" spans="5:19" x14ac:dyDescent="0.25">
      <c r="E1314" s="163"/>
      <c r="K1314" s="163"/>
      <c r="Q1314" s="163"/>
      <c r="R1314" s="163"/>
      <c r="S1314" s="163"/>
    </row>
    <row r="1315" spans="5:19" x14ac:dyDescent="0.25">
      <c r="E1315" s="163"/>
      <c r="K1315" s="163"/>
      <c r="Q1315" s="163"/>
      <c r="R1315" s="163"/>
      <c r="S1315" s="163"/>
    </row>
    <row r="1316" spans="5:19" x14ac:dyDescent="0.25">
      <c r="E1316" s="163"/>
      <c r="K1316" s="163"/>
      <c r="Q1316" s="163"/>
      <c r="R1316" s="163"/>
      <c r="S1316" s="163"/>
    </row>
    <row r="1317" spans="5:19" x14ac:dyDescent="0.25">
      <c r="E1317" s="163"/>
      <c r="K1317" s="163"/>
      <c r="Q1317" s="163"/>
      <c r="R1317" s="163"/>
      <c r="S1317" s="163"/>
    </row>
    <row r="1318" spans="5:19" x14ac:dyDescent="0.25">
      <c r="E1318" s="163"/>
      <c r="K1318" s="163"/>
      <c r="Q1318" s="163"/>
      <c r="R1318" s="163"/>
      <c r="S1318" s="163"/>
    </row>
    <row r="1319" spans="5:19" x14ac:dyDescent="0.25">
      <c r="E1319" s="163"/>
      <c r="K1319" s="163"/>
      <c r="Q1319" s="163"/>
      <c r="R1319" s="163"/>
      <c r="S1319" s="163"/>
    </row>
    <row r="1320" spans="5:19" x14ac:dyDescent="0.25">
      <c r="E1320" s="163"/>
      <c r="K1320" s="163"/>
      <c r="Q1320" s="163"/>
      <c r="R1320" s="163"/>
      <c r="S1320" s="163"/>
    </row>
    <row r="1321" spans="5:19" x14ac:dyDescent="0.25">
      <c r="E1321" s="163"/>
      <c r="K1321" s="163"/>
      <c r="Q1321" s="163"/>
      <c r="R1321" s="163"/>
      <c r="S1321" s="163"/>
    </row>
    <row r="1322" spans="5:19" x14ac:dyDescent="0.25">
      <c r="E1322" s="163"/>
      <c r="K1322" s="163"/>
      <c r="Q1322" s="163"/>
      <c r="R1322" s="163"/>
      <c r="S1322" s="163"/>
    </row>
    <row r="1323" spans="5:19" x14ac:dyDescent="0.25">
      <c r="E1323" s="163"/>
      <c r="K1323" s="163"/>
      <c r="Q1323" s="163"/>
      <c r="R1323" s="163"/>
      <c r="S1323" s="163"/>
    </row>
    <row r="1324" spans="5:19" x14ac:dyDescent="0.25">
      <c r="E1324" s="163"/>
      <c r="K1324" s="163"/>
      <c r="Q1324" s="163"/>
      <c r="R1324" s="163"/>
      <c r="S1324" s="163"/>
    </row>
    <row r="1325" spans="5:19" x14ac:dyDescent="0.25">
      <c r="E1325" s="163"/>
      <c r="K1325" s="163"/>
      <c r="Q1325" s="163"/>
      <c r="R1325" s="163"/>
      <c r="S1325" s="163"/>
    </row>
    <row r="1326" spans="5:19" x14ac:dyDescent="0.25">
      <c r="E1326" s="163"/>
      <c r="K1326" s="163"/>
      <c r="Q1326" s="163"/>
      <c r="R1326" s="163"/>
      <c r="S1326" s="163"/>
    </row>
    <row r="1327" spans="5:19" x14ac:dyDescent="0.25">
      <c r="E1327" s="163"/>
      <c r="K1327" s="163"/>
      <c r="Q1327" s="163"/>
      <c r="R1327" s="163"/>
      <c r="S1327" s="163"/>
    </row>
    <row r="1328" spans="5:19" x14ac:dyDescent="0.25">
      <c r="E1328" s="163"/>
      <c r="K1328" s="163"/>
      <c r="Q1328" s="163"/>
      <c r="R1328" s="163"/>
      <c r="S1328" s="163"/>
    </row>
    <row r="1329" spans="5:19" x14ac:dyDescent="0.25">
      <c r="E1329" s="163"/>
      <c r="K1329" s="163"/>
      <c r="Q1329" s="163"/>
      <c r="R1329" s="163"/>
      <c r="S1329" s="163"/>
    </row>
    <row r="1330" spans="5:19" x14ac:dyDescent="0.25">
      <c r="E1330" s="163"/>
      <c r="K1330" s="163"/>
      <c r="Q1330" s="163"/>
      <c r="R1330" s="163"/>
      <c r="S1330" s="163"/>
    </row>
    <row r="1331" spans="5:19" x14ac:dyDescent="0.25">
      <c r="E1331" s="163"/>
      <c r="K1331" s="163"/>
      <c r="Q1331" s="163"/>
      <c r="R1331" s="163"/>
      <c r="S1331" s="163"/>
    </row>
    <row r="1332" spans="5:19" x14ac:dyDescent="0.25">
      <c r="E1332" s="163"/>
      <c r="K1332" s="163"/>
      <c r="Q1332" s="163"/>
      <c r="R1332" s="163"/>
      <c r="S1332" s="163"/>
    </row>
    <row r="1333" spans="5:19" x14ac:dyDescent="0.25">
      <c r="E1333" s="163"/>
      <c r="K1333" s="163"/>
      <c r="Q1333" s="163"/>
      <c r="R1333" s="163"/>
      <c r="S1333" s="163"/>
    </row>
    <row r="1334" spans="5:19" x14ac:dyDescent="0.25">
      <c r="E1334" s="163"/>
      <c r="K1334" s="163"/>
      <c r="Q1334" s="163"/>
      <c r="R1334" s="163"/>
      <c r="S1334" s="163"/>
    </row>
    <row r="1335" spans="5:19" x14ac:dyDescent="0.25">
      <c r="E1335" s="163"/>
      <c r="K1335" s="163"/>
      <c r="Q1335" s="163"/>
      <c r="R1335" s="163"/>
      <c r="S1335" s="163"/>
    </row>
    <row r="1336" spans="5:19" x14ac:dyDescent="0.25">
      <c r="E1336" s="163"/>
      <c r="K1336" s="163"/>
      <c r="Q1336" s="163"/>
      <c r="R1336" s="163"/>
      <c r="S1336" s="163"/>
    </row>
    <row r="1337" spans="5:19" x14ac:dyDescent="0.25">
      <c r="E1337" s="163"/>
      <c r="K1337" s="163"/>
      <c r="Q1337" s="163"/>
      <c r="R1337" s="163"/>
      <c r="S1337" s="163"/>
    </row>
    <row r="1338" spans="5:19" x14ac:dyDescent="0.25">
      <c r="E1338" s="163"/>
      <c r="K1338" s="163"/>
      <c r="Q1338" s="163"/>
      <c r="R1338" s="163"/>
      <c r="S1338" s="163"/>
    </row>
    <row r="1339" spans="5:19" x14ac:dyDescent="0.25">
      <c r="E1339" s="163"/>
      <c r="K1339" s="163"/>
      <c r="Q1339" s="163"/>
      <c r="R1339" s="163"/>
      <c r="S1339" s="163"/>
    </row>
    <row r="1340" spans="5:19" x14ac:dyDescent="0.25">
      <c r="E1340" s="163"/>
      <c r="K1340" s="163"/>
      <c r="Q1340" s="163"/>
      <c r="R1340" s="163"/>
      <c r="S1340" s="163"/>
    </row>
    <row r="1341" spans="5:19" x14ac:dyDescent="0.25">
      <c r="E1341" s="163"/>
      <c r="K1341" s="163"/>
      <c r="Q1341" s="163"/>
      <c r="R1341" s="163"/>
      <c r="S1341" s="163"/>
    </row>
    <row r="1342" spans="5:19" x14ac:dyDescent="0.25">
      <c r="E1342" s="163"/>
      <c r="K1342" s="163"/>
      <c r="Q1342" s="163"/>
      <c r="R1342" s="163"/>
      <c r="S1342" s="163"/>
    </row>
    <row r="1343" spans="5:19" x14ac:dyDescent="0.25">
      <c r="E1343" s="163"/>
      <c r="K1343" s="163"/>
      <c r="Q1343" s="163"/>
      <c r="R1343" s="163"/>
      <c r="S1343" s="163"/>
    </row>
    <row r="1344" spans="5:19" x14ac:dyDescent="0.25">
      <c r="E1344" s="163"/>
      <c r="K1344" s="163"/>
      <c r="Q1344" s="163"/>
      <c r="R1344" s="163"/>
      <c r="S1344" s="163"/>
    </row>
    <row r="1345" spans="5:19" x14ac:dyDescent="0.25">
      <c r="E1345" s="163"/>
      <c r="K1345" s="163"/>
      <c r="Q1345" s="163"/>
      <c r="R1345" s="163"/>
      <c r="S1345" s="163"/>
    </row>
    <row r="1346" spans="5:19" x14ac:dyDescent="0.25">
      <c r="E1346" s="163"/>
      <c r="K1346" s="163"/>
      <c r="Q1346" s="163"/>
      <c r="R1346" s="163"/>
      <c r="S1346" s="163"/>
    </row>
    <row r="1347" spans="5:19" x14ac:dyDescent="0.25">
      <c r="E1347" s="163"/>
      <c r="K1347" s="163"/>
      <c r="Q1347" s="163"/>
      <c r="R1347" s="163"/>
      <c r="S1347" s="163"/>
    </row>
    <row r="1348" spans="5:19" x14ac:dyDescent="0.25">
      <c r="E1348" s="163"/>
      <c r="K1348" s="163"/>
      <c r="Q1348" s="163"/>
      <c r="R1348" s="163"/>
      <c r="S1348" s="163"/>
    </row>
    <row r="1349" spans="5:19" x14ac:dyDescent="0.25">
      <c r="E1349" s="163"/>
      <c r="K1349" s="163"/>
      <c r="Q1349" s="163"/>
      <c r="R1349" s="163"/>
      <c r="S1349" s="163"/>
    </row>
    <row r="1350" spans="5:19" x14ac:dyDescent="0.25">
      <c r="E1350" s="163"/>
      <c r="K1350" s="163"/>
      <c r="Q1350" s="163"/>
      <c r="R1350" s="163"/>
      <c r="S1350" s="163"/>
    </row>
    <row r="1351" spans="5:19" x14ac:dyDescent="0.25">
      <c r="E1351" s="163"/>
      <c r="K1351" s="163"/>
      <c r="Q1351" s="163"/>
      <c r="R1351" s="163"/>
      <c r="S1351" s="163"/>
    </row>
    <row r="1352" spans="5:19" x14ac:dyDescent="0.25">
      <c r="E1352" s="163"/>
      <c r="K1352" s="163"/>
      <c r="Q1352" s="163"/>
      <c r="R1352" s="163"/>
      <c r="S1352" s="163"/>
    </row>
    <row r="1353" spans="5:19" x14ac:dyDescent="0.25">
      <c r="E1353" s="163"/>
      <c r="K1353" s="163"/>
      <c r="Q1353" s="163"/>
      <c r="R1353" s="163"/>
      <c r="S1353" s="163"/>
    </row>
    <row r="1354" spans="5:19" x14ac:dyDescent="0.25">
      <c r="E1354" s="163"/>
      <c r="K1354" s="163"/>
      <c r="Q1354" s="163"/>
      <c r="R1354" s="163"/>
      <c r="S1354" s="163"/>
    </row>
    <row r="1355" spans="5:19" x14ac:dyDescent="0.25">
      <c r="E1355" s="163"/>
      <c r="K1355" s="163"/>
      <c r="Q1355" s="163"/>
      <c r="R1355" s="163"/>
      <c r="S1355" s="163"/>
    </row>
    <row r="1356" spans="5:19" x14ac:dyDescent="0.25">
      <c r="E1356" s="163"/>
      <c r="K1356" s="163"/>
      <c r="Q1356" s="163"/>
      <c r="R1356" s="163"/>
      <c r="S1356" s="163"/>
    </row>
    <row r="1357" spans="5:19" x14ac:dyDescent="0.25">
      <c r="E1357" s="163"/>
      <c r="K1357" s="163"/>
      <c r="Q1357" s="163"/>
      <c r="R1357" s="163"/>
      <c r="S1357" s="163"/>
    </row>
    <row r="1358" spans="5:19" x14ac:dyDescent="0.25">
      <c r="E1358" s="163"/>
      <c r="K1358" s="163"/>
      <c r="Q1358" s="163"/>
      <c r="R1358" s="163"/>
      <c r="S1358" s="163"/>
    </row>
    <row r="1359" spans="5:19" x14ac:dyDescent="0.25">
      <c r="E1359" s="163"/>
      <c r="K1359" s="163"/>
      <c r="Q1359" s="163"/>
      <c r="R1359" s="163"/>
      <c r="S1359" s="163"/>
    </row>
    <row r="1360" spans="5:19" x14ac:dyDescent="0.25">
      <c r="E1360" s="163"/>
      <c r="K1360" s="163"/>
      <c r="Q1360" s="163"/>
      <c r="R1360" s="163"/>
      <c r="S1360" s="163"/>
    </row>
    <row r="1361" spans="5:19" x14ac:dyDescent="0.25">
      <c r="E1361" s="163"/>
      <c r="K1361" s="163"/>
      <c r="Q1361" s="163"/>
      <c r="R1361" s="163"/>
      <c r="S1361" s="163"/>
    </row>
    <row r="1362" spans="5:19" x14ac:dyDescent="0.25">
      <c r="E1362" s="163"/>
      <c r="K1362" s="163"/>
      <c r="Q1362" s="163"/>
      <c r="R1362" s="163"/>
      <c r="S1362" s="163"/>
    </row>
    <row r="1363" spans="5:19" x14ac:dyDescent="0.25">
      <c r="E1363" s="163"/>
      <c r="K1363" s="163"/>
      <c r="Q1363" s="163"/>
      <c r="R1363" s="163"/>
      <c r="S1363" s="163"/>
    </row>
    <row r="1364" spans="5:19" x14ac:dyDescent="0.25">
      <c r="E1364" s="163"/>
      <c r="K1364" s="163"/>
      <c r="Q1364" s="163"/>
      <c r="R1364" s="163"/>
      <c r="S1364" s="163"/>
    </row>
    <row r="1365" spans="5:19" x14ac:dyDescent="0.25">
      <c r="E1365" s="163"/>
      <c r="K1365" s="163"/>
      <c r="Q1365" s="163"/>
      <c r="R1365" s="163"/>
      <c r="S1365" s="163"/>
    </row>
    <row r="1366" spans="5:19" x14ac:dyDescent="0.25">
      <c r="E1366" s="163"/>
      <c r="K1366" s="163"/>
      <c r="Q1366" s="163"/>
      <c r="R1366" s="163"/>
      <c r="S1366" s="163"/>
    </row>
    <row r="1367" spans="5:19" x14ac:dyDescent="0.25">
      <c r="E1367" s="163"/>
      <c r="K1367" s="163"/>
      <c r="Q1367" s="163"/>
      <c r="R1367" s="163"/>
      <c r="S1367" s="163"/>
    </row>
    <row r="1368" spans="5:19" x14ac:dyDescent="0.25">
      <c r="E1368" s="163"/>
      <c r="K1368" s="163"/>
      <c r="Q1368" s="163"/>
      <c r="R1368" s="163"/>
      <c r="S1368" s="163"/>
    </row>
    <row r="1369" spans="5:19" x14ac:dyDescent="0.25">
      <c r="E1369" s="163"/>
      <c r="K1369" s="163"/>
      <c r="Q1369" s="163"/>
      <c r="R1369" s="163"/>
      <c r="S1369" s="163"/>
    </row>
    <row r="1370" spans="5:19" x14ac:dyDescent="0.25">
      <c r="E1370" s="163"/>
      <c r="K1370" s="163"/>
      <c r="Q1370" s="163"/>
      <c r="R1370" s="163"/>
      <c r="S1370" s="163"/>
    </row>
    <row r="1371" spans="5:19" x14ac:dyDescent="0.25">
      <c r="E1371" s="163"/>
      <c r="K1371" s="163"/>
      <c r="Q1371" s="163"/>
      <c r="R1371" s="163"/>
      <c r="S1371" s="163"/>
    </row>
    <row r="1372" spans="5:19" x14ac:dyDescent="0.25">
      <c r="E1372" s="163"/>
      <c r="K1372" s="163"/>
      <c r="Q1372" s="163"/>
      <c r="R1372" s="163"/>
      <c r="S1372" s="163"/>
    </row>
    <row r="1373" spans="5:19" x14ac:dyDescent="0.25">
      <c r="E1373" s="163"/>
      <c r="K1373" s="163"/>
      <c r="Q1373" s="163"/>
      <c r="R1373" s="163"/>
      <c r="S1373" s="163"/>
    </row>
    <row r="1374" spans="5:19" x14ac:dyDescent="0.25">
      <c r="E1374" s="163"/>
      <c r="K1374" s="163"/>
      <c r="Q1374" s="163"/>
      <c r="R1374" s="163"/>
      <c r="S1374" s="163"/>
    </row>
    <row r="1375" spans="5:19" x14ac:dyDescent="0.25">
      <c r="E1375" s="163"/>
      <c r="K1375" s="163"/>
      <c r="Q1375" s="163"/>
      <c r="R1375" s="163"/>
      <c r="S1375" s="163"/>
    </row>
    <row r="1376" spans="5:19" x14ac:dyDescent="0.25">
      <c r="E1376" s="163"/>
      <c r="K1376" s="163"/>
      <c r="Q1376" s="163"/>
      <c r="R1376" s="163"/>
      <c r="S1376" s="163"/>
    </row>
    <row r="1377" spans="5:19" x14ac:dyDescent="0.25">
      <c r="E1377" s="163"/>
      <c r="K1377" s="163"/>
      <c r="Q1377" s="163"/>
      <c r="R1377" s="163"/>
      <c r="S1377" s="163"/>
    </row>
    <row r="1378" spans="5:19" x14ac:dyDescent="0.25">
      <c r="E1378" s="163"/>
      <c r="K1378" s="163"/>
      <c r="Q1378" s="163"/>
      <c r="R1378" s="163"/>
      <c r="S1378" s="163"/>
    </row>
    <row r="1379" spans="5:19" x14ac:dyDescent="0.25">
      <c r="E1379" s="163"/>
      <c r="K1379" s="163"/>
      <c r="Q1379" s="163"/>
      <c r="R1379" s="163"/>
      <c r="S1379" s="163"/>
    </row>
    <row r="1380" spans="5:19" x14ac:dyDescent="0.25">
      <c r="E1380" s="163"/>
      <c r="K1380" s="163"/>
      <c r="Q1380" s="163"/>
      <c r="R1380" s="163"/>
      <c r="S1380" s="163"/>
    </row>
    <row r="1381" spans="5:19" x14ac:dyDescent="0.25">
      <c r="E1381" s="163"/>
      <c r="K1381" s="163"/>
      <c r="Q1381" s="163"/>
      <c r="R1381" s="163"/>
      <c r="S1381" s="163"/>
    </row>
    <row r="1382" spans="5:19" x14ac:dyDescent="0.25">
      <c r="E1382" s="163"/>
      <c r="K1382" s="163"/>
      <c r="Q1382" s="163"/>
      <c r="R1382" s="163"/>
      <c r="S1382" s="163"/>
    </row>
    <row r="1383" spans="5:19" x14ac:dyDescent="0.25">
      <c r="E1383" s="163"/>
      <c r="K1383" s="163"/>
      <c r="Q1383" s="163"/>
      <c r="R1383" s="163"/>
      <c r="S1383" s="163"/>
    </row>
    <row r="1384" spans="5:19" x14ac:dyDescent="0.25">
      <c r="E1384" s="163"/>
      <c r="K1384" s="163"/>
      <c r="Q1384" s="163"/>
      <c r="R1384" s="163"/>
      <c r="S1384" s="163"/>
    </row>
    <row r="1385" spans="5:19" x14ac:dyDescent="0.25">
      <c r="E1385" s="163"/>
      <c r="K1385" s="163"/>
      <c r="Q1385" s="163"/>
      <c r="R1385" s="163"/>
      <c r="S1385" s="163"/>
    </row>
    <row r="1386" spans="5:19" x14ac:dyDescent="0.25">
      <c r="E1386" s="163"/>
      <c r="K1386" s="163"/>
      <c r="Q1386" s="163"/>
      <c r="R1386" s="163"/>
      <c r="S1386" s="163"/>
    </row>
    <row r="1387" spans="5:19" x14ac:dyDescent="0.25">
      <c r="E1387" s="163"/>
      <c r="K1387" s="163"/>
      <c r="Q1387" s="163"/>
      <c r="R1387" s="163"/>
      <c r="S1387" s="163"/>
    </row>
    <row r="1388" spans="5:19" x14ac:dyDescent="0.25">
      <c r="E1388" s="163"/>
      <c r="K1388" s="163"/>
      <c r="Q1388" s="163"/>
      <c r="R1388" s="163"/>
      <c r="S1388" s="163"/>
    </row>
    <row r="1389" spans="5:19" x14ac:dyDescent="0.25">
      <c r="E1389" s="163"/>
      <c r="K1389" s="163"/>
      <c r="Q1389" s="163"/>
      <c r="R1389" s="163"/>
      <c r="S1389" s="163"/>
    </row>
    <row r="1390" spans="5:19" x14ac:dyDescent="0.25">
      <c r="E1390" s="163"/>
      <c r="K1390" s="163"/>
      <c r="Q1390" s="163"/>
      <c r="R1390" s="163"/>
      <c r="S1390" s="163"/>
    </row>
    <row r="1391" spans="5:19" x14ac:dyDescent="0.25">
      <c r="E1391" s="163"/>
      <c r="K1391" s="163"/>
      <c r="Q1391" s="163"/>
      <c r="R1391" s="163"/>
      <c r="S1391" s="163"/>
    </row>
    <row r="1392" spans="5:19" x14ac:dyDescent="0.25">
      <c r="E1392" s="163"/>
      <c r="K1392" s="163"/>
      <c r="Q1392" s="163"/>
      <c r="R1392" s="163"/>
      <c r="S1392" s="163"/>
    </row>
    <row r="1393" spans="5:19" x14ac:dyDescent="0.25">
      <c r="E1393" s="163"/>
      <c r="K1393" s="163"/>
      <c r="Q1393" s="163"/>
      <c r="R1393" s="163"/>
      <c r="S1393" s="163"/>
    </row>
    <row r="1394" spans="5:19" x14ac:dyDescent="0.25">
      <c r="E1394" s="163"/>
      <c r="K1394" s="163"/>
      <c r="Q1394" s="163"/>
      <c r="R1394" s="163"/>
      <c r="S1394" s="163"/>
    </row>
    <row r="1395" spans="5:19" x14ac:dyDescent="0.25">
      <c r="E1395" s="163"/>
      <c r="K1395" s="163"/>
      <c r="Q1395" s="163"/>
      <c r="R1395" s="163"/>
      <c r="S1395" s="163"/>
    </row>
    <row r="1396" spans="5:19" x14ac:dyDescent="0.25">
      <c r="E1396" s="163"/>
      <c r="K1396" s="163"/>
      <c r="Q1396" s="163"/>
      <c r="R1396" s="163"/>
      <c r="S1396" s="163"/>
    </row>
    <row r="1397" spans="5:19" x14ac:dyDescent="0.25">
      <c r="E1397" s="163"/>
      <c r="K1397" s="163"/>
      <c r="Q1397" s="163"/>
      <c r="R1397" s="163"/>
      <c r="S1397" s="163"/>
    </row>
    <row r="1398" spans="5:19" x14ac:dyDescent="0.25">
      <c r="E1398" s="163"/>
      <c r="K1398" s="163"/>
      <c r="Q1398" s="163"/>
      <c r="R1398" s="163"/>
      <c r="S1398" s="163"/>
    </row>
    <row r="1399" spans="5:19" x14ac:dyDescent="0.25">
      <c r="E1399" s="163"/>
      <c r="K1399" s="163"/>
      <c r="Q1399" s="163"/>
      <c r="R1399" s="163"/>
      <c r="S1399" s="163"/>
    </row>
    <row r="1400" spans="5:19" x14ac:dyDescent="0.25">
      <c r="E1400" s="163"/>
      <c r="K1400" s="163"/>
      <c r="Q1400" s="163"/>
      <c r="R1400" s="163"/>
      <c r="S1400" s="163"/>
    </row>
    <row r="1401" spans="5:19" x14ac:dyDescent="0.25">
      <c r="E1401" s="163"/>
      <c r="K1401" s="163"/>
      <c r="Q1401" s="163"/>
      <c r="R1401" s="163"/>
      <c r="S1401" s="163"/>
    </row>
    <row r="1402" spans="5:19" x14ac:dyDescent="0.25">
      <c r="E1402" s="163"/>
      <c r="K1402" s="163"/>
      <c r="Q1402" s="163"/>
      <c r="R1402" s="163"/>
      <c r="S1402" s="163"/>
    </row>
    <row r="1403" spans="5:19" x14ac:dyDescent="0.25">
      <c r="E1403" s="163"/>
      <c r="K1403" s="163"/>
      <c r="Q1403" s="163"/>
      <c r="R1403" s="163"/>
      <c r="S1403" s="163"/>
    </row>
    <row r="1404" spans="5:19" x14ac:dyDescent="0.25">
      <c r="E1404" s="163"/>
      <c r="K1404" s="163"/>
      <c r="Q1404" s="163"/>
      <c r="R1404" s="163"/>
      <c r="S1404" s="163"/>
    </row>
    <row r="1405" spans="5:19" x14ac:dyDescent="0.25">
      <c r="E1405" s="163"/>
      <c r="K1405" s="163"/>
      <c r="Q1405" s="163"/>
      <c r="R1405" s="163"/>
      <c r="S1405" s="163"/>
    </row>
    <row r="1406" spans="5:19" x14ac:dyDescent="0.25">
      <c r="E1406" s="163"/>
      <c r="K1406" s="163"/>
      <c r="Q1406" s="163"/>
      <c r="R1406" s="163"/>
      <c r="S1406" s="163"/>
    </row>
    <row r="1407" spans="5:19" x14ac:dyDescent="0.25">
      <c r="E1407" s="163"/>
      <c r="K1407" s="163"/>
      <c r="Q1407" s="163"/>
      <c r="R1407" s="163"/>
      <c r="S1407" s="163"/>
    </row>
    <row r="1408" spans="5:19" x14ac:dyDescent="0.25">
      <c r="E1408" s="163"/>
      <c r="K1408" s="163"/>
      <c r="Q1408" s="163"/>
      <c r="R1408" s="163"/>
      <c r="S1408" s="163"/>
    </row>
    <row r="1409" spans="5:19" x14ac:dyDescent="0.25">
      <c r="E1409" s="163"/>
      <c r="K1409" s="163"/>
      <c r="Q1409" s="163"/>
      <c r="R1409" s="163"/>
      <c r="S1409" s="163"/>
    </row>
    <row r="1410" spans="5:19" x14ac:dyDescent="0.25">
      <c r="E1410" s="163"/>
      <c r="K1410" s="163"/>
      <c r="Q1410" s="163"/>
      <c r="R1410" s="163"/>
      <c r="S1410" s="163"/>
    </row>
    <row r="1411" spans="5:19" x14ac:dyDescent="0.25">
      <c r="E1411" s="163"/>
      <c r="K1411" s="163"/>
      <c r="Q1411" s="163"/>
      <c r="R1411" s="163"/>
      <c r="S1411" s="163"/>
    </row>
    <row r="1412" spans="5:19" x14ac:dyDescent="0.25">
      <c r="E1412" s="163"/>
      <c r="K1412" s="163"/>
      <c r="Q1412" s="163"/>
      <c r="R1412" s="163"/>
      <c r="S1412" s="163"/>
    </row>
    <row r="1413" spans="5:19" x14ac:dyDescent="0.25">
      <c r="E1413" s="163"/>
      <c r="K1413" s="163"/>
      <c r="Q1413" s="163"/>
      <c r="R1413" s="163"/>
      <c r="S1413" s="163"/>
    </row>
    <row r="1414" spans="5:19" x14ac:dyDescent="0.25">
      <c r="E1414" s="163"/>
      <c r="K1414" s="163"/>
      <c r="Q1414" s="163"/>
      <c r="R1414" s="163"/>
      <c r="S1414" s="163"/>
    </row>
    <row r="1415" spans="5:19" x14ac:dyDescent="0.25">
      <c r="E1415" s="163"/>
      <c r="K1415" s="163"/>
      <c r="Q1415" s="163"/>
      <c r="R1415" s="163"/>
      <c r="S1415" s="163"/>
    </row>
    <row r="1416" spans="5:19" x14ac:dyDescent="0.25">
      <c r="E1416" s="163"/>
      <c r="K1416" s="163"/>
      <c r="Q1416" s="163"/>
      <c r="R1416" s="163"/>
      <c r="S1416" s="163"/>
    </row>
    <row r="1417" spans="5:19" x14ac:dyDescent="0.25">
      <c r="E1417" s="163"/>
      <c r="K1417" s="163"/>
      <c r="Q1417" s="163"/>
      <c r="R1417" s="163"/>
      <c r="S1417" s="163"/>
    </row>
    <row r="1418" spans="5:19" x14ac:dyDescent="0.25">
      <c r="E1418" s="163"/>
      <c r="K1418" s="163"/>
      <c r="Q1418" s="163"/>
      <c r="R1418" s="163"/>
      <c r="S1418" s="163"/>
    </row>
    <row r="1419" spans="5:19" x14ac:dyDescent="0.25">
      <c r="E1419" s="163"/>
      <c r="K1419" s="163"/>
      <c r="Q1419" s="163"/>
      <c r="R1419" s="163"/>
      <c r="S1419" s="163"/>
    </row>
    <row r="1420" spans="5:19" x14ac:dyDescent="0.25">
      <c r="E1420" s="163"/>
      <c r="K1420" s="163"/>
      <c r="Q1420" s="163"/>
      <c r="R1420" s="163"/>
      <c r="S1420" s="163"/>
    </row>
    <row r="1421" spans="5:19" x14ac:dyDescent="0.25">
      <c r="E1421" s="163"/>
      <c r="K1421" s="163"/>
      <c r="Q1421" s="163"/>
      <c r="R1421" s="163"/>
      <c r="S1421" s="163"/>
    </row>
    <row r="1422" spans="5:19" x14ac:dyDescent="0.25">
      <c r="E1422" s="163"/>
      <c r="K1422" s="163"/>
      <c r="Q1422" s="163"/>
      <c r="R1422" s="163"/>
      <c r="S1422" s="163"/>
    </row>
    <row r="1423" spans="5:19" x14ac:dyDescent="0.25">
      <c r="E1423" s="163"/>
      <c r="K1423" s="163"/>
      <c r="Q1423" s="163"/>
      <c r="R1423" s="163"/>
      <c r="S1423" s="163"/>
    </row>
    <row r="1424" spans="5:19" x14ac:dyDescent="0.25">
      <c r="E1424" s="163"/>
      <c r="K1424" s="163"/>
      <c r="Q1424" s="163"/>
      <c r="R1424" s="163"/>
      <c r="S1424" s="163"/>
    </row>
    <row r="1425" spans="5:19" x14ac:dyDescent="0.25">
      <c r="E1425" s="163"/>
      <c r="K1425" s="163"/>
      <c r="Q1425" s="163"/>
      <c r="R1425" s="163"/>
      <c r="S1425" s="163"/>
    </row>
    <row r="1426" spans="5:19" x14ac:dyDescent="0.25">
      <c r="E1426" s="163"/>
      <c r="K1426" s="163"/>
      <c r="Q1426" s="163"/>
      <c r="R1426" s="163"/>
      <c r="S1426" s="163"/>
    </row>
    <row r="1427" spans="5:19" x14ac:dyDescent="0.25">
      <c r="E1427" s="163"/>
      <c r="K1427" s="163"/>
      <c r="Q1427" s="163"/>
      <c r="R1427" s="163"/>
      <c r="S1427" s="163"/>
    </row>
    <row r="1428" spans="5:19" x14ac:dyDescent="0.25">
      <c r="E1428" s="163"/>
      <c r="K1428" s="163"/>
      <c r="Q1428" s="163"/>
      <c r="R1428" s="163"/>
      <c r="S1428" s="163"/>
    </row>
    <row r="1429" spans="5:19" x14ac:dyDescent="0.25">
      <c r="E1429" s="163"/>
      <c r="K1429" s="163"/>
      <c r="Q1429" s="163"/>
      <c r="R1429" s="163"/>
      <c r="S1429" s="163"/>
    </row>
    <row r="1430" spans="5:19" x14ac:dyDescent="0.25">
      <c r="E1430" s="163"/>
      <c r="K1430" s="163"/>
      <c r="Q1430" s="163"/>
      <c r="R1430" s="163"/>
      <c r="S1430" s="163"/>
    </row>
    <row r="1431" spans="5:19" x14ac:dyDescent="0.25">
      <c r="E1431" s="163"/>
      <c r="K1431" s="163"/>
      <c r="Q1431" s="163"/>
      <c r="R1431" s="163"/>
      <c r="S1431" s="163"/>
    </row>
    <row r="1432" spans="5:19" x14ac:dyDescent="0.25">
      <c r="E1432" s="163"/>
      <c r="K1432" s="163"/>
      <c r="Q1432" s="163"/>
      <c r="R1432" s="163"/>
      <c r="S1432" s="163"/>
    </row>
    <row r="1433" spans="5:19" x14ac:dyDescent="0.25">
      <c r="E1433" s="163"/>
      <c r="K1433" s="163"/>
      <c r="Q1433" s="163"/>
      <c r="R1433" s="163"/>
      <c r="S1433" s="163"/>
    </row>
    <row r="1434" spans="5:19" x14ac:dyDescent="0.25">
      <c r="E1434" s="163"/>
      <c r="K1434" s="163"/>
      <c r="Q1434" s="163"/>
      <c r="R1434" s="163"/>
      <c r="S1434" s="163"/>
    </row>
    <row r="1435" spans="5:19" x14ac:dyDescent="0.25">
      <c r="E1435" s="163"/>
      <c r="K1435" s="163"/>
      <c r="Q1435" s="163"/>
      <c r="R1435" s="163"/>
      <c r="S1435" s="163"/>
    </row>
    <row r="1436" spans="5:19" x14ac:dyDescent="0.25">
      <c r="E1436" s="163"/>
      <c r="K1436" s="163"/>
      <c r="Q1436" s="163"/>
      <c r="R1436" s="163"/>
      <c r="S1436" s="163"/>
    </row>
    <row r="1437" spans="5:19" x14ac:dyDescent="0.25">
      <c r="E1437" s="163"/>
      <c r="K1437" s="163"/>
      <c r="Q1437" s="163"/>
      <c r="R1437" s="163"/>
      <c r="S1437" s="163"/>
    </row>
    <row r="1438" spans="5:19" x14ac:dyDescent="0.25">
      <c r="E1438" s="163"/>
      <c r="K1438" s="163"/>
      <c r="Q1438" s="163"/>
      <c r="R1438" s="163"/>
      <c r="S1438" s="163"/>
    </row>
    <row r="1439" spans="5:19" x14ac:dyDescent="0.25">
      <c r="E1439" s="163"/>
      <c r="K1439" s="163"/>
      <c r="Q1439" s="163"/>
      <c r="R1439" s="163"/>
      <c r="S1439" s="163"/>
    </row>
    <row r="1440" spans="5:19" x14ac:dyDescent="0.25">
      <c r="E1440" s="163"/>
      <c r="K1440" s="163"/>
      <c r="Q1440" s="163"/>
      <c r="R1440" s="163"/>
      <c r="S1440" s="163"/>
    </row>
    <row r="1441" spans="5:19" x14ac:dyDescent="0.25">
      <c r="E1441" s="163"/>
      <c r="K1441" s="163"/>
      <c r="Q1441" s="163"/>
      <c r="R1441" s="163"/>
      <c r="S1441" s="163"/>
    </row>
    <row r="1442" spans="5:19" x14ac:dyDescent="0.25">
      <c r="E1442" s="163"/>
      <c r="K1442" s="163"/>
      <c r="Q1442" s="163"/>
      <c r="R1442" s="163"/>
      <c r="S1442" s="163"/>
    </row>
    <row r="1443" spans="5:19" x14ac:dyDescent="0.25">
      <c r="E1443" s="163"/>
      <c r="K1443" s="163"/>
      <c r="Q1443" s="163"/>
      <c r="R1443" s="163"/>
      <c r="S1443" s="163"/>
    </row>
    <row r="1444" spans="5:19" x14ac:dyDescent="0.25">
      <c r="E1444" s="163"/>
      <c r="K1444" s="163"/>
      <c r="Q1444" s="163"/>
      <c r="R1444" s="163"/>
      <c r="S1444" s="163"/>
    </row>
    <row r="1445" spans="5:19" x14ac:dyDescent="0.25">
      <c r="E1445" s="163"/>
      <c r="K1445" s="163"/>
      <c r="Q1445" s="163"/>
      <c r="R1445" s="163"/>
      <c r="S1445" s="163"/>
    </row>
    <row r="1446" spans="5:19" x14ac:dyDescent="0.25">
      <c r="E1446" s="163"/>
      <c r="K1446" s="163"/>
      <c r="Q1446" s="163"/>
      <c r="R1446" s="163"/>
      <c r="S1446" s="163"/>
    </row>
    <row r="1447" spans="5:19" x14ac:dyDescent="0.25">
      <c r="E1447" s="163"/>
      <c r="K1447" s="163"/>
      <c r="Q1447" s="163"/>
      <c r="R1447" s="163"/>
      <c r="S1447" s="163"/>
    </row>
    <row r="1448" spans="5:19" x14ac:dyDescent="0.25">
      <c r="E1448" s="163"/>
      <c r="K1448" s="163"/>
      <c r="Q1448" s="163"/>
      <c r="R1448" s="163"/>
      <c r="S1448" s="163"/>
    </row>
    <row r="1449" spans="5:19" x14ac:dyDescent="0.25">
      <c r="E1449" s="163"/>
      <c r="K1449" s="163"/>
      <c r="Q1449" s="163"/>
      <c r="R1449" s="163"/>
      <c r="S1449" s="163"/>
    </row>
    <row r="1450" spans="5:19" x14ac:dyDescent="0.25">
      <c r="E1450" s="163"/>
      <c r="K1450" s="163"/>
      <c r="Q1450" s="163"/>
      <c r="R1450" s="163"/>
      <c r="S1450" s="163"/>
    </row>
    <row r="1451" spans="5:19" x14ac:dyDescent="0.25">
      <c r="E1451" s="163"/>
      <c r="K1451" s="163"/>
      <c r="Q1451" s="163"/>
      <c r="R1451" s="163"/>
      <c r="S1451" s="163"/>
    </row>
    <row r="1452" spans="5:19" x14ac:dyDescent="0.25">
      <c r="E1452" s="163"/>
      <c r="K1452" s="163"/>
      <c r="Q1452" s="163"/>
      <c r="R1452" s="163"/>
      <c r="S1452" s="163"/>
    </row>
    <row r="1453" spans="5:19" x14ac:dyDescent="0.25">
      <c r="E1453" s="163"/>
      <c r="K1453" s="163"/>
      <c r="Q1453" s="163"/>
      <c r="R1453" s="163"/>
      <c r="S1453" s="163"/>
    </row>
    <row r="1454" spans="5:19" x14ac:dyDescent="0.25">
      <c r="E1454" s="163"/>
      <c r="K1454" s="163"/>
      <c r="Q1454" s="163"/>
      <c r="R1454" s="163"/>
      <c r="S1454" s="163"/>
    </row>
    <row r="1455" spans="5:19" x14ac:dyDescent="0.25">
      <c r="E1455" s="163"/>
      <c r="K1455" s="163"/>
      <c r="Q1455" s="163"/>
      <c r="R1455" s="163"/>
      <c r="S1455" s="163"/>
    </row>
    <row r="1456" spans="5:19" x14ac:dyDescent="0.25">
      <c r="E1456" s="163"/>
      <c r="K1456" s="163"/>
      <c r="Q1456" s="163"/>
      <c r="R1456" s="163"/>
      <c r="S1456" s="163"/>
    </row>
    <row r="1457" spans="5:19" x14ac:dyDescent="0.25">
      <c r="E1457" s="163"/>
      <c r="K1457" s="163"/>
      <c r="Q1457" s="163"/>
      <c r="R1457" s="163"/>
      <c r="S1457" s="163"/>
    </row>
    <row r="1458" spans="5:19" x14ac:dyDescent="0.25">
      <c r="E1458" s="163"/>
      <c r="K1458" s="163"/>
      <c r="Q1458" s="163"/>
      <c r="R1458" s="163"/>
      <c r="S1458" s="163"/>
    </row>
    <row r="1459" spans="5:19" x14ac:dyDescent="0.25">
      <c r="E1459" s="163"/>
      <c r="K1459" s="163"/>
      <c r="Q1459" s="163"/>
      <c r="R1459" s="163"/>
      <c r="S1459" s="163"/>
    </row>
    <row r="1460" spans="5:19" x14ac:dyDescent="0.25">
      <c r="E1460" s="163"/>
      <c r="K1460" s="163"/>
      <c r="Q1460" s="163"/>
      <c r="R1460" s="163"/>
      <c r="S1460" s="163"/>
    </row>
    <row r="1461" spans="5:19" x14ac:dyDescent="0.25">
      <c r="E1461" s="163"/>
      <c r="K1461" s="163"/>
      <c r="Q1461" s="163"/>
      <c r="R1461" s="163"/>
      <c r="S1461" s="163"/>
    </row>
    <row r="1462" spans="5:19" x14ac:dyDescent="0.25">
      <c r="E1462" s="163"/>
      <c r="K1462" s="163"/>
      <c r="Q1462" s="163"/>
      <c r="R1462" s="163"/>
      <c r="S1462" s="163"/>
    </row>
    <row r="1463" spans="5:19" x14ac:dyDescent="0.25">
      <c r="E1463" s="163"/>
      <c r="K1463" s="163"/>
      <c r="Q1463" s="163"/>
      <c r="R1463" s="163"/>
      <c r="S1463" s="163"/>
    </row>
    <row r="1464" spans="5:19" x14ac:dyDescent="0.25">
      <c r="E1464" s="163"/>
      <c r="K1464" s="163"/>
      <c r="Q1464" s="163"/>
      <c r="R1464" s="163"/>
      <c r="S1464" s="163"/>
    </row>
    <row r="1465" spans="5:19" x14ac:dyDescent="0.25">
      <c r="E1465" s="163"/>
      <c r="K1465" s="163"/>
      <c r="Q1465" s="163"/>
      <c r="R1465" s="163"/>
      <c r="S1465" s="163"/>
    </row>
    <row r="1466" spans="5:19" x14ac:dyDescent="0.25">
      <c r="E1466" s="163"/>
      <c r="K1466" s="163"/>
      <c r="Q1466" s="163"/>
      <c r="R1466" s="163"/>
      <c r="S1466" s="163"/>
    </row>
    <row r="1467" spans="5:19" x14ac:dyDescent="0.25">
      <c r="E1467" s="163"/>
      <c r="K1467" s="163"/>
      <c r="Q1467" s="163"/>
      <c r="R1467" s="163"/>
      <c r="S1467" s="163"/>
    </row>
    <row r="1468" spans="5:19" x14ac:dyDescent="0.25">
      <c r="E1468" s="163"/>
      <c r="K1468" s="163"/>
      <c r="Q1468" s="163"/>
      <c r="R1468" s="163"/>
      <c r="S1468" s="163"/>
    </row>
    <row r="1469" spans="5:19" x14ac:dyDescent="0.25">
      <c r="E1469" s="163"/>
      <c r="K1469" s="163"/>
      <c r="Q1469" s="163"/>
      <c r="R1469" s="163"/>
      <c r="S1469" s="163"/>
    </row>
    <row r="1470" spans="5:19" x14ac:dyDescent="0.25">
      <c r="E1470" s="163"/>
      <c r="K1470" s="163"/>
      <c r="Q1470" s="163"/>
      <c r="R1470" s="163"/>
      <c r="S1470" s="163"/>
    </row>
    <row r="1471" spans="5:19" x14ac:dyDescent="0.25">
      <c r="E1471" s="163"/>
      <c r="K1471" s="163"/>
      <c r="Q1471" s="163"/>
      <c r="R1471" s="163"/>
      <c r="S1471" s="163"/>
    </row>
    <row r="1472" spans="5:19" x14ac:dyDescent="0.25">
      <c r="E1472" s="163"/>
      <c r="K1472" s="163"/>
      <c r="Q1472" s="163"/>
      <c r="R1472" s="163"/>
      <c r="S1472" s="163"/>
    </row>
    <row r="1473" spans="5:19" x14ac:dyDescent="0.25">
      <c r="E1473" s="163"/>
      <c r="K1473" s="163"/>
      <c r="Q1473" s="163"/>
      <c r="R1473" s="163"/>
      <c r="S1473" s="163"/>
    </row>
    <row r="1474" spans="5:19" x14ac:dyDescent="0.25">
      <c r="E1474" s="163"/>
      <c r="K1474" s="163"/>
      <c r="Q1474" s="163"/>
      <c r="R1474" s="163"/>
      <c r="S1474" s="163"/>
    </row>
    <row r="1475" spans="5:19" x14ac:dyDescent="0.25">
      <c r="E1475" s="163"/>
      <c r="K1475" s="163"/>
      <c r="Q1475" s="163"/>
      <c r="R1475" s="163"/>
      <c r="S1475" s="163"/>
    </row>
    <row r="1476" spans="5:19" x14ac:dyDescent="0.25">
      <c r="E1476" s="163"/>
      <c r="K1476" s="163"/>
      <c r="Q1476" s="163"/>
      <c r="R1476" s="163"/>
      <c r="S1476" s="163"/>
    </row>
    <row r="1477" spans="5:19" x14ac:dyDescent="0.25">
      <c r="E1477" s="163"/>
      <c r="K1477" s="163"/>
      <c r="Q1477" s="163"/>
      <c r="R1477" s="163"/>
      <c r="S1477" s="163"/>
    </row>
    <row r="1478" spans="5:19" x14ac:dyDescent="0.25">
      <c r="E1478" s="163"/>
      <c r="K1478" s="163"/>
      <c r="Q1478" s="163"/>
      <c r="R1478" s="163"/>
      <c r="S1478" s="163"/>
    </row>
    <row r="1479" spans="5:19" x14ac:dyDescent="0.25">
      <c r="E1479" s="163"/>
      <c r="K1479" s="163"/>
      <c r="Q1479" s="163"/>
      <c r="R1479" s="163"/>
      <c r="S1479" s="163"/>
    </row>
    <row r="1480" spans="5:19" x14ac:dyDescent="0.25">
      <c r="E1480" s="163"/>
      <c r="K1480" s="163"/>
      <c r="Q1480" s="163"/>
      <c r="R1480" s="163"/>
      <c r="S1480" s="163"/>
    </row>
    <row r="1481" spans="5:19" x14ac:dyDescent="0.25">
      <c r="E1481" s="163"/>
      <c r="K1481" s="163"/>
      <c r="Q1481" s="163"/>
      <c r="R1481" s="163"/>
      <c r="S1481" s="163"/>
    </row>
    <row r="1482" spans="5:19" x14ac:dyDescent="0.25">
      <c r="E1482" s="163"/>
      <c r="K1482" s="163"/>
      <c r="Q1482" s="163"/>
      <c r="R1482" s="163"/>
      <c r="S1482" s="163"/>
    </row>
    <row r="1483" spans="5:19" x14ac:dyDescent="0.25">
      <c r="E1483" s="163"/>
      <c r="K1483" s="163"/>
      <c r="Q1483" s="163"/>
      <c r="R1483" s="163"/>
      <c r="S1483" s="163"/>
    </row>
    <row r="1484" spans="5:19" x14ac:dyDescent="0.25">
      <c r="E1484" s="163"/>
      <c r="K1484" s="163"/>
      <c r="Q1484" s="163"/>
      <c r="R1484" s="163"/>
      <c r="S1484" s="163"/>
    </row>
    <row r="1485" spans="5:19" x14ac:dyDescent="0.25">
      <c r="E1485" s="163"/>
      <c r="K1485" s="163"/>
      <c r="Q1485" s="163"/>
      <c r="R1485" s="163"/>
      <c r="S1485" s="163"/>
    </row>
    <row r="1486" spans="5:19" x14ac:dyDescent="0.25">
      <c r="E1486" s="163"/>
      <c r="K1486" s="163"/>
      <c r="Q1486" s="163"/>
      <c r="R1486" s="163"/>
      <c r="S1486" s="163"/>
    </row>
    <row r="1487" spans="5:19" x14ac:dyDescent="0.25">
      <c r="E1487" s="163"/>
      <c r="K1487" s="163"/>
      <c r="Q1487" s="163"/>
      <c r="R1487" s="163"/>
      <c r="S1487" s="163"/>
    </row>
    <row r="1488" spans="5:19" x14ac:dyDescent="0.25">
      <c r="E1488" s="163"/>
      <c r="K1488" s="163"/>
      <c r="Q1488" s="163"/>
      <c r="R1488" s="163"/>
      <c r="S1488" s="163"/>
    </row>
    <row r="1489" spans="5:19" x14ac:dyDescent="0.25">
      <c r="E1489" s="163"/>
      <c r="K1489" s="163"/>
      <c r="Q1489" s="163"/>
      <c r="R1489" s="163"/>
      <c r="S1489" s="163"/>
    </row>
    <row r="1490" spans="5:19" x14ac:dyDescent="0.25">
      <c r="E1490" s="163"/>
      <c r="K1490" s="163"/>
      <c r="Q1490" s="163"/>
      <c r="R1490" s="163"/>
      <c r="S1490" s="163"/>
    </row>
    <row r="1491" spans="5:19" x14ac:dyDescent="0.25">
      <c r="E1491" s="163"/>
      <c r="K1491" s="163"/>
      <c r="Q1491" s="163"/>
      <c r="R1491" s="163"/>
      <c r="S1491" s="163"/>
    </row>
    <row r="1492" spans="5:19" x14ac:dyDescent="0.25">
      <c r="E1492" s="163"/>
      <c r="K1492" s="163"/>
      <c r="Q1492" s="163"/>
      <c r="R1492" s="163"/>
      <c r="S1492" s="163"/>
    </row>
    <row r="1493" spans="5:19" x14ac:dyDescent="0.25">
      <c r="E1493" s="163"/>
      <c r="K1493" s="163"/>
      <c r="Q1493" s="163"/>
      <c r="R1493" s="163"/>
      <c r="S1493" s="163"/>
    </row>
    <row r="1494" spans="5:19" x14ac:dyDescent="0.25">
      <c r="E1494" s="163"/>
      <c r="K1494" s="163"/>
      <c r="Q1494" s="163"/>
      <c r="R1494" s="163"/>
      <c r="S1494" s="163"/>
    </row>
    <row r="1495" spans="5:19" x14ac:dyDescent="0.25">
      <c r="E1495" s="163"/>
      <c r="K1495" s="163"/>
      <c r="Q1495" s="163"/>
      <c r="R1495" s="163"/>
      <c r="S1495" s="163"/>
    </row>
    <row r="1496" spans="5:19" x14ac:dyDescent="0.25">
      <c r="E1496" s="163"/>
      <c r="K1496" s="163"/>
      <c r="Q1496" s="163"/>
      <c r="R1496" s="163"/>
      <c r="S1496" s="163"/>
    </row>
    <row r="1497" spans="5:19" x14ac:dyDescent="0.25">
      <c r="E1497" s="163"/>
      <c r="K1497" s="163"/>
      <c r="Q1497" s="163"/>
      <c r="R1497" s="163"/>
      <c r="S1497" s="163"/>
    </row>
    <row r="1498" spans="5:19" x14ac:dyDescent="0.25">
      <c r="E1498" s="163"/>
      <c r="K1498" s="163"/>
      <c r="Q1498" s="163"/>
      <c r="R1498" s="163"/>
      <c r="S1498" s="163"/>
    </row>
    <row r="1499" spans="5:19" x14ac:dyDescent="0.25">
      <c r="E1499" s="163"/>
      <c r="K1499" s="163"/>
      <c r="Q1499" s="163"/>
      <c r="R1499" s="163"/>
      <c r="S1499" s="163"/>
    </row>
    <row r="1500" spans="5:19" x14ac:dyDescent="0.25">
      <c r="E1500" s="163"/>
      <c r="K1500" s="163"/>
      <c r="Q1500" s="163"/>
      <c r="R1500" s="163"/>
      <c r="S1500" s="163"/>
    </row>
    <row r="1501" spans="5:19" x14ac:dyDescent="0.25">
      <c r="E1501" s="163"/>
      <c r="K1501" s="163"/>
      <c r="Q1501" s="163"/>
      <c r="R1501" s="163"/>
      <c r="S1501" s="163"/>
    </row>
    <row r="1502" spans="5:19" x14ac:dyDescent="0.25">
      <c r="E1502" s="163"/>
      <c r="K1502" s="163"/>
      <c r="Q1502" s="163"/>
      <c r="R1502" s="163"/>
      <c r="S1502" s="163"/>
    </row>
    <row r="1503" spans="5:19" x14ac:dyDescent="0.25">
      <c r="E1503" s="163"/>
      <c r="K1503" s="163"/>
      <c r="Q1503" s="163"/>
      <c r="R1503" s="163"/>
      <c r="S1503" s="163"/>
    </row>
    <row r="1504" spans="5:19" x14ac:dyDescent="0.25">
      <c r="E1504" s="163"/>
      <c r="K1504" s="163"/>
      <c r="Q1504" s="163"/>
      <c r="R1504" s="163"/>
      <c r="S1504" s="163"/>
    </row>
    <row r="1505" spans="5:19" x14ac:dyDescent="0.25">
      <c r="E1505" s="163"/>
      <c r="K1505" s="163"/>
      <c r="Q1505" s="163"/>
      <c r="R1505" s="163"/>
      <c r="S1505" s="163"/>
    </row>
    <row r="1506" spans="5:19" x14ac:dyDescent="0.25">
      <c r="E1506" s="163"/>
      <c r="K1506" s="163"/>
      <c r="Q1506" s="163"/>
      <c r="R1506" s="163"/>
      <c r="S1506" s="163"/>
    </row>
    <row r="1507" spans="5:19" x14ac:dyDescent="0.25">
      <c r="E1507" s="163"/>
      <c r="K1507" s="163"/>
      <c r="Q1507" s="163"/>
      <c r="R1507" s="163"/>
      <c r="S1507" s="163"/>
    </row>
    <row r="1508" spans="5:19" x14ac:dyDescent="0.25">
      <c r="E1508" s="163"/>
      <c r="K1508" s="163"/>
      <c r="Q1508" s="163"/>
      <c r="R1508" s="163"/>
      <c r="S1508" s="163"/>
    </row>
    <row r="1509" spans="5:19" x14ac:dyDescent="0.25">
      <c r="E1509" s="163"/>
      <c r="K1509" s="163"/>
      <c r="Q1509" s="163"/>
      <c r="R1509" s="163"/>
      <c r="S1509" s="163"/>
    </row>
    <row r="1510" spans="5:19" x14ac:dyDescent="0.25">
      <c r="E1510" s="163"/>
      <c r="K1510" s="163"/>
      <c r="Q1510" s="163"/>
      <c r="R1510" s="163"/>
      <c r="S1510" s="163"/>
    </row>
    <row r="1511" spans="5:19" x14ac:dyDescent="0.25">
      <c r="E1511" s="163"/>
      <c r="K1511" s="163"/>
      <c r="Q1511" s="163"/>
      <c r="R1511" s="163"/>
      <c r="S1511" s="163"/>
    </row>
    <row r="1512" spans="5:19" x14ac:dyDescent="0.25">
      <c r="E1512" s="163"/>
      <c r="K1512" s="163"/>
      <c r="Q1512" s="163"/>
      <c r="R1512" s="163"/>
      <c r="S1512" s="163"/>
    </row>
    <row r="1513" spans="5:19" x14ac:dyDescent="0.25">
      <c r="E1513" s="163"/>
      <c r="K1513" s="163"/>
      <c r="Q1513" s="163"/>
      <c r="R1513" s="163"/>
      <c r="S1513" s="163"/>
    </row>
    <row r="1514" spans="5:19" x14ac:dyDescent="0.25">
      <c r="E1514" s="163"/>
      <c r="K1514" s="163"/>
      <c r="Q1514" s="163"/>
      <c r="R1514" s="163"/>
      <c r="S1514" s="163"/>
    </row>
    <row r="1515" spans="5:19" x14ac:dyDescent="0.25">
      <c r="E1515" s="163"/>
      <c r="K1515" s="163"/>
      <c r="Q1515" s="163"/>
      <c r="R1515" s="163"/>
      <c r="S1515" s="163"/>
    </row>
    <row r="1516" spans="5:19" x14ac:dyDescent="0.25">
      <c r="E1516" s="163"/>
      <c r="K1516" s="163"/>
      <c r="Q1516" s="163"/>
      <c r="R1516" s="163"/>
      <c r="S1516" s="163"/>
    </row>
    <row r="1517" spans="5:19" x14ac:dyDescent="0.25">
      <c r="E1517" s="163"/>
      <c r="K1517" s="163"/>
      <c r="Q1517" s="163"/>
      <c r="R1517" s="163"/>
      <c r="S1517" s="163"/>
    </row>
    <row r="1518" spans="5:19" x14ac:dyDescent="0.25">
      <c r="E1518" s="163"/>
      <c r="K1518" s="163"/>
      <c r="Q1518" s="163"/>
      <c r="R1518" s="163"/>
      <c r="S1518" s="163"/>
    </row>
    <row r="1519" spans="5:19" x14ac:dyDescent="0.25">
      <c r="E1519" s="163"/>
      <c r="K1519" s="163"/>
      <c r="Q1519" s="163"/>
      <c r="R1519" s="163"/>
      <c r="S1519" s="163"/>
    </row>
    <row r="1520" spans="5:19" x14ac:dyDescent="0.25">
      <c r="E1520" s="163"/>
      <c r="K1520" s="163"/>
      <c r="Q1520" s="163"/>
      <c r="R1520" s="163"/>
      <c r="S1520" s="163"/>
    </row>
    <row r="1521" spans="5:19" x14ac:dyDescent="0.25">
      <c r="E1521" s="163"/>
      <c r="K1521" s="163"/>
      <c r="Q1521" s="163"/>
      <c r="R1521" s="163"/>
      <c r="S1521" s="163"/>
    </row>
    <row r="1522" spans="5:19" x14ac:dyDescent="0.25">
      <c r="E1522" s="163"/>
      <c r="K1522" s="163"/>
      <c r="Q1522" s="163"/>
      <c r="R1522" s="163"/>
      <c r="S1522" s="163"/>
    </row>
    <row r="1523" spans="5:19" x14ac:dyDescent="0.25">
      <c r="E1523" s="163"/>
      <c r="K1523" s="163"/>
      <c r="Q1523" s="163"/>
      <c r="R1523" s="163"/>
      <c r="S1523" s="163"/>
    </row>
    <row r="1524" spans="5:19" x14ac:dyDescent="0.25">
      <c r="E1524" s="163"/>
      <c r="K1524" s="163"/>
      <c r="Q1524" s="163"/>
      <c r="R1524" s="163"/>
      <c r="S1524" s="163"/>
    </row>
    <row r="1525" spans="5:19" x14ac:dyDescent="0.25">
      <c r="E1525" s="163"/>
      <c r="K1525" s="163"/>
      <c r="Q1525" s="163"/>
      <c r="R1525" s="163"/>
      <c r="S1525" s="163"/>
    </row>
    <row r="1526" spans="5:19" x14ac:dyDescent="0.25">
      <c r="E1526" s="163"/>
      <c r="K1526" s="163"/>
      <c r="Q1526" s="163"/>
      <c r="R1526" s="163"/>
      <c r="S1526" s="163"/>
    </row>
    <row r="1527" spans="5:19" x14ac:dyDescent="0.25">
      <c r="E1527" s="163"/>
      <c r="K1527" s="163"/>
      <c r="Q1527" s="163"/>
      <c r="R1527" s="163"/>
      <c r="S1527" s="163"/>
    </row>
    <row r="1528" spans="5:19" x14ac:dyDescent="0.25">
      <c r="E1528" s="163"/>
      <c r="K1528" s="163"/>
      <c r="Q1528" s="163"/>
      <c r="R1528" s="163"/>
      <c r="S1528" s="163"/>
    </row>
    <row r="1529" spans="5:19" x14ac:dyDescent="0.25">
      <c r="E1529" s="163"/>
      <c r="K1529" s="163"/>
      <c r="Q1529" s="163"/>
      <c r="R1529" s="163"/>
      <c r="S1529" s="163"/>
    </row>
    <row r="1530" spans="5:19" x14ac:dyDescent="0.25">
      <c r="E1530" s="163"/>
      <c r="K1530" s="163"/>
      <c r="Q1530" s="163"/>
      <c r="R1530" s="163"/>
      <c r="S1530" s="163"/>
    </row>
    <row r="1531" spans="5:19" x14ac:dyDescent="0.25">
      <c r="E1531" s="163"/>
      <c r="K1531" s="163"/>
      <c r="Q1531" s="163"/>
      <c r="R1531" s="163"/>
      <c r="S1531" s="163"/>
    </row>
    <row r="1532" spans="5:19" x14ac:dyDescent="0.25">
      <c r="E1532" s="163"/>
      <c r="K1532" s="163"/>
      <c r="Q1532" s="163"/>
      <c r="R1532" s="163"/>
      <c r="S1532" s="163"/>
    </row>
    <row r="1533" spans="5:19" x14ac:dyDescent="0.25">
      <c r="E1533" s="163"/>
      <c r="K1533" s="163"/>
      <c r="Q1533" s="163"/>
      <c r="R1533" s="163"/>
      <c r="S1533" s="163"/>
    </row>
    <row r="1534" spans="5:19" x14ac:dyDescent="0.25">
      <c r="E1534" s="163"/>
      <c r="K1534" s="163"/>
      <c r="Q1534" s="163"/>
      <c r="R1534" s="163"/>
      <c r="S1534" s="163"/>
    </row>
    <row r="1535" spans="5:19" x14ac:dyDescent="0.25">
      <c r="E1535" s="163"/>
      <c r="K1535" s="163"/>
      <c r="Q1535" s="163"/>
      <c r="R1535" s="163"/>
      <c r="S1535" s="163"/>
    </row>
    <row r="1536" spans="5:19" x14ac:dyDescent="0.25">
      <c r="E1536" s="163"/>
      <c r="K1536" s="163"/>
      <c r="Q1536" s="163"/>
      <c r="R1536" s="163"/>
      <c r="S1536" s="163"/>
    </row>
    <row r="1537" spans="5:19" x14ac:dyDescent="0.25">
      <c r="E1537" s="163"/>
      <c r="K1537" s="163"/>
      <c r="Q1537" s="163"/>
      <c r="R1537" s="163"/>
      <c r="S1537" s="163"/>
    </row>
    <row r="1538" spans="5:19" x14ac:dyDescent="0.25">
      <c r="E1538" s="163"/>
      <c r="K1538" s="163"/>
      <c r="Q1538" s="163"/>
      <c r="R1538" s="163"/>
      <c r="S1538" s="163"/>
    </row>
    <row r="1539" spans="5:19" x14ac:dyDescent="0.25">
      <c r="E1539" s="163"/>
      <c r="K1539" s="163"/>
      <c r="Q1539" s="163"/>
      <c r="R1539" s="163"/>
      <c r="S1539" s="163"/>
    </row>
    <row r="1540" spans="5:19" x14ac:dyDescent="0.25">
      <c r="E1540" s="163"/>
      <c r="K1540" s="163"/>
      <c r="Q1540" s="163"/>
      <c r="R1540" s="163"/>
      <c r="S1540" s="163"/>
    </row>
    <row r="1541" spans="5:19" x14ac:dyDescent="0.25">
      <c r="E1541" s="163"/>
      <c r="K1541" s="163"/>
      <c r="Q1541" s="163"/>
      <c r="R1541" s="163"/>
      <c r="S1541" s="163"/>
    </row>
    <row r="1542" spans="5:19" x14ac:dyDescent="0.25">
      <c r="E1542" s="163"/>
      <c r="K1542" s="163"/>
      <c r="Q1542" s="163"/>
      <c r="R1542" s="163"/>
      <c r="S1542" s="163"/>
    </row>
    <row r="1543" spans="5:19" x14ac:dyDescent="0.25">
      <c r="E1543" s="163"/>
      <c r="K1543" s="163"/>
      <c r="Q1543" s="163"/>
      <c r="R1543" s="163"/>
      <c r="S1543" s="163"/>
    </row>
    <row r="1544" spans="5:19" x14ac:dyDescent="0.25">
      <c r="E1544" s="163"/>
      <c r="K1544" s="163"/>
      <c r="Q1544" s="163"/>
      <c r="R1544" s="163"/>
      <c r="S1544" s="163"/>
    </row>
    <row r="1545" spans="5:19" x14ac:dyDescent="0.25">
      <c r="E1545" s="163"/>
      <c r="K1545" s="163"/>
      <c r="Q1545" s="163"/>
      <c r="R1545" s="163"/>
      <c r="S1545" s="163"/>
    </row>
    <row r="1546" spans="5:19" x14ac:dyDescent="0.25">
      <c r="E1546" s="163"/>
      <c r="K1546" s="163"/>
      <c r="Q1546" s="163"/>
      <c r="R1546" s="163"/>
      <c r="S1546" s="163"/>
    </row>
    <row r="1547" spans="5:19" x14ac:dyDescent="0.25">
      <c r="E1547" s="163"/>
      <c r="K1547" s="163"/>
      <c r="Q1547" s="163"/>
      <c r="R1547" s="163"/>
      <c r="S1547" s="163"/>
    </row>
    <row r="1548" spans="5:19" x14ac:dyDescent="0.25">
      <c r="E1548" s="163"/>
      <c r="K1548" s="163"/>
      <c r="Q1548" s="163"/>
      <c r="R1548" s="163"/>
      <c r="S1548" s="163"/>
    </row>
    <row r="1549" spans="5:19" x14ac:dyDescent="0.25">
      <c r="E1549" s="163"/>
      <c r="K1549" s="163"/>
      <c r="Q1549" s="163"/>
      <c r="R1549" s="163"/>
      <c r="S1549" s="163"/>
    </row>
    <row r="1550" spans="5:19" x14ac:dyDescent="0.25">
      <c r="E1550" s="163"/>
      <c r="K1550" s="163"/>
      <c r="Q1550" s="163"/>
      <c r="R1550" s="163"/>
      <c r="S1550" s="163"/>
    </row>
    <row r="1551" spans="5:19" x14ac:dyDescent="0.25">
      <c r="E1551" s="163"/>
      <c r="K1551" s="163"/>
      <c r="Q1551" s="163"/>
      <c r="R1551" s="163"/>
      <c r="S1551" s="163"/>
    </row>
    <row r="1552" spans="5:19" x14ac:dyDescent="0.25">
      <c r="E1552" s="163"/>
      <c r="K1552" s="163"/>
      <c r="Q1552" s="163"/>
      <c r="R1552" s="163"/>
      <c r="S1552" s="163"/>
    </row>
    <row r="1553" spans="5:19" x14ac:dyDescent="0.25">
      <c r="E1553" s="163"/>
      <c r="K1553" s="163"/>
      <c r="Q1553" s="163"/>
      <c r="R1553" s="163"/>
      <c r="S1553" s="163"/>
    </row>
    <row r="1554" spans="5:19" x14ac:dyDescent="0.25">
      <c r="E1554" s="163"/>
      <c r="K1554" s="163"/>
      <c r="Q1554" s="163"/>
      <c r="R1554" s="163"/>
      <c r="S1554" s="163"/>
    </row>
    <row r="1555" spans="5:19" x14ac:dyDescent="0.25">
      <c r="E1555" s="163"/>
      <c r="K1555" s="163"/>
      <c r="Q1555" s="163"/>
      <c r="R1555" s="163"/>
      <c r="S1555" s="163"/>
    </row>
    <row r="1556" spans="5:19" x14ac:dyDescent="0.25">
      <c r="E1556" s="163"/>
      <c r="K1556" s="163"/>
      <c r="Q1556" s="163"/>
      <c r="R1556" s="163"/>
      <c r="S1556" s="163"/>
    </row>
    <row r="1557" spans="5:19" x14ac:dyDescent="0.25">
      <c r="E1557" s="163"/>
      <c r="K1557" s="163"/>
      <c r="Q1557" s="163"/>
      <c r="R1557" s="163"/>
      <c r="S1557" s="163"/>
    </row>
    <row r="1558" spans="5:19" x14ac:dyDescent="0.25">
      <c r="E1558" s="163"/>
      <c r="K1558" s="163"/>
      <c r="Q1558" s="163"/>
      <c r="R1558" s="163"/>
      <c r="S1558" s="163"/>
    </row>
    <row r="1559" spans="5:19" x14ac:dyDescent="0.25">
      <c r="E1559" s="163"/>
      <c r="K1559" s="163"/>
      <c r="Q1559" s="163"/>
      <c r="R1559" s="163"/>
      <c r="S1559" s="163"/>
    </row>
    <row r="1560" spans="5:19" x14ac:dyDescent="0.25">
      <c r="E1560" s="163"/>
      <c r="K1560" s="163"/>
      <c r="Q1560" s="163"/>
      <c r="R1560" s="163"/>
      <c r="S1560" s="163"/>
    </row>
    <row r="1561" spans="5:19" x14ac:dyDescent="0.25">
      <c r="E1561" s="163"/>
      <c r="K1561" s="163"/>
      <c r="Q1561" s="163"/>
      <c r="R1561" s="163"/>
      <c r="S1561" s="163"/>
    </row>
    <row r="1562" spans="5:19" x14ac:dyDescent="0.25">
      <c r="E1562" s="163"/>
      <c r="K1562" s="163"/>
      <c r="Q1562" s="163"/>
      <c r="R1562" s="163"/>
      <c r="S1562" s="163"/>
    </row>
    <row r="1563" spans="5:19" x14ac:dyDescent="0.25">
      <c r="E1563" s="163"/>
      <c r="K1563" s="163"/>
      <c r="Q1563" s="163"/>
      <c r="R1563" s="163"/>
      <c r="S1563" s="163"/>
    </row>
    <row r="1564" spans="5:19" x14ac:dyDescent="0.25">
      <c r="E1564" s="163"/>
      <c r="K1564" s="163"/>
      <c r="Q1564" s="163"/>
      <c r="R1564" s="163"/>
      <c r="S1564" s="163"/>
    </row>
    <row r="1565" spans="5:19" x14ac:dyDescent="0.25">
      <c r="E1565" s="163"/>
      <c r="K1565" s="163"/>
      <c r="Q1565" s="163"/>
      <c r="R1565" s="163"/>
      <c r="S1565" s="163"/>
    </row>
    <row r="1566" spans="5:19" x14ac:dyDescent="0.25">
      <c r="E1566" s="163"/>
      <c r="K1566" s="163"/>
      <c r="Q1566" s="163"/>
      <c r="R1566" s="163"/>
      <c r="S1566" s="163"/>
    </row>
    <row r="1567" spans="5:19" x14ac:dyDescent="0.25">
      <c r="E1567" s="163"/>
      <c r="K1567" s="163"/>
      <c r="Q1567" s="163"/>
      <c r="R1567" s="163"/>
      <c r="S1567" s="163"/>
    </row>
    <row r="1568" spans="5:19" x14ac:dyDescent="0.25">
      <c r="E1568" s="163"/>
      <c r="K1568" s="163"/>
      <c r="Q1568" s="163"/>
      <c r="R1568" s="163"/>
      <c r="S1568" s="163"/>
    </row>
    <row r="1569" spans="5:19" x14ac:dyDescent="0.25">
      <c r="E1569" s="163"/>
      <c r="K1569" s="163"/>
      <c r="Q1569" s="163"/>
      <c r="R1569" s="163"/>
      <c r="S1569" s="163"/>
    </row>
    <row r="1570" spans="5:19" x14ac:dyDescent="0.25">
      <c r="E1570" s="163"/>
      <c r="K1570" s="163"/>
      <c r="Q1570" s="163"/>
      <c r="R1570" s="163"/>
      <c r="S1570" s="163"/>
    </row>
    <row r="1571" spans="5:19" x14ac:dyDescent="0.25">
      <c r="E1571" s="163"/>
      <c r="K1571" s="163"/>
      <c r="Q1571" s="163"/>
      <c r="R1571" s="163"/>
      <c r="S1571" s="163"/>
    </row>
    <row r="1572" spans="5:19" x14ac:dyDescent="0.25">
      <c r="E1572" s="163"/>
      <c r="K1572" s="163"/>
      <c r="Q1572" s="163"/>
      <c r="R1572" s="163"/>
      <c r="S1572" s="163"/>
    </row>
    <row r="1573" spans="5:19" x14ac:dyDescent="0.25">
      <c r="E1573" s="163"/>
      <c r="K1573" s="163"/>
      <c r="Q1573" s="163"/>
      <c r="R1573" s="163"/>
      <c r="S1573" s="163"/>
    </row>
    <row r="1574" spans="5:19" x14ac:dyDescent="0.25">
      <c r="E1574" s="163"/>
      <c r="K1574" s="163"/>
      <c r="Q1574" s="163"/>
      <c r="R1574" s="163"/>
      <c r="S1574" s="163"/>
    </row>
    <row r="1575" spans="5:19" x14ac:dyDescent="0.25">
      <c r="E1575" s="163"/>
      <c r="K1575" s="163"/>
      <c r="Q1575" s="163"/>
      <c r="R1575" s="163"/>
      <c r="S1575" s="163"/>
    </row>
    <row r="1576" spans="5:19" x14ac:dyDescent="0.25">
      <c r="E1576" s="163"/>
      <c r="K1576" s="163"/>
      <c r="Q1576" s="163"/>
      <c r="R1576" s="163"/>
      <c r="S1576" s="163"/>
    </row>
    <row r="1577" spans="5:19" x14ac:dyDescent="0.25">
      <c r="E1577" s="163"/>
      <c r="K1577" s="163"/>
      <c r="Q1577" s="163"/>
      <c r="R1577" s="163"/>
      <c r="S1577" s="163"/>
    </row>
    <row r="1578" spans="5:19" x14ac:dyDescent="0.25">
      <c r="E1578" s="163"/>
      <c r="K1578" s="163"/>
      <c r="Q1578" s="163"/>
      <c r="R1578" s="163"/>
      <c r="S1578" s="163"/>
    </row>
    <row r="1579" spans="5:19" x14ac:dyDescent="0.25">
      <c r="E1579" s="163"/>
      <c r="K1579" s="163"/>
      <c r="Q1579" s="163"/>
      <c r="R1579" s="163"/>
      <c r="S1579" s="163"/>
    </row>
    <row r="1580" spans="5:19" x14ac:dyDescent="0.25">
      <c r="E1580" s="163"/>
      <c r="K1580" s="163"/>
      <c r="Q1580" s="163"/>
      <c r="R1580" s="163"/>
      <c r="S1580" s="163"/>
    </row>
    <row r="1581" spans="5:19" x14ac:dyDescent="0.25">
      <c r="E1581" s="163"/>
      <c r="K1581" s="163"/>
      <c r="Q1581" s="163"/>
      <c r="R1581" s="163"/>
      <c r="S1581" s="163"/>
    </row>
    <row r="1582" spans="5:19" x14ac:dyDescent="0.25">
      <c r="E1582" s="163"/>
      <c r="K1582" s="163"/>
      <c r="Q1582" s="163"/>
      <c r="R1582" s="163"/>
      <c r="S1582" s="163"/>
    </row>
    <row r="1583" spans="5:19" x14ac:dyDescent="0.25">
      <c r="E1583" s="163"/>
      <c r="K1583" s="163"/>
      <c r="Q1583" s="163"/>
      <c r="R1583" s="163"/>
      <c r="S1583" s="163"/>
    </row>
    <row r="1584" spans="5:19" x14ac:dyDescent="0.25">
      <c r="E1584" s="163"/>
      <c r="K1584" s="163"/>
      <c r="Q1584" s="163"/>
      <c r="R1584" s="163"/>
      <c r="S1584" s="163"/>
    </row>
    <row r="1585" spans="5:19" x14ac:dyDescent="0.25">
      <c r="E1585" s="163"/>
      <c r="K1585" s="163"/>
      <c r="Q1585" s="163"/>
      <c r="R1585" s="163"/>
      <c r="S1585" s="163"/>
    </row>
    <row r="1586" spans="5:19" x14ac:dyDescent="0.25">
      <c r="E1586" s="163"/>
      <c r="K1586" s="163"/>
      <c r="Q1586" s="163"/>
      <c r="R1586" s="163"/>
      <c r="S1586" s="163"/>
    </row>
    <row r="1587" spans="5:19" x14ac:dyDescent="0.25">
      <c r="E1587" s="163"/>
      <c r="K1587" s="163"/>
      <c r="Q1587" s="163"/>
      <c r="R1587" s="163"/>
      <c r="S1587" s="163"/>
    </row>
    <row r="1588" spans="5:19" x14ac:dyDescent="0.25">
      <c r="E1588" s="163"/>
      <c r="K1588" s="163"/>
      <c r="Q1588" s="163"/>
      <c r="R1588" s="163"/>
      <c r="S1588" s="163"/>
    </row>
    <row r="1589" spans="5:19" x14ac:dyDescent="0.25">
      <c r="E1589" s="163"/>
      <c r="K1589" s="163"/>
      <c r="Q1589" s="163"/>
      <c r="R1589" s="163"/>
      <c r="S1589" s="163"/>
    </row>
    <row r="1590" spans="5:19" x14ac:dyDescent="0.25">
      <c r="E1590" s="163"/>
      <c r="K1590" s="163"/>
      <c r="Q1590" s="163"/>
      <c r="R1590" s="163"/>
      <c r="S1590" s="163"/>
    </row>
    <row r="1591" spans="5:19" x14ac:dyDescent="0.25">
      <c r="E1591" s="163"/>
      <c r="K1591" s="163"/>
      <c r="Q1591" s="163"/>
      <c r="R1591" s="163"/>
      <c r="S1591" s="163"/>
    </row>
    <row r="1592" spans="5:19" x14ac:dyDescent="0.25">
      <c r="E1592" s="163"/>
      <c r="K1592" s="163"/>
      <c r="Q1592" s="163"/>
      <c r="R1592" s="163"/>
      <c r="S1592" s="163"/>
    </row>
    <row r="1593" spans="5:19" x14ac:dyDescent="0.25">
      <c r="E1593" s="163"/>
      <c r="K1593" s="163"/>
      <c r="Q1593" s="163"/>
      <c r="R1593" s="163"/>
      <c r="S1593" s="163"/>
    </row>
    <row r="1594" spans="5:19" x14ac:dyDescent="0.25">
      <c r="E1594" s="163"/>
      <c r="K1594" s="163"/>
      <c r="Q1594" s="163"/>
      <c r="R1594" s="163"/>
      <c r="S1594" s="163"/>
    </row>
    <row r="1595" spans="5:19" x14ac:dyDescent="0.25">
      <c r="E1595" s="163"/>
      <c r="K1595" s="163"/>
      <c r="Q1595" s="163"/>
      <c r="R1595" s="163"/>
      <c r="S1595" s="163"/>
    </row>
    <row r="1596" spans="5:19" x14ac:dyDescent="0.25">
      <c r="E1596" s="163"/>
      <c r="K1596" s="163"/>
      <c r="Q1596" s="163"/>
      <c r="R1596" s="163"/>
      <c r="S1596" s="163"/>
    </row>
    <row r="1597" spans="5:19" x14ac:dyDescent="0.25">
      <c r="E1597" s="163"/>
      <c r="K1597" s="163"/>
      <c r="Q1597" s="163"/>
      <c r="R1597" s="163"/>
      <c r="S1597" s="163"/>
    </row>
    <row r="1598" spans="5:19" x14ac:dyDescent="0.25">
      <c r="E1598" s="163"/>
      <c r="K1598" s="163"/>
      <c r="Q1598" s="163"/>
      <c r="R1598" s="163"/>
      <c r="S1598" s="163"/>
    </row>
    <row r="1599" spans="5:19" x14ac:dyDescent="0.25">
      <c r="E1599" s="163"/>
      <c r="K1599" s="163"/>
      <c r="Q1599" s="163"/>
      <c r="R1599" s="163"/>
      <c r="S1599" s="163"/>
    </row>
    <row r="1600" spans="5:19" x14ac:dyDescent="0.25">
      <c r="E1600" s="163"/>
      <c r="K1600" s="163"/>
      <c r="Q1600" s="163"/>
      <c r="R1600" s="163"/>
      <c r="S1600" s="163"/>
    </row>
    <row r="1601" spans="5:19" x14ac:dyDescent="0.25">
      <c r="E1601" s="163"/>
      <c r="K1601" s="163"/>
      <c r="Q1601" s="163"/>
      <c r="R1601" s="163"/>
      <c r="S1601" s="163"/>
    </row>
    <row r="1602" spans="5:19" x14ac:dyDescent="0.25">
      <c r="E1602" s="163"/>
      <c r="K1602" s="163"/>
      <c r="Q1602" s="163"/>
      <c r="R1602" s="163"/>
      <c r="S1602" s="163"/>
    </row>
    <row r="1603" spans="5:19" x14ac:dyDescent="0.25">
      <c r="E1603" s="163"/>
      <c r="K1603" s="163"/>
      <c r="Q1603" s="163"/>
      <c r="R1603" s="163"/>
      <c r="S1603" s="163"/>
    </row>
    <row r="1604" spans="5:19" x14ac:dyDescent="0.25">
      <c r="E1604" s="163"/>
      <c r="K1604" s="163"/>
      <c r="Q1604" s="163"/>
      <c r="R1604" s="163"/>
      <c r="S1604" s="163"/>
    </row>
    <row r="1605" spans="5:19" x14ac:dyDescent="0.25">
      <c r="E1605" s="163"/>
      <c r="K1605" s="163"/>
      <c r="Q1605" s="163"/>
      <c r="R1605" s="163"/>
      <c r="S1605" s="163"/>
    </row>
    <row r="1606" spans="5:19" x14ac:dyDescent="0.25">
      <c r="E1606" s="163"/>
      <c r="K1606" s="163"/>
      <c r="Q1606" s="163"/>
      <c r="R1606" s="163"/>
      <c r="S1606" s="163"/>
    </row>
    <row r="1607" spans="5:19" x14ac:dyDescent="0.25">
      <c r="E1607" s="163"/>
      <c r="K1607" s="163"/>
      <c r="Q1607" s="163"/>
      <c r="R1607" s="163"/>
      <c r="S1607" s="163"/>
    </row>
    <row r="1608" spans="5:19" x14ac:dyDescent="0.25">
      <c r="E1608" s="163"/>
      <c r="K1608" s="163"/>
      <c r="Q1608" s="163"/>
      <c r="R1608" s="163"/>
      <c r="S1608" s="163"/>
    </row>
    <row r="1609" spans="5:19" x14ac:dyDescent="0.25">
      <c r="E1609" s="163"/>
      <c r="K1609" s="163"/>
      <c r="Q1609" s="163"/>
      <c r="R1609" s="163"/>
      <c r="S1609" s="163"/>
    </row>
    <row r="1610" spans="5:19" x14ac:dyDescent="0.25">
      <c r="E1610" s="163"/>
      <c r="K1610" s="163"/>
      <c r="Q1610" s="163"/>
      <c r="R1610" s="163"/>
      <c r="S1610" s="163"/>
    </row>
    <row r="1611" spans="5:19" x14ac:dyDescent="0.25">
      <c r="E1611" s="163"/>
      <c r="K1611" s="163"/>
      <c r="Q1611" s="163"/>
      <c r="R1611" s="163"/>
      <c r="S1611" s="163"/>
    </row>
    <row r="1612" spans="5:19" x14ac:dyDescent="0.25">
      <c r="E1612" s="163"/>
      <c r="K1612" s="163"/>
      <c r="Q1612" s="163"/>
      <c r="R1612" s="163"/>
      <c r="S1612" s="163"/>
    </row>
    <row r="1613" spans="5:19" x14ac:dyDescent="0.25">
      <c r="E1613" s="163"/>
      <c r="K1613" s="163"/>
      <c r="Q1613" s="163"/>
      <c r="R1613" s="163"/>
      <c r="S1613" s="163"/>
    </row>
    <row r="1614" spans="5:19" x14ac:dyDescent="0.25">
      <c r="E1614" s="163"/>
      <c r="K1614" s="163"/>
      <c r="Q1614" s="163"/>
      <c r="R1614" s="163"/>
      <c r="S1614" s="163"/>
    </row>
    <row r="1615" spans="5:19" x14ac:dyDescent="0.25">
      <c r="E1615" s="163"/>
      <c r="K1615" s="163"/>
      <c r="Q1615" s="163"/>
      <c r="R1615" s="163"/>
      <c r="S1615" s="163"/>
    </row>
    <row r="1616" spans="5:19" x14ac:dyDescent="0.25">
      <c r="E1616" s="163"/>
      <c r="K1616" s="163"/>
      <c r="Q1616" s="163"/>
      <c r="R1616" s="163"/>
      <c r="S1616" s="163"/>
    </row>
    <row r="1617" spans="5:19" x14ac:dyDescent="0.25">
      <c r="E1617" s="163"/>
      <c r="K1617" s="163"/>
      <c r="Q1617" s="163"/>
      <c r="R1617" s="163"/>
      <c r="S1617" s="163"/>
    </row>
    <row r="1618" spans="5:19" x14ac:dyDescent="0.25">
      <c r="E1618" s="163"/>
      <c r="K1618" s="163"/>
      <c r="Q1618" s="163"/>
      <c r="R1618" s="163"/>
      <c r="S1618" s="163"/>
    </row>
    <row r="1619" spans="5:19" x14ac:dyDescent="0.25">
      <c r="E1619" s="163"/>
      <c r="K1619" s="163"/>
      <c r="Q1619" s="163"/>
      <c r="R1619" s="163"/>
      <c r="S1619" s="163"/>
    </row>
    <row r="1620" spans="5:19" x14ac:dyDescent="0.25">
      <c r="E1620" s="163"/>
      <c r="K1620" s="163"/>
      <c r="Q1620" s="163"/>
      <c r="R1620" s="163"/>
      <c r="S1620" s="163"/>
    </row>
    <row r="1621" spans="5:19" x14ac:dyDescent="0.25">
      <c r="E1621" s="163"/>
      <c r="K1621" s="163"/>
      <c r="Q1621" s="163"/>
      <c r="R1621" s="163"/>
      <c r="S1621" s="163"/>
    </row>
    <row r="1622" spans="5:19" x14ac:dyDescent="0.25">
      <c r="E1622" s="163"/>
      <c r="K1622" s="163"/>
      <c r="Q1622" s="163"/>
      <c r="R1622" s="163"/>
      <c r="S1622" s="163"/>
    </row>
    <row r="1623" spans="5:19" x14ac:dyDescent="0.25">
      <c r="E1623" s="163"/>
      <c r="K1623" s="163"/>
      <c r="Q1623" s="163"/>
      <c r="R1623" s="163"/>
      <c r="S1623" s="163"/>
    </row>
    <row r="1624" spans="5:19" x14ac:dyDescent="0.25">
      <c r="E1624" s="163"/>
      <c r="K1624" s="163"/>
      <c r="Q1624" s="163"/>
      <c r="R1624" s="163"/>
      <c r="S1624" s="163"/>
    </row>
    <row r="1625" spans="5:19" x14ac:dyDescent="0.25">
      <c r="E1625" s="163"/>
      <c r="K1625" s="163"/>
      <c r="Q1625" s="163"/>
      <c r="R1625" s="163"/>
      <c r="S1625" s="163"/>
    </row>
    <row r="1626" spans="5:19" x14ac:dyDescent="0.25">
      <c r="E1626" s="163"/>
      <c r="K1626" s="163"/>
      <c r="Q1626" s="163"/>
      <c r="R1626" s="163"/>
      <c r="S1626" s="163"/>
    </row>
    <row r="1627" spans="5:19" x14ac:dyDescent="0.25">
      <c r="E1627" s="163"/>
      <c r="K1627" s="163"/>
      <c r="Q1627" s="163"/>
      <c r="R1627" s="163"/>
      <c r="S1627" s="163"/>
    </row>
    <row r="1628" spans="5:19" x14ac:dyDescent="0.25">
      <c r="E1628" s="163"/>
      <c r="K1628" s="163"/>
      <c r="Q1628" s="163"/>
      <c r="R1628" s="163"/>
      <c r="S1628" s="163"/>
    </row>
    <row r="1629" spans="5:19" x14ac:dyDescent="0.25">
      <c r="E1629" s="163"/>
      <c r="K1629" s="163"/>
      <c r="Q1629" s="163"/>
      <c r="R1629" s="163"/>
      <c r="S1629" s="163"/>
    </row>
    <row r="1630" spans="5:19" x14ac:dyDescent="0.25">
      <c r="E1630" s="163"/>
      <c r="K1630" s="163"/>
      <c r="Q1630" s="163"/>
      <c r="R1630" s="163"/>
      <c r="S1630" s="163"/>
    </row>
    <row r="1631" spans="5:19" x14ac:dyDescent="0.25">
      <c r="E1631" s="163"/>
      <c r="K1631" s="163"/>
      <c r="Q1631" s="163"/>
      <c r="R1631" s="163"/>
      <c r="S1631" s="163"/>
    </row>
    <row r="1632" spans="5:19" x14ac:dyDescent="0.25">
      <c r="E1632" s="163"/>
      <c r="K1632" s="163"/>
      <c r="Q1632" s="163"/>
      <c r="R1632" s="163"/>
      <c r="S1632" s="163"/>
    </row>
    <row r="1633" spans="5:19" x14ac:dyDescent="0.25">
      <c r="E1633" s="163"/>
      <c r="K1633" s="163"/>
      <c r="Q1633" s="163"/>
      <c r="R1633" s="163"/>
      <c r="S1633" s="163"/>
    </row>
    <row r="1634" spans="5:19" x14ac:dyDescent="0.25">
      <c r="E1634" s="163"/>
      <c r="K1634" s="163"/>
      <c r="Q1634" s="163"/>
      <c r="R1634" s="163"/>
      <c r="S1634" s="163"/>
    </row>
    <row r="1635" spans="5:19" x14ac:dyDescent="0.25">
      <c r="E1635" s="163"/>
      <c r="K1635" s="163"/>
      <c r="Q1635" s="163"/>
      <c r="R1635" s="163"/>
      <c r="S1635" s="163"/>
    </row>
    <row r="1636" spans="5:19" x14ac:dyDescent="0.25">
      <c r="E1636" s="163"/>
      <c r="K1636" s="163"/>
      <c r="Q1636" s="163"/>
      <c r="R1636" s="163"/>
      <c r="S1636" s="163"/>
    </row>
    <row r="1637" spans="5:19" x14ac:dyDescent="0.25">
      <c r="E1637" s="163"/>
      <c r="K1637" s="163"/>
      <c r="Q1637" s="163"/>
      <c r="R1637" s="163"/>
      <c r="S1637" s="163"/>
    </row>
    <row r="1638" spans="5:19" x14ac:dyDescent="0.25">
      <c r="E1638" s="163"/>
      <c r="K1638" s="163"/>
      <c r="Q1638" s="163"/>
      <c r="R1638" s="163"/>
      <c r="S1638" s="163"/>
    </row>
    <row r="1639" spans="5:19" x14ac:dyDescent="0.25">
      <c r="E1639" s="163"/>
      <c r="K1639" s="163"/>
      <c r="Q1639" s="163"/>
      <c r="R1639" s="163"/>
      <c r="S1639" s="163"/>
    </row>
    <row r="1640" spans="5:19" x14ac:dyDescent="0.25">
      <c r="E1640" s="163"/>
      <c r="K1640" s="163"/>
      <c r="Q1640" s="163"/>
      <c r="R1640" s="163"/>
      <c r="S1640" s="163"/>
    </row>
    <row r="1641" spans="5:19" x14ac:dyDescent="0.25">
      <c r="E1641" s="163"/>
      <c r="K1641" s="163"/>
      <c r="Q1641" s="163"/>
      <c r="R1641" s="163"/>
      <c r="S1641" s="163"/>
    </row>
    <row r="1642" spans="5:19" x14ac:dyDescent="0.25">
      <c r="E1642" s="163"/>
      <c r="K1642" s="163"/>
      <c r="Q1642" s="163"/>
      <c r="R1642" s="163"/>
      <c r="S1642" s="163"/>
    </row>
    <row r="1643" spans="5:19" x14ac:dyDescent="0.25">
      <c r="E1643" s="163"/>
      <c r="K1643" s="163"/>
      <c r="Q1643" s="163"/>
      <c r="R1643" s="163"/>
      <c r="S1643" s="163"/>
    </row>
    <row r="1644" spans="5:19" x14ac:dyDescent="0.25">
      <c r="E1644" s="163"/>
      <c r="K1644" s="163"/>
      <c r="Q1644" s="163"/>
      <c r="R1644" s="163"/>
      <c r="S1644" s="163"/>
    </row>
    <row r="1645" spans="5:19" x14ac:dyDescent="0.25">
      <c r="E1645" s="163"/>
      <c r="K1645" s="163"/>
      <c r="Q1645" s="163"/>
      <c r="R1645" s="163"/>
      <c r="S1645" s="163"/>
    </row>
    <row r="1646" spans="5:19" x14ac:dyDescent="0.25">
      <c r="E1646" s="163"/>
      <c r="K1646" s="163"/>
      <c r="Q1646" s="163"/>
      <c r="R1646" s="163"/>
      <c r="S1646" s="163"/>
    </row>
    <row r="1647" spans="5:19" x14ac:dyDescent="0.25">
      <c r="E1647" s="163"/>
      <c r="K1647" s="163"/>
      <c r="Q1647" s="163"/>
      <c r="R1647" s="163"/>
      <c r="S1647" s="163"/>
    </row>
    <row r="1648" spans="5:19" x14ac:dyDescent="0.25">
      <c r="E1648" s="163"/>
      <c r="K1648" s="163"/>
      <c r="Q1648" s="163"/>
      <c r="R1648" s="163"/>
      <c r="S1648" s="163"/>
    </row>
    <row r="1649" spans="5:19" x14ac:dyDescent="0.25">
      <c r="E1649" s="163"/>
      <c r="K1649" s="163"/>
      <c r="Q1649" s="163"/>
      <c r="R1649" s="163"/>
      <c r="S1649" s="163"/>
    </row>
    <row r="1650" spans="5:19" x14ac:dyDescent="0.25">
      <c r="E1650" s="163"/>
      <c r="K1650" s="163"/>
      <c r="Q1650" s="163"/>
      <c r="R1650" s="163"/>
      <c r="S1650" s="163"/>
    </row>
    <row r="1651" spans="5:19" x14ac:dyDescent="0.25">
      <c r="E1651" s="163"/>
      <c r="K1651" s="163"/>
      <c r="Q1651" s="163"/>
      <c r="R1651" s="163"/>
      <c r="S1651" s="163"/>
    </row>
    <row r="1652" spans="5:19" x14ac:dyDescent="0.25">
      <c r="E1652" s="163"/>
      <c r="K1652" s="163"/>
      <c r="Q1652" s="163"/>
      <c r="R1652" s="163"/>
      <c r="S1652" s="163"/>
    </row>
    <row r="1653" spans="5:19" x14ac:dyDescent="0.25">
      <c r="E1653" s="163"/>
      <c r="K1653" s="163"/>
      <c r="Q1653" s="163"/>
      <c r="R1653" s="163"/>
      <c r="S1653" s="163"/>
    </row>
    <row r="1654" spans="5:19" x14ac:dyDescent="0.25">
      <c r="E1654" s="163"/>
      <c r="K1654" s="163"/>
      <c r="Q1654" s="163"/>
      <c r="R1654" s="163"/>
      <c r="S1654" s="163"/>
    </row>
    <row r="1655" spans="5:19" x14ac:dyDescent="0.25">
      <c r="E1655" s="163"/>
      <c r="K1655" s="163"/>
      <c r="Q1655" s="163"/>
      <c r="R1655" s="163"/>
      <c r="S1655" s="163"/>
    </row>
    <row r="1656" spans="5:19" x14ac:dyDescent="0.25">
      <c r="E1656" s="163"/>
      <c r="K1656" s="163"/>
      <c r="Q1656" s="163"/>
      <c r="R1656" s="163"/>
      <c r="S1656" s="163"/>
    </row>
    <row r="1657" spans="5:19" x14ac:dyDescent="0.25">
      <c r="E1657" s="163"/>
      <c r="K1657" s="163"/>
      <c r="Q1657" s="163"/>
      <c r="R1657" s="163"/>
      <c r="S1657" s="163"/>
    </row>
    <row r="1658" spans="5:19" x14ac:dyDescent="0.25">
      <c r="E1658" s="163"/>
      <c r="K1658" s="163"/>
      <c r="Q1658" s="163"/>
      <c r="R1658" s="163"/>
      <c r="S1658" s="163"/>
    </row>
    <row r="1659" spans="5:19" x14ac:dyDescent="0.25">
      <c r="E1659" s="163"/>
      <c r="K1659" s="163"/>
      <c r="Q1659" s="163"/>
      <c r="R1659" s="163"/>
      <c r="S1659" s="163"/>
    </row>
    <row r="1660" spans="5:19" x14ac:dyDescent="0.25">
      <c r="E1660" s="163"/>
      <c r="K1660" s="163"/>
      <c r="Q1660" s="163"/>
      <c r="R1660" s="163"/>
      <c r="S1660" s="163"/>
    </row>
    <row r="1661" spans="5:19" x14ac:dyDescent="0.25">
      <c r="E1661" s="163"/>
      <c r="K1661" s="163"/>
      <c r="Q1661" s="163"/>
      <c r="R1661" s="163"/>
      <c r="S1661" s="163"/>
    </row>
    <row r="1662" spans="5:19" x14ac:dyDescent="0.25">
      <c r="E1662" s="163"/>
      <c r="K1662" s="163"/>
      <c r="Q1662" s="163"/>
      <c r="R1662" s="163"/>
      <c r="S1662" s="163"/>
    </row>
    <row r="1663" spans="5:19" x14ac:dyDescent="0.25">
      <c r="E1663" s="163"/>
      <c r="K1663" s="163"/>
      <c r="Q1663" s="163"/>
      <c r="R1663" s="163"/>
      <c r="S1663" s="163"/>
    </row>
    <row r="1664" spans="5:19" x14ac:dyDescent="0.25">
      <c r="E1664" s="163"/>
      <c r="K1664" s="163"/>
      <c r="Q1664" s="163"/>
      <c r="R1664" s="163"/>
      <c r="S1664" s="163"/>
    </row>
    <row r="1665" spans="5:19" x14ac:dyDescent="0.25">
      <c r="E1665" s="163"/>
      <c r="K1665" s="163"/>
      <c r="Q1665" s="163"/>
      <c r="R1665" s="163"/>
      <c r="S1665" s="163"/>
    </row>
    <row r="1666" spans="5:19" x14ac:dyDescent="0.25">
      <c r="E1666" s="163"/>
      <c r="K1666" s="163"/>
      <c r="Q1666" s="163"/>
      <c r="R1666" s="163"/>
      <c r="S1666" s="163"/>
    </row>
    <row r="1667" spans="5:19" x14ac:dyDescent="0.25">
      <c r="E1667" s="163"/>
      <c r="K1667" s="163"/>
      <c r="Q1667" s="163"/>
      <c r="R1667" s="163"/>
      <c r="S1667" s="163"/>
    </row>
    <row r="1668" spans="5:19" x14ac:dyDescent="0.25">
      <c r="E1668" s="163"/>
      <c r="K1668" s="163"/>
      <c r="Q1668" s="163"/>
      <c r="R1668" s="163"/>
      <c r="S1668" s="163"/>
    </row>
    <row r="1669" spans="5:19" x14ac:dyDescent="0.25">
      <c r="E1669" s="163"/>
      <c r="K1669" s="163"/>
      <c r="Q1669" s="163"/>
      <c r="R1669" s="163"/>
      <c r="S1669" s="163"/>
    </row>
    <row r="1670" spans="5:19" x14ac:dyDescent="0.25">
      <c r="E1670" s="163"/>
      <c r="K1670" s="163"/>
      <c r="Q1670" s="163"/>
      <c r="R1670" s="163"/>
      <c r="S1670" s="163"/>
    </row>
    <row r="1671" spans="5:19" x14ac:dyDescent="0.25">
      <c r="E1671" s="163"/>
      <c r="K1671" s="163"/>
      <c r="Q1671" s="163"/>
      <c r="R1671" s="163"/>
      <c r="S1671" s="163"/>
    </row>
    <row r="1672" spans="5:19" x14ac:dyDescent="0.25">
      <c r="E1672" s="163"/>
      <c r="K1672" s="163"/>
      <c r="Q1672" s="163"/>
      <c r="R1672" s="163"/>
      <c r="S1672" s="163"/>
    </row>
    <row r="1673" spans="5:19" x14ac:dyDescent="0.25">
      <c r="E1673" s="163"/>
      <c r="K1673" s="163"/>
      <c r="Q1673" s="163"/>
      <c r="R1673" s="163"/>
      <c r="S1673" s="163"/>
    </row>
    <row r="1674" spans="5:19" x14ac:dyDescent="0.25">
      <c r="E1674" s="163"/>
      <c r="K1674" s="163"/>
      <c r="Q1674" s="163"/>
      <c r="R1674" s="163"/>
      <c r="S1674" s="163"/>
    </row>
    <row r="1675" spans="5:19" x14ac:dyDescent="0.25">
      <c r="E1675" s="163"/>
      <c r="K1675" s="163"/>
      <c r="Q1675" s="163"/>
      <c r="R1675" s="163"/>
      <c r="S1675" s="163"/>
    </row>
    <row r="1676" spans="5:19" x14ac:dyDescent="0.25">
      <c r="E1676" s="163"/>
      <c r="K1676" s="163"/>
      <c r="Q1676" s="163"/>
      <c r="R1676" s="163"/>
      <c r="S1676" s="163"/>
    </row>
    <row r="1677" spans="5:19" x14ac:dyDescent="0.25">
      <c r="E1677" s="163"/>
      <c r="K1677" s="163"/>
      <c r="Q1677" s="163"/>
      <c r="R1677" s="163"/>
      <c r="S1677" s="163"/>
    </row>
    <row r="1678" spans="5:19" x14ac:dyDescent="0.25">
      <c r="E1678" s="163"/>
      <c r="K1678" s="163"/>
      <c r="Q1678" s="163"/>
      <c r="R1678" s="163"/>
      <c r="S1678" s="163"/>
    </row>
    <row r="1679" spans="5:19" x14ac:dyDescent="0.25">
      <c r="E1679" s="163"/>
      <c r="K1679" s="163"/>
      <c r="Q1679" s="163"/>
      <c r="R1679" s="163"/>
      <c r="S1679" s="163"/>
    </row>
    <row r="1680" spans="5:19" x14ac:dyDescent="0.25">
      <c r="E1680" s="163"/>
      <c r="K1680" s="163"/>
      <c r="Q1680" s="163"/>
      <c r="R1680" s="163"/>
      <c r="S1680" s="163"/>
    </row>
    <row r="1681" spans="5:19" x14ac:dyDescent="0.25">
      <c r="E1681" s="163"/>
      <c r="K1681" s="163"/>
      <c r="Q1681" s="163"/>
      <c r="R1681" s="163"/>
      <c r="S1681" s="163"/>
    </row>
    <row r="1682" spans="5:19" x14ac:dyDescent="0.25">
      <c r="E1682" s="163"/>
      <c r="K1682" s="163"/>
      <c r="Q1682" s="163"/>
      <c r="R1682" s="163"/>
      <c r="S1682" s="163"/>
    </row>
    <row r="1683" spans="5:19" x14ac:dyDescent="0.25">
      <c r="E1683" s="163"/>
      <c r="K1683" s="163"/>
      <c r="Q1683" s="163"/>
      <c r="R1683" s="163"/>
      <c r="S1683" s="163"/>
    </row>
    <row r="1684" spans="5:19" x14ac:dyDescent="0.25">
      <c r="E1684" s="163"/>
      <c r="K1684" s="163"/>
      <c r="Q1684" s="163"/>
      <c r="R1684" s="163"/>
      <c r="S1684" s="163"/>
    </row>
    <row r="1685" spans="5:19" x14ac:dyDescent="0.25">
      <c r="E1685" s="163"/>
      <c r="K1685" s="163"/>
      <c r="Q1685" s="163"/>
      <c r="R1685" s="163"/>
      <c r="S1685" s="163"/>
    </row>
    <row r="1686" spans="5:19" x14ac:dyDescent="0.25">
      <c r="E1686" s="163"/>
      <c r="K1686" s="163"/>
      <c r="Q1686" s="163"/>
      <c r="R1686" s="163"/>
      <c r="S1686" s="163"/>
    </row>
    <row r="1687" spans="5:19" x14ac:dyDescent="0.25">
      <c r="E1687" s="163"/>
      <c r="K1687" s="163"/>
      <c r="Q1687" s="163"/>
      <c r="R1687" s="163"/>
      <c r="S1687" s="163"/>
    </row>
    <row r="1688" spans="5:19" x14ac:dyDescent="0.25">
      <c r="E1688" s="163"/>
      <c r="K1688" s="163"/>
      <c r="Q1688" s="163"/>
      <c r="R1688" s="163"/>
      <c r="S1688" s="163"/>
    </row>
    <row r="1689" spans="5:19" x14ac:dyDescent="0.25">
      <c r="E1689" s="163"/>
      <c r="K1689" s="163"/>
      <c r="Q1689" s="163"/>
      <c r="R1689" s="163"/>
      <c r="S1689" s="163"/>
    </row>
    <row r="1690" spans="5:19" x14ac:dyDescent="0.25">
      <c r="E1690" s="163"/>
      <c r="K1690" s="163"/>
      <c r="Q1690" s="163"/>
      <c r="R1690" s="163"/>
      <c r="S1690" s="163"/>
    </row>
    <row r="1691" spans="5:19" x14ac:dyDescent="0.25">
      <c r="E1691" s="163"/>
      <c r="K1691" s="163"/>
      <c r="Q1691" s="163"/>
      <c r="R1691" s="163"/>
      <c r="S1691" s="163"/>
    </row>
    <row r="1692" spans="5:19" x14ac:dyDescent="0.25">
      <c r="E1692" s="163"/>
      <c r="K1692" s="163"/>
      <c r="Q1692" s="163"/>
      <c r="R1692" s="163"/>
      <c r="S1692" s="163"/>
    </row>
    <row r="1693" spans="5:19" x14ac:dyDescent="0.25">
      <c r="E1693" s="163"/>
      <c r="K1693" s="163"/>
      <c r="Q1693" s="163"/>
      <c r="R1693" s="163"/>
      <c r="S1693" s="163"/>
    </row>
    <row r="1694" spans="5:19" x14ac:dyDescent="0.25">
      <c r="E1694" s="163"/>
      <c r="K1694" s="163"/>
      <c r="Q1694" s="163"/>
      <c r="R1694" s="163"/>
      <c r="S1694" s="163"/>
    </row>
    <row r="1695" spans="5:19" x14ac:dyDescent="0.25">
      <c r="E1695" s="163"/>
      <c r="K1695" s="163"/>
      <c r="Q1695" s="163"/>
      <c r="R1695" s="163"/>
      <c r="S1695" s="163"/>
    </row>
    <row r="1696" spans="5:19" x14ac:dyDescent="0.25">
      <c r="E1696" s="163"/>
      <c r="K1696" s="163"/>
      <c r="Q1696" s="163"/>
      <c r="R1696" s="163"/>
      <c r="S1696" s="163"/>
    </row>
    <row r="1697" spans="5:19" x14ac:dyDescent="0.25">
      <c r="E1697" s="163"/>
      <c r="K1697" s="163"/>
      <c r="Q1697" s="163"/>
      <c r="R1697" s="163"/>
      <c r="S1697" s="163"/>
    </row>
    <row r="1698" spans="5:19" x14ac:dyDescent="0.25">
      <c r="E1698" s="163"/>
      <c r="K1698" s="163"/>
      <c r="Q1698" s="163"/>
      <c r="R1698" s="163"/>
      <c r="S1698" s="163"/>
    </row>
    <row r="1699" spans="5:19" x14ac:dyDescent="0.25">
      <c r="E1699" s="163"/>
      <c r="K1699" s="163"/>
      <c r="Q1699" s="163"/>
      <c r="R1699" s="163"/>
      <c r="S1699" s="163"/>
    </row>
    <row r="1700" spans="5:19" x14ac:dyDescent="0.25">
      <c r="E1700" s="163"/>
      <c r="K1700" s="163"/>
      <c r="Q1700" s="163"/>
      <c r="R1700" s="163"/>
      <c r="S1700" s="163"/>
    </row>
    <row r="1701" spans="5:19" x14ac:dyDescent="0.25">
      <c r="E1701" s="163"/>
      <c r="K1701" s="163"/>
      <c r="Q1701" s="163"/>
      <c r="R1701" s="163"/>
      <c r="S1701" s="163"/>
    </row>
    <row r="1702" spans="5:19" x14ac:dyDescent="0.25">
      <c r="E1702" s="163"/>
      <c r="K1702" s="163"/>
      <c r="Q1702" s="163"/>
      <c r="R1702" s="163"/>
      <c r="S1702" s="163"/>
    </row>
    <row r="1703" spans="5:19" x14ac:dyDescent="0.25">
      <c r="E1703" s="163"/>
      <c r="K1703" s="163"/>
      <c r="Q1703" s="163"/>
      <c r="R1703" s="163"/>
      <c r="S1703" s="163"/>
    </row>
    <row r="1704" spans="5:19" x14ac:dyDescent="0.25">
      <c r="E1704" s="163"/>
      <c r="K1704" s="163"/>
      <c r="Q1704" s="163"/>
      <c r="R1704" s="163"/>
      <c r="S1704" s="163"/>
    </row>
    <row r="1705" spans="5:19" x14ac:dyDescent="0.25">
      <c r="E1705" s="163"/>
      <c r="K1705" s="163"/>
      <c r="Q1705" s="163"/>
      <c r="R1705" s="163"/>
      <c r="S1705" s="163"/>
    </row>
    <row r="1706" spans="5:19" x14ac:dyDescent="0.25">
      <c r="E1706" s="163"/>
      <c r="K1706" s="163"/>
      <c r="Q1706" s="163"/>
      <c r="R1706" s="163"/>
      <c r="S1706" s="163"/>
    </row>
    <row r="1707" spans="5:19" x14ac:dyDescent="0.25">
      <c r="E1707" s="163"/>
      <c r="K1707" s="163"/>
      <c r="Q1707" s="163"/>
      <c r="R1707" s="163"/>
      <c r="S1707" s="163"/>
    </row>
    <row r="1708" spans="5:19" x14ac:dyDescent="0.25">
      <c r="E1708" s="163"/>
      <c r="K1708" s="163"/>
      <c r="Q1708" s="163"/>
      <c r="R1708" s="163"/>
      <c r="S1708" s="163"/>
    </row>
    <row r="1709" spans="5:19" x14ac:dyDescent="0.25">
      <c r="E1709" s="163"/>
      <c r="K1709" s="163"/>
      <c r="Q1709" s="163"/>
      <c r="R1709" s="163"/>
      <c r="S1709" s="163"/>
    </row>
    <row r="1710" spans="5:19" x14ac:dyDescent="0.25">
      <c r="E1710" s="163"/>
      <c r="K1710" s="163"/>
      <c r="Q1710" s="163"/>
      <c r="R1710" s="163"/>
      <c r="S1710" s="163"/>
    </row>
    <row r="1711" spans="5:19" x14ac:dyDescent="0.25">
      <c r="E1711" s="163"/>
      <c r="K1711" s="163"/>
      <c r="Q1711" s="163"/>
      <c r="R1711" s="163"/>
      <c r="S1711" s="163"/>
    </row>
    <row r="1712" spans="5:19" x14ac:dyDescent="0.25">
      <c r="E1712" s="163"/>
      <c r="K1712" s="163"/>
      <c r="Q1712" s="163"/>
      <c r="R1712" s="163"/>
      <c r="S1712" s="163"/>
    </row>
    <row r="1713" spans="5:19" x14ac:dyDescent="0.25">
      <c r="E1713" s="163"/>
      <c r="K1713" s="163"/>
      <c r="Q1713" s="163"/>
      <c r="R1713" s="163"/>
      <c r="S1713" s="163"/>
    </row>
    <row r="1714" spans="5:19" x14ac:dyDescent="0.25">
      <c r="E1714" s="163"/>
      <c r="K1714" s="163"/>
      <c r="Q1714" s="163"/>
      <c r="R1714" s="163"/>
      <c r="S1714" s="163"/>
    </row>
    <row r="1715" spans="5:19" x14ac:dyDescent="0.25">
      <c r="E1715" s="163"/>
      <c r="K1715" s="163"/>
      <c r="Q1715" s="163"/>
      <c r="R1715" s="163"/>
      <c r="S1715" s="163"/>
    </row>
    <row r="1716" spans="5:19" x14ac:dyDescent="0.25">
      <c r="E1716" s="163"/>
      <c r="K1716" s="163"/>
      <c r="Q1716" s="163"/>
      <c r="R1716" s="163"/>
      <c r="S1716" s="163"/>
    </row>
    <row r="1717" spans="5:19" x14ac:dyDescent="0.25">
      <c r="E1717" s="163"/>
      <c r="K1717" s="163"/>
      <c r="Q1717" s="163"/>
      <c r="R1717" s="163"/>
      <c r="S1717" s="163"/>
    </row>
    <row r="1718" spans="5:19" x14ac:dyDescent="0.25">
      <c r="E1718" s="163"/>
      <c r="K1718" s="163"/>
      <c r="Q1718" s="163"/>
      <c r="R1718" s="163"/>
      <c r="S1718" s="163"/>
    </row>
    <row r="1719" spans="5:19" x14ac:dyDescent="0.25">
      <c r="E1719" s="163"/>
      <c r="K1719" s="163"/>
      <c r="Q1719" s="163"/>
      <c r="R1719" s="163"/>
      <c r="S1719" s="163"/>
    </row>
    <row r="1720" spans="5:19" x14ac:dyDescent="0.25">
      <c r="E1720" s="163"/>
      <c r="K1720" s="163"/>
      <c r="Q1720" s="163"/>
      <c r="R1720" s="163"/>
      <c r="S1720" s="163"/>
    </row>
    <row r="1721" spans="5:19" x14ac:dyDescent="0.25">
      <c r="E1721" s="163"/>
      <c r="K1721" s="163"/>
      <c r="Q1721" s="163"/>
      <c r="R1721" s="163"/>
      <c r="S1721" s="163"/>
    </row>
    <row r="1722" spans="5:19" x14ac:dyDescent="0.25">
      <c r="E1722" s="163"/>
      <c r="K1722" s="163"/>
      <c r="Q1722" s="163"/>
      <c r="R1722" s="163"/>
      <c r="S1722" s="163"/>
    </row>
    <row r="1723" spans="5:19" x14ac:dyDescent="0.25">
      <c r="E1723" s="163"/>
      <c r="K1723" s="163"/>
      <c r="Q1723" s="163"/>
      <c r="R1723" s="163"/>
      <c r="S1723" s="163"/>
    </row>
    <row r="1724" spans="5:19" x14ac:dyDescent="0.25">
      <c r="E1724" s="163"/>
      <c r="K1724" s="163"/>
      <c r="Q1724" s="163"/>
      <c r="R1724" s="163"/>
      <c r="S1724" s="163"/>
    </row>
    <row r="1725" spans="5:19" x14ac:dyDescent="0.25">
      <c r="E1725" s="163"/>
      <c r="K1725" s="163"/>
      <c r="Q1725" s="163"/>
      <c r="R1725" s="163"/>
      <c r="S1725" s="163"/>
    </row>
    <row r="1726" spans="5:19" x14ac:dyDescent="0.25">
      <c r="E1726" s="163"/>
      <c r="K1726" s="163"/>
      <c r="Q1726" s="163"/>
      <c r="R1726" s="163"/>
      <c r="S1726" s="163"/>
    </row>
    <row r="1727" spans="5:19" x14ac:dyDescent="0.25">
      <c r="E1727" s="163"/>
      <c r="K1727" s="163"/>
      <c r="Q1727" s="163"/>
      <c r="R1727" s="163"/>
      <c r="S1727" s="163"/>
    </row>
    <row r="1728" spans="5:19" x14ac:dyDescent="0.25">
      <c r="E1728" s="163"/>
      <c r="K1728" s="163"/>
      <c r="Q1728" s="163"/>
      <c r="R1728" s="163"/>
      <c r="S1728" s="163"/>
    </row>
    <row r="1729" spans="5:19" x14ac:dyDescent="0.25">
      <c r="E1729" s="163"/>
      <c r="K1729" s="163"/>
      <c r="Q1729" s="163"/>
      <c r="R1729" s="163"/>
      <c r="S1729" s="163"/>
    </row>
    <row r="1730" spans="5:19" x14ac:dyDescent="0.25">
      <c r="E1730" s="163"/>
      <c r="K1730" s="163"/>
      <c r="Q1730" s="163"/>
      <c r="R1730" s="163"/>
      <c r="S1730" s="163"/>
    </row>
    <row r="1731" spans="5:19" x14ac:dyDescent="0.25">
      <c r="E1731" s="163"/>
      <c r="K1731" s="163"/>
      <c r="Q1731" s="163"/>
      <c r="R1731" s="163"/>
      <c r="S1731" s="163"/>
    </row>
    <row r="1732" spans="5:19" x14ac:dyDescent="0.25">
      <c r="E1732" s="163"/>
      <c r="K1732" s="163"/>
      <c r="Q1732" s="163"/>
      <c r="R1732" s="163"/>
      <c r="S1732" s="163"/>
    </row>
    <row r="1733" spans="5:19" x14ac:dyDescent="0.25">
      <c r="E1733" s="163"/>
      <c r="K1733" s="163"/>
      <c r="Q1733" s="163"/>
      <c r="R1733" s="163"/>
      <c r="S1733" s="163"/>
    </row>
    <row r="1734" spans="5:19" x14ac:dyDescent="0.25">
      <c r="E1734" s="163"/>
      <c r="K1734" s="163"/>
      <c r="Q1734" s="163"/>
      <c r="R1734" s="163"/>
      <c r="S1734" s="163"/>
    </row>
    <row r="1735" spans="5:19" x14ac:dyDescent="0.25">
      <c r="E1735" s="163"/>
      <c r="K1735" s="163"/>
      <c r="Q1735" s="163"/>
      <c r="R1735" s="163"/>
      <c r="S1735" s="163"/>
    </row>
    <row r="1736" spans="5:19" x14ac:dyDescent="0.25">
      <c r="E1736" s="163"/>
      <c r="K1736" s="163"/>
      <c r="Q1736" s="163"/>
      <c r="R1736" s="163"/>
      <c r="S1736" s="163"/>
    </row>
    <row r="1737" spans="5:19" x14ac:dyDescent="0.25">
      <c r="E1737" s="163"/>
      <c r="K1737" s="163"/>
      <c r="Q1737" s="163"/>
      <c r="R1737" s="163"/>
      <c r="S1737" s="163"/>
    </row>
    <row r="1738" spans="5:19" x14ac:dyDescent="0.25">
      <c r="E1738" s="163"/>
      <c r="K1738" s="163"/>
      <c r="Q1738" s="163"/>
      <c r="R1738" s="163"/>
      <c r="S1738" s="163"/>
    </row>
    <row r="1739" spans="5:19" x14ac:dyDescent="0.25">
      <c r="E1739" s="163"/>
      <c r="K1739" s="163"/>
      <c r="Q1739" s="163"/>
      <c r="R1739" s="163"/>
      <c r="S1739" s="163"/>
    </row>
    <row r="1740" spans="5:19" x14ac:dyDescent="0.25">
      <c r="E1740" s="163"/>
      <c r="K1740" s="163"/>
      <c r="Q1740" s="163"/>
      <c r="R1740" s="163"/>
      <c r="S1740" s="163"/>
    </row>
    <row r="1741" spans="5:19" x14ac:dyDescent="0.25">
      <c r="E1741" s="163"/>
      <c r="K1741" s="163"/>
      <c r="Q1741" s="163"/>
      <c r="R1741" s="163"/>
      <c r="S1741" s="163"/>
    </row>
    <row r="1742" spans="5:19" x14ac:dyDescent="0.25">
      <c r="E1742" s="163"/>
      <c r="K1742" s="163"/>
      <c r="Q1742" s="163"/>
      <c r="R1742" s="163"/>
      <c r="S1742" s="163"/>
    </row>
    <row r="1743" spans="5:19" x14ac:dyDescent="0.25">
      <c r="E1743" s="163"/>
      <c r="K1743" s="163"/>
      <c r="Q1743" s="163"/>
      <c r="R1743" s="163"/>
      <c r="S1743" s="163"/>
    </row>
    <row r="1744" spans="5:19" x14ac:dyDescent="0.25">
      <c r="E1744" s="163"/>
      <c r="K1744" s="163"/>
      <c r="Q1744" s="163"/>
      <c r="R1744" s="163"/>
      <c r="S1744" s="163"/>
    </row>
    <row r="1745" spans="5:19" x14ac:dyDescent="0.25">
      <c r="E1745" s="163"/>
      <c r="K1745" s="163"/>
      <c r="Q1745" s="163"/>
      <c r="R1745" s="163"/>
      <c r="S1745" s="163"/>
    </row>
    <row r="1746" spans="5:19" x14ac:dyDescent="0.25">
      <c r="E1746" s="163"/>
      <c r="K1746" s="163"/>
      <c r="Q1746" s="163"/>
      <c r="R1746" s="163"/>
      <c r="S1746" s="163"/>
    </row>
    <row r="1747" spans="5:19" x14ac:dyDescent="0.25">
      <c r="E1747" s="163"/>
      <c r="K1747" s="163"/>
      <c r="Q1747" s="163"/>
      <c r="R1747" s="163"/>
      <c r="S1747" s="163"/>
    </row>
    <row r="1748" spans="5:19" x14ac:dyDescent="0.25">
      <c r="E1748" s="163"/>
      <c r="K1748" s="163"/>
      <c r="Q1748" s="163"/>
      <c r="R1748" s="163"/>
      <c r="S1748" s="163"/>
    </row>
    <row r="1749" spans="5:19" x14ac:dyDescent="0.25">
      <c r="E1749" s="163"/>
      <c r="K1749" s="163"/>
      <c r="Q1749" s="163"/>
      <c r="R1749" s="163"/>
      <c r="S1749" s="163"/>
    </row>
    <row r="1750" spans="5:19" x14ac:dyDescent="0.25">
      <c r="E1750" s="163"/>
      <c r="K1750" s="163"/>
      <c r="Q1750" s="163"/>
      <c r="R1750" s="163"/>
      <c r="S1750" s="163"/>
    </row>
    <row r="1751" spans="5:19" x14ac:dyDescent="0.25">
      <c r="E1751" s="163"/>
      <c r="K1751" s="163"/>
      <c r="Q1751" s="163"/>
      <c r="R1751" s="163"/>
      <c r="S1751" s="163"/>
    </row>
    <row r="1752" spans="5:19" x14ac:dyDescent="0.25">
      <c r="E1752" s="163"/>
      <c r="K1752" s="163"/>
      <c r="Q1752" s="163"/>
      <c r="R1752" s="163"/>
      <c r="S1752" s="163"/>
    </row>
    <row r="1753" spans="5:19" x14ac:dyDescent="0.25">
      <c r="E1753" s="163"/>
      <c r="K1753" s="163"/>
      <c r="Q1753" s="163"/>
      <c r="R1753" s="163"/>
      <c r="S1753" s="163"/>
    </row>
    <row r="1754" spans="5:19" x14ac:dyDescent="0.25">
      <c r="E1754" s="163"/>
      <c r="K1754" s="163"/>
      <c r="Q1754" s="163"/>
      <c r="R1754" s="163"/>
      <c r="S1754" s="163"/>
    </row>
    <row r="1755" spans="5:19" x14ac:dyDescent="0.25">
      <c r="E1755" s="163"/>
      <c r="K1755" s="163"/>
      <c r="Q1755" s="163"/>
      <c r="R1755" s="163"/>
      <c r="S1755" s="163"/>
    </row>
    <row r="1756" spans="5:19" x14ac:dyDescent="0.25">
      <c r="E1756" s="163"/>
      <c r="K1756" s="163"/>
      <c r="Q1756" s="163"/>
      <c r="R1756" s="163"/>
      <c r="S1756" s="163"/>
    </row>
    <row r="1757" spans="5:19" x14ac:dyDescent="0.25">
      <c r="E1757" s="163"/>
      <c r="K1757" s="163"/>
      <c r="Q1757" s="163"/>
      <c r="R1757" s="163"/>
      <c r="S1757" s="163"/>
    </row>
    <row r="1758" spans="5:19" x14ac:dyDescent="0.25">
      <c r="E1758" s="163"/>
      <c r="K1758" s="163"/>
      <c r="Q1758" s="163"/>
      <c r="R1758" s="163"/>
      <c r="S1758" s="163"/>
    </row>
    <row r="1759" spans="5:19" x14ac:dyDescent="0.25">
      <c r="E1759" s="163"/>
      <c r="K1759" s="163"/>
      <c r="Q1759" s="163"/>
      <c r="R1759" s="163"/>
      <c r="S1759" s="163"/>
    </row>
    <row r="1760" spans="5:19" x14ac:dyDescent="0.25">
      <c r="E1760" s="163"/>
      <c r="K1760" s="163"/>
      <c r="Q1760" s="163"/>
      <c r="R1760" s="163"/>
      <c r="S1760" s="163"/>
    </row>
    <row r="1761" spans="5:19" x14ac:dyDescent="0.25">
      <c r="E1761" s="163"/>
      <c r="K1761" s="163"/>
      <c r="Q1761" s="163"/>
      <c r="R1761" s="163"/>
      <c r="S1761" s="163"/>
    </row>
    <row r="1762" spans="5:19" x14ac:dyDescent="0.25">
      <c r="E1762" s="163"/>
      <c r="K1762" s="163"/>
      <c r="Q1762" s="163"/>
      <c r="R1762" s="163"/>
      <c r="S1762" s="163"/>
    </row>
    <row r="1763" spans="5:19" x14ac:dyDescent="0.25">
      <c r="E1763" s="163"/>
      <c r="K1763" s="163"/>
      <c r="Q1763" s="163"/>
      <c r="R1763" s="163"/>
      <c r="S1763" s="163"/>
    </row>
    <row r="1764" spans="5:19" x14ac:dyDescent="0.25">
      <c r="E1764" s="163"/>
      <c r="K1764" s="163"/>
      <c r="Q1764" s="163"/>
      <c r="R1764" s="163"/>
      <c r="S1764" s="163"/>
    </row>
    <row r="1765" spans="5:19" x14ac:dyDescent="0.25">
      <c r="E1765" s="163"/>
      <c r="K1765" s="163"/>
      <c r="Q1765" s="163"/>
      <c r="R1765" s="163"/>
      <c r="S1765" s="163"/>
    </row>
    <row r="1766" spans="5:19" x14ac:dyDescent="0.25">
      <c r="E1766" s="163"/>
      <c r="K1766" s="163"/>
      <c r="Q1766" s="163"/>
      <c r="R1766" s="163"/>
      <c r="S1766" s="163"/>
    </row>
    <row r="1767" spans="5:19" x14ac:dyDescent="0.25">
      <c r="E1767" s="163"/>
      <c r="K1767" s="163"/>
      <c r="Q1767" s="163"/>
      <c r="R1767" s="163"/>
      <c r="S1767" s="163"/>
    </row>
    <row r="1768" spans="5:19" x14ac:dyDescent="0.25">
      <c r="E1768" s="163"/>
      <c r="K1768" s="163"/>
      <c r="Q1768" s="163"/>
      <c r="R1768" s="163"/>
      <c r="S1768" s="163"/>
    </row>
    <row r="1769" spans="5:19" x14ac:dyDescent="0.25">
      <c r="E1769" s="163"/>
      <c r="K1769" s="163"/>
      <c r="Q1769" s="163"/>
      <c r="R1769" s="163"/>
      <c r="S1769" s="163"/>
    </row>
    <row r="1770" spans="5:19" x14ac:dyDescent="0.25">
      <c r="E1770" s="163"/>
      <c r="K1770" s="163"/>
      <c r="Q1770" s="163"/>
      <c r="R1770" s="163"/>
      <c r="S1770" s="163"/>
    </row>
    <row r="1771" spans="5:19" x14ac:dyDescent="0.25">
      <c r="E1771" s="163"/>
      <c r="K1771" s="163"/>
      <c r="Q1771" s="163"/>
      <c r="R1771" s="163"/>
      <c r="S1771" s="163"/>
    </row>
    <row r="1772" spans="5:19" x14ac:dyDescent="0.25">
      <c r="E1772" s="163"/>
      <c r="K1772" s="163"/>
      <c r="Q1772" s="163"/>
      <c r="R1772" s="163"/>
      <c r="S1772" s="163"/>
    </row>
    <row r="1773" spans="5:19" x14ac:dyDescent="0.25">
      <c r="E1773" s="163"/>
      <c r="K1773" s="163"/>
      <c r="Q1773" s="163"/>
      <c r="R1773" s="163"/>
      <c r="S1773" s="163"/>
    </row>
    <row r="1774" spans="5:19" x14ac:dyDescent="0.25">
      <c r="E1774" s="163"/>
      <c r="K1774" s="163"/>
      <c r="Q1774" s="163"/>
      <c r="R1774" s="163"/>
      <c r="S1774" s="163"/>
    </row>
    <row r="1775" spans="5:19" x14ac:dyDescent="0.25">
      <c r="E1775" s="163"/>
      <c r="K1775" s="163"/>
      <c r="Q1775" s="163"/>
      <c r="R1775" s="163"/>
      <c r="S1775" s="163"/>
    </row>
    <row r="1776" spans="5:19" x14ac:dyDescent="0.25">
      <c r="E1776" s="163"/>
      <c r="K1776" s="163"/>
      <c r="Q1776" s="163"/>
      <c r="R1776" s="163"/>
      <c r="S1776" s="163"/>
    </row>
    <row r="1777" spans="5:19" x14ac:dyDescent="0.25">
      <c r="E1777" s="163"/>
      <c r="K1777" s="163"/>
      <c r="Q1777" s="163"/>
      <c r="R1777" s="163"/>
      <c r="S1777" s="163"/>
    </row>
    <row r="1778" spans="5:19" x14ac:dyDescent="0.25">
      <c r="E1778" s="163"/>
      <c r="K1778" s="163"/>
      <c r="Q1778" s="163"/>
      <c r="R1778" s="163"/>
      <c r="S1778" s="163"/>
    </row>
    <row r="1779" spans="5:19" x14ac:dyDescent="0.25">
      <c r="E1779" s="163"/>
      <c r="K1779" s="163"/>
      <c r="Q1779" s="163"/>
      <c r="R1779" s="163"/>
      <c r="S1779" s="163"/>
    </row>
    <row r="1780" spans="5:19" x14ac:dyDescent="0.25">
      <c r="E1780" s="163"/>
      <c r="K1780" s="163"/>
      <c r="Q1780" s="163"/>
      <c r="R1780" s="163"/>
      <c r="S1780" s="163"/>
    </row>
    <row r="1781" spans="5:19" x14ac:dyDescent="0.25">
      <c r="E1781" s="163"/>
      <c r="K1781" s="163"/>
      <c r="Q1781" s="163"/>
      <c r="R1781" s="163"/>
      <c r="S1781" s="163"/>
    </row>
    <row r="1782" spans="5:19" x14ac:dyDescent="0.25">
      <c r="E1782" s="163"/>
      <c r="K1782" s="163"/>
      <c r="Q1782" s="163"/>
      <c r="R1782" s="163"/>
      <c r="S1782" s="163"/>
    </row>
    <row r="1783" spans="5:19" x14ac:dyDescent="0.25">
      <c r="E1783" s="163"/>
      <c r="K1783" s="163"/>
      <c r="Q1783" s="163"/>
      <c r="R1783" s="163"/>
      <c r="S1783" s="163"/>
    </row>
    <row r="1784" spans="5:19" x14ac:dyDescent="0.25">
      <c r="E1784" s="163"/>
      <c r="K1784" s="163"/>
      <c r="Q1784" s="163"/>
      <c r="R1784" s="163"/>
      <c r="S1784" s="163"/>
    </row>
    <row r="1785" spans="5:19" x14ac:dyDescent="0.25">
      <c r="E1785" s="163"/>
      <c r="K1785" s="163"/>
      <c r="Q1785" s="163"/>
      <c r="R1785" s="163"/>
      <c r="S1785" s="163"/>
    </row>
    <row r="1786" spans="5:19" x14ac:dyDescent="0.25">
      <c r="E1786" s="163"/>
      <c r="K1786" s="163"/>
      <c r="Q1786" s="163"/>
      <c r="R1786" s="163"/>
      <c r="S1786" s="163"/>
    </row>
    <row r="1787" spans="5:19" x14ac:dyDescent="0.25">
      <c r="E1787" s="163"/>
      <c r="K1787" s="163"/>
      <c r="Q1787" s="163"/>
      <c r="R1787" s="163"/>
      <c r="S1787" s="163"/>
    </row>
    <row r="1788" spans="5:19" x14ac:dyDescent="0.25">
      <c r="E1788" s="163"/>
      <c r="K1788" s="163"/>
      <c r="Q1788" s="163"/>
      <c r="R1788" s="163"/>
      <c r="S1788" s="163"/>
    </row>
    <row r="1789" spans="5:19" x14ac:dyDescent="0.25">
      <c r="E1789" s="163"/>
      <c r="K1789" s="163"/>
      <c r="Q1789" s="163"/>
      <c r="R1789" s="163"/>
      <c r="S1789" s="163"/>
    </row>
    <row r="1790" spans="5:19" x14ac:dyDescent="0.25">
      <c r="E1790" s="163"/>
      <c r="K1790" s="163"/>
      <c r="Q1790" s="163"/>
      <c r="R1790" s="163"/>
      <c r="S1790" s="163"/>
    </row>
    <row r="1791" spans="5:19" x14ac:dyDescent="0.25">
      <c r="E1791" s="163"/>
      <c r="K1791" s="163"/>
      <c r="Q1791" s="163"/>
      <c r="R1791" s="163"/>
      <c r="S1791" s="163"/>
    </row>
    <row r="1792" spans="5:19" x14ac:dyDescent="0.25">
      <c r="E1792" s="163"/>
      <c r="K1792" s="163"/>
      <c r="Q1792" s="163"/>
      <c r="R1792" s="163"/>
      <c r="S1792" s="163"/>
    </row>
    <row r="1793" spans="5:19" x14ac:dyDescent="0.25">
      <c r="E1793" s="163"/>
      <c r="K1793" s="163"/>
      <c r="Q1793" s="163"/>
      <c r="R1793" s="163"/>
      <c r="S1793" s="163"/>
    </row>
    <row r="1794" spans="5:19" x14ac:dyDescent="0.25">
      <c r="E1794" s="163"/>
      <c r="K1794" s="163"/>
      <c r="Q1794" s="163"/>
      <c r="R1794" s="163"/>
      <c r="S1794" s="163"/>
    </row>
    <row r="1795" spans="5:19" x14ac:dyDescent="0.25">
      <c r="E1795" s="163"/>
      <c r="K1795" s="163"/>
      <c r="Q1795" s="163"/>
      <c r="R1795" s="163"/>
      <c r="S1795" s="163"/>
    </row>
    <row r="1796" spans="5:19" x14ac:dyDescent="0.25">
      <c r="E1796" s="163"/>
      <c r="K1796" s="163"/>
      <c r="Q1796" s="163"/>
      <c r="R1796" s="163"/>
      <c r="S1796" s="163"/>
    </row>
    <row r="1797" spans="5:19" x14ac:dyDescent="0.25">
      <c r="E1797" s="163"/>
      <c r="K1797" s="163"/>
      <c r="Q1797" s="163"/>
      <c r="R1797" s="163"/>
      <c r="S1797" s="163"/>
    </row>
    <row r="1798" spans="5:19" x14ac:dyDescent="0.25">
      <c r="E1798" s="163"/>
      <c r="K1798" s="163"/>
      <c r="Q1798" s="163"/>
      <c r="R1798" s="163"/>
      <c r="S1798" s="163"/>
    </row>
    <row r="1799" spans="5:19" x14ac:dyDescent="0.25">
      <c r="E1799" s="163"/>
      <c r="K1799" s="163"/>
      <c r="Q1799" s="163"/>
      <c r="R1799" s="163"/>
      <c r="S1799" s="163"/>
    </row>
    <row r="1800" spans="5:19" x14ac:dyDescent="0.25">
      <c r="E1800" s="163"/>
      <c r="K1800" s="163"/>
      <c r="Q1800" s="163"/>
      <c r="R1800" s="163"/>
      <c r="S1800" s="163"/>
    </row>
    <row r="1801" spans="5:19" x14ac:dyDescent="0.25">
      <c r="E1801" s="163"/>
      <c r="K1801" s="163"/>
      <c r="Q1801" s="163"/>
      <c r="R1801" s="163"/>
      <c r="S1801" s="163"/>
    </row>
    <row r="1802" spans="5:19" x14ac:dyDescent="0.25">
      <c r="E1802" s="163"/>
      <c r="K1802" s="163"/>
      <c r="Q1802" s="163"/>
      <c r="R1802" s="163"/>
      <c r="S1802" s="163"/>
    </row>
    <row r="1803" spans="5:19" x14ac:dyDescent="0.25">
      <c r="E1803" s="163"/>
      <c r="K1803" s="163"/>
      <c r="Q1803" s="163"/>
      <c r="R1803" s="163"/>
      <c r="S1803" s="163"/>
    </row>
    <row r="1804" spans="5:19" x14ac:dyDescent="0.25">
      <c r="E1804" s="163"/>
      <c r="K1804" s="163"/>
      <c r="Q1804" s="163"/>
      <c r="R1804" s="163"/>
      <c r="S1804" s="163"/>
    </row>
    <row r="1805" spans="5:19" x14ac:dyDescent="0.25">
      <c r="E1805" s="163"/>
      <c r="K1805" s="163"/>
      <c r="Q1805" s="163"/>
      <c r="R1805" s="163"/>
      <c r="S1805" s="163"/>
    </row>
    <row r="1806" spans="5:19" x14ac:dyDescent="0.25">
      <c r="E1806" s="163"/>
      <c r="K1806" s="163"/>
      <c r="Q1806" s="163"/>
      <c r="R1806" s="163"/>
      <c r="S1806" s="163"/>
    </row>
    <row r="1807" spans="5:19" x14ac:dyDescent="0.25">
      <c r="E1807" s="163"/>
      <c r="K1807" s="163"/>
      <c r="Q1807" s="163"/>
      <c r="R1807" s="163"/>
      <c r="S1807" s="163"/>
    </row>
    <row r="1808" spans="5:19" x14ac:dyDescent="0.25">
      <c r="E1808" s="163"/>
      <c r="K1808" s="163"/>
      <c r="Q1808" s="163"/>
      <c r="R1808" s="163"/>
      <c r="S1808" s="163"/>
    </row>
    <row r="1809" spans="5:19" x14ac:dyDescent="0.25">
      <c r="E1809" s="163"/>
      <c r="K1809" s="163"/>
      <c r="Q1809" s="163"/>
      <c r="R1809" s="163"/>
      <c r="S1809" s="163"/>
    </row>
    <row r="1810" spans="5:19" x14ac:dyDescent="0.25">
      <c r="E1810" s="163"/>
      <c r="K1810" s="163"/>
      <c r="Q1810" s="163"/>
      <c r="R1810" s="163"/>
      <c r="S1810" s="163"/>
    </row>
    <row r="1811" spans="5:19" x14ac:dyDescent="0.25">
      <c r="E1811" s="163"/>
      <c r="K1811" s="163"/>
      <c r="Q1811" s="163"/>
      <c r="R1811" s="163"/>
      <c r="S1811" s="163"/>
    </row>
    <row r="1812" spans="5:19" x14ac:dyDescent="0.25">
      <c r="E1812" s="163"/>
      <c r="K1812" s="163"/>
      <c r="Q1812" s="163"/>
      <c r="R1812" s="163"/>
      <c r="S1812" s="163"/>
    </row>
    <row r="1813" spans="5:19" x14ac:dyDescent="0.25">
      <c r="E1813" s="163"/>
      <c r="K1813" s="163"/>
      <c r="Q1813" s="163"/>
      <c r="R1813" s="163"/>
      <c r="S1813" s="163"/>
    </row>
    <row r="1814" spans="5:19" x14ac:dyDescent="0.25">
      <c r="E1814" s="163"/>
      <c r="K1814" s="163"/>
      <c r="Q1814" s="163"/>
      <c r="R1814" s="163"/>
      <c r="S1814" s="163"/>
    </row>
    <row r="1815" spans="5:19" x14ac:dyDescent="0.25">
      <c r="E1815" s="163"/>
      <c r="K1815" s="163"/>
      <c r="Q1815" s="163"/>
      <c r="R1815" s="163"/>
      <c r="S1815" s="163"/>
    </row>
    <row r="1816" spans="5:19" x14ac:dyDescent="0.25">
      <c r="E1816" s="163"/>
      <c r="K1816" s="163"/>
      <c r="Q1816" s="163"/>
      <c r="R1816" s="163"/>
      <c r="S1816" s="163"/>
    </row>
    <row r="1817" spans="5:19" x14ac:dyDescent="0.25">
      <c r="E1817" s="163"/>
      <c r="K1817" s="163"/>
      <c r="Q1817" s="163"/>
      <c r="R1817" s="163"/>
      <c r="S1817" s="163"/>
    </row>
    <row r="1818" spans="5:19" x14ac:dyDescent="0.25">
      <c r="E1818" s="163"/>
      <c r="K1818" s="163"/>
      <c r="Q1818" s="163"/>
      <c r="R1818" s="163"/>
      <c r="S1818" s="163"/>
    </row>
    <row r="1819" spans="5:19" x14ac:dyDescent="0.25">
      <c r="E1819" s="163"/>
      <c r="K1819" s="163"/>
      <c r="Q1819" s="163"/>
      <c r="R1819" s="163"/>
      <c r="S1819" s="163"/>
    </row>
    <row r="1820" spans="5:19" x14ac:dyDescent="0.25">
      <c r="E1820" s="163"/>
      <c r="K1820" s="163"/>
      <c r="Q1820" s="163"/>
      <c r="R1820" s="163"/>
      <c r="S1820" s="163"/>
    </row>
    <row r="1821" spans="5:19" x14ac:dyDescent="0.25">
      <c r="E1821" s="163"/>
      <c r="K1821" s="163"/>
      <c r="Q1821" s="163"/>
      <c r="R1821" s="163"/>
      <c r="S1821" s="163"/>
    </row>
    <row r="1822" spans="5:19" x14ac:dyDescent="0.25">
      <c r="E1822" s="163"/>
      <c r="K1822" s="163"/>
      <c r="Q1822" s="163"/>
      <c r="R1822" s="163"/>
      <c r="S1822" s="163"/>
    </row>
    <row r="1823" spans="5:19" x14ac:dyDescent="0.25">
      <c r="E1823" s="163"/>
      <c r="K1823" s="163"/>
      <c r="Q1823" s="163"/>
      <c r="R1823" s="163"/>
      <c r="S1823" s="163"/>
    </row>
    <row r="1824" spans="5:19" x14ac:dyDescent="0.25">
      <c r="E1824" s="163"/>
      <c r="K1824" s="163"/>
      <c r="Q1824" s="163"/>
      <c r="R1824" s="163"/>
      <c r="S1824" s="163"/>
    </row>
    <row r="1825" spans="5:19" x14ac:dyDescent="0.25">
      <c r="E1825" s="163"/>
      <c r="K1825" s="163"/>
      <c r="Q1825" s="163"/>
      <c r="R1825" s="163"/>
      <c r="S1825" s="163"/>
    </row>
    <row r="1826" spans="5:19" x14ac:dyDescent="0.25">
      <c r="E1826" s="163"/>
      <c r="K1826" s="163"/>
      <c r="Q1826" s="163"/>
      <c r="R1826" s="163"/>
      <c r="S1826" s="163"/>
    </row>
    <row r="1827" spans="5:19" x14ac:dyDescent="0.25">
      <c r="E1827" s="163"/>
      <c r="K1827" s="163"/>
      <c r="Q1827" s="163"/>
      <c r="R1827" s="163"/>
      <c r="S1827" s="163"/>
    </row>
    <row r="1828" spans="5:19" x14ac:dyDescent="0.25">
      <c r="E1828" s="163"/>
      <c r="K1828" s="163"/>
      <c r="Q1828" s="163"/>
      <c r="R1828" s="163"/>
      <c r="S1828" s="163"/>
    </row>
    <row r="1829" spans="5:19" x14ac:dyDescent="0.25">
      <c r="E1829" s="163"/>
      <c r="K1829" s="163"/>
      <c r="Q1829" s="163"/>
      <c r="R1829" s="163"/>
      <c r="S1829" s="163"/>
    </row>
    <row r="1830" spans="5:19" x14ac:dyDescent="0.25">
      <c r="E1830" s="163"/>
      <c r="K1830" s="163"/>
      <c r="Q1830" s="163"/>
      <c r="R1830" s="163"/>
      <c r="S1830" s="163"/>
    </row>
    <row r="1831" spans="5:19" x14ac:dyDescent="0.25">
      <c r="E1831" s="163"/>
      <c r="K1831" s="163"/>
      <c r="Q1831" s="163"/>
      <c r="R1831" s="163"/>
      <c r="S1831" s="163"/>
    </row>
    <row r="1832" spans="5:19" x14ac:dyDescent="0.25">
      <c r="E1832" s="163"/>
      <c r="K1832" s="163"/>
      <c r="Q1832" s="163"/>
      <c r="R1832" s="163"/>
      <c r="S1832" s="163"/>
    </row>
    <row r="1833" spans="5:19" x14ac:dyDescent="0.25">
      <c r="E1833" s="163"/>
      <c r="K1833" s="163"/>
      <c r="Q1833" s="163"/>
      <c r="R1833" s="163"/>
      <c r="S1833" s="163"/>
    </row>
    <row r="1834" spans="5:19" x14ac:dyDescent="0.25">
      <c r="E1834" s="163"/>
      <c r="K1834" s="163"/>
      <c r="Q1834" s="163"/>
      <c r="R1834" s="163"/>
      <c r="S1834" s="163"/>
    </row>
    <row r="1835" spans="5:19" x14ac:dyDescent="0.25">
      <c r="E1835" s="163"/>
      <c r="K1835" s="163"/>
      <c r="Q1835" s="163"/>
      <c r="R1835" s="163"/>
      <c r="S1835" s="163"/>
    </row>
    <row r="1836" spans="5:19" x14ac:dyDescent="0.25">
      <c r="E1836" s="163"/>
      <c r="K1836" s="163"/>
      <c r="Q1836" s="163"/>
      <c r="R1836" s="163"/>
      <c r="S1836" s="163"/>
    </row>
    <row r="1837" spans="5:19" x14ac:dyDescent="0.25">
      <c r="E1837" s="163"/>
      <c r="K1837" s="163"/>
      <c r="Q1837" s="163"/>
      <c r="R1837" s="163"/>
      <c r="S1837" s="163"/>
    </row>
    <row r="1838" spans="5:19" x14ac:dyDescent="0.25">
      <c r="E1838" s="163"/>
      <c r="K1838" s="163"/>
      <c r="Q1838" s="163"/>
      <c r="R1838" s="163"/>
      <c r="S1838" s="163"/>
    </row>
    <row r="1839" spans="5:19" x14ac:dyDescent="0.25">
      <c r="E1839" s="163"/>
      <c r="K1839" s="163"/>
      <c r="Q1839" s="163"/>
      <c r="R1839" s="163"/>
      <c r="S1839" s="163"/>
    </row>
    <row r="1840" spans="5:19" x14ac:dyDescent="0.25">
      <c r="E1840" s="163"/>
      <c r="K1840" s="163"/>
      <c r="Q1840" s="163"/>
      <c r="R1840" s="163"/>
      <c r="S1840" s="163"/>
    </row>
    <row r="1841" spans="5:19" x14ac:dyDescent="0.25">
      <c r="E1841" s="163"/>
      <c r="K1841" s="163"/>
      <c r="Q1841" s="163"/>
      <c r="R1841" s="163"/>
      <c r="S1841" s="163"/>
    </row>
    <row r="1842" spans="5:19" x14ac:dyDescent="0.25">
      <c r="E1842" s="163"/>
      <c r="K1842" s="163"/>
      <c r="Q1842" s="163"/>
      <c r="R1842" s="163"/>
      <c r="S1842" s="163"/>
    </row>
    <row r="1843" spans="5:19" x14ac:dyDescent="0.25">
      <c r="E1843" s="163"/>
      <c r="K1843" s="163"/>
      <c r="Q1843" s="163"/>
      <c r="R1843" s="163"/>
      <c r="S1843" s="163"/>
    </row>
    <row r="1844" spans="5:19" x14ac:dyDescent="0.25">
      <c r="E1844" s="163"/>
      <c r="K1844" s="163"/>
      <c r="Q1844" s="163"/>
      <c r="R1844" s="163"/>
      <c r="S1844" s="163"/>
    </row>
    <row r="1845" spans="5:19" x14ac:dyDescent="0.25">
      <c r="E1845" s="163"/>
      <c r="K1845" s="163"/>
      <c r="Q1845" s="163"/>
      <c r="R1845" s="163"/>
      <c r="S1845" s="163"/>
    </row>
    <row r="1846" spans="5:19" x14ac:dyDescent="0.25">
      <c r="E1846" s="163"/>
      <c r="K1846" s="163"/>
      <c r="Q1846" s="163"/>
      <c r="R1846" s="163"/>
      <c r="S1846" s="163"/>
    </row>
    <row r="1847" spans="5:19" x14ac:dyDescent="0.25">
      <c r="E1847" s="163"/>
      <c r="K1847" s="163"/>
      <c r="Q1847" s="163"/>
      <c r="R1847" s="163"/>
      <c r="S1847" s="163"/>
    </row>
    <row r="1848" spans="5:19" x14ac:dyDescent="0.25">
      <c r="E1848" s="163"/>
      <c r="K1848" s="163"/>
      <c r="Q1848" s="163"/>
      <c r="R1848" s="163"/>
      <c r="S1848" s="163"/>
    </row>
    <row r="1849" spans="5:19" x14ac:dyDescent="0.25">
      <c r="E1849" s="163"/>
      <c r="K1849" s="163"/>
      <c r="Q1849" s="163"/>
      <c r="R1849" s="163"/>
      <c r="S1849" s="163"/>
    </row>
    <row r="1850" spans="5:19" x14ac:dyDescent="0.25">
      <c r="E1850" s="163"/>
      <c r="K1850" s="163"/>
      <c r="Q1850" s="163"/>
      <c r="R1850" s="163"/>
      <c r="S1850" s="163"/>
    </row>
    <row r="1851" spans="5:19" x14ac:dyDescent="0.25">
      <c r="E1851" s="163"/>
      <c r="K1851" s="163"/>
      <c r="Q1851" s="163"/>
      <c r="R1851" s="163"/>
      <c r="S1851" s="163"/>
    </row>
    <row r="1852" spans="5:19" x14ac:dyDescent="0.25">
      <c r="E1852" s="163"/>
      <c r="K1852" s="163"/>
      <c r="Q1852" s="163"/>
      <c r="R1852" s="163"/>
      <c r="S1852" s="163"/>
    </row>
    <row r="1853" spans="5:19" x14ac:dyDescent="0.25">
      <c r="E1853" s="163"/>
      <c r="K1853" s="163"/>
      <c r="Q1853" s="163"/>
      <c r="R1853" s="163"/>
      <c r="S1853" s="163"/>
    </row>
    <row r="1854" spans="5:19" x14ac:dyDescent="0.25">
      <c r="E1854" s="163"/>
      <c r="K1854" s="163"/>
      <c r="Q1854" s="163"/>
      <c r="R1854" s="163"/>
      <c r="S1854" s="163"/>
    </row>
    <row r="1855" spans="5:19" x14ac:dyDescent="0.25">
      <c r="E1855" s="163"/>
      <c r="K1855" s="163"/>
      <c r="Q1855" s="163"/>
      <c r="R1855" s="163"/>
      <c r="S1855" s="163"/>
    </row>
    <row r="1856" spans="5:19" x14ac:dyDescent="0.25">
      <c r="E1856" s="163"/>
      <c r="K1856" s="163"/>
      <c r="Q1856" s="163"/>
      <c r="R1856" s="163"/>
      <c r="S1856" s="163"/>
    </row>
    <row r="1857" spans="5:19" x14ac:dyDescent="0.25">
      <c r="E1857" s="163"/>
      <c r="K1857" s="163"/>
      <c r="Q1857" s="163"/>
      <c r="R1857" s="163"/>
      <c r="S1857" s="163"/>
    </row>
    <row r="1858" spans="5:19" x14ac:dyDescent="0.25">
      <c r="E1858" s="163"/>
      <c r="K1858" s="163"/>
      <c r="Q1858" s="163"/>
      <c r="R1858" s="163"/>
      <c r="S1858" s="163"/>
    </row>
    <row r="1859" spans="5:19" x14ac:dyDescent="0.25">
      <c r="E1859" s="163"/>
      <c r="K1859" s="163"/>
      <c r="Q1859" s="163"/>
      <c r="R1859" s="163"/>
      <c r="S1859" s="163"/>
    </row>
    <row r="1860" spans="5:19" x14ac:dyDescent="0.25">
      <c r="E1860" s="163"/>
      <c r="K1860" s="163"/>
      <c r="Q1860" s="163"/>
      <c r="R1860" s="163"/>
      <c r="S1860" s="163"/>
    </row>
    <row r="1861" spans="5:19" x14ac:dyDescent="0.25">
      <c r="E1861" s="163"/>
      <c r="K1861" s="163"/>
      <c r="Q1861" s="163"/>
      <c r="R1861" s="163"/>
      <c r="S1861" s="163"/>
    </row>
    <row r="1862" spans="5:19" x14ac:dyDescent="0.25">
      <c r="E1862" s="163"/>
      <c r="K1862" s="163"/>
      <c r="Q1862" s="163"/>
      <c r="R1862" s="163"/>
      <c r="S1862" s="163"/>
    </row>
    <row r="1863" spans="5:19" x14ac:dyDescent="0.25">
      <c r="E1863" s="163"/>
      <c r="K1863" s="163"/>
      <c r="Q1863" s="163"/>
      <c r="R1863" s="163"/>
      <c r="S1863" s="163"/>
    </row>
    <row r="1864" spans="5:19" x14ac:dyDescent="0.25">
      <c r="E1864" s="163"/>
      <c r="K1864" s="163"/>
      <c r="Q1864" s="163"/>
      <c r="R1864" s="163"/>
      <c r="S1864" s="163"/>
    </row>
    <row r="1865" spans="5:19" x14ac:dyDescent="0.25">
      <c r="E1865" s="163"/>
      <c r="K1865" s="163"/>
      <c r="Q1865" s="163"/>
      <c r="R1865" s="163"/>
      <c r="S1865" s="163"/>
    </row>
    <row r="1866" spans="5:19" x14ac:dyDescent="0.25">
      <c r="E1866" s="163"/>
      <c r="K1866" s="163"/>
      <c r="Q1866" s="163"/>
      <c r="R1866" s="163"/>
      <c r="S1866" s="163"/>
    </row>
    <row r="1867" spans="5:19" x14ac:dyDescent="0.25">
      <c r="E1867" s="163"/>
      <c r="K1867" s="163"/>
      <c r="Q1867" s="163"/>
      <c r="R1867" s="163"/>
      <c r="S1867" s="163"/>
    </row>
    <row r="1868" spans="5:19" x14ac:dyDescent="0.25">
      <c r="E1868" s="163"/>
      <c r="K1868" s="163"/>
      <c r="Q1868" s="163"/>
      <c r="R1868" s="163"/>
      <c r="S1868" s="163"/>
    </row>
    <row r="1869" spans="5:19" x14ac:dyDescent="0.25">
      <c r="E1869" s="163"/>
      <c r="K1869" s="163"/>
      <c r="Q1869" s="163"/>
      <c r="R1869" s="163"/>
      <c r="S1869" s="163"/>
    </row>
    <row r="1870" spans="5:19" x14ac:dyDescent="0.25">
      <c r="E1870" s="163"/>
      <c r="K1870" s="163"/>
      <c r="Q1870" s="163"/>
      <c r="R1870" s="163"/>
      <c r="S1870" s="163"/>
    </row>
    <row r="1871" spans="5:19" x14ac:dyDescent="0.25">
      <c r="E1871" s="163"/>
      <c r="K1871" s="163"/>
      <c r="Q1871" s="163"/>
      <c r="R1871" s="163"/>
      <c r="S1871" s="163"/>
    </row>
    <row r="1872" spans="5:19" x14ac:dyDescent="0.25">
      <c r="E1872" s="163"/>
      <c r="K1872" s="163"/>
      <c r="Q1872" s="163"/>
      <c r="R1872" s="163"/>
      <c r="S1872" s="163"/>
    </row>
    <row r="1873" spans="5:19" x14ac:dyDescent="0.25">
      <c r="E1873" s="163"/>
      <c r="K1873" s="163"/>
      <c r="Q1873" s="163"/>
      <c r="R1873" s="163"/>
      <c r="S1873" s="163"/>
    </row>
    <row r="1874" spans="5:19" x14ac:dyDescent="0.25">
      <c r="E1874" s="163"/>
      <c r="K1874" s="163"/>
      <c r="Q1874" s="163"/>
      <c r="R1874" s="163"/>
      <c r="S1874" s="163"/>
    </row>
    <row r="1875" spans="5:19" x14ac:dyDescent="0.25">
      <c r="E1875" s="163"/>
      <c r="K1875" s="163"/>
      <c r="Q1875" s="163"/>
      <c r="R1875" s="163"/>
      <c r="S1875" s="163"/>
    </row>
    <row r="1876" spans="5:19" x14ac:dyDescent="0.25">
      <c r="E1876" s="163"/>
      <c r="K1876" s="163"/>
      <c r="Q1876" s="163"/>
      <c r="R1876" s="163"/>
      <c r="S1876" s="163"/>
    </row>
    <row r="1877" spans="5:19" x14ac:dyDescent="0.25">
      <c r="E1877" s="163"/>
      <c r="K1877" s="163"/>
      <c r="Q1877" s="163"/>
      <c r="R1877" s="163"/>
      <c r="S1877" s="163"/>
    </row>
    <row r="1878" spans="5:19" x14ac:dyDescent="0.25">
      <c r="E1878" s="163"/>
      <c r="K1878" s="163"/>
      <c r="Q1878" s="163"/>
      <c r="R1878" s="163"/>
      <c r="S1878" s="163"/>
    </row>
    <row r="1879" spans="5:19" x14ac:dyDescent="0.25">
      <c r="E1879" s="163"/>
      <c r="K1879" s="163"/>
      <c r="Q1879" s="163"/>
      <c r="R1879" s="163"/>
      <c r="S1879" s="163"/>
    </row>
    <row r="1880" spans="5:19" x14ac:dyDescent="0.25">
      <c r="E1880" s="163"/>
      <c r="K1880" s="163"/>
      <c r="Q1880" s="163"/>
      <c r="R1880" s="163"/>
      <c r="S1880" s="163"/>
    </row>
    <row r="1881" spans="5:19" x14ac:dyDescent="0.25">
      <c r="E1881" s="163"/>
      <c r="K1881" s="163"/>
      <c r="Q1881" s="163"/>
      <c r="R1881" s="163"/>
      <c r="S1881" s="163"/>
    </row>
    <row r="1882" spans="5:19" x14ac:dyDescent="0.25">
      <c r="E1882" s="163"/>
      <c r="K1882" s="163"/>
      <c r="Q1882" s="163"/>
      <c r="R1882" s="163"/>
      <c r="S1882" s="163"/>
    </row>
    <row r="1883" spans="5:19" x14ac:dyDescent="0.25">
      <c r="E1883" s="163"/>
      <c r="K1883" s="163"/>
      <c r="Q1883" s="163"/>
      <c r="R1883" s="163"/>
      <c r="S1883" s="163"/>
    </row>
    <row r="1884" spans="5:19" x14ac:dyDescent="0.25">
      <c r="E1884" s="163"/>
      <c r="K1884" s="163"/>
      <c r="Q1884" s="163"/>
      <c r="R1884" s="163"/>
      <c r="S1884" s="163"/>
    </row>
    <row r="1885" spans="5:19" x14ac:dyDescent="0.25">
      <c r="E1885" s="163"/>
      <c r="K1885" s="163"/>
      <c r="Q1885" s="163"/>
      <c r="R1885" s="163"/>
      <c r="S1885" s="163"/>
    </row>
    <row r="1886" spans="5:19" x14ac:dyDescent="0.25">
      <c r="E1886" s="163"/>
      <c r="K1886" s="163"/>
      <c r="Q1886" s="163"/>
      <c r="R1886" s="163"/>
      <c r="S1886" s="163"/>
    </row>
    <row r="1887" spans="5:19" x14ac:dyDescent="0.25">
      <c r="E1887" s="163"/>
      <c r="K1887" s="163"/>
      <c r="Q1887" s="163"/>
      <c r="R1887" s="163"/>
      <c r="S1887" s="163"/>
    </row>
    <row r="1888" spans="5:19" x14ac:dyDescent="0.25">
      <c r="E1888" s="163"/>
      <c r="K1888" s="163"/>
      <c r="Q1888" s="163"/>
      <c r="R1888" s="163"/>
      <c r="S1888" s="163"/>
    </row>
    <row r="1889" spans="5:19" x14ac:dyDescent="0.25">
      <c r="E1889" s="163"/>
      <c r="K1889" s="163"/>
      <c r="Q1889" s="163"/>
      <c r="R1889" s="163"/>
      <c r="S1889" s="163"/>
    </row>
    <row r="1890" spans="5:19" x14ac:dyDescent="0.25">
      <c r="E1890" s="163"/>
      <c r="K1890" s="163"/>
      <c r="Q1890" s="163"/>
      <c r="R1890" s="163"/>
      <c r="S1890" s="163"/>
    </row>
    <row r="1891" spans="5:19" x14ac:dyDescent="0.25">
      <c r="E1891" s="163"/>
      <c r="K1891" s="163"/>
      <c r="Q1891" s="163"/>
      <c r="R1891" s="163"/>
      <c r="S1891" s="163"/>
    </row>
    <row r="1892" spans="5:19" x14ac:dyDescent="0.25">
      <c r="E1892" s="163"/>
      <c r="K1892" s="163"/>
      <c r="Q1892" s="163"/>
      <c r="R1892" s="163"/>
      <c r="S1892" s="163"/>
    </row>
    <row r="1893" spans="5:19" x14ac:dyDescent="0.25">
      <c r="E1893" s="163"/>
      <c r="K1893" s="163"/>
      <c r="Q1893" s="163"/>
      <c r="R1893" s="163"/>
      <c r="S1893" s="163"/>
    </row>
    <row r="1894" spans="5:19" x14ac:dyDescent="0.25">
      <c r="E1894" s="163"/>
      <c r="K1894" s="163"/>
      <c r="Q1894" s="163"/>
      <c r="R1894" s="163"/>
      <c r="S1894" s="163"/>
    </row>
    <row r="1895" spans="5:19" x14ac:dyDescent="0.25">
      <c r="E1895" s="163"/>
      <c r="K1895" s="163"/>
      <c r="Q1895" s="163"/>
      <c r="R1895" s="163"/>
      <c r="S1895" s="163"/>
    </row>
    <row r="1896" spans="5:19" x14ac:dyDescent="0.25">
      <c r="E1896" s="163"/>
      <c r="K1896" s="163"/>
      <c r="Q1896" s="163"/>
      <c r="R1896" s="163"/>
      <c r="S1896" s="163"/>
    </row>
    <row r="1897" spans="5:19" x14ac:dyDescent="0.25">
      <c r="E1897" s="163"/>
      <c r="K1897" s="163"/>
      <c r="Q1897" s="163"/>
      <c r="R1897" s="163"/>
      <c r="S1897" s="163"/>
    </row>
    <row r="1898" spans="5:19" x14ac:dyDescent="0.25">
      <c r="E1898" s="163"/>
      <c r="K1898" s="163"/>
      <c r="Q1898" s="163"/>
      <c r="R1898" s="163"/>
      <c r="S1898" s="163"/>
    </row>
    <row r="1899" spans="5:19" x14ac:dyDescent="0.25">
      <c r="E1899" s="163"/>
      <c r="K1899" s="163"/>
      <c r="Q1899" s="163"/>
      <c r="R1899" s="163"/>
      <c r="S1899" s="163"/>
    </row>
    <row r="1900" spans="5:19" x14ac:dyDescent="0.25">
      <c r="E1900" s="163"/>
      <c r="K1900" s="163"/>
      <c r="Q1900" s="163"/>
      <c r="R1900" s="163"/>
      <c r="S1900" s="163"/>
    </row>
    <row r="1901" spans="5:19" x14ac:dyDescent="0.25">
      <c r="E1901" s="163"/>
      <c r="K1901" s="163"/>
      <c r="Q1901" s="163"/>
      <c r="R1901" s="163"/>
      <c r="S1901" s="163"/>
    </row>
    <row r="1902" spans="5:19" x14ac:dyDescent="0.25">
      <c r="E1902" s="163"/>
      <c r="K1902" s="163"/>
      <c r="Q1902" s="163"/>
      <c r="R1902" s="163"/>
      <c r="S1902" s="163"/>
    </row>
    <row r="1903" spans="5:19" x14ac:dyDescent="0.25">
      <c r="E1903" s="163"/>
      <c r="K1903" s="163"/>
      <c r="Q1903" s="163"/>
      <c r="R1903" s="163"/>
      <c r="S1903" s="163"/>
    </row>
    <row r="1904" spans="5:19" x14ac:dyDescent="0.25">
      <c r="E1904" s="163"/>
      <c r="K1904" s="163"/>
      <c r="Q1904" s="163"/>
      <c r="R1904" s="163"/>
      <c r="S1904" s="163"/>
    </row>
    <row r="1905" spans="5:19" x14ac:dyDescent="0.25">
      <c r="E1905" s="163"/>
      <c r="K1905" s="163"/>
      <c r="Q1905" s="163"/>
      <c r="R1905" s="163"/>
      <c r="S1905" s="163"/>
    </row>
    <row r="1906" spans="5:19" x14ac:dyDescent="0.25">
      <c r="E1906" s="163"/>
      <c r="K1906" s="163"/>
      <c r="Q1906" s="163"/>
      <c r="R1906" s="163"/>
      <c r="S1906" s="163"/>
    </row>
    <row r="1907" spans="5:19" x14ac:dyDescent="0.25">
      <c r="E1907" s="163"/>
      <c r="K1907" s="163"/>
      <c r="Q1907" s="163"/>
      <c r="R1907" s="163"/>
      <c r="S1907" s="163"/>
    </row>
    <row r="1908" spans="5:19" x14ac:dyDescent="0.25">
      <c r="E1908" s="163"/>
      <c r="K1908" s="163"/>
      <c r="Q1908" s="163"/>
      <c r="R1908" s="163"/>
      <c r="S1908" s="163"/>
    </row>
    <row r="1909" spans="5:19" x14ac:dyDescent="0.25">
      <c r="E1909" s="163"/>
      <c r="K1909" s="163"/>
      <c r="Q1909" s="163"/>
      <c r="R1909" s="163"/>
      <c r="S1909" s="163"/>
    </row>
    <row r="1910" spans="5:19" x14ac:dyDescent="0.25">
      <c r="E1910" s="163"/>
      <c r="K1910" s="163"/>
      <c r="Q1910" s="163"/>
      <c r="R1910" s="163"/>
      <c r="S1910" s="163"/>
    </row>
    <row r="1911" spans="5:19" x14ac:dyDescent="0.25">
      <c r="E1911" s="163"/>
      <c r="K1911" s="163"/>
      <c r="Q1911" s="163"/>
      <c r="R1911" s="163"/>
      <c r="S1911" s="163"/>
    </row>
    <row r="1912" spans="5:19" x14ac:dyDescent="0.25">
      <c r="E1912" s="163"/>
      <c r="K1912" s="163"/>
      <c r="Q1912" s="163"/>
      <c r="R1912" s="163"/>
      <c r="S1912" s="163"/>
    </row>
    <row r="1913" spans="5:19" x14ac:dyDescent="0.25">
      <c r="E1913" s="163"/>
      <c r="K1913" s="163"/>
      <c r="Q1913" s="163"/>
      <c r="R1913" s="163"/>
      <c r="S1913" s="163"/>
    </row>
    <row r="1914" spans="5:19" x14ac:dyDescent="0.25">
      <c r="E1914" s="163"/>
      <c r="K1914" s="163"/>
      <c r="Q1914" s="163"/>
      <c r="R1914" s="163"/>
      <c r="S1914" s="163"/>
    </row>
    <row r="1915" spans="5:19" x14ac:dyDescent="0.25">
      <c r="E1915" s="163"/>
      <c r="K1915" s="163"/>
      <c r="Q1915" s="163"/>
      <c r="R1915" s="163"/>
      <c r="S1915" s="163"/>
    </row>
    <row r="1916" spans="5:19" x14ac:dyDescent="0.25">
      <c r="E1916" s="163"/>
      <c r="K1916" s="163"/>
      <c r="Q1916" s="163"/>
      <c r="R1916" s="163"/>
      <c r="S1916" s="163"/>
    </row>
    <row r="1917" spans="5:19" x14ac:dyDescent="0.25">
      <c r="E1917" s="163"/>
      <c r="K1917" s="163"/>
      <c r="Q1917" s="163"/>
      <c r="R1917" s="163"/>
      <c r="S1917" s="163"/>
    </row>
    <row r="1918" spans="5:19" x14ac:dyDescent="0.25">
      <c r="E1918" s="163"/>
      <c r="K1918" s="163"/>
      <c r="Q1918" s="163"/>
      <c r="R1918" s="163"/>
      <c r="S1918" s="163"/>
    </row>
    <row r="1919" spans="5:19" x14ac:dyDescent="0.25">
      <c r="E1919" s="163"/>
      <c r="K1919" s="163"/>
      <c r="Q1919" s="163"/>
      <c r="R1919" s="163"/>
      <c r="S1919" s="163"/>
    </row>
    <row r="1920" spans="5:19" x14ac:dyDescent="0.25">
      <c r="E1920" s="163"/>
      <c r="K1920" s="163"/>
      <c r="Q1920" s="163"/>
      <c r="R1920" s="163"/>
      <c r="S1920" s="163"/>
    </row>
    <row r="1921" spans="5:19" x14ac:dyDescent="0.25">
      <c r="E1921" s="163"/>
      <c r="K1921" s="163"/>
      <c r="Q1921" s="163"/>
      <c r="R1921" s="163"/>
      <c r="S1921" s="163"/>
    </row>
    <row r="1922" spans="5:19" x14ac:dyDescent="0.25">
      <c r="E1922" s="163"/>
      <c r="K1922" s="163"/>
      <c r="Q1922" s="163"/>
      <c r="R1922" s="163"/>
      <c r="S1922" s="163"/>
    </row>
    <row r="1923" spans="5:19" x14ac:dyDescent="0.25">
      <c r="E1923" s="163"/>
      <c r="K1923" s="163"/>
      <c r="Q1923" s="163"/>
      <c r="R1923" s="163"/>
      <c r="S1923" s="163"/>
    </row>
    <row r="1924" spans="5:19" x14ac:dyDescent="0.25">
      <c r="E1924" s="163"/>
      <c r="K1924" s="163"/>
      <c r="Q1924" s="163"/>
      <c r="R1924" s="163"/>
      <c r="S1924" s="163"/>
    </row>
    <row r="1925" spans="5:19" x14ac:dyDescent="0.25">
      <c r="E1925" s="163"/>
      <c r="K1925" s="163"/>
      <c r="Q1925" s="163"/>
      <c r="R1925" s="163"/>
      <c r="S1925" s="163"/>
    </row>
    <row r="1926" spans="5:19" x14ac:dyDescent="0.25">
      <c r="E1926" s="163"/>
      <c r="K1926" s="163"/>
      <c r="Q1926" s="163"/>
      <c r="R1926" s="163"/>
      <c r="S1926" s="163"/>
    </row>
    <row r="1927" spans="5:19" x14ac:dyDescent="0.25">
      <c r="E1927" s="163"/>
      <c r="K1927" s="163"/>
      <c r="Q1927" s="163"/>
      <c r="R1927" s="163"/>
      <c r="S1927" s="163"/>
    </row>
    <row r="1928" spans="5:19" x14ac:dyDescent="0.25">
      <c r="E1928" s="163"/>
      <c r="K1928" s="163"/>
      <c r="Q1928" s="163"/>
      <c r="R1928" s="163"/>
      <c r="S1928" s="163"/>
    </row>
    <row r="1929" spans="5:19" x14ac:dyDescent="0.25">
      <c r="E1929" s="163"/>
      <c r="K1929" s="163"/>
      <c r="Q1929" s="163"/>
      <c r="R1929" s="163"/>
      <c r="S1929" s="163"/>
    </row>
    <row r="1930" spans="5:19" x14ac:dyDescent="0.25">
      <c r="E1930" s="163"/>
      <c r="K1930" s="163"/>
      <c r="Q1930" s="163"/>
      <c r="R1930" s="163"/>
      <c r="S1930" s="163"/>
    </row>
    <row r="1931" spans="5:19" x14ac:dyDescent="0.25">
      <c r="E1931" s="163"/>
      <c r="K1931" s="163"/>
      <c r="Q1931" s="163"/>
      <c r="R1931" s="163"/>
      <c r="S1931" s="163"/>
    </row>
    <row r="1932" spans="5:19" x14ac:dyDescent="0.25">
      <c r="E1932" s="163"/>
      <c r="K1932" s="163"/>
      <c r="Q1932" s="163"/>
      <c r="R1932" s="163"/>
      <c r="S1932" s="163"/>
    </row>
    <row r="1933" spans="5:19" x14ac:dyDescent="0.25">
      <c r="E1933" s="163"/>
      <c r="K1933" s="163"/>
      <c r="Q1933" s="163"/>
      <c r="R1933" s="163"/>
      <c r="S1933" s="163"/>
    </row>
    <row r="1934" spans="5:19" x14ac:dyDescent="0.25">
      <c r="E1934" s="163"/>
      <c r="K1934" s="163"/>
      <c r="Q1934" s="163"/>
      <c r="R1934" s="163"/>
      <c r="S1934" s="163"/>
    </row>
    <row r="1935" spans="5:19" x14ac:dyDescent="0.25">
      <c r="E1935" s="163"/>
      <c r="K1935" s="163"/>
      <c r="Q1935" s="163"/>
      <c r="R1935" s="163"/>
      <c r="S1935" s="163"/>
    </row>
    <row r="1936" spans="5:19" x14ac:dyDescent="0.25">
      <c r="E1936" s="163"/>
      <c r="K1936" s="163"/>
      <c r="Q1936" s="163"/>
      <c r="R1936" s="163"/>
      <c r="S1936" s="163"/>
    </row>
    <row r="1937" spans="5:19" x14ac:dyDescent="0.25">
      <c r="E1937" s="163"/>
      <c r="K1937" s="163"/>
      <c r="Q1937" s="163"/>
      <c r="R1937" s="163"/>
      <c r="S1937" s="163"/>
    </row>
    <row r="1938" spans="5:19" x14ac:dyDescent="0.25">
      <c r="E1938" s="163"/>
      <c r="K1938" s="163"/>
      <c r="Q1938" s="163"/>
      <c r="R1938" s="163"/>
      <c r="S1938" s="163"/>
    </row>
    <row r="1939" spans="5:19" x14ac:dyDescent="0.25">
      <c r="E1939" s="163"/>
      <c r="K1939" s="163"/>
      <c r="Q1939" s="163"/>
      <c r="R1939" s="163"/>
      <c r="S1939" s="163"/>
    </row>
    <row r="1940" spans="5:19" x14ac:dyDescent="0.25">
      <c r="E1940" s="163"/>
      <c r="K1940" s="163"/>
      <c r="Q1940" s="163"/>
      <c r="R1940" s="163"/>
      <c r="S1940" s="163"/>
    </row>
    <row r="1941" spans="5:19" x14ac:dyDescent="0.25">
      <c r="E1941" s="163"/>
      <c r="K1941" s="163"/>
      <c r="Q1941" s="163"/>
      <c r="R1941" s="163"/>
      <c r="S1941" s="163"/>
    </row>
    <row r="1942" spans="5:19" x14ac:dyDescent="0.25">
      <c r="E1942" s="163"/>
      <c r="K1942" s="163"/>
      <c r="Q1942" s="163"/>
      <c r="R1942" s="163"/>
      <c r="S1942" s="163"/>
    </row>
    <row r="1943" spans="5:19" x14ac:dyDescent="0.25">
      <c r="E1943" s="163"/>
      <c r="K1943" s="163"/>
      <c r="Q1943" s="163"/>
      <c r="R1943" s="163"/>
      <c r="S1943" s="163"/>
    </row>
    <row r="1944" spans="5:19" x14ac:dyDescent="0.25">
      <c r="E1944" s="163"/>
      <c r="K1944" s="163"/>
      <c r="Q1944" s="163"/>
      <c r="R1944" s="163"/>
      <c r="S1944" s="163"/>
    </row>
    <row r="1945" spans="5:19" x14ac:dyDescent="0.25">
      <c r="E1945" s="163"/>
      <c r="K1945" s="163"/>
      <c r="Q1945" s="163"/>
      <c r="R1945" s="163"/>
      <c r="S1945" s="163"/>
    </row>
    <row r="1946" spans="5:19" x14ac:dyDescent="0.25">
      <c r="E1946" s="163"/>
      <c r="K1946" s="163"/>
      <c r="Q1946" s="163"/>
      <c r="R1946" s="163"/>
      <c r="S1946" s="163"/>
    </row>
    <row r="1947" spans="5:19" x14ac:dyDescent="0.25">
      <c r="E1947" s="163"/>
      <c r="K1947" s="163"/>
      <c r="Q1947" s="163"/>
      <c r="R1947" s="163"/>
      <c r="S1947" s="163"/>
    </row>
    <row r="1948" spans="5:19" x14ac:dyDescent="0.25">
      <c r="E1948" s="163"/>
      <c r="K1948" s="163"/>
      <c r="Q1948" s="163"/>
      <c r="R1948" s="163"/>
      <c r="S1948" s="163"/>
    </row>
    <row r="1949" spans="5:19" x14ac:dyDescent="0.25">
      <c r="E1949" s="163"/>
      <c r="K1949" s="163"/>
      <c r="Q1949" s="163"/>
      <c r="R1949" s="163"/>
      <c r="S1949" s="163"/>
    </row>
    <row r="1950" spans="5:19" x14ac:dyDescent="0.25">
      <c r="E1950" s="163"/>
      <c r="K1950" s="163"/>
      <c r="Q1950" s="163"/>
      <c r="R1950" s="163"/>
      <c r="S1950" s="163"/>
    </row>
    <row r="1951" spans="5:19" x14ac:dyDescent="0.25">
      <c r="E1951" s="163"/>
      <c r="K1951" s="163"/>
      <c r="Q1951" s="163"/>
      <c r="R1951" s="163"/>
      <c r="S1951" s="163"/>
    </row>
    <row r="1952" spans="5:19" x14ac:dyDescent="0.25">
      <c r="E1952" s="163"/>
      <c r="K1952" s="163"/>
      <c r="Q1952" s="163"/>
      <c r="R1952" s="163"/>
      <c r="S1952" s="163"/>
    </row>
    <row r="1953" spans="5:19" x14ac:dyDescent="0.25">
      <c r="E1953" s="163"/>
      <c r="K1953" s="163"/>
      <c r="Q1953" s="163"/>
      <c r="R1953" s="163"/>
      <c r="S1953" s="163"/>
    </row>
    <row r="1954" spans="5:19" x14ac:dyDescent="0.25">
      <c r="E1954" s="163"/>
      <c r="K1954" s="163"/>
      <c r="Q1954" s="163"/>
      <c r="R1954" s="163"/>
      <c r="S1954" s="163"/>
    </row>
    <row r="1955" spans="5:19" x14ac:dyDescent="0.25">
      <c r="E1955" s="163"/>
      <c r="K1955" s="163"/>
      <c r="Q1955" s="163"/>
      <c r="R1955" s="163"/>
      <c r="S1955" s="163"/>
    </row>
    <row r="1956" spans="5:19" x14ac:dyDescent="0.25">
      <c r="E1956" s="163"/>
      <c r="K1956" s="163"/>
      <c r="Q1956" s="163"/>
      <c r="R1956" s="163"/>
      <c r="S1956" s="163"/>
    </row>
    <row r="1957" spans="5:19" x14ac:dyDescent="0.25">
      <c r="E1957" s="163"/>
      <c r="K1957" s="163"/>
      <c r="Q1957" s="163"/>
      <c r="R1957" s="163"/>
      <c r="S1957" s="163"/>
    </row>
    <row r="1958" spans="5:19" x14ac:dyDescent="0.25">
      <c r="E1958" s="163"/>
      <c r="K1958" s="163"/>
      <c r="Q1958" s="163"/>
      <c r="R1958" s="163"/>
      <c r="S1958" s="163"/>
    </row>
    <row r="1959" spans="5:19" x14ac:dyDescent="0.25">
      <c r="E1959" s="163"/>
      <c r="K1959" s="163"/>
      <c r="Q1959" s="163"/>
      <c r="R1959" s="163"/>
      <c r="S1959" s="163"/>
    </row>
    <row r="1960" spans="5:19" x14ac:dyDescent="0.25">
      <c r="E1960" s="163"/>
      <c r="K1960" s="163"/>
      <c r="Q1960" s="163"/>
      <c r="R1960" s="163"/>
      <c r="S1960" s="163"/>
    </row>
    <row r="1961" spans="5:19" x14ac:dyDescent="0.25">
      <c r="E1961" s="163"/>
      <c r="K1961" s="163"/>
      <c r="Q1961" s="163"/>
      <c r="R1961" s="163"/>
      <c r="S1961" s="163"/>
    </row>
    <row r="1962" spans="5:19" x14ac:dyDescent="0.25">
      <c r="E1962" s="163"/>
      <c r="K1962" s="163"/>
      <c r="Q1962" s="163"/>
      <c r="R1962" s="163"/>
      <c r="S1962" s="163"/>
    </row>
    <row r="1963" spans="5:19" x14ac:dyDescent="0.25">
      <c r="E1963" s="163"/>
      <c r="K1963" s="163"/>
      <c r="Q1963" s="163"/>
      <c r="R1963" s="163"/>
      <c r="S1963" s="163"/>
    </row>
    <row r="1964" spans="5:19" x14ac:dyDescent="0.25">
      <c r="E1964" s="163"/>
      <c r="K1964" s="163"/>
      <c r="Q1964" s="163"/>
      <c r="R1964" s="163"/>
      <c r="S1964" s="163"/>
    </row>
    <row r="1965" spans="5:19" x14ac:dyDescent="0.25">
      <c r="E1965" s="163"/>
      <c r="K1965" s="163"/>
      <c r="Q1965" s="163"/>
      <c r="R1965" s="163"/>
      <c r="S1965" s="163"/>
    </row>
    <row r="1966" spans="5:19" x14ac:dyDescent="0.25">
      <c r="E1966" s="163"/>
      <c r="K1966" s="163"/>
      <c r="Q1966" s="163"/>
      <c r="R1966" s="163"/>
      <c r="S1966" s="163"/>
    </row>
    <row r="1967" spans="5:19" x14ac:dyDescent="0.25">
      <c r="E1967" s="163"/>
      <c r="K1967" s="163"/>
      <c r="Q1967" s="163"/>
      <c r="R1967" s="163"/>
      <c r="S1967" s="163"/>
    </row>
    <row r="1968" spans="5:19" x14ac:dyDescent="0.25">
      <c r="E1968" s="163"/>
      <c r="K1968" s="163"/>
      <c r="Q1968" s="163"/>
      <c r="R1968" s="163"/>
      <c r="S1968" s="163"/>
    </row>
    <row r="1969" spans="5:19" x14ac:dyDescent="0.25">
      <c r="E1969" s="163"/>
      <c r="K1969" s="163"/>
      <c r="Q1969" s="163"/>
      <c r="R1969" s="163"/>
      <c r="S1969" s="163"/>
    </row>
    <row r="1970" spans="5:19" x14ac:dyDescent="0.25">
      <c r="E1970" s="163"/>
      <c r="K1970" s="163"/>
      <c r="Q1970" s="163"/>
      <c r="R1970" s="163"/>
      <c r="S1970" s="163"/>
    </row>
    <row r="1971" spans="5:19" x14ac:dyDescent="0.25">
      <c r="E1971" s="163"/>
      <c r="K1971" s="163"/>
      <c r="Q1971" s="163"/>
      <c r="R1971" s="163"/>
      <c r="S1971" s="163"/>
    </row>
    <row r="1972" spans="5:19" x14ac:dyDescent="0.25">
      <c r="E1972" s="163"/>
      <c r="K1972" s="163"/>
      <c r="Q1972" s="163"/>
      <c r="R1972" s="163"/>
      <c r="S1972" s="163"/>
    </row>
    <row r="1973" spans="5:19" x14ac:dyDescent="0.25">
      <c r="E1973" s="163"/>
      <c r="K1973" s="163"/>
      <c r="Q1973" s="163"/>
      <c r="R1973" s="163"/>
      <c r="S1973" s="163"/>
    </row>
    <row r="1974" spans="5:19" x14ac:dyDescent="0.25">
      <c r="E1974" s="163"/>
      <c r="K1974" s="163"/>
      <c r="Q1974" s="163"/>
      <c r="R1974" s="163"/>
      <c r="S1974" s="163"/>
    </row>
    <row r="1975" spans="5:19" x14ac:dyDescent="0.25">
      <c r="E1975" s="163"/>
      <c r="K1975" s="163"/>
      <c r="Q1975" s="163"/>
      <c r="R1975" s="163"/>
      <c r="S1975" s="163"/>
    </row>
    <row r="1976" spans="5:19" x14ac:dyDescent="0.25">
      <c r="E1976" s="163"/>
      <c r="K1976" s="163"/>
      <c r="Q1976" s="163"/>
      <c r="R1976" s="163"/>
      <c r="S1976" s="163"/>
    </row>
    <row r="1977" spans="5:19" x14ac:dyDescent="0.25">
      <c r="E1977" s="163"/>
      <c r="K1977" s="163"/>
      <c r="Q1977" s="163"/>
      <c r="R1977" s="163"/>
      <c r="S1977" s="163"/>
    </row>
    <row r="1978" spans="5:19" x14ac:dyDescent="0.25">
      <c r="E1978" s="163"/>
      <c r="K1978" s="163"/>
      <c r="Q1978" s="163"/>
      <c r="R1978" s="163"/>
      <c r="S1978" s="163"/>
    </row>
    <row r="1979" spans="5:19" x14ac:dyDescent="0.25">
      <c r="E1979" s="163"/>
      <c r="K1979" s="163"/>
      <c r="Q1979" s="163"/>
      <c r="R1979" s="163"/>
      <c r="S1979" s="163"/>
    </row>
    <row r="1980" spans="5:19" x14ac:dyDescent="0.25">
      <c r="E1980" s="163"/>
      <c r="K1980" s="163"/>
      <c r="Q1980" s="163"/>
      <c r="R1980" s="163"/>
      <c r="S1980" s="163"/>
    </row>
    <row r="1981" spans="5:19" x14ac:dyDescent="0.25">
      <c r="E1981" s="163"/>
      <c r="K1981" s="163"/>
      <c r="Q1981" s="163"/>
      <c r="R1981" s="163"/>
      <c r="S1981" s="163"/>
    </row>
    <row r="1982" spans="5:19" x14ac:dyDescent="0.25">
      <c r="E1982" s="163"/>
      <c r="K1982" s="163"/>
      <c r="Q1982" s="163"/>
      <c r="R1982" s="163"/>
      <c r="S1982" s="163"/>
    </row>
    <row r="1983" spans="5:19" x14ac:dyDescent="0.25">
      <c r="E1983" s="163"/>
      <c r="K1983" s="163"/>
      <c r="Q1983" s="163"/>
      <c r="R1983" s="163"/>
      <c r="S1983" s="163"/>
    </row>
    <row r="1984" spans="5:19" x14ac:dyDescent="0.25">
      <c r="E1984" s="163"/>
      <c r="K1984" s="163"/>
      <c r="Q1984" s="163"/>
      <c r="R1984" s="163"/>
      <c r="S1984" s="163"/>
    </row>
    <row r="1985" spans="5:19" x14ac:dyDescent="0.25">
      <c r="E1985" s="163"/>
      <c r="K1985" s="163"/>
      <c r="Q1985" s="163"/>
      <c r="R1985" s="163"/>
      <c r="S1985" s="163"/>
    </row>
    <row r="1986" spans="5:19" x14ac:dyDescent="0.25">
      <c r="E1986" s="163"/>
      <c r="K1986" s="163"/>
      <c r="Q1986" s="163"/>
      <c r="R1986" s="163"/>
      <c r="S1986" s="163"/>
    </row>
    <row r="1987" spans="5:19" x14ac:dyDescent="0.25">
      <c r="E1987" s="163"/>
      <c r="K1987" s="163"/>
      <c r="Q1987" s="163"/>
      <c r="R1987" s="163"/>
      <c r="S1987" s="163"/>
    </row>
    <row r="1988" spans="5:19" x14ac:dyDescent="0.25">
      <c r="E1988" s="163"/>
      <c r="K1988" s="163"/>
      <c r="Q1988" s="163"/>
      <c r="R1988" s="163"/>
      <c r="S1988" s="163"/>
    </row>
    <row r="1989" spans="5:19" x14ac:dyDescent="0.25">
      <c r="E1989" s="163"/>
      <c r="K1989" s="163"/>
      <c r="Q1989" s="163"/>
      <c r="R1989" s="163"/>
      <c r="S1989" s="163"/>
    </row>
    <row r="1990" spans="5:19" x14ac:dyDescent="0.25">
      <c r="E1990" s="163"/>
      <c r="K1990" s="163"/>
      <c r="Q1990" s="163"/>
      <c r="R1990" s="163"/>
      <c r="S1990" s="163"/>
    </row>
    <row r="1991" spans="5:19" x14ac:dyDescent="0.25">
      <c r="E1991" s="163"/>
      <c r="K1991" s="163"/>
      <c r="Q1991" s="163"/>
      <c r="R1991" s="163"/>
      <c r="S1991" s="163"/>
    </row>
    <row r="1992" spans="5:19" x14ac:dyDescent="0.25">
      <c r="E1992" s="163"/>
      <c r="K1992" s="163"/>
      <c r="Q1992" s="163"/>
      <c r="R1992" s="163"/>
      <c r="S1992" s="163"/>
    </row>
    <row r="1993" spans="5:19" x14ac:dyDescent="0.25">
      <c r="E1993" s="163"/>
      <c r="K1993" s="163"/>
      <c r="Q1993" s="163"/>
      <c r="R1993" s="163"/>
      <c r="S1993" s="163"/>
    </row>
    <row r="1994" spans="5:19" x14ac:dyDescent="0.25">
      <c r="E1994" s="163"/>
      <c r="K1994" s="163"/>
      <c r="Q1994" s="163"/>
      <c r="R1994" s="163"/>
      <c r="S1994" s="163"/>
    </row>
    <row r="1995" spans="5:19" x14ac:dyDescent="0.25">
      <c r="E1995" s="163"/>
      <c r="K1995" s="163"/>
      <c r="Q1995" s="163"/>
      <c r="R1995" s="163"/>
      <c r="S1995" s="163"/>
    </row>
    <row r="1996" spans="5:19" x14ac:dyDescent="0.25">
      <c r="E1996" s="163"/>
      <c r="K1996" s="163"/>
      <c r="Q1996" s="163"/>
      <c r="R1996" s="163"/>
      <c r="S1996" s="163"/>
    </row>
    <row r="1997" spans="5:19" x14ac:dyDescent="0.25">
      <c r="E1997" s="163"/>
      <c r="K1997" s="163"/>
      <c r="Q1997" s="163"/>
      <c r="R1997" s="163"/>
      <c r="S1997" s="163"/>
    </row>
    <row r="1998" spans="5:19" x14ac:dyDescent="0.25">
      <c r="E1998" s="163"/>
      <c r="K1998" s="163"/>
      <c r="Q1998" s="163"/>
      <c r="R1998" s="163"/>
      <c r="S1998" s="163"/>
    </row>
    <row r="1999" spans="5:19" x14ac:dyDescent="0.25">
      <c r="E1999" s="163"/>
      <c r="K1999" s="163"/>
      <c r="Q1999" s="163"/>
      <c r="R1999" s="163"/>
      <c r="S1999" s="163"/>
    </row>
    <row r="2000" spans="5:19" x14ac:dyDescent="0.25">
      <c r="E2000" s="163"/>
      <c r="K2000" s="163"/>
      <c r="Q2000" s="163"/>
      <c r="R2000" s="163"/>
      <c r="S2000" s="163"/>
    </row>
    <row r="2001" spans="5:19" x14ac:dyDescent="0.25">
      <c r="E2001" s="163"/>
      <c r="K2001" s="163"/>
      <c r="Q2001" s="163"/>
      <c r="R2001" s="163"/>
      <c r="S2001" s="163"/>
    </row>
    <row r="2002" spans="5:19" x14ac:dyDescent="0.25">
      <c r="E2002" s="163"/>
      <c r="K2002" s="163"/>
      <c r="Q2002" s="163"/>
      <c r="R2002" s="163"/>
      <c r="S2002" s="163"/>
    </row>
    <row r="2003" spans="5:19" x14ac:dyDescent="0.25">
      <c r="E2003" s="163"/>
      <c r="K2003" s="163"/>
      <c r="Q2003" s="163"/>
      <c r="R2003" s="163"/>
      <c r="S2003" s="163"/>
    </row>
    <row r="2004" spans="5:19" x14ac:dyDescent="0.25">
      <c r="E2004" s="163"/>
      <c r="K2004" s="163"/>
      <c r="Q2004" s="163"/>
      <c r="R2004" s="163"/>
      <c r="S2004" s="163"/>
    </row>
    <row r="2005" spans="5:19" x14ac:dyDescent="0.25">
      <c r="E2005" s="163"/>
      <c r="K2005" s="163"/>
      <c r="Q2005" s="163"/>
      <c r="R2005" s="163"/>
      <c r="S2005" s="163"/>
    </row>
    <row r="2006" spans="5:19" x14ac:dyDescent="0.25">
      <c r="E2006" s="163"/>
      <c r="K2006" s="163"/>
      <c r="Q2006" s="163"/>
      <c r="R2006" s="163"/>
      <c r="S2006" s="163"/>
    </row>
    <row r="2007" spans="5:19" x14ac:dyDescent="0.25">
      <c r="E2007" s="163"/>
      <c r="K2007" s="163"/>
      <c r="Q2007" s="163"/>
      <c r="R2007" s="163"/>
      <c r="S2007" s="163"/>
    </row>
    <row r="2008" spans="5:19" x14ac:dyDescent="0.25">
      <c r="E2008" s="163"/>
      <c r="K2008" s="163"/>
      <c r="Q2008" s="163"/>
      <c r="R2008" s="163"/>
      <c r="S2008" s="163"/>
    </row>
    <row r="2009" spans="5:19" x14ac:dyDescent="0.25">
      <c r="E2009" s="163"/>
      <c r="K2009" s="163"/>
      <c r="Q2009" s="163"/>
      <c r="R2009" s="163"/>
      <c r="S2009" s="163"/>
    </row>
    <row r="2010" spans="5:19" x14ac:dyDescent="0.25">
      <c r="E2010" s="163"/>
      <c r="K2010" s="163"/>
      <c r="Q2010" s="163"/>
      <c r="R2010" s="163"/>
      <c r="S2010" s="163"/>
    </row>
    <row r="2011" spans="5:19" x14ac:dyDescent="0.25">
      <c r="E2011" s="163"/>
      <c r="K2011" s="163"/>
      <c r="Q2011" s="163"/>
      <c r="R2011" s="163"/>
      <c r="S2011" s="163"/>
    </row>
    <row r="2012" spans="5:19" x14ac:dyDescent="0.25">
      <c r="E2012" s="163"/>
      <c r="K2012" s="163"/>
      <c r="Q2012" s="163"/>
      <c r="R2012" s="163"/>
      <c r="S2012" s="163"/>
    </row>
    <row r="2013" spans="5:19" x14ac:dyDescent="0.25">
      <c r="E2013" s="163"/>
      <c r="K2013" s="163"/>
      <c r="Q2013" s="163"/>
      <c r="R2013" s="163"/>
      <c r="S2013" s="163"/>
    </row>
    <row r="2014" spans="5:19" x14ac:dyDescent="0.25">
      <c r="E2014" s="163"/>
      <c r="K2014" s="163"/>
      <c r="Q2014" s="163"/>
      <c r="R2014" s="163"/>
      <c r="S2014" s="163"/>
    </row>
    <row r="2015" spans="5:19" x14ac:dyDescent="0.25">
      <c r="E2015" s="163"/>
      <c r="K2015" s="163"/>
      <c r="Q2015" s="163"/>
      <c r="R2015" s="163"/>
      <c r="S2015" s="163"/>
    </row>
    <row r="2016" spans="5:19" x14ac:dyDescent="0.25">
      <c r="E2016" s="163"/>
      <c r="K2016" s="163"/>
      <c r="Q2016" s="163"/>
      <c r="R2016" s="163"/>
      <c r="S2016" s="163"/>
    </row>
    <row r="2017" spans="5:19" x14ac:dyDescent="0.25">
      <c r="E2017" s="163"/>
      <c r="K2017" s="163"/>
      <c r="Q2017" s="163"/>
      <c r="R2017" s="163"/>
      <c r="S2017" s="163"/>
    </row>
    <row r="2018" spans="5:19" x14ac:dyDescent="0.25">
      <c r="E2018" s="163"/>
      <c r="K2018" s="163"/>
      <c r="Q2018" s="163"/>
      <c r="R2018" s="163"/>
      <c r="S2018" s="163"/>
    </row>
    <row r="2019" spans="5:19" x14ac:dyDescent="0.25">
      <c r="E2019" s="163"/>
      <c r="K2019" s="163"/>
      <c r="Q2019" s="163"/>
      <c r="R2019" s="163"/>
      <c r="S2019" s="163"/>
    </row>
    <row r="2020" spans="5:19" x14ac:dyDescent="0.25">
      <c r="E2020" s="163"/>
      <c r="K2020" s="163"/>
      <c r="Q2020" s="163"/>
      <c r="R2020" s="163"/>
      <c r="S2020" s="163"/>
    </row>
    <row r="2021" spans="5:19" x14ac:dyDescent="0.25">
      <c r="E2021" s="163"/>
      <c r="K2021" s="163"/>
      <c r="Q2021" s="163"/>
      <c r="R2021" s="163"/>
      <c r="S2021" s="163"/>
    </row>
    <row r="2022" spans="5:19" x14ac:dyDescent="0.25">
      <c r="E2022" s="163"/>
      <c r="K2022" s="163"/>
      <c r="Q2022" s="163"/>
      <c r="R2022" s="163"/>
      <c r="S2022" s="163"/>
    </row>
    <row r="2023" spans="5:19" x14ac:dyDescent="0.25">
      <c r="E2023" s="163"/>
      <c r="K2023" s="163"/>
      <c r="Q2023" s="163"/>
      <c r="R2023" s="163"/>
      <c r="S2023" s="163"/>
    </row>
    <row r="2024" spans="5:19" x14ac:dyDescent="0.25">
      <c r="E2024" s="163"/>
      <c r="K2024" s="163"/>
      <c r="Q2024" s="163"/>
      <c r="R2024" s="163"/>
      <c r="S2024" s="163"/>
    </row>
    <row r="2025" spans="5:19" x14ac:dyDescent="0.25">
      <c r="E2025" s="163"/>
      <c r="K2025" s="163"/>
      <c r="Q2025" s="163"/>
      <c r="R2025" s="163"/>
      <c r="S2025" s="163"/>
    </row>
    <row r="2026" spans="5:19" x14ac:dyDescent="0.25">
      <c r="E2026" s="163"/>
      <c r="K2026" s="163"/>
      <c r="Q2026" s="163"/>
      <c r="R2026" s="163"/>
      <c r="S2026" s="163"/>
    </row>
    <row r="2027" spans="5:19" x14ac:dyDescent="0.25">
      <c r="E2027" s="163"/>
      <c r="K2027" s="163"/>
      <c r="Q2027" s="163"/>
      <c r="R2027" s="163"/>
      <c r="S2027" s="163"/>
    </row>
    <row r="2028" spans="5:19" x14ac:dyDescent="0.25">
      <c r="E2028" s="163"/>
      <c r="K2028" s="163"/>
      <c r="Q2028" s="163"/>
      <c r="R2028" s="163"/>
      <c r="S2028" s="163"/>
    </row>
    <row r="2029" spans="5:19" x14ac:dyDescent="0.25">
      <c r="E2029" s="163"/>
      <c r="K2029" s="163"/>
      <c r="Q2029" s="163"/>
      <c r="R2029" s="163"/>
      <c r="S2029" s="163"/>
    </row>
    <row r="2030" spans="5:19" x14ac:dyDescent="0.25">
      <c r="E2030" s="163"/>
      <c r="K2030" s="163"/>
      <c r="Q2030" s="163"/>
      <c r="R2030" s="163"/>
      <c r="S2030" s="163"/>
    </row>
    <row r="2031" spans="5:19" x14ac:dyDescent="0.25">
      <c r="E2031" s="163"/>
      <c r="K2031" s="163"/>
      <c r="Q2031" s="163"/>
      <c r="R2031" s="163"/>
      <c r="S2031" s="163"/>
    </row>
    <row r="2032" spans="5:19" x14ac:dyDescent="0.25">
      <c r="E2032" s="163"/>
      <c r="K2032" s="163"/>
      <c r="Q2032" s="163"/>
      <c r="R2032" s="163"/>
      <c r="S2032" s="163"/>
    </row>
    <row r="2033" spans="5:19" x14ac:dyDescent="0.25">
      <c r="E2033" s="163"/>
      <c r="K2033" s="163"/>
      <c r="Q2033" s="163"/>
      <c r="R2033" s="163"/>
      <c r="S2033" s="163"/>
    </row>
    <row r="2034" spans="5:19" x14ac:dyDescent="0.25">
      <c r="E2034" s="163"/>
      <c r="K2034" s="163"/>
      <c r="Q2034" s="163"/>
      <c r="R2034" s="163"/>
      <c r="S2034" s="163"/>
    </row>
    <row r="2035" spans="5:19" x14ac:dyDescent="0.25">
      <c r="E2035" s="163"/>
      <c r="K2035" s="163"/>
      <c r="Q2035" s="163"/>
      <c r="R2035" s="163"/>
      <c r="S2035" s="163"/>
    </row>
    <row r="2036" spans="5:19" x14ac:dyDescent="0.25">
      <c r="E2036" s="163"/>
      <c r="K2036" s="163"/>
      <c r="Q2036" s="163"/>
      <c r="R2036" s="163"/>
      <c r="S2036" s="163"/>
    </row>
    <row r="2037" spans="5:19" x14ac:dyDescent="0.25">
      <c r="E2037" s="163"/>
      <c r="K2037" s="163"/>
      <c r="Q2037" s="163"/>
      <c r="R2037" s="163"/>
      <c r="S2037" s="163"/>
    </row>
    <row r="2038" spans="5:19" x14ac:dyDescent="0.25">
      <c r="E2038" s="163"/>
      <c r="K2038" s="163"/>
      <c r="Q2038" s="163"/>
      <c r="R2038" s="163"/>
      <c r="S2038" s="163"/>
    </row>
    <row r="2039" spans="5:19" x14ac:dyDescent="0.25">
      <c r="E2039" s="163"/>
      <c r="K2039" s="163"/>
      <c r="Q2039" s="163"/>
      <c r="R2039" s="163"/>
      <c r="S2039" s="163"/>
    </row>
    <row r="2040" spans="5:19" x14ac:dyDescent="0.25">
      <c r="E2040" s="163"/>
      <c r="K2040" s="163"/>
      <c r="Q2040" s="163"/>
      <c r="R2040" s="163"/>
      <c r="S2040" s="163"/>
    </row>
    <row r="2041" spans="5:19" x14ac:dyDescent="0.25">
      <c r="E2041" s="163"/>
      <c r="K2041" s="163"/>
      <c r="Q2041" s="163"/>
      <c r="R2041" s="163"/>
      <c r="S2041" s="163"/>
    </row>
    <row r="2042" spans="5:19" x14ac:dyDescent="0.25">
      <c r="E2042" s="163"/>
      <c r="K2042" s="163"/>
      <c r="Q2042" s="163"/>
      <c r="R2042" s="163"/>
      <c r="S2042" s="163"/>
    </row>
    <row r="2043" spans="5:19" x14ac:dyDescent="0.25">
      <c r="E2043" s="163"/>
      <c r="K2043" s="163"/>
      <c r="Q2043" s="163"/>
      <c r="R2043" s="163"/>
      <c r="S2043" s="163"/>
    </row>
    <row r="2044" spans="5:19" x14ac:dyDescent="0.25">
      <c r="E2044" s="163"/>
      <c r="K2044" s="163"/>
      <c r="Q2044" s="163"/>
      <c r="R2044" s="163"/>
      <c r="S2044" s="163"/>
    </row>
    <row r="2045" spans="5:19" x14ac:dyDescent="0.25">
      <c r="E2045" s="163"/>
      <c r="K2045" s="163"/>
      <c r="Q2045" s="163"/>
      <c r="R2045" s="163"/>
      <c r="S2045" s="163"/>
    </row>
    <row r="2046" spans="5:19" x14ac:dyDescent="0.25">
      <c r="E2046" s="163"/>
      <c r="K2046" s="163"/>
      <c r="Q2046" s="163"/>
      <c r="R2046" s="163"/>
      <c r="S2046" s="163"/>
    </row>
    <row r="2047" spans="5:19" x14ac:dyDescent="0.25">
      <c r="E2047" s="163"/>
      <c r="K2047" s="163"/>
      <c r="Q2047" s="163"/>
      <c r="R2047" s="163"/>
      <c r="S2047" s="163"/>
    </row>
    <row r="2048" spans="5:19" x14ac:dyDescent="0.25">
      <c r="E2048" s="163"/>
      <c r="K2048" s="163"/>
      <c r="Q2048" s="163"/>
      <c r="R2048" s="163"/>
      <c r="S2048" s="163"/>
    </row>
    <row r="2049" spans="5:19" x14ac:dyDescent="0.25">
      <c r="E2049" s="163"/>
      <c r="K2049" s="163"/>
      <c r="Q2049" s="163"/>
      <c r="R2049" s="163"/>
      <c r="S2049" s="163"/>
    </row>
    <row r="2050" spans="5:19" x14ac:dyDescent="0.25">
      <c r="E2050" s="163"/>
      <c r="K2050" s="163"/>
      <c r="Q2050" s="163"/>
      <c r="R2050" s="163"/>
      <c r="S2050" s="163"/>
    </row>
    <row r="2051" spans="5:19" x14ac:dyDescent="0.25">
      <c r="E2051" s="163"/>
      <c r="K2051" s="163"/>
      <c r="Q2051" s="163"/>
      <c r="R2051" s="163"/>
      <c r="S2051" s="163"/>
    </row>
    <row r="2052" spans="5:19" x14ac:dyDescent="0.25">
      <c r="E2052" s="163"/>
      <c r="K2052" s="163"/>
      <c r="Q2052" s="163"/>
      <c r="R2052" s="163"/>
      <c r="S2052" s="163"/>
    </row>
    <row r="2053" spans="5:19" x14ac:dyDescent="0.25">
      <c r="E2053" s="163"/>
      <c r="K2053" s="163"/>
      <c r="Q2053" s="163"/>
      <c r="R2053" s="163"/>
      <c r="S2053" s="163"/>
    </row>
    <row r="2054" spans="5:19" x14ac:dyDescent="0.25">
      <c r="E2054" s="163"/>
      <c r="K2054" s="163"/>
      <c r="Q2054" s="163"/>
      <c r="R2054" s="163"/>
      <c r="S2054" s="163"/>
    </row>
    <row r="2055" spans="5:19" x14ac:dyDescent="0.25">
      <c r="E2055" s="163"/>
      <c r="K2055" s="163"/>
      <c r="Q2055" s="163"/>
      <c r="R2055" s="163"/>
      <c r="S2055" s="163"/>
    </row>
    <row r="2056" spans="5:19" x14ac:dyDescent="0.25">
      <c r="E2056" s="163"/>
      <c r="K2056" s="163"/>
      <c r="Q2056" s="163"/>
      <c r="R2056" s="163"/>
      <c r="S2056" s="163"/>
    </row>
    <row r="2057" spans="5:19" x14ac:dyDescent="0.25">
      <c r="E2057" s="163"/>
      <c r="K2057" s="163"/>
      <c r="Q2057" s="163"/>
      <c r="R2057" s="163"/>
      <c r="S2057" s="163"/>
    </row>
    <row r="2058" spans="5:19" x14ac:dyDescent="0.25">
      <c r="E2058" s="163"/>
      <c r="K2058" s="163"/>
      <c r="Q2058" s="163"/>
      <c r="R2058" s="163"/>
      <c r="S2058" s="163"/>
    </row>
    <row r="2059" spans="5:19" x14ac:dyDescent="0.25">
      <c r="E2059" s="163"/>
      <c r="K2059" s="163"/>
      <c r="Q2059" s="163"/>
      <c r="R2059" s="163"/>
      <c r="S2059" s="163"/>
    </row>
    <row r="2060" spans="5:19" x14ac:dyDescent="0.25">
      <c r="E2060" s="163"/>
      <c r="K2060" s="163"/>
      <c r="Q2060" s="163"/>
      <c r="R2060" s="163"/>
      <c r="S2060" s="163"/>
    </row>
    <row r="2061" spans="5:19" x14ac:dyDescent="0.25">
      <c r="E2061" s="163"/>
      <c r="K2061" s="163"/>
      <c r="Q2061" s="163"/>
      <c r="R2061" s="163"/>
      <c r="S2061" s="163"/>
    </row>
    <row r="2062" spans="5:19" x14ac:dyDescent="0.25">
      <c r="E2062" s="163"/>
      <c r="K2062" s="163"/>
      <c r="Q2062" s="163"/>
      <c r="R2062" s="163"/>
      <c r="S2062" s="163"/>
    </row>
    <row r="2063" spans="5:19" x14ac:dyDescent="0.25">
      <c r="E2063" s="163"/>
      <c r="K2063" s="163"/>
      <c r="Q2063" s="163"/>
      <c r="R2063" s="163"/>
      <c r="S2063" s="163"/>
    </row>
    <row r="2064" spans="5:19" x14ac:dyDescent="0.25">
      <c r="E2064" s="163"/>
      <c r="K2064" s="163"/>
      <c r="Q2064" s="163"/>
      <c r="R2064" s="163"/>
      <c r="S2064" s="163"/>
    </row>
    <row r="2065" spans="5:19" x14ac:dyDescent="0.25">
      <c r="E2065" s="163"/>
      <c r="K2065" s="163"/>
      <c r="Q2065" s="163"/>
      <c r="R2065" s="163"/>
      <c r="S2065" s="163"/>
    </row>
    <row r="2066" spans="5:19" x14ac:dyDescent="0.25">
      <c r="E2066" s="163"/>
      <c r="K2066" s="163"/>
      <c r="Q2066" s="163"/>
      <c r="R2066" s="163"/>
      <c r="S2066" s="163"/>
    </row>
    <row r="2067" spans="5:19" x14ac:dyDescent="0.25">
      <c r="E2067" s="163"/>
      <c r="K2067" s="163"/>
      <c r="Q2067" s="163"/>
      <c r="R2067" s="163"/>
      <c r="S2067" s="163"/>
    </row>
    <row r="2068" spans="5:19" x14ac:dyDescent="0.25">
      <c r="E2068" s="163"/>
      <c r="K2068" s="163"/>
      <c r="Q2068" s="163"/>
      <c r="R2068" s="163"/>
      <c r="S2068" s="163"/>
    </row>
    <row r="2069" spans="5:19" x14ac:dyDescent="0.25">
      <c r="E2069" s="163"/>
      <c r="K2069" s="163"/>
      <c r="Q2069" s="163"/>
      <c r="R2069" s="163"/>
      <c r="S2069" s="163"/>
    </row>
    <row r="2070" spans="5:19" x14ac:dyDescent="0.25">
      <c r="E2070" s="163"/>
      <c r="K2070" s="163"/>
      <c r="Q2070" s="163"/>
      <c r="R2070" s="163"/>
      <c r="S2070" s="163"/>
    </row>
    <row r="2071" spans="5:19" x14ac:dyDescent="0.25">
      <c r="E2071" s="163"/>
      <c r="K2071" s="163"/>
      <c r="Q2071" s="163"/>
      <c r="R2071" s="163"/>
      <c r="S2071" s="163"/>
    </row>
    <row r="2072" spans="5:19" x14ac:dyDescent="0.25">
      <c r="E2072" s="163"/>
      <c r="K2072" s="163"/>
      <c r="Q2072" s="163"/>
      <c r="R2072" s="163"/>
      <c r="S2072" s="163"/>
    </row>
    <row r="2073" spans="5:19" x14ac:dyDescent="0.25">
      <c r="E2073" s="163"/>
      <c r="K2073" s="163"/>
      <c r="Q2073" s="163"/>
      <c r="R2073" s="163"/>
      <c r="S2073" s="163"/>
    </row>
    <row r="2074" spans="5:19" x14ac:dyDescent="0.25">
      <c r="E2074" s="163"/>
      <c r="K2074" s="163"/>
      <c r="Q2074" s="163"/>
      <c r="R2074" s="163"/>
      <c r="S2074" s="163"/>
    </row>
    <row r="2075" spans="5:19" x14ac:dyDescent="0.25">
      <c r="E2075" s="163"/>
      <c r="K2075" s="163"/>
      <c r="Q2075" s="163"/>
      <c r="R2075" s="163"/>
      <c r="S2075" s="163"/>
    </row>
    <row r="2076" spans="5:19" x14ac:dyDescent="0.25">
      <c r="E2076" s="163"/>
      <c r="K2076" s="163"/>
      <c r="Q2076" s="163"/>
      <c r="R2076" s="163"/>
      <c r="S2076" s="163"/>
    </row>
    <row r="2077" spans="5:19" x14ac:dyDescent="0.25">
      <c r="E2077" s="163"/>
      <c r="K2077" s="163"/>
      <c r="Q2077" s="163"/>
      <c r="R2077" s="163"/>
      <c r="S2077" s="163"/>
    </row>
    <row r="2078" spans="5:19" x14ac:dyDescent="0.25">
      <c r="E2078" s="163"/>
      <c r="K2078" s="163"/>
      <c r="Q2078" s="163"/>
      <c r="R2078" s="163"/>
      <c r="S2078" s="163"/>
    </row>
    <row r="2079" spans="5:19" x14ac:dyDescent="0.25">
      <c r="E2079" s="163"/>
      <c r="K2079" s="163"/>
      <c r="Q2079" s="163"/>
      <c r="R2079" s="163"/>
      <c r="S2079" s="163"/>
    </row>
    <row r="2080" spans="5:19" x14ac:dyDescent="0.25">
      <c r="E2080" s="163"/>
      <c r="K2080" s="163"/>
      <c r="Q2080" s="163"/>
      <c r="R2080" s="163"/>
      <c r="S2080" s="163"/>
    </row>
    <row r="2081" spans="5:19" x14ac:dyDescent="0.25">
      <c r="E2081" s="163"/>
      <c r="K2081" s="163"/>
      <c r="Q2081" s="163"/>
      <c r="R2081" s="163"/>
      <c r="S2081" s="163"/>
    </row>
    <row r="2082" spans="5:19" x14ac:dyDescent="0.25">
      <c r="E2082" s="163"/>
      <c r="K2082" s="163"/>
      <c r="Q2082" s="163"/>
      <c r="R2082" s="163"/>
      <c r="S2082" s="163"/>
    </row>
    <row r="2083" spans="5:19" x14ac:dyDescent="0.25">
      <c r="E2083" s="163"/>
      <c r="K2083" s="163"/>
      <c r="Q2083" s="163"/>
      <c r="R2083" s="163"/>
      <c r="S2083" s="163"/>
    </row>
    <row r="2084" spans="5:19" x14ac:dyDescent="0.25">
      <c r="E2084" s="163"/>
      <c r="K2084" s="163"/>
      <c r="Q2084" s="163"/>
      <c r="R2084" s="163"/>
      <c r="S2084" s="163"/>
    </row>
    <row r="2085" spans="5:19" x14ac:dyDescent="0.25">
      <c r="E2085" s="163"/>
      <c r="K2085" s="163"/>
      <c r="Q2085" s="163"/>
      <c r="R2085" s="163"/>
      <c r="S2085" s="163"/>
    </row>
    <row r="2086" spans="5:19" x14ac:dyDescent="0.25">
      <c r="E2086" s="163"/>
      <c r="K2086" s="163"/>
      <c r="Q2086" s="163"/>
      <c r="R2086" s="163"/>
      <c r="S2086" s="163"/>
    </row>
    <row r="2087" spans="5:19" x14ac:dyDescent="0.25">
      <c r="E2087" s="163"/>
      <c r="K2087" s="163"/>
      <c r="Q2087" s="163"/>
      <c r="R2087" s="163"/>
      <c r="S2087" s="163"/>
    </row>
    <row r="2088" spans="5:19" x14ac:dyDescent="0.25">
      <c r="E2088" s="163"/>
      <c r="K2088" s="163"/>
      <c r="Q2088" s="163"/>
      <c r="R2088" s="163"/>
      <c r="S2088" s="163"/>
    </row>
    <row r="2089" spans="5:19" x14ac:dyDescent="0.25">
      <c r="E2089" s="163"/>
      <c r="K2089" s="163"/>
      <c r="Q2089" s="163"/>
      <c r="R2089" s="163"/>
      <c r="S2089" s="163"/>
    </row>
    <row r="2090" spans="5:19" x14ac:dyDescent="0.25">
      <c r="E2090" s="163"/>
      <c r="K2090" s="163"/>
      <c r="Q2090" s="163"/>
      <c r="R2090" s="163"/>
      <c r="S2090" s="163"/>
    </row>
    <row r="2091" spans="5:19" x14ac:dyDescent="0.25">
      <c r="E2091" s="163"/>
      <c r="K2091" s="163"/>
      <c r="Q2091" s="163"/>
      <c r="R2091" s="163"/>
      <c r="S2091" s="163"/>
    </row>
    <row r="2092" spans="5:19" x14ac:dyDescent="0.25">
      <c r="E2092" s="163"/>
      <c r="K2092" s="163"/>
      <c r="Q2092" s="163"/>
      <c r="R2092" s="163"/>
      <c r="S2092" s="163"/>
    </row>
    <row r="2093" spans="5:19" x14ac:dyDescent="0.25">
      <c r="E2093" s="163"/>
      <c r="K2093" s="163"/>
      <c r="Q2093" s="163"/>
      <c r="R2093" s="163"/>
      <c r="S2093" s="163"/>
    </row>
    <row r="2094" spans="5:19" x14ac:dyDescent="0.25">
      <c r="E2094" s="163"/>
      <c r="K2094" s="163"/>
      <c r="Q2094" s="163"/>
      <c r="R2094" s="163"/>
      <c r="S2094" s="163"/>
    </row>
    <row r="2095" spans="5:19" x14ac:dyDescent="0.25">
      <c r="E2095" s="163"/>
      <c r="K2095" s="163"/>
      <c r="Q2095" s="163"/>
      <c r="R2095" s="163"/>
      <c r="S2095" s="163"/>
    </row>
    <row r="2096" spans="5:19" x14ac:dyDescent="0.25">
      <c r="E2096" s="163"/>
      <c r="K2096" s="163"/>
      <c r="Q2096" s="163"/>
      <c r="R2096" s="163"/>
      <c r="S2096" s="163"/>
    </row>
    <row r="2097" spans="5:19" x14ac:dyDescent="0.25">
      <c r="E2097" s="163"/>
      <c r="K2097" s="163"/>
      <c r="Q2097" s="163"/>
      <c r="R2097" s="163"/>
      <c r="S2097" s="163"/>
    </row>
    <row r="2098" spans="5:19" x14ac:dyDescent="0.25">
      <c r="E2098" s="163"/>
      <c r="K2098" s="163"/>
      <c r="Q2098" s="163"/>
      <c r="R2098" s="163"/>
      <c r="S2098" s="163"/>
    </row>
    <row r="2099" spans="5:19" x14ac:dyDescent="0.25">
      <c r="E2099" s="163"/>
      <c r="K2099" s="163"/>
      <c r="Q2099" s="163"/>
      <c r="R2099" s="163"/>
      <c r="S2099" s="163"/>
    </row>
    <row r="2100" spans="5:19" x14ac:dyDescent="0.25">
      <c r="E2100" s="163"/>
      <c r="K2100" s="163"/>
      <c r="Q2100" s="163"/>
      <c r="R2100" s="163"/>
      <c r="S2100" s="163"/>
    </row>
    <row r="2101" spans="5:19" x14ac:dyDescent="0.25">
      <c r="E2101" s="163"/>
      <c r="K2101" s="163"/>
      <c r="Q2101" s="163"/>
      <c r="R2101" s="163"/>
      <c r="S2101" s="163"/>
    </row>
    <row r="2102" spans="5:19" x14ac:dyDescent="0.25">
      <c r="E2102" s="163"/>
      <c r="K2102" s="163"/>
      <c r="Q2102" s="163"/>
      <c r="R2102" s="163"/>
      <c r="S2102" s="163"/>
    </row>
    <row r="2103" spans="5:19" x14ac:dyDescent="0.25">
      <c r="E2103" s="163"/>
      <c r="K2103" s="163"/>
      <c r="Q2103" s="163"/>
      <c r="R2103" s="163"/>
      <c r="S2103" s="163"/>
    </row>
    <row r="2104" spans="5:19" x14ac:dyDescent="0.25">
      <c r="E2104" s="163"/>
      <c r="K2104" s="163"/>
      <c r="Q2104" s="163"/>
      <c r="R2104" s="163"/>
      <c r="S2104" s="163"/>
    </row>
    <row r="2105" spans="5:19" x14ac:dyDescent="0.25">
      <c r="E2105" s="163"/>
      <c r="K2105" s="163"/>
      <c r="Q2105" s="163"/>
      <c r="R2105" s="163"/>
      <c r="S2105" s="163"/>
    </row>
    <row r="2106" spans="5:19" x14ac:dyDescent="0.25">
      <c r="E2106" s="163"/>
      <c r="K2106" s="163"/>
      <c r="Q2106" s="163"/>
      <c r="R2106" s="163"/>
      <c r="S2106" s="163"/>
    </row>
    <row r="2107" spans="5:19" x14ac:dyDescent="0.25">
      <c r="E2107" s="163"/>
      <c r="K2107" s="163"/>
      <c r="Q2107" s="163"/>
      <c r="R2107" s="163"/>
      <c r="S2107" s="163"/>
    </row>
    <row r="2108" spans="5:19" x14ac:dyDescent="0.25">
      <c r="E2108" s="163"/>
      <c r="K2108" s="163"/>
      <c r="Q2108" s="163"/>
      <c r="R2108" s="163"/>
      <c r="S2108" s="163"/>
    </row>
    <row r="2109" spans="5:19" x14ac:dyDescent="0.25">
      <c r="E2109" s="163"/>
      <c r="K2109" s="163"/>
      <c r="Q2109" s="163"/>
      <c r="R2109" s="163"/>
      <c r="S2109" s="163"/>
    </row>
    <row r="2110" spans="5:19" x14ac:dyDescent="0.25">
      <c r="E2110" s="163"/>
      <c r="K2110" s="163"/>
      <c r="Q2110" s="163"/>
      <c r="R2110" s="163"/>
      <c r="S2110" s="163"/>
    </row>
    <row r="2111" spans="5:19" x14ac:dyDescent="0.25">
      <c r="E2111" s="163"/>
      <c r="K2111" s="163"/>
      <c r="Q2111" s="163"/>
      <c r="R2111" s="163"/>
      <c r="S2111" s="163"/>
    </row>
    <row r="2112" spans="5:19" x14ac:dyDescent="0.25">
      <c r="E2112" s="163"/>
      <c r="K2112" s="163"/>
      <c r="Q2112" s="163"/>
      <c r="R2112" s="163"/>
      <c r="S2112" s="163"/>
    </row>
    <row r="2113" spans="5:19" x14ac:dyDescent="0.25">
      <c r="E2113" s="163"/>
      <c r="K2113" s="163"/>
      <c r="Q2113" s="163"/>
      <c r="R2113" s="163"/>
      <c r="S2113" s="163"/>
    </row>
    <row r="2114" spans="5:19" x14ac:dyDescent="0.25">
      <c r="E2114" s="163"/>
      <c r="K2114" s="163"/>
      <c r="Q2114" s="163"/>
      <c r="R2114" s="163"/>
      <c r="S2114" s="163"/>
    </row>
    <row r="2115" spans="5:19" x14ac:dyDescent="0.25">
      <c r="E2115" s="163"/>
      <c r="K2115" s="163"/>
      <c r="Q2115" s="163"/>
      <c r="R2115" s="163"/>
      <c r="S2115" s="163"/>
    </row>
    <row r="2116" spans="5:19" x14ac:dyDescent="0.25">
      <c r="E2116" s="163"/>
      <c r="K2116" s="163"/>
      <c r="Q2116" s="163"/>
      <c r="R2116" s="163"/>
      <c r="S2116" s="163"/>
    </row>
    <row r="2117" spans="5:19" x14ac:dyDescent="0.25">
      <c r="E2117" s="163"/>
      <c r="K2117" s="163"/>
      <c r="Q2117" s="163"/>
      <c r="R2117" s="163"/>
      <c r="S2117" s="163"/>
    </row>
    <row r="2118" spans="5:19" x14ac:dyDescent="0.25">
      <c r="E2118" s="163"/>
      <c r="K2118" s="163"/>
      <c r="Q2118" s="163"/>
      <c r="R2118" s="163"/>
      <c r="S2118" s="163"/>
    </row>
    <row r="2119" spans="5:19" x14ac:dyDescent="0.25">
      <c r="E2119" s="163"/>
      <c r="K2119" s="163"/>
      <c r="Q2119" s="163"/>
      <c r="R2119" s="163"/>
      <c r="S2119" s="163"/>
    </row>
    <row r="2120" spans="5:19" x14ac:dyDescent="0.25">
      <c r="E2120" s="163"/>
      <c r="K2120" s="163"/>
      <c r="Q2120" s="163"/>
      <c r="R2120" s="163"/>
      <c r="S2120" s="163"/>
    </row>
    <row r="2121" spans="5:19" x14ac:dyDescent="0.25">
      <c r="E2121" s="163"/>
      <c r="K2121" s="163"/>
      <c r="Q2121" s="163"/>
      <c r="R2121" s="163"/>
      <c r="S2121" s="163"/>
    </row>
    <row r="2122" spans="5:19" x14ac:dyDescent="0.25">
      <c r="E2122" s="163"/>
      <c r="K2122" s="163"/>
      <c r="Q2122" s="163"/>
      <c r="R2122" s="163"/>
      <c r="S2122" s="163"/>
    </row>
    <row r="2123" spans="5:19" x14ac:dyDescent="0.25">
      <c r="E2123" s="163"/>
      <c r="K2123" s="163"/>
      <c r="Q2123" s="163"/>
      <c r="R2123" s="163"/>
      <c r="S2123" s="163"/>
    </row>
    <row r="2124" spans="5:19" x14ac:dyDescent="0.25">
      <c r="E2124" s="163"/>
      <c r="K2124" s="163"/>
      <c r="Q2124" s="163"/>
      <c r="R2124" s="163"/>
      <c r="S2124" s="163"/>
    </row>
    <row r="2125" spans="5:19" x14ac:dyDescent="0.25">
      <c r="E2125" s="163"/>
      <c r="K2125" s="163"/>
      <c r="Q2125" s="163"/>
      <c r="R2125" s="163"/>
      <c r="S2125" s="163"/>
    </row>
    <row r="2126" spans="5:19" x14ac:dyDescent="0.25">
      <c r="E2126" s="163"/>
      <c r="K2126" s="163"/>
      <c r="Q2126" s="163"/>
      <c r="R2126" s="163"/>
      <c r="S2126" s="163"/>
    </row>
    <row r="2127" spans="5:19" x14ac:dyDescent="0.25">
      <c r="E2127" s="163"/>
      <c r="K2127" s="163"/>
      <c r="Q2127" s="163"/>
      <c r="R2127" s="163"/>
      <c r="S2127" s="163"/>
    </row>
    <row r="2128" spans="5:19" x14ac:dyDescent="0.25">
      <c r="E2128" s="163"/>
      <c r="K2128" s="163"/>
      <c r="Q2128" s="163"/>
      <c r="R2128" s="163"/>
      <c r="S2128" s="163"/>
    </row>
    <row r="2129" spans="5:19" x14ac:dyDescent="0.25">
      <c r="E2129" s="163"/>
      <c r="K2129" s="163"/>
      <c r="Q2129" s="163"/>
      <c r="R2129" s="163"/>
      <c r="S2129" s="163"/>
    </row>
    <row r="2130" spans="5:19" x14ac:dyDescent="0.25">
      <c r="E2130" s="163"/>
      <c r="K2130" s="163"/>
      <c r="Q2130" s="163"/>
      <c r="R2130" s="163"/>
      <c r="S2130" s="163"/>
    </row>
    <row r="2131" spans="5:19" x14ac:dyDescent="0.25">
      <c r="E2131" s="163"/>
      <c r="K2131" s="163"/>
      <c r="Q2131" s="163"/>
      <c r="R2131" s="163"/>
      <c r="S2131" s="163"/>
    </row>
    <row r="2132" spans="5:19" x14ac:dyDescent="0.25">
      <c r="E2132" s="163"/>
      <c r="K2132" s="163"/>
      <c r="Q2132" s="163"/>
      <c r="R2132" s="163"/>
      <c r="S2132" s="163"/>
    </row>
    <row r="2133" spans="5:19" x14ac:dyDescent="0.25">
      <c r="E2133" s="163"/>
      <c r="K2133" s="163"/>
      <c r="Q2133" s="163"/>
      <c r="R2133" s="163"/>
      <c r="S2133" s="163"/>
    </row>
    <row r="2134" spans="5:19" x14ac:dyDescent="0.25">
      <c r="E2134" s="163"/>
      <c r="K2134" s="163"/>
      <c r="Q2134" s="163"/>
      <c r="R2134" s="163"/>
      <c r="S2134" s="163"/>
    </row>
    <row r="2135" spans="5:19" x14ac:dyDescent="0.25">
      <c r="E2135" s="163"/>
      <c r="K2135" s="163"/>
      <c r="Q2135" s="163"/>
      <c r="R2135" s="163"/>
      <c r="S2135" s="163"/>
    </row>
    <row r="2136" spans="5:19" x14ac:dyDescent="0.25">
      <c r="E2136" s="163"/>
      <c r="K2136" s="163"/>
      <c r="Q2136" s="163"/>
      <c r="R2136" s="163"/>
      <c r="S2136" s="163"/>
    </row>
    <row r="2137" spans="5:19" x14ac:dyDescent="0.25">
      <c r="E2137" s="163"/>
      <c r="K2137" s="163"/>
      <c r="Q2137" s="163"/>
      <c r="R2137" s="163"/>
      <c r="S2137" s="163"/>
    </row>
    <row r="2138" spans="5:19" x14ac:dyDescent="0.25">
      <c r="E2138" s="163"/>
      <c r="K2138" s="163"/>
      <c r="Q2138" s="163"/>
      <c r="R2138" s="163"/>
      <c r="S2138" s="163"/>
    </row>
    <row r="2139" spans="5:19" x14ac:dyDescent="0.25">
      <c r="E2139" s="163"/>
      <c r="K2139" s="163"/>
      <c r="Q2139" s="163"/>
      <c r="R2139" s="163"/>
      <c r="S2139" s="163"/>
    </row>
    <row r="2140" spans="5:19" x14ac:dyDescent="0.25">
      <c r="E2140" s="163"/>
      <c r="K2140" s="163"/>
      <c r="Q2140" s="163"/>
      <c r="R2140" s="163"/>
      <c r="S2140" s="163"/>
    </row>
    <row r="2141" spans="5:19" x14ac:dyDescent="0.25">
      <c r="E2141" s="163"/>
      <c r="K2141" s="163"/>
      <c r="Q2141" s="163"/>
      <c r="R2141" s="163"/>
      <c r="S2141" s="163"/>
    </row>
    <row r="2142" spans="5:19" x14ac:dyDescent="0.25">
      <c r="E2142" s="163"/>
      <c r="K2142" s="163"/>
      <c r="Q2142" s="163"/>
      <c r="R2142" s="163"/>
      <c r="S2142" s="163"/>
    </row>
    <row r="2143" spans="5:19" x14ac:dyDescent="0.25">
      <c r="E2143" s="163"/>
      <c r="K2143" s="163"/>
      <c r="Q2143" s="163"/>
      <c r="R2143" s="163"/>
      <c r="S2143" s="163"/>
    </row>
    <row r="2144" spans="5:19" x14ac:dyDescent="0.25">
      <c r="E2144" s="163"/>
      <c r="K2144" s="163"/>
      <c r="Q2144" s="163"/>
      <c r="R2144" s="163"/>
      <c r="S2144" s="163"/>
    </row>
    <row r="2145" spans="5:19" x14ac:dyDescent="0.25">
      <c r="E2145" s="163"/>
      <c r="K2145" s="163"/>
      <c r="Q2145" s="163"/>
      <c r="R2145" s="163"/>
      <c r="S2145" s="163"/>
    </row>
    <row r="2146" spans="5:19" x14ac:dyDescent="0.25">
      <c r="E2146" s="163"/>
      <c r="K2146" s="163"/>
      <c r="Q2146" s="163"/>
      <c r="R2146" s="163"/>
      <c r="S2146" s="163"/>
    </row>
    <row r="2147" spans="5:19" x14ac:dyDescent="0.25">
      <c r="E2147" s="163"/>
      <c r="K2147" s="163"/>
      <c r="Q2147" s="163"/>
      <c r="R2147" s="163"/>
      <c r="S2147" s="163"/>
    </row>
    <row r="2148" spans="5:19" x14ac:dyDescent="0.25">
      <c r="E2148" s="163"/>
      <c r="K2148" s="163"/>
      <c r="Q2148" s="163"/>
      <c r="R2148" s="163"/>
      <c r="S2148" s="163"/>
    </row>
    <row r="2149" spans="5:19" x14ac:dyDescent="0.25">
      <c r="E2149" s="163"/>
      <c r="K2149" s="163"/>
      <c r="Q2149" s="163"/>
      <c r="R2149" s="163"/>
      <c r="S2149" s="163"/>
    </row>
    <row r="2150" spans="5:19" x14ac:dyDescent="0.25">
      <c r="E2150" s="163"/>
      <c r="K2150" s="163"/>
      <c r="Q2150" s="163"/>
      <c r="R2150" s="163"/>
      <c r="S2150" s="163"/>
    </row>
    <row r="2151" spans="5:19" x14ac:dyDescent="0.25">
      <c r="E2151" s="163"/>
      <c r="K2151" s="163"/>
      <c r="Q2151" s="163"/>
      <c r="R2151" s="163"/>
      <c r="S2151" s="163"/>
    </row>
    <row r="2152" spans="5:19" x14ac:dyDescent="0.25">
      <c r="E2152" s="163"/>
      <c r="K2152" s="163"/>
      <c r="Q2152" s="163"/>
      <c r="R2152" s="163"/>
      <c r="S2152" s="163"/>
    </row>
    <row r="2153" spans="5:19" x14ac:dyDescent="0.25">
      <c r="E2153" s="163"/>
      <c r="K2153" s="163"/>
      <c r="Q2153" s="163"/>
      <c r="R2153" s="163"/>
      <c r="S2153" s="163"/>
    </row>
    <row r="2154" spans="5:19" x14ac:dyDescent="0.25">
      <c r="E2154" s="163"/>
      <c r="K2154" s="163"/>
      <c r="Q2154" s="163"/>
      <c r="R2154" s="163"/>
      <c r="S2154" s="163"/>
    </row>
    <row r="2155" spans="5:19" x14ac:dyDescent="0.25">
      <c r="E2155" s="163"/>
      <c r="K2155" s="163"/>
      <c r="Q2155" s="163"/>
      <c r="R2155" s="163"/>
      <c r="S2155" s="163"/>
    </row>
    <row r="2156" spans="5:19" x14ac:dyDescent="0.25">
      <c r="E2156" s="163"/>
      <c r="K2156" s="163"/>
      <c r="Q2156" s="163"/>
      <c r="R2156" s="163"/>
      <c r="S2156" s="163"/>
    </row>
    <row r="2157" spans="5:19" x14ac:dyDescent="0.25">
      <c r="E2157" s="163"/>
      <c r="K2157" s="163"/>
      <c r="Q2157" s="163"/>
      <c r="R2157" s="163"/>
      <c r="S2157" s="163"/>
    </row>
    <row r="2158" spans="5:19" x14ac:dyDescent="0.25">
      <c r="E2158" s="163"/>
      <c r="K2158" s="163"/>
      <c r="Q2158" s="163"/>
      <c r="R2158" s="163"/>
      <c r="S2158" s="163"/>
    </row>
    <row r="2159" spans="5:19" x14ac:dyDescent="0.25">
      <c r="E2159" s="163"/>
      <c r="K2159" s="163"/>
      <c r="Q2159" s="163"/>
      <c r="R2159" s="163"/>
      <c r="S2159" s="163"/>
    </row>
    <row r="2160" spans="5:19" x14ac:dyDescent="0.25">
      <c r="E2160" s="163"/>
      <c r="K2160" s="163"/>
      <c r="Q2160" s="163"/>
      <c r="R2160" s="163"/>
      <c r="S2160" s="163"/>
    </row>
    <row r="2161" spans="5:19" x14ac:dyDescent="0.25">
      <c r="E2161" s="163"/>
      <c r="K2161" s="163"/>
      <c r="Q2161" s="163"/>
      <c r="R2161" s="163"/>
      <c r="S2161" s="163"/>
    </row>
    <row r="2162" spans="5:19" x14ac:dyDescent="0.25">
      <c r="E2162" s="163"/>
      <c r="K2162" s="163"/>
      <c r="Q2162" s="163"/>
      <c r="R2162" s="163"/>
      <c r="S2162" s="163"/>
    </row>
    <row r="2163" spans="5:19" x14ac:dyDescent="0.25">
      <c r="E2163" s="163"/>
      <c r="K2163" s="163"/>
      <c r="Q2163" s="163"/>
      <c r="R2163" s="163"/>
      <c r="S2163" s="163"/>
    </row>
    <row r="2164" spans="5:19" x14ac:dyDescent="0.25">
      <c r="E2164" s="163"/>
      <c r="K2164" s="163"/>
      <c r="Q2164" s="163"/>
      <c r="R2164" s="163"/>
      <c r="S2164" s="163"/>
    </row>
    <row r="2165" spans="5:19" x14ac:dyDescent="0.25">
      <c r="E2165" s="163"/>
      <c r="K2165" s="163"/>
      <c r="Q2165" s="163"/>
      <c r="R2165" s="163"/>
      <c r="S2165" s="163"/>
    </row>
    <row r="2166" spans="5:19" x14ac:dyDescent="0.25">
      <c r="E2166" s="163"/>
      <c r="K2166" s="163"/>
      <c r="Q2166" s="163"/>
      <c r="R2166" s="163"/>
      <c r="S2166" s="163"/>
    </row>
    <row r="2167" spans="5:19" x14ac:dyDescent="0.25">
      <c r="E2167" s="163"/>
      <c r="K2167" s="163"/>
      <c r="Q2167" s="163"/>
      <c r="R2167" s="163"/>
      <c r="S2167" s="163"/>
    </row>
    <row r="2168" spans="5:19" x14ac:dyDescent="0.25">
      <c r="E2168" s="163"/>
      <c r="K2168" s="163"/>
      <c r="Q2168" s="163"/>
      <c r="R2168" s="163"/>
      <c r="S2168" s="163"/>
    </row>
    <row r="2169" spans="5:19" x14ac:dyDescent="0.25">
      <c r="E2169" s="163"/>
      <c r="K2169" s="163"/>
      <c r="Q2169" s="163"/>
      <c r="R2169" s="163"/>
      <c r="S2169" s="163"/>
    </row>
    <row r="2170" spans="5:19" x14ac:dyDescent="0.25">
      <c r="E2170" s="163"/>
      <c r="K2170" s="163"/>
      <c r="Q2170" s="163"/>
      <c r="R2170" s="163"/>
      <c r="S2170" s="163"/>
    </row>
    <row r="2171" spans="5:19" x14ac:dyDescent="0.25">
      <c r="E2171" s="163"/>
      <c r="K2171" s="163"/>
      <c r="Q2171" s="163"/>
      <c r="R2171" s="163"/>
      <c r="S2171" s="163"/>
    </row>
    <row r="2172" spans="5:19" x14ac:dyDescent="0.25">
      <c r="E2172" s="163"/>
      <c r="K2172" s="163"/>
      <c r="Q2172" s="163"/>
      <c r="R2172" s="163"/>
      <c r="S2172" s="163"/>
    </row>
    <row r="2173" spans="5:19" x14ac:dyDescent="0.25">
      <c r="E2173" s="163"/>
      <c r="K2173" s="163"/>
      <c r="Q2173" s="163"/>
      <c r="R2173" s="163"/>
      <c r="S2173" s="163"/>
    </row>
    <row r="2174" spans="5:19" x14ac:dyDescent="0.25">
      <c r="E2174" s="163"/>
      <c r="K2174" s="163"/>
      <c r="Q2174" s="163"/>
      <c r="R2174" s="163"/>
      <c r="S2174" s="163"/>
    </row>
    <row r="2175" spans="5:19" x14ac:dyDescent="0.25">
      <c r="E2175" s="163"/>
      <c r="K2175" s="163"/>
      <c r="Q2175" s="163"/>
      <c r="R2175" s="163"/>
      <c r="S2175" s="163"/>
    </row>
    <row r="2176" spans="5:19" x14ac:dyDescent="0.25">
      <c r="E2176" s="163"/>
      <c r="K2176" s="163"/>
      <c r="Q2176" s="163"/>
      <c r="R2176" s="163"/>
      <c r="S2176" s="163"/>
    </row>
    <row r="2177" spans="5:19" x14ac:dyDescent="0.25">
      <c r="E2177" s="163"/>
      <c r="K2177" s="163"/>
      <c r="Q2177" s="163"/>
      <c r="R2177" s="163"/>
      <c r="S2177" s="163"/>
    </row>
    <row r="2178" spans="5:19" x14ac:dyDescent="0.25">
      <c r="E2178" s="163"/>
      <c r="K2178" s="163"/>
      <c r="Q2178" s="163"/>
      <c r="R2178" s="163"/>
      <c r="S2178" s="163"/>
    </row>
    <row r="2179" spans="5:19" x14ac:dyDescent="0.25">
      <c r="E2179" s="163"/>
      <c r="K2179" s="163"/>
      <c r="Q2179" s="163"/>
      <c r="R2179" s="163"/>
      <c r="S2179" s="163"/>
    </row>
    <row r="2180" spans="5:19" x14ac:dyDescent="0.25">
      <c r="E2180" s="163"/>
      <c r="K2180" s="163"/>
      <c r="Q2180" s="163"/>
      <c r="R2180" s="163"/>
      <c r="S2180" s="163"/>
    </row>
    <row r="2181" spans="5:19" x14ac:dyDescent="0.25">
      <c r="E2181" s="163"/>
      <c r="K2181" s="163"/>
      <c r="Q2181" s="163"/>
      <c r="R2181" s="163"/>
      <c r="S2181" s="163"/>
    </row>
    <row r="2182" spans="5:19" x14ac:dyDescent="0.25">
      <c r="E2182" s="163"/>
      <c r="K2182" s="163"/>
      <c r="Q2182" s="163"/>
      <c r="R2182" s="163"/>
      <c r="S2182" s="163"/>
    </row>
    <row r="2183" spans="5:19" x14ac:dyDescent="0.25">
      <c r="E2183" s="163"/>
      <c r="K2183" s="163"/>
      <c r="Q2183" s="163"/>
      <c r="R2183" s="163"/>
      <c r="S2183" s="163"/>
    </row>
    <row r="2184" spans="5:19" x14ac:dyDescent="0.25">
      <c r="E2184" s="163"/>
      <c r="K2184" s="163"/>
      <c r="Q2184" s="163"/>
      <c r="R2184" s="163"/>
      <c r="S2184" s="163"/>
    </row>
    <row r="2185" spans="5:19" x14ac:dyDescent="0.25">
      <c r="E2185" s="163"/>
      <c r="K2185" s="163"/>
      <c r="Q2185" s="163"/>
      <c r="R2185" s="163"/>
      <c r="S2185" s="163"/>
    </row>
    <row r="2186" spans="5:19" x14ac:dyDescent="0.25">
      <c r="E2186" s="163"/>
      <c r="K2186" s="163"/>
      <c r="Q2186" s="163"/>
      <c r="R2186" s="163"/>
      <c r="S2186" s="163"/>
    </row>
    <row r="2187" spans="5:19" x14ac:dyDescent="0.25">
      <c r="E2187" s="163"/>
      <c r="K2187" s="163"/>
      <c r="Q2187" s="163"/>
      <c r="R2187" s="163"/>
      <c r="S2187" s="163"/>
    </row>
    <row r="2188" spans="5:19" x14ac:dyDescent="0.25">
      <c r="E2188" s="163"/>
      <c r="K2188" s="163"/>
      <c r="Q2188" s="163"/>
      <c r="R2188" s="163"/>
      <c r="S2188" s="163"/>
    </row>
    <row r="2189" spans="5:19" x14ac:dyDescent="0.25">
      <c r="E2189" s="163"/>
      <c r="K2189" s="163"/>
      <c r="Q2189" s="163"/>
      <c r="R2189" s="163"/>
      <c r="S2189" s="163"/>
    </row>
    <row r="2190" spans="5:19" x14ac:dyDescent="0.25">
      <c r="E2190" s="163"/>
      <c r="K2190" s="163"/>
      <c r="Q2190" s="163"/>
      <c r="R2190" s="163"/>
      <c r="S2190" s="163"/>
    </row>
    <row r="2191" spans="5:19" x14ac:dyDescent="0.25">
      <c r="E2191" s="163"/>
      <c r="K2191" s="163"/>
      <c r="Q2191" s="163"/>
      <c r="R2191" s="163"/>
      <c r="S2191" s="163"/>
    </row>
    <row r="2192" spans="5:19" x14ac:dyDescent="0.25">
      <c r="E2192" s="163"/>
      <c r="K2192" s="163"/>
      <c r="Q2192" s="163"/>
      <c r="R2192" s="163"/>
      <c r="S2192" s="163"/>
    </row>
    <row r="2193" spans="5:19" x14ac:dyDescent="0.25">
      <c r="E2193" s="163"/>
      <c r="K2193" s="163"/>
      <c r="Q2193" s="163"/>
      <c r="R2193" s="163"/>
      <c r="S2193" s="163"/>
    </row>
    <row r="2194" spans="5:19" x14ac:dyDescent="0.25">
      <c r="E2194" s="163"/>
      <c r="K2194" s="163"/>
      <c r="Q2194" s="163"/>
      <c r="R2194" s="163"/>
      <c r="S2194" s="163"/>
    </row>
    <row r="2195" spans="5:19" x14ac:dyDescent="0.25">
      <c r="E2195" s="163"/>
      <c r="K2195" s="163"/>
      <c r="Q2195" s="163"/>
      <c r="R2195" s="163"/>
      <c r="S2195" s="163"/>
    </row>
    <row r="2196" spans="5:19" x14ac:dyDescent="0.25">
      <c r="E2196" s="163"/>
      <c r="K2196" s="163"/>
      <c r="Q2196" s="163"/>
      <c r="R2196" s="163"/>
      <c r="S2196" s="163"/>
    </row>
    <row r="2197" spans="5:19" x14ac:dyDescent="0.25">
      <c r="E2197" s="163"/>
      <c r="K2197" s="163"/>
      <c r="Q2197" s="163"/>
      <c r="R2197" s="163"/>
      <c r="S2197" s="163"/>
    </row>
    <row r="2198" spans="5:19" x14ac:dyDescent="0.25">
      <c r="E2198" s="163"/>
      <c r="K2198" s="163"/>
      <c r="Q2198" s="163"/>
      <c r="R2198" s="163"/>
      <c r="S2198" s="163"/>
    </row>
    <row r="2199" spans="5:19" x14ac:dyDescent="0.25">
      <c r="E2199" s="163"/>
      <c r="K2199" s="163"/>
      <c r="Q2199" s="163"/>
      <c r="R2199" s="163"/>
      <c r="S2199" s="163"/>
    </row>
    <row r="2200" spans="5:19" x14ac:dyDescent="0.25">
      <c r="E2200" s="163"/>
      <c r="K2200" s="163"/>
      <c r="Q2200" s="163"/>
      <c r="R2200" s="163"/>
      <c r="S2200" s="163"/>
    </row>
    <row r="2201" spans="5:19" x14ac:dyDescent="0.25">
      <c r="E2201" s="163"/>
      <c r="K2201" s="163"/>
      <c r="Q2201" s="163"/>
      <c r="R2201" s="163"/>
      <c r="S2201" s="163"/>
    </row>
    <row r="2202" spans="5:19" x14ac:dyDescent="0.25">
      <c r="E2202" s="163"/>
      <c r="K2202" s="163"/>
      <c r="Q2202" s="163"/>
      <c r="R2202" s="163"/>
      <c r="S2202" s="163"/>
    </row>
    <row r="2203" spans="5:19" x14ac:dyDescent="0.25">
      <c r="E2203" s="163"/>
      <c r="K2203" s="163"/>
      <c r="Q2203" s="163"/>
      <c r="R2203" s="163"/>
      <c r="S2203" s="163"/>
    </row>
    <row r="2204" spans="5:19" x14ac:dyDescent="0.25">
      <c r="E2204" s="163"/>
      <c r="K2204" s="163"/>
      <c r="Q2204" s="163"/>
      <c r="R2204" s="163"/>
      <c r="S2204" s="163"/>
    </row>
    <row r="2205" spans="5:19" x14ac:dyDescent="0.25">
      <c r="E2205" s="163"/>
      <c r="K2205" s="163"/>
      <c r="Q2205" s="163"/>
      <c r="R2205" s="163"/>
      <c r="S2205" s="163"/>
    </row>
    <row r="2206" spans="5:19" x14ac:dyDescent="0.25">
      <c r="E2206" s="163"/>
      <c r="K2206" s="163"/>
      <c r="Q2206" s="163"/>
      <c r="R2206" s="163"/>
      <c r="S2206" s="163"/>
    </row>
    <row r="2207" spans="5:19" x14ac:dyDescent="0.25">
      <c r="E2207" s="163"/>
      <c r="K2207" s="163"/>
      <c r="Q2207" s="163"/>
      <c r="R2207" s="163"/>
      <c r="S2207" s="163"/>
    </row>
    <row r="2208" spans="5:19" x14ac:dyDescent="0.25">
      <c r="E2208" s="163"/>
      <c r="K2208" s="163"/>
      <c r="Q2208" s="163"/>
      <c r="R2208" s="163"/>
      <c r="S2208" s="163"/>
    </row>
    <row r="2209" spans="5:19" x14ac:dyDescent="0.25">
      <c r="E2209" s="163"/>
      <c r="K2209" s="163"/>
      <c r="Q2209" s="163"/>
      <c r="R2209" s="163"/>
      <c r="S2209" s="163"/>
    </row>
    <row r="2210" spans="5:19" x14ac:dyDescent="0.25">
      <c r="E2210" s="163"/>
      <c r="K2210" s="163"/>
      <c r="Q2210" s="163"/>
      <c r="R2210" s="163"/>
      <c r="S2210" s="163"/>
    </row>
    <row r="2211" spans="5:19" x14ac:dyDescent="0.25">
      <c r="E2211" s="163"/>
      <c r="K2211" s="163"/>
      <c r="Q2211" s="163"/>
      <c r="R2211" s="163"/>
      <c r="S2211" s="163"/>
    </row>
    <row r="2212" spans="5:19" x14ac:dyDescent="0.25">
      <c r="E2212" s="163"/>
      <c r="K2212" s="163"/>
      <c r="Q2212" s="163"/>
      <c r="R2212" s="163"/>
      <c r="S2212" s="163"/>
    </row>
    <row r="2213" spans="5:19" x14ac:dyDescent="0.25">
      <c r="E2213" s="163"/>
      <c r="K2213" s="163"/>
      <c r="Q2213" s="163"/>
      <c r="R2213" s="163"/>
      <c r="S2213" s="163"/>
    </row>
    <row r="2214" spans="5:19" x14ac:dyDescent="0.25">
      <c r="E2214" s="163"/>
      <c r="K2214" s="163"/>
      <c r="Q2214" s="163"/>
      <c r="R2214" s="163"/>
      <c r="S2214" s="163"/>
    </row>
    <row r="2215" spans="5:19" x14ac:dyDescent="0.25">
      <c r="E2215" s="163"/>
      <c r="K2215" s="163"/>
      <c r="Q2215" s="163"/>
      <c r="R2215" s="163"/>
      <c r="S2215" s="163"/>
    </row>
    <row r="2216" spans="5:19" x14ac:dyDescent="0.25">
      <c r="E2216" s="163"/>
      <c r="K2216" s="163"/>
      <c r="Q2216" s="163"/>
      <c r="R2216" s="163"/>
      <c r="S2216" s="163"/>
    </row>
    <row r="2217" spans="5:19" x14ac:dyDescent="0.25">
      <c r="E2217" s="163"/>
      <c r="K2217" s="163"/>
      <c r="Q2217" s="163"/>
      <c r="R2217" s="163"/>
      <c r="S2217" s="163"/>
    </row>
    <row r="2218" spans="5:19" x14ac:dyDescent="0.25">
      <c r="E2218" s="163"/>
      <c r="K2218" s="163"/>
      <c r="Q2218" s="163"/>
      <c r="R2218" s="163"/>
      <c r="S2218" s="163"/>
    </row>
    <row r="2219" spans="5:19" x14ac:dyDescent="0.25">
      <c r="E2219" s="163"/>
      <c r="K2219" s="163"/>
      <c r="Q2219" s="163"/>
      <c r="R2219" s="163"/>
      <c r="S2219" s="163"/>
    </row>
    <row r="2220" spans="5:19" x14ac:dyDescent="0.25">
      <c r="E2220" s="163"/>
      <c r="K2220" s="163"/>
      <c r="Q2220" s="163"/>
      <c r="R2220" s="163"/>
      <c r="S2220" s="163"/>
    </row>
    <row r="2221" spans="5:19" x14ac:dyDescent="0.25">
      <c r="E2221" s="163"/>
      <c r="K2221" s="163"/>
      <c r="Q2221" s="163"/>
      <c r="R2221" s="163"/>
      <c r="S2221" s="163"/>
    </row>
    <row r="2222" spans="5:19" x14ac:dyDescent="0.25">
      <c r="E2222" s="163"/>
      <c r="K2222" s="163"/>
      <c r="Q2222" s="163"/>
      <c r="R2222" s="163"/>
      <c r="S2222" s="163"/>
    </row>
    <row r="2223" spans="5:19" x14ac:dyDescent="0.25">
      <c r="E2223" s="163"/>
      <c r="K2223" s="163"/>
      <c r="Q2223" s="163"/>
      <c r="R2223" s="163"/>
      <c r="S2223" s="163"/>
    </row>
    <row r="2224" spans="5:19" x14ac:dyDescent="0.25">
      <c r="E2224" s="163"/>
      <c r="K2224" s="163"/>
      <c r="Q2224" s="163"/>
      <c r="R2224" s="163"/>
      <c r="S2224" s="163"/>
    </row>
    <row r="2225" spans="5:19" x14ac:dyDescent="0.25">
      <c r="E2225" s="163"/>
      <c r="K2225" s="163"/>
      <c r="Q2225" s="163"/>
      <c r="R2225" s="163"/>
      <c r="S2225" s="163"/>
    </row>
    <row r="2226" spans="5:19" x14ac:dyDescent="0.25">
      <c r="E2226" s="163"/>
      <c r="K2226" s="163"/>
      <c r="Q2226" s="163"/>
      <c r="R2226" s="163"/>
      <c r="S2226" s="163"/>
    </row>
    <row r="2227" spans="5:19" x14ac:dyDescent="0.25">
      <c r="E2227" s="163"/>
      <c r="K2227" s="163"/>
      <c r="Q2227" s="163"/>
      <c r="R2227" s="163"/>
      <c r="S2227" s="163"/>
    </row>
    <row r="2228" spans="5:19" x14ac:dyDescent="0.25">
      <c r="E2228" s="163"/>
      <c r="K2228" s="163"/>
      <c r="Q2228" s="163"/>
      <c r="R2228" s="163"/>
      <c r="S2228" s="163"/>
    </row>
    <row r="2229" spans="5:19" x14ac:dyDescent="0.25">
      <c r="E2229" s="163"/>
      <c r="K2229" s="163"/>
      <c r="Q2229" s="163"/>
      <c r="R2229" s="163"/>
      <c r="S2229" s="163"/>
    </row>
    <row r="2230" spans="5:19" x14ac:dyDescent="0.25">
      <c r="E2230" s="163"/>
      <c r="K2230" s="163"/>
      <c r="Q2230" s="163"/>
      <c r="R2230" s="163"/>
      <c r="S2230" s="163"/>
    </row>
    <row r="2231" spans="5:19" x14ac:dyDescent="0.25">
      <c r="E2231" s="163"/>
      <c r="K2231" s="163"/>
      <c r="Q2231" s="163"/>
      <c r="R2231" s="163"/>
      <c r="S2231" s="163"/>
    </row>
    <row r="2232" spans="5:19" x14ac:dyDescent="0.25">
      <c r="E2232" s="163"/>
      <c r="K2232" s="163"/>
      <c r="Q2232" s="163"/>
      <c r="R2232" s="163"/>
      <c r="S2232" s="163"/>
    </row>
    <row r="2233" spans="5:19" x14ac:dyDescent="0.25">
      <c r="E2233" s="163"/>
      <c r="K2233" s="163"/>
      <c r="Q2233" s="163"/>
      <c r="R2233" s="163"/>
      <c r="S2233" s="163"/>
    </row>
    <row r="2234" spans="5:19" x14ac:dyDescent="0.25">
      <c r="E2234" s="163"/>
      <c r="K2234" s="163"/>
      <c r="Q2234" s="163"/>
      <c r="R2234" s="163"/>
      <c r="S2234" s="163"/>
    </row>
    <row r="2235" spans="5:19" x14ac:dyDescent="0.25">
      <c r="E2235" s="163"/>
      <c r="K2235" s="163"/>
      <c r="Q2235" s="163"/>
      <c r="R2235" s="163"/>
      <c r="S2235" s="163"/>
    </row>
    <row r="2236" spans="5:19" x14ac:dyDescent="0.25">
      <c r="E2236" s="163"/>
      <c r="K2236" s="163"/>
      <c r="Q2236" s="163"/>
      <c r="R2236" s="163"/>
      <c r="S2236" s="163"/>
    </row>
    <row r="2237" spans="5:19" x14ac:dyDescent="0.25">
      <c r="E2237" s="163"/>
      <c r="K2237" s="163"/>
      <c r="Q2237" s="163"/>
      <c r="R2237" s="163"/>
      <c r="S2237" s="163"/>
    </row>
    <row r="2238" spans="5:19" x14ac:dyDescent="0.25">
      <c r="E2238" s="163"/>
      <c r="K2238" s="163"/>
      <c r="Q2238" s="163"/>
      <c r="R2238" s="163"/>
      <c r="S2238" s="163"/>
    </row>
    <row r="2239" spans="5:19" x14ac:dyDescent="0.25">
      <c r="E2239" s="163"/>
      <c r="K2239" s="163"/>
      <c r="Q2239" s="163"/>
      <c r="R2239" s="163"/>
      <c r="S2239" s="163"/>
    </row>
    <row r="2240" spans="5:19" x14ac:dyDescent="0.25">
      <c r="E2240" s="163"/>
      <c r="K2240" s="163"/>
      <c r="Q2240" s="163"/>
      <c r="R2240" s="163"/>
      <c r="S2240" s="163"/>
    </row>
    <row r="2241" spans="5:19" x14ac:dyDescent="0.25">
      <c r="E2241" s="163"/>
      <c r="K2241" s="163"/>
      <c r="Q2241" s="163"/>
      <c r="R2241" s="163"/>
      <c r="S2241" s="163"/>
    </row>
    <row r="2242" spans="5:19" x14ac:dyDescent="0.25">
      <c r="E2242" s="163"/>
      <c r="K2242" s="163"/>
      <c r="Q2242" s="163"/>
      <c r="R2242" s="163"/>
      <c r="S2242" s="163"/>
    </row>
    <row r="2243" spans="5:19" x14ac:dyDescent="0.25">
      <c r="E2243" s="163"/>
      <c r="K2243" s="163"/>
      <c r="Q2243" s="163"/>
      <c r="R2243" s="163"/>
      <c r="S2243" s="163"/>
    </row>
    <row r="2244" spans="5:19" x14ac:dyDescent="0.25">
      <c r="E2244" s="163"/>
      <c r="K2244" s="163"/>
      <c r="Q2244" s="163"/>
      <c r="R2244" s="163"/>
      <c r="S2244" s="163"/>
    </row>
    <row r="2245" spans="5:19" x14ac:dyDescent="0.25">
      <c r="E2245" s="163"/>
      <c r="K2245" s="163"/>
      <c r="Q2245" s="163"/>
      <c r="R2245" s="163"/>
      <c r="S2245" s="163"/>
    </row>
    <row r="2246" spans="5:19" x14ac:dyDescent="0.25">
      <c r="E2246" s="163"/>
      <c r="K2246" s="163"/>
      <c r="Q2246" s="163"/>
      <c r="R2246" s="163"/>
      <c r="S2246" s="163"/>
    </row>
    <row r="2247" spans="5:19" x14ac:dyDescent="0.25">
      <c r="E2247" s="163"/>
      <c r="K2247" s="163"/>
      <c r="Q2247" s="163"/>
      <c r="R2247" s="163"/>
      <c r="S2247" s="163"/>
    </row>
    <row r="2248" spans="5:19" x14ac:dyDescent="0.25">
      <c r="E2248" s="163"/>
      <c r="K2248" s="163"/>
      <c r="Q2248" s="163"/>
      <c r="R2248" s="163"/>
      <c r="S2248" s="163"/>
    </row>
    <row r="2249" spans="5:19" x14ac:dyDescent="0.25">
      <c r="E2249" s="163"/>
      <c r="K2249" s="163"/>
      <c r="Q2249" s="163"/>
      <c r="R2249" s="163"/>
      <c r="S2249" s="163"/>
    </row>
    <row r="2250" spans="5:19" x14ac:dyDescent="0.25">
      <c r="E2250" s="163"/>
      <c r="K2250" s="163"/>
      <c r="Q2250" s="163"/>
      <c r="R2250" s="163"/>
      <c r="S2250" s="163"/>
    </row>
    <row r="2251" spans="5:19" x14ac:dyDescent="0.25">
      <c r="E2251" s="163"/>
      <c r="K2251" s="163"/>
      <c r="Q2251" s="163"/>
      <c r="R2251" s="163"/>
      <c r="S2251" s="163"/>
    </row>
    <row r="2252" spans="5:19" x14ac:dyDescent="0.25">
      <c r="E2252" s="163"/>
      <c r="K2252" s="163"/>
      <c r="Q2252" s="163"/>
      <c r="R2252" s="163"/>
      <c r="S2252" s="163"/>
    </row>
    <row r="2253" spans="5:19" x14ac:dyDescent="0.25">
      <c r="E2253" s="163"/>
      <c r="K2253" s="163"/>
      <c r="Q2253" s="163"/>
      <c r="R2253" s="163"/>
      <c r="S2253" s="163"/>
    </row>
    <row r="2254" spans="5:19" x14ac:dyDescent="0.25">
      <c r="E2254" s="163"/>
      <c r="K2254" s="163"/>
      <c r="Q2254" s="163"/>
      <c r="R2254" s="163"/>
      <c r="S2254" s="163"/>
    </row>
    <row r="2255" spans="5:19" x14ac:dyDescent="0.25">
      <c r="E2255" s="163"/>
      <c r="K2255" s="163"/>
      <c r="Q2255" s="163"/>
      <c r="R2255" s="163"/>
      <c r="S2255" s="163"/>
    </row>
    <row r="2256" spans="5:19" x14ac:dyDescent="0.25">
      <c r="E2256" s="163"/>
      <c r="K2256" s="163"/>
      <c r="Q2256" s="163"/>
      <c r="R2256" s="163"/>
      <c r="S2256" s="163"/>
    </row>
    <row r="2257" spans="5:19" x14ac:dyDescent="0.25">
      <c r="E2257" s="163"/>
      <c r="K2257" s="163"/>
      <c r="Q2257" s="163"/>
      <c r="R2257" s="163"/>
      <c r="S2257" s="163"/>
    </row>
    <row r="2258" spans="5:19" x14ac:dyDescent="0.25">
      <c r="E2258" s="163"/>
      <c r="K2258" s="163"/>
      <c r="Q2258" s="163"/>
      <c r="R2258" s="163"/>
      <c r="S2258" s="163"/>
    </row>
    <row r="2259" spans="5:19" x14ac:dyDescent="0.25">
      <c r="E2259" s="163"/>
      <c r="K2259" s="163"/>
      <c r="Q2259" s="163"/>
      <c r="R2259" s="163"/>
      <c r="S2259" s="163"/>
    </row>
    <row r="2260" spans="5:19" x14ac:dyDescent="0.25">
      <c r="E2260" s="163"/>
      <c r="K2260" s="163"/>
      <c r="Q2260" s="163"/>
      <c r="R2260" s="163"/>
      <c r="S2260" s="163"/>
    </row>
    <row r="2261" spans="5:19" x14ac:dyDescent="0.25">
      <c r="E2261" s="163"/>
      <c r="K2261" s="163"/>
      <c r="Q2261" s="163"/>
      <c r="R2261" s="163"/>
      <c r="S2261" s="163"/>
    </row>
    <row r="2262" spans="5:19" x14ac:dyDescent="0.25">
      <c r="E2262" s="163"/>
      <c r="K2262" s="163"/>
      <c r="Q2262" s="163"/>
      <c r="R2262" s="163"/>
      <c r="S2262" s="163"/>
    </row>
    <row r="2263" spans="5:19" x14ac:dyDescent="0.25">
      <c r="E2263" s="163"/>
      <c r="K2263" s="163"/>
      <c r="Q2263" s="163"/>
      <c r="R2263" s="163"/>
      <c r="S2263" s="163"/>
    </row>
    <row r="2264" spans="5:19" x14ac:dyDescent="0.25">
      <c r="E2264" s="163"/>
      <c r="K2264" s="163"/>
      <c r="Q2264" s="163"/>
      <c r="R2264" s="163"/>
      <c r="S2264" s="163"/>
    </row>
    <row r="2265" spans="5:19" x14ac:dyDescent="0.25">
      <c r="E2265" s="163"/>
      <c r="K2265" s="163"/>
      <c r="Q2265" s="163"/>
      <c r="R2265" s="163"/>
      <c r="S2265" s="163"/>
    </row>
    <row r="2266" spans="5:19" x14ac:dyDescent="0.25">
      <c r="E2266" s="163"/>
      <c r="K2266" s="163"/>
      <c r="Q2266" s="163"/>
      <c r="R2266" s="163"/>
      <c r="S2266" s="163"/>
    </row>
    <row r="2267" spans="5:19" x14ac:dyDescent="0.25">
      <c r="E2267" s="163"/>
      <c r="K2267" s="163"/>
      <c r="Q2267" s="163"/>
      <c r="R2267" s="163"/>
      <c r="S2267" s="163"/>
    </row>
    <row r="2268" spans="5:19" x14ac:dyDescent="0.25">
      <c r="E2268" s="163"/>
      <c r="K2268" s="163"/>
      <c r="Q2268" s="163"/>
      <c r="R2268" s="163"/>
      <c r="S2268" s="163"/>
    </row>
    <row r="2269" spans="5:19" x14ac:dyDescent="0.25">
      <c r="E2269" s="163"/>
      <c r="K2269" s="163"/>
      <c r="Q2269" s="163"/>
      <c r="R2269" s="163"/>
      <c r="S2269" s="163"/>
    </row>
    <row r="2270" spans="5:19" x14ac:dyDescent="0.25">
      <c r="E2270" s="163"/>
      <c r="K2270" s="163"/>
      <c r="Q2270" s="163"/>
      <c r="R2270" s="163"/>
      <c r="S2270" s="163"/>
    </row>
    <row r="2271" spans="5:19" x14ac:dyDescent="0.25">
      <c r="E2271" s="163"/>
      <c r="K2271" s="163"/>
      <c r="Q2271" s="163"/>
      <c r="R2271" s="163"/>
      <c r="S2271" s="163"/>
    </row>
    <row r="2272" spans="5:19" x14ac:dyDescent="0.25">
      <c r="E2272" s="163"/>
      <c r="K2272" s="163"/>
      <c r="Q2272" s="163"/>
      <c r="R2272" s="163"/>
      <c r="S2272" s="163"/>
    </row>
    <row r="2273" spans="5:19" x14ac:dyDescent="0.25">
      <c r="E2273" s="163"/>
      <c r="K2273" s="163"/>
      <c r="Q2273" s="163"/>
      <c r="R2273" s="163"/>
      <c r="S2273" s="163"/>
    </row>
    <row r="2274" spans="5:19" x14ac:dyDescent="0.25">
      <c r="E2274" s="163"/>
      <c r="K2274" s="163"/>
      <c r="Q2274" s="163"/>
      <c r="R2274" s="163"/>
      <c r="S2274" s="163"/>
    </row>
    <row r="2275" spans="5:19" x14ac:dyDescent="0.25">
      <c r="E2275" s="163"/>
      <c r="K2275" s="163"/>
      <c r="Q2275" s="163"/>
      <c r="R2275" s="163"/>
      <c r="S2275" s="163"/>
    </row>
    <row r="2276" spans="5:19" x14ac:dyDescent="0.25">
      <c r="E2276" s="163"/>
      <c r="K2276" s="163"/>
      <c r="Q2276" s="163"/>
      <c r="R2276" s="163"/>
      <c r="S2276" s="163"/>
    </row>
    <row r="2277" spans="5:19" x14ac:dyDescent="0.25">
      <c r="E2277" s="163"/>
      <c r="K2277" s="163"/>
      <c r="Q2277" s="163"/>
      <c r="R2277" s="163"/>
      <c r="S2277" s="163"/>
    </row>
    <row r="2278" spans="5:19" x14ac:dyDescent="0.25">
      <c r="E2278" s="163"/>
      <c r="K2278" s="163"/>
      <c r="Q2278" s="163"/>
      <c r="R2278" s="163"/>
      <c r="S2278" s="163"/>
    </row>
    <row r="2279" spans="5:19" x14ac:dyDescent="0.25">
      <c r="E2279" s="163"/>
      <c r="K2279" s="163"/>
      <c r="Q2279" s="163"/>
      <c r="R2279" s="163"/>
      <c r="S2279" s="163"/>
    </row>
    <row r="2280" spans="5:19" x14ac:dyDescent="0.25">
      <c r="E2280" s="163"/>
      <c r="K2280" s="163"/>
      <c r="Q2280" s="163"/>
      <c r="R2280" s="163"/>
      <c r="S2280" s="163"/>
    </row>
    <row r="2281" spans="5:19" x14ac:dyDescent="0.25">
      <c r="E2281" s="163"/>
      <c r="K2281" s="163"/>
      <c r="Q2281" s="163"/>
      <c r="R2281" s="163"/>
      <c r="S2281" s="163"/>
    </row>
    <row r="2282" spans="5:19" x14ac:dyDescent="0.25">
      <c r="E2282" s="163"/>
      <c r="K2282" s="163"/>
      <c r="Q2282" s="163"/>
      <c r="R2282" s="163"/>
      <c r="S2282" s="163"/>
    </row>
    <row r="2283" spans="5:19" x14ac:dyDescent="0.25">
      <c r="E2283" s="163"/>
      <c r="K2283" s="163"/>
      <c r="Q2283" s="163"/>
      <c r="R2283" s="163"/>
      <c r="S2283" s="163"/>
    </row>
    <row r="2284" spans="5:19" x14ac:dyDescent="0.25">
      <c r="E2284" s="163"/>
      <c r="K2284" s="163"/>
      <c r="Q2284" s="163"/>
      <c r="R2284" s="163"/>
      <c r="S2284" s="163"/>
    </row>
    <row r="2285" spans="5:19" x14ac:dyDescent="0.25">
      <c r="E2285" s="163"/>
      <c r="K2285" s="163"/>
      <c r="Q2285" s="163"/>
      <c r="R2285" s="163"/>
      <c r="S2285" s="163"/>
    </row>
    <row r="2286" spans="5:19" x14ac:dyDescent="0.25">
      <c r="E2286" s="163"/>
      <c r="K2286" s="163"/>
      <c r="Q2286" s="163"/>
      <c r="R2286" s="163"/>
      <c r="S2286" s="163"/>
    </row>
    <row r="2287" spans="5:19" x14ac:dyDescent="0.25">
      <c r="E2287" s="163"/>
      <c r="K2287" s="163"/>
      <c r="Q2287" s="163"/>
      <c r="R2287" s="163"/>
      <c r="S2287" s="163"/>
    </row>
    <row r="2288" spans="5:19" x14ac:dyDescent="0.25">
      <c r="E2288" s="163"/>
      <c r="K2288" s="163"/>
      <c r="Q2288" s="163"/>
      <c r="R2288" s="163"/>
      <c r="S2288" s="163"/>
    </row>
    <row r="2289" spans="5:19" x14ac:dyDescent="0.25">
      <c r="E2289" s="163"/>
      <c r="K2289" s="163"/>
      <c r="Q2289" s="163"/>
      <c r="R2289" s="163"/>
      <c r="S2289" s="163"/>
    </row>
    <row r="2290" spans="5:19" x14ac:dyDescent="0.25">
      <c r="E2290" s="163"/>
      <c r="K2290" s="163"/>
      <c r="Q2290" s="163"/>
      <c r="R2290" s="163"/>
      <c r="S2290" s="163"/>
    </row>
    <row r="2291" spans="5:19" x14ac:dyDescent="0.25">
      <c r="E2291" s="163"/>
      <c r="K2291" s="163"/>
      <c r="Q2291" s="163"/>
      <c r="R2291" s="163"/>
      <c r="S2291" s="163"/>
    </row>
    <row r="2292" spans="5:19" x14ac:dyDescent="0.25">
      <c r="E2292" s="163"/>
      <c r="K2292" s="163"/>
      <c r="Q2292" s="163"/>
      <c r="R2292" s="163"/>
      <c r="S2292" s="163"/>
    </row>
    <row r="2293" spans="5:19" x14ac:dyDescent="0.25">
      <c r="E2293" s="163"/>
      <c r="K2293" s="163"/>
      <c r="Q2293" s="163"/>
      <c r="R2293" s="163"/>
      <c r="S2293" s="163"/>
    </row>
    <row r="2294" spans="5:19" x14ac:dyDescent="0.25">
      <c r="E2294" s="163"/>
      <c r="K2294" s="163"/>
      <c r="Q2294" s="163"/>
      <c r="R2294" s="163"/>
      <c r="S2294" s="163"/>
    </row>
    <row r="2295" spans="5:19" x14ac:dyDescent="0.25">
      <c r="E2295" s="163"/>
      <c r="K2295" s="163"/>
      <c r="Q2295" s="163"/>
      <c r="R2295" s="163"/>
      <c r="S2295" s="163"/>
    </row>
    <row r="2296" spans="5:19" x14ac:dyDescent="0.25">
      <c r="E2296" s="163"/>
      <c r="K2296" s="163"/>
      <c r="Q2296" s="163"/>
      <c r="R2296" s="163"/>
      <c r="S2296" s="163"/>
    </row>
    <row r="2297" spans="5:19" x14ac:dyDescent="0.25">
      <c r="E2297" s="163"/>
      <c r="K2297" s="163"/>
      <c r="Q2297" s="163"/>
      <c r="R2297" s="163"/>
      <c r="S2297" s="163"/>
    </row>
    <row r="2298" spans="5:19" x14ac:dyDescent="0.25">
      <c r="E2298" s="163"/>
      <c r="K2298" s="163"/>
      <c r="Q2298" s="163"/>
      <c r="R2298" s="163"/>
      <c r="S2298" s="163"/>
    </row>
    <row r="2299" spans="5:19" x14ac:dyDescent="0.25">
      <c r="E2299" s="163"/>
      <c r="K2299" s="163"/>
      <c r="Q2299" s="163"/>
      <c r="R2299" s="163"/>
      <c r="S2299" s="163"/>
    </row>
    <row r="2300" spans="5:19" x14ac:dyDescent="0.25">
      <c r="E2300" s="163"/>
      <c r="K2300" s="163"/>
      <c r="Q2300" s="163"/>
      <c r="R2300" s="163"/>
      <c r="S2300" s="163"/>
    </row>
    <row r="2301" spans="5:19" x14ac:dyDescent="0.25">
      <c r="E2301" s="163"/>
      <c r="K2301" s="163"/>
      <c r="Q2301" s="163"/>
      <c r="R2301" s="163"/>
      <c r="S2301" s="163"/>
    </row>
    <row r="2302" spans="5:19" x14ac:dyDescent="0.25">
      <c r="E2302" s="163"/>
      <c r="K2302" s="163"/>
      <c r="Q2302" s="163"/>
      <c r="R2302" s="163"/>
      <c r="S2302" s="163"/>
    </row>
    <row r="2303" spans="5:19" x14ac:dyDescent="0.25">
      <c r="E2303" s="163"/>
      <c r="K2303" s="163"/>
      <c r="Q2303" s="163"/>
      <c r="R2303" s="163"/>
      <c r="S2303" s="163"/>
    </row>
    <row r="2304" spans="5:19" x14ac:dyDescent="0.25">
      <c r="E2304" s="163"/>
      <c r="K2304" s="163"/>
      <c r="Q2304" s="163"/>
      <c r="R2304" s="163"/>
      <c r="S2304" s="163"/>
    </row>
    <row r="2305" spans="5:19" x14ac:dyDescent="0.25">
      <c r="E2305" s="163"/>
      <c r="K2305" s="163"/>
      <c r="Q2305" s="163"/>
      <c r="R2305" s="163"/>
      <c r="S2305" s="163"/>
    </row>
    <row r="2306" spans="5:19" x14ac:dyDescent="0.25">
      <c r="E2306" s="163"/>
      <c r="K2306" s="163"/>
      <c r="Q2306" s="163"/>
      <c r="R2306" s="163"/>
      <c r="S2306" s="163"/>
    </row>
    <row r="2307" spans="5:19" x14ac:dyDescent="0.25">
      <c r="E2307" s="163"/>
      <c r="K2307" s="163"/>
      <c r="Q2307" s="163"/>
      <c r="R2307" s="163"/>
      <c r="S2307" s="163"/>
    </row>
    <row r="2308" spans="5:19" x14ac:dyDescent="0.25">
      <c r="E2308" s="163"/>
      <c r="K2308" s="163"/>
      <c r="Q2308" s="163"/>
      <c r="R2308" s="163"/>
      <c r="S2308" s="163"/>
    </row>
    <row r="2309" spans="5:19" x14ac:dyDescent="0.25">
      <c r="E2309" s="163"/>
      <c r="K2309" s="163"/>
      <c r="Q2309" s="163"/>
      <c r="R2309" s="163"/>
      <c r="S2309" s="163"/>
    </row>
    <row r="2310" spans="5:19" x14ac:dyDescent="0.25">
      <c r="E2310" s="163"/>
      <c r="K2310" s="163"/>
      <c r="Q2310" s="163"/>
      <c r="R2310" s="163"/>
      <c r="S2310" s="163"/>
    </row>
    <row r="2311" spans="5:19" x14ac:dyDescent="0.25">
      <c r="E2311" s="163"/>
      <c r="K2311" s="163"/>
      <c r="Q2311" s="163"/>
      <c r="R2311" s="163"/>
      <c r="S2311" s="163"/>
    </row>
    <row r="2312" spans="5:19" x14ac:dyDescent="0.25">
      <c r="E2312" s="163"/>
      <c r="K2312" s="163"/>
      <c r="Q2312" s="163"/>
      <c r="R2312" s="163"/>
      <c r="S2312" s="163"/>
    </row>
    <row r="2313" spans="5:19" x14ac:dyDescent="0.25">
      <c r="E2313" s="163"/>
      <c r="K2313" s="163"/>
      <c r="Q2313" s="163"/>
      <c r="R2313" s="163"/>
      <c r="S2313" s="163"/>
    </row>
    <row r="2314" spans="5:19" x14ac:dyDescent="0.25">
      <c r="E2314" s="163"/>
      <c r="K2314" s="163"/>
      <c r="Q2314" s="163"/>
      <c r="R2314" s="163"/>
      <c r="S2314" s="163"/>
    </row>
    <row r="2315" spans="5:19" x14ac:dyDescent="0.25">
      <c r="E2315" s="163"/>
      <c r="K2315" s="163"/>
      <c r="Q2315" s="163"/>
      <c r="R2315" s="163"/>
      <c r="S2315" s="163"/>
    </row>
    <row r="2316" spans="5:19" x14ac:dyDescent="0.25">
      <c r="E2316" s="163"/>
      <c r="K2316" s="163"/>
      <c r="Q2316" s="163"/>
      <c r="R2316" s="163"/>
      <c r="S2316" s="163"/>
    </row>
    <row r="2317" spans="5:19" x14ac:dyDescent="0.25">
      <c r="E2317" s="163"/>
      <c r="K2317" s="163"/>
      <c r="Q2317" s="163"/>
      <c r="R2317" s="163"/>
      <c r="S2317" s="163"/>
    </row>
    <row r="2318" spans="5:19" x14ac:dyDescent="0.25">
      <c r="E2318" s="163"/>
      <c r="K2318" s="163"/>
      <c r="Q2318" s="163"/>
      <c r="R2318" s="163"/>
      <c r="S2318" s="163"/>
    </row>
    <row r="2319" spans="5:19" x14ac:dyDescent="0.25">
      <c r="E2319" s="163"/>
      <c r="K2319" s="163"/>
      <c r="Q2319" s="163"/>
      <c r="R2319" s="163"/>
      <c r="S2319" s="163"/>
    </row>
    <row r="2320" spans="5:19" x14ac:dyDescent="0.25">
      <c r="E2320" s="163"/>
      <c r="K2320" s="163"/>
      <c r="Q2320" s="163"/>
      <c r="R2320" s="163"/>
      <c r="S2320" s="163"/>
    </row>
    <row r="2321" spans="5:19" x14ac:dyDescent="0.25">
      <c r="E2321" s="163"/>
      <c r="K2321" s="163"/>
      <c r="Q2321" s="163"/>
      <c r="R2321" s="163"/>
      <c r="S2321" s="163"/>
    </row>
    <row r="2322" spans="5:19" x14ac:dyDescent="0.25">
      <c r="E2322" s="163"/>
      <c r="K2322" s="163"/>
      <c r="Q2322" s="163"/>
      <c r="R2322" s="163"/>
      <c r="S2322" s="163"/>
    </row>
    <row r="2323" spans="5:19" x14ac:dyDescent="0.25">
      <c r="E2323" s="163"/>
      <c r="K2323" s="163"/>
      <c r="Q2323" s="163"/>
      <c r="R2323" s="163"/>
      <c r="S2323" s="163"/>
    </row>
    <row r="2324" spans="5:19" x14ac:dyDescent="0.25">
      <c r="E2324" s="163"/>
      <c r="K2324" s="163"/>
      <c r="Q2324" s="163"/>
      <c r="R2324" s="163"/>
      <c r="S2324" s="163"/>
    </row>
    <row r="2325" spans="5:19" x14ac:dyDescent="0.25">
      <c r="E2325" s="163"/>
      <c r="K2325" s="163"/>
      <c r="Q2325" s="163"/>
      <c r="R2325" s="163"/>
      <c r="S2325" s="163"/>
    </row>
    <row r="2326" spans="5:19" x14ac:dyDescent="0.25">
      <c r="E2326" s="163"/>
      <c r="K2326" s="163"/>
      <c r="Q2326" s="163"/>
      <c r="R2326" s="163"/>
      <c r="S2326" s="163"/>
    </row>
    <row r="2327" spans="5:19" x14ac:dyDescent="0.25">
      <c r="E2327" s="163"/>
      <c r="K2327" s="163"/>
      <c r="Q2327" s="163"/>
      <c r="R2327" s="163"/>
      <c r="S2327" s="163"/>
    </row>
    <row r="2328" spans="5:19" x14ac:dyDescent="0.25">
      <c r="E2328" s="163"/>
      <c r="K2328" s="163"/>
      <c r="Q2328" s="163"/>
      <c r="R2328" s="163"/>
      <c r="S2328" s="163"/>
    </row>
    <row r="2329" spans="5:19" x14ac:dyDescent="0.25">
      <c r="E2329" s="163"/>
      <c r="K2329" s="163"/>
      <c r="Q2329" s="163"/>
      <c r="R2329" s="163"/>
      <c r="S2329" s="163"/>
    </row>
    <row r="2330" spans="5:19" x14ac:dyDescent="0.25">
      <c r="E2330" s="163"/>
      <c r="K2330" s="163"/>
      <c r="Q2330" s="163"/>
      <c r="R2330" s="163"/>
      <c r="S2330" s="163"/>
    </row>
    <row r="2331" spans="5:19" x14ac:dyDescent="0.25">
      <c r="E2331" s="163"/>
      <c r="K2331" s="163"/>
      <c r="Q2331" s="163"/>
      <c r="R2331" s="163"/>
      <c r="S2331" s="163"/>
    </row>
    <row r="2332" spans="5:19" x14ac:dyDescent="0.25">
      <c r="E2332" s="163"/>
      <c r="K2332" s="163"/>
      <c r="Q2332" s="163"/>
      <c r="R2332" s="163"/>
      <c r="S2332" s="163"/>
    </row>
    <row r="2333" spans="5:19" x14ac:dyDescent="0.25">
      <c r="E2333" s="163"/>
      <c r="K2333" s="163"/>
      <c r="Q2333" s="163"/>
      <c r="R2333" s="163"/>
      <c r="S2333" s="163"/>
    </row>
    <row r="2334" spans="5:19" x14ac:dyDescent="0.25">
      <c r="E2334" s="163"/>
      <c r="K2334" s="163"/>
      <c r="Q2334" s="163"/>
      <c r="R2334" s="163"/>
      <c r="S2334" s="163"/>
    </row>
    <row r="2335" spans="5:19" x14ac:dyDescent="0.25">
      <c r="E2335" s="163"/>
      <c r="K2335" s="163"/>
      <c r="Q2335" s="163"/>
      <c r="R2335" s="163"/>
      <c r="S2335" s="163"/>
    </row>
    <row r="2336" spans="5:19" x14ac:dyDescent="0.25">
      <c r="E2336" s="163"/>
      <c r="K2336" s="163"/>
      <c r="Q2336" s="163"/>
      <c r="R2336" s="163"/>
      <c r="S2336" s="163"/>
    </row>
    <row r="2337" spans="5:19" x14ac:dyDescent="0.25">
      <c r="E2337" s="163"/>
      <c r="K2337" s="163"/>
      <c r="Q2337" s="163"/>
      <c r="R2337" s="163"/>
      <c r="S2337" s="163"/>
    </row>
    <row r="2338" spans="5:19" x14ac:dyDescent="0.25">
      <c r="E2338" s="163"/>
      <c r="K2338" s="163"/>
      <c r="Q2338" s="163"/>
      <c r="R2338" s="163"/>
      <c r="S2338" s="163"/>
    </row>
    <row r="2339" spans="5:19" x14ac:dyDescent="0.25">
      <c r="E2339" s="163"/>
      <c r="K2339" s="163"/>
      <c r="Q2339" s="163"/>
      <c r="R2339" s="163"/>
      <c r="S2339" s="163"/>
    </row>
    <row r="2340" spans="5:19" x14ac:dyDescent="0.25">
      <c r="E2340" s="163"/>
      <c r="K2340" s="163"/>
      <c r="Q2340" s="163"/>
      <c r="R2340" s="163"/>
      <c r="S2340" s="163"/>
    </row>
    <row r="2341" spans="5:19" x14ac:dyDescent="0.25">
      <c r="E2341" s="163"/>
      <c r="K2341" s="163"/>
      <c r="Q2341" s="163"/>
      <c r="R2341" s="163"/>
      <c r="S2341" s="163"/>
    </row>
    <row r="2342" spans="5:19" x14ac:dyDescent="0.25">
      <c r="E2342" s="163"/>
      <c r="K2342" s="163"/>
      <c r="Q2342" s="163"/>
      <c r="R2342" s="163"/>
      <c r="S2342" s="163"/>
    </row>
    <row r="2343" spans="5:19" x14ac:dyDescent="0.25">
      <c r="E2343" s="163"/>
      <c r="K2343" s="163"/>
      <c r="Q2343" s="163"/>
      <c r="R2343" s="163"/>
      <c r="S2343" s="163"/>
    </row>
    <row r="2344" spans="5:19" x14ac:dyDescent="0.25">
      <c r="E2344" s="163"/>
      <c r="K2344" s="163"/>
      <c r="Q2344" s="163"/>
      <c r="R2344" s="163"/>
      <c r="S2344" s="163"/>
    </row>
    <row r="2345" spans="5:19" x14ac:dyDescent="0.25">
      <c r="E2345" s="163"/>
      <c r="K2345" s="163"/>
      <c r="Q2345" s="163"/>
      <c r="R2345" s="163"/>
      <c r="S2345" s="163"/>
    </row>
    <row r="2346" spans="5:19" x14ac:dyDescent="0.25">
      <c r="E2346" s="163"/>
      <c r="K2346" s="163"/>
      <c r="Q2346" s="163"/>
      <c r="R2346" s="163"/>
      <c r="S2346" s="163"/>
    </row>
    <row r="2347" spans="5:19" x14ac:dyDescent="0.25">
      <c r="E2347" s="163"/>
      <c r="K2347" s="163"/>
      <c r="Q2347" s="163"/>
      <c r="R2347" s="163"/>
      <c r="S2347" s="163"/>
    </row>
    <row r="2348" spans="5:19" x14ac:dyDescent="0.25">
      <c r="E2348" s="163"/>
      <c r="K2348" s="163"/>
      <c r="Q2348" s="163"/>
      <c r="R2348" s="163"/>
      <c r="S2348" s="163"/>
    </row>
    <row r="2349" spans="5:19" x14ac:dyDescent="0.25">
      <c r="E2349" s="163"/>
      <c r="K2349" s="163"/>
      <c r="Q2349" s="163"/>
      <c r="R2349" s="163"/>
      <c r="S2349" s="163"/>
    </row>
    <row r="2350" spans="5:19" x14ac:dyDescent="0.25">
      <c r="E2350" s="163"/>
      <c r="K2350" s="163"/>
      <c r="Q2350" s="163"/>
      <c r="R2350" s="163"/>
      <c r="S2350" s="163"/>
    </row>
    <row r="2351" spans="5:19" x14ac:dyDescent="0.25">
      <c r="E2351" s="163"/>
      <c r="K2351" s="163"/>
      <c r="Q2351" s="163"/>
      <c r="R2351" s="163"/>
      <c r="S2351" s="163"/>
    </row>
    <row r="2352" spans="5:19" x14ac:dyDescent="0.25">
      <c r="E2352" s="163"/>
      <c r="K2352" s="163"/>
      <c r="Q2352" s="163"/>
      <c r="R2352" s="163"/>
      <c r="S2352" s="163"/>
    </row>
    <row r="2353" spans="5:19" x14ac:dyDescent="0.25">
      <c r="E2353" s="163"/>
      <c r="K2353" s="163"/>
      <c r="Q2353" s="163"/>
      <c r="R2353" s="163"/>
      <c r="S2353" s="163"/>
    </row>
    <row r="2354" spans="5:19" x14ac:dyDescent="0.25">
      <c r="E2354" s="163"/>
      <c r="K2354" s="163"/>
      <c r="Q2354" s="163"/>
      <c r="R2354" s="163"/>
      <c r="S2354" s="163"/>
    </row>
    <row r="2355" spans="5:19" x14ac:dyDescent="0.25">
      <c r="E2355" s="163"/>
      <c r="K2355" s="163"/>
      <c r="Q2355" s="163"/>
      <c r="R2355" s="163"/>
      <c r="S2355" s="163"/>
    </row>
    <row r="2356" spans="5:19" x14ac:dyDescent="0.25">
      <c r="E2356" s="163"/>
      <c r="K2356" s="163"/>
      <c r="Q2356" s="163"/>
      <c r="R2356" s="163"/>
      <c r="S2356" s="163"/>
    </row>
    <row r="2357" spans="5:19" x14ac:dyDescent="0.25">
      <c r="E2357" s="163"/>
      <c r="K2357" s="163"/>
      <c r="Q2357" s="163"/>
      <c r="R2357" s="163"/>
      <c r="S2357" s="163"/>
    </row>
    <row r="2358" spans="5:19" x14ac:dyDescent="0.25">
      <c r="E2358" s="163"/>
      <c r="K2358" s="163"/>
      <c r="Q2358" s="163"/>
      <c r="R2358" s="163"/>
      <c r="S2358" s="163"/>
    </row>
    <row r="2359" spans="5:19" x14ac:dyDescent="0.25">
      <c r="E2359" s="163"/>
      <c r="K2359" s="163"/>
      <c r="Q2359" s="163"/>
      <c r="R2359" s="163"/>
      <c r="S2359" s="163"/>
    </row>
    <row r="2360" spans="5:19" x14ac:dyDescent="0.25">
      <c r="E2360" s="163"/>
      <c r="K2360" s="163"/>
      <c r="Q2360" s="163"/>
      <c r="R2360" s="163"/>
      <c r="S2360" s="163"/>
    </row>
    <row r="2361" spans="5:19" x14ac:dyDescent="0.25">
      <c r="E2361" s="163"/>
      <c r="K2361" s="163"/>
      <c r="Q2361" s="163"/>
      <c r="R2361" s="163"/>
      <c r="S2361" s="163"/>
    </row>
    <row r="2362" spans="5:19" x14ac:dyDescent="0.25">
      <c r="E2362" s="163"/>
      <c r="K2362" s="163"/>
      <c r="Q2362" s="163"/>
      <c r="R2362" s="163"/>
      <c r="S2362" s="163"/>
    </row>
    <row r="2363" spans="5:19" x14ac:dyDescent="0.25">
      <c r="E2363" s="163"/>
      <c r="K2363" s="163"/>
      <c r="Q2363" s="163"/>
      <c r="R2363" s="163"/>
      <c r="S2363" s="163"/>
    </row>
    <row r="2364" spans="5:19" x14ac:dyDescent="0.25">
      <c r="E2364" s="163"/>
      <c r="K2364" s="163"/>
      <c r="Q2364" s="163"/>
      <c r="R2364" s="163"/>
      <c r="S2364" s="163"/>
    </row>
    <row r="2365" spans="5:19" x14ac:dyDescent="0.25">
      <c r="E2365" s="163"/>
      <c r="K2365" s="163"/>
      <c r="Q2365" s="163"/>
      <c r="R2365" s="163"/>
      <c r="S2365" s="163"/>
    </row>
    <row r="2366" spans="5:19" x14ac:dyDescent="0.25">
      <c r="E2366" s="163"/>
      <c r="K2366" s="163"/>
      <c r="Q2366" s="163"/>
      <c r="R2366" s="163"/>
      <c r="S2366" s="163"/>
    </row>
    <row r="2367" spans="5:19" x14ac:dyDescent="0.25">
      <c r="E2367" s="163"/>
      <c r="K2367" s="163"/>
      <c r="Q2367" s="163"/>
      <c r="R2367" s="163"/>
      <c r="S2367" s="163"/>
    </row>
    <row r="2368" spans="5:19" x14ac:dyDescent="0.25">
      <c r="E2368" s="163"/>
      <c r="K2368" s="163"/>
      <c r="Q2368" s="163"/>
      <c r="R2368" s="163"/>
      <c r="S2368" s="163"/>
    </row>
    <row r="2369" spans="5:19" x14ac:dyDescent="0.25">
      <c r="E2369" s="163"/>
      <c r="K2369" s="163"/>
      <c r="Q2369" s="163"/>
      <c r="R2369" s="163"/>
      <c r="S2369" s="163"/>
    </row>
    <row r="2370" spans="5:19" x14ac:dyDescent="0.25">
      <c r="E2370" s="163"/>
      <c r="K2370" s="163"/>
      <c r="Q2370" s="163"/>
      <c r="R2370" s="163"/>
      <c r="S2370" s="163"/>
    </row>
    <row r="2371" spans="5:19" x14ac:dyDescent="0.25">
      <c r="E2371" s="163"/>
      <c r="K2371" s="163"/>
      <c r="Q2371" s="163"/>
      <c r="R2371" s="163"/>
      <c r="S2371" s="163"/>
    </row>
    <row r="2372" spans="5:19" x14ac:dyDescent="0.25">
      <c r="E2372" s="163"/>
      <c r="K2372" s="163"/>
      <c r="Q2372" s="163"/>
      <c r="R2372" s="163"/>
      <c r="S2372" s="163"/>
    </row>
    <row r="2373" spans="5:19" x14ac:dyDescent="0.25">
      <c r="E2373" s="163"/>
      <c r="K2373" s="163"/>
      <c r="Q2373" s="163"/>
      <c r="R2373" s="163"/>
      <c r="S2373" s="163"/>
    </row>
    <row r="2374" spans="5:19" x14ac:dyDescent="0.25">
      <c r="E2374" s="163"/>
      <c r="K2374" s="163"/>
      <c r="Q2374" s="163"/>
      <c r="R2374" s="163"/>
      <c r="S2374" s="163"/>
    </row>
    <row r="2375" spans="5:19" x14ac:dyDescent="0.25">
      <c r="E2375" s="163"/>
      <c r="K2375" s="163"/>
      <c r="Q2375" s="163"/>
      <c r="R2375" s="163"/>
      <c r="S2375" s="163"/>
    </row>
    <row r="2376" spans="5:19" x14ac:dyDescent="0.25">
      <c r="E2376" s="163"/>
      <c r="K2376" s="163"/>
      <c r="Q2376" s="163"/>
      <c r="R2376" s="163"/>
      <c r="S2376" s="163"/>
    </row>
    <row r="2377" spans="5:19" x14ac:dyDescent="0.25">
      <c r="E2377" s="163"/>
      <c r="K2377" s="163"/>
      <c r="Q2377" s="163"/>
      <c r="R2377" s="163"/>
      <c r="S2377" s="163"/>
    </row>
    <row r="2378" spans="5:19" x14ac:dyDescent="0.25">
      <c r="E2378" s="163"/>
      <c r="K2378" s="163"/>
      <c r="Q2378" s="163"/>
      <c r="R2378" s="163"/>
      <c r="S2378" s="163"/>
    </row>
    <row r="2379" spans="5:19" x14ac:dyDescent="0.25">
      <c r="E2379" s="163"/>
      <c r="K2379" s="163"/>
      <c r="Q2379" s="163"/>
      <c r="R2379" s="163"/>
      <c r="S2379" s="163"/>
    </row>
    <row r="2380" spans="5:19" x14ac:dyDescent="0.25">
      <c r="E2380" s="163"/>
      <c r="K2380" s="163"/>
      <c r="Q2380" s="163"/>
      <c r="R2380" s="163"/>
      <c r="S2380" s="163"/>
    </row>
    <row r="2381" spans="5:19" x14ac:dyDescent="0.25">
      <c r="E2381" s="163"/>
      <c r="K2381" s="163"/>
      <c r="Q2381" s="163"/>
      <c r="R2381" s="163"/>
      <c r="S2381" s="163"/>
    </row>
    <row r="2382" spans="5:19" x14ac:dyDescent="0.25">
      <c r="E2382" s="163"/>
      <c r="K2382" s="163"/>
      <c r="Q2382" s="163"/>
      <c r="R2382" s="163"/>
      <c r="S2382" s="163"/>
    </row>
    <row r="2383" spans="5:19" x14ac:dyDescent="0.25">
      <c r="E2383" s="163"/>
      <c r="K2383" s="163"/>
      <c r="Q2383" s="163"/>
      <c r="R2383" s="163"/>
      <c r="S2383" s="163"/>
    </row>
    <row r="2384" spans="5:19" x14ac:dyDescent="0.25">
      <c r="E2384" s="163"/>
      <c r="K2384" s="163"/>
      <c r="Q2384" s="163"/>
      <c r="R2384" s="163"/>
      <c r="S2384" s="163"/>
    </row>
    <row r="2385" spans="5:19" x14ac:dyDescent="0.25">
      <c r="E2385" s="163"/>
      <c r="K2385" s="163"/>
      <c r="Q2385" s="163"/>
      <c r="R2385" s="163"/>
      <c r="S2385" s="163"/>
    </row>
    <row r="2386" spans="5:19" x14ac:dyDescent="0.25">
      <c r="E2386" s="163"/>
      <c r="K2386" s="163"/>
      <c r="Q2386" s="163"/>
      <c r="R2386" s="163"/>
      <c r="S2386" s="163"/>
    </row>
    <row r="2387" spans="5:19" x14ac:dyDescent="0.25">
      <c r="E2387" s="163"/>
      <c r="K2387" s="163"/>
      <c r="Q2387" s="163"/>
      <c r="R2387" s="163"/>
      <c r="S2387" s="163"/>
    </row>
    <row r="2388" spans="5:19" x14ac:dyDescent="0.25">
      <c r="E2388" s="163"/>
      <c r="K2388" s="163"/>
      <c r="Q2388" s="163"/>
      <c r="R2388" s="163"/>
      <c r="S2388" s="163"/>
    </row>
    <row r="2389" spans="5:19" x14ac:dyDescent="0.25">
      <c r="E2389" s="163"/>
      <c r="K2389" s="163"/>
      <c r="Q2389" s="163"/>
      <c r="R2389" s="163"/>
      <c r="S2389" s="163"/>
    </row>
    <row r="2390" spans="5:19" x14ac:dyDescent="0.25">
      <c r="E2390" s="163"/>
      <c r="K2390" s="163"/>
      <c r="Q2390" s="163"/>
      <c r="R2390" s="163"/>
      <c r="S2390" s="163"/>
    </row>
    <row r="2391" spans="5:19" x14ac:dyDescent="0.25">
      <c r="E2391" s="163"/>
      <c r="K2391" s="163"/>
      <c r="Q2391" s="163"/>
      <c r="R2391" s="163"/>
      <c r="S2391" s="163"/>
    </row>
    <row r="2392" spans="5:19" x14ac:dyDescent="0.25">
      <c r="E2392" s="163"/>
      <c r="K2392" s="163"/>
      <c r="Q2392" s="163"/>
      <c r="R2392" s="163"/>
      <c r="S2392" s="163"/>
    </row>
    <row r="2393" spans="5:19" x14ac:dyDescent="0.25">
      <c r="E2393" s="163"/>
      <c r="K2393" s="163"/>
      <c r="Q2393" s="163"/>
      <c r="R2393" s="163"/>
      <c r="S2393" s="163"/>
    </row>
    <row r="2394" spans="5:19" x14ac:dyDescent="0.25">
      <c r="E2394" s="163"/>
      <c r="K2394" s="163"/>
      <c r="Q2394" s="163"/>
      <c r="R2394" s="163"/>
      <c r="S2394" s="163"/>
    </row>
    <row r="2395" spans="5:19" x14ac:dyDescent="0.25">
      <c r="E2395" s="163"/>
      <c r="K2395" s="163"/>
      <c r="Q2395" s="163"/>
      <c r="R2395" s="163"/>
      <c r="S2395" s="163"/>
    </row>
    <row r="2396" spans="5:19" x14ac:dyDescent="0.25">
      <c r="E2396" s="163"/>
      <c r="K2396" s="163"/>
      <c r="Q2396" s="163"/>
      <c r="R2396" s="163"/>
      <c r="S2396" s="163"/>
    </row>
    <row r="2397" spans="5:19" x14ac:dyDescent="0.25">
      <c r="E2397" s="163"/>
      <c r="K2397" s="163"/>
      <c r="Q2397" s="163"/>
      <c r="R2397" s="163"/>
      <c r="S2397" s="163"/>
    </row>
    <row r="2398" spans="5:19" x14ac:dyDescent="0.25">
      <c r="E2398" s="163"/>
      <c r="K2398" s="163"/>
      <c r="Q2398" s="163"/>
      <c r="R2398" s="163"/>
      <c r="S2398" s="163"/>
    </row>
    <row r="2399" spans="5:19" x14ac:dyDescent="0.25">
      <c r="E2399" s="163"/>
      <c r="K2399" s="163"/>
      <c r="Q2399" s="163"/>
      <c r="R2399" s="163"/>
      <c r="S2399" s="163"/>
    </row>
    <row r="2400" spans="5:19" x14ac:dyDescent="0.25">
      <c r="E2400" s="163"/>
      <c r="K2400" s="163"/>
      <c r="Q2400" s="163"/>
      <c r="R2400" s="163"/>
      <c r="S2400" s="163"/>
    </row>
    <row r="2401" spans="5:19" x14ac:dyDescent="0.25">
      <c r="E2401" s="163"/>
      <c r="K2401" s="163"/>
      <c r="Q2401" s="163"/>
      <c r="R2401" s="163"/>
      <c r="S2401" s="163"/>
    </row>
    <row r="2402" spans="5:19" x14ac:dyDescent="0.25">
      <c r="E2402" s="163"/>
      <c r="K2402" s="163"/>
      <c r="Q2402" s="163"/>
      <c r="R2402" s="163"/>
      <c r="S2402" s="163"/>
    </row>
    <row r="2403" spans="5:19" x14ac:dyDescent="0.25">
      <c r="E2403" s="163"/>
      <c r="K2403" s="163"/>
      <c r="Q2403" s="163"/>
      <c r="R2403" s="163"/>
      <c r="S2403" s="163"/>
    </row>
    <row r="2404" spans="5:19" x14ac:dyDescent="0.25">
      <c r="E2404" s="163"/>
      <c r="K2404" s="163"/>
      <c r="Q2404" s="163"/>
      <c r="R2404" s="163"/>
      <c r="S2404" s="163"/>
    </row>
    <row r="2405" spans="5:19" x14ac:dyDescent="0.25">
      <c r="E2405" s="163"/>
      <c r="K2405" s="163"/>
      <c r="Q2405" s="163"/>
      <c r="R2405" s="163"/>
      <c r="S2405" s="163"/>
    </row>
    <row r="2406" spans="5:19" x14ac:dyDescent="0.25">
      <c r="E2406" s="163"/>
      <c r="K2406" s="163"/>
      <c r="Q2406" s="163"/>
      <c r="R2406" s="163"/>
      <c r="S2406" s="163"/>
    </row>
    <row r="2407" spans="5:19" x14ac:dyDescent="0.25">
      <c r="E2407" s="163"/>
      <c r="K2407" s="163"/>
      <c r="Q2407" s="163"/>
      <c r="R2407" s="163"/>
      <c r="S2407" s="163"/>
    </row>
    <row r="2408" spans="5:19" x14ac:dyDescent="0.25">
      <c r="E2408" s="163"/>
      <c r="K2408" s="163"/>
      <c r="Q2408" s="163"/>
      <c r="R2408" s="163"/>
      <c r="S2408" s="163"/>
    </row>
    <row r="2409" spans="5:19" x14ac:dyDescent="0.25">
      <c r="E2409" s="163"/>
      <c r="K2409" s="163"/>
      <c r="Q2409" s="163"/>
      <c r="R2409" s="163"/>
      <c r="S2409" s="163"/>
    </row>
    <row r="2410" spans="5:19" x14ac:dyDescent="0.25">
      <c r="E2410" s="163"/>
      <c r="K2410" s="163"/>
      <c r="Q2410" s="163"/>
      <c r="R2410" s="163"/>
      <c r="S2410" s="163"/>
    </row>
    <row r="2411" spans="5:19" x14ac:dyDescent="0.25">
      <c r="E2411" s="163"/>
      <c r="K2411" s="163"/>
      <c r="Q2411" s="163"/>
      <c r="R2411" s="163"/>
      <c r="S2411" s="163"/>
    </row>
    <row r="2412" spans="5:19" x14ac:dyDescent="0.25">
      <c r="E2412" s="163"/>
      <c r="K2412" s="163"/>
      <c r="Q2412" s="163"/>
      <c r="R2412" s="163"/>
      <c r="S2412" s="163"/>
    </row>
    <row r="2413" spans="5:19" x14ac:dyDescent="0.25">
      <c r="E2413" s="163"/>
      <c r="K2413" s="163"/>
      <c r="Q2413" s="163"/>
      <c r="R2413" s="163"/>
      <c r="S2413" s="163"/>
    </row>
    <row r="2414" spans="5:19" x14ac:dyDescent="0.25">
      <c r="E2414" s="163"/>
      <c r="K2414" s="163"/>
      <c r="Q2414" s="163"/>
      <c r="R2414" s="163"/>
      <c r="S2414" s="163"/>
    </row>
    <row r="2415" spans="5:19" x14ac:dyDescent="0.25">
      <c r="E2415" s="163"/>
      <c r="K2415" s="163"/>
      <c r="Q2415" s="163"/>
      <c r="R2415" s="163"/>
      <c r="S2415" s="163"/>
    </row>
    <row r="2416" spans="5:19" x14ac:dyDescent="0.25">
      <c r="E2416" s="163"/>
      <c r="K2416" s="163"/>
      <c r="Q2416" s="163"/>
      <c r="R2416" s="163"/>
      <c r="S2416" s="163"/>
    </row>
    <row r="2417" spans="5:19" x14ac:dyDescent="0.25">
      <c r="E2417" s="163"/>
      <c r="K2417" s="163"/>
      <c r="Q2417" s="163"/>
      <c r="R2417" s="163"/>
      <c r="S2417" s="163"/>
    </row>
    <row r="2418" spans="5:19" x14ac:dyDescent="0.25">
      <c r="E2418" s="163"/>
      <c r="K2418" s="163"/>
      <c r="Q2418" s="163"/>
      <c r="R2418" s="163"/>
      <c r="S2418" s="163"/>
    </row>
    <row r="2419" spans="5:19" x14ac:dyDescent="0.25">
      <c r="E2419" s="163"/>
      <c r="K2419" s="163"/>
      <c r="Q2419" s="163"/>
      <c r="R2419" s="163"/>
      <c r="S2419" s="163"/>
    </row>
    <row r="2420" spans="5:19" x14ac:dyDescent="0.25">
      <c r="E2420" s="163"/>
      <c r="K2420" s="163"/>
      <c r="Q2420" s="163"/>
      <c r="R2420" s="163"/>
      <c r="S2420" s="163"/>
    </row>
    <row r="2421" spans="5:19" x14ac:dyDescent="0.25">
      <c r="E2421" s="163"/>
      <c r="K2421" s="163"/>
      <c r="Q2421" s="163"/>
      <c r="R2421" s="163"/>
      <c r="S2421" s="163"/>
    </row>
    <row r="2422" spans="5:19" x14ac:dyDescent="0.25">
      <c r="E2422" s="163"/>
      <c r="K2422" s="163"/>
      <c r="Q2422" s="163"/>
      <c r="R2422" s="163"/>
      <c r="S2422" s="163"/>
    </row>
    <row r="2423" spans="5:19" x14ac:dyDescent="0.25">
      <c r="E2423" s="163"/>
      <c r="K2423" s="163"/>
      <c r="Q2423" s="163"/>
      <c r="R2423" s="163"/>
      <c r="S2423" s="163"/>
    </row>
    <row r="2424" spans="5:19" x14ac:dyDescent="0.25">
      <c r="E2424" s="163"/>
      <c r="K2424" s="163"/>
      <c r="Q2424" s="163"/>
      <c r="R2424" s="163"/>
      <c r="S2424" s="163"/>
    </row>
    <row r="2425" spans="5:19" x14ac:dyDescent="0.25">
      <c r="E2425" s="163"/>
      <c r="K2425" s="163"/>
      <c r="Q2425" s="163"/>
      <c r="R2425" s="163"/>
      <c r="S2425" s="163"/>
    </row>
    <row r="2426" spans="5:19" x14ac:dyDescent="0.25">
      <c r="E2426" s="163"/>
      <c r="K2426" s="163"/>
      <c r="Q2426" s="163"/>
      <c r="R2426" s="163"/>
      <c r="S2426" s="163"/>
    </row>
    <row r="2427" spans="5:19" x14ac:dyDescent="0.25">
      <c r="E2427" s="163"/>
      <c r="K2427" s="163"/>
      <c r="Q2427" s="163"/>
      <c r="R2427" s="163"/>
      <c r="S2427" s="163"/>
    </row>
    <row r="2428" spans="5:19" x14ac:dyDescent="0.25">
      <c r="E2428" s="163"/>
      <c r="K2428" s="163"/>
      <c r="Q2428" s="163"/>
      <c r="R2428" s="163"/>
      <c r="S2428" s="163"/>
    </row>
    <row r="2429" spans="5:19" x14ac:dyDescent="0.25">
      <c r="E2429" s="163"/>
      <c r="K2429" s="163"/>
      <c r="Q2429" s="163"/>
      <c r="R2429" s="163"/>
      <c r="S2429" s="163"/>
    </row>
    <row r="2430" spans="5:19" x14ac:dyDescent="0.25">
      <c r="E2430" s="163"/>
      <c r="K2430" s="163"/>
      <c r="Q2430" s="163"/>
      <c r="R2430" s="163"/>
      <c r="S2430" s="163"/>
    </row>
    <row r="2431" spans="5:19" x14ac:dyDescent="0.25">
      <c r="E2431" s="163"/>
      <c r="K2431" s="163"/>
      <c r="Q2431" s="163"/>
      <c r="R2431" s="163"/>
      <c r="S2431" s="163"/>
    </row>
    <row r="2432" spans="5:19" x14ac:dyDescent="0.25">
      <c r="E2432" s="163"/>
      <c r="K2432" s="163"/>
      <c r="Q2432" s="163"/>
      <c r="R2432" s="163"/>
      <c r="S2432" s="163"/>
    </row>
    <row r="2433" spans="5:19" x14ac:dyDescent="0.25">
      <c r="E2433" s="163"/>
      <c r="K2433" s="163"/>
      <c r="Q2433" s="163"/>
      <c r="R2433" s="163"/>
      <c r="S2433" s="163"/>
    </row>
    <row r="2434" spans="5:19" x14ac:dyDescent="0.25">
      <c r="E2434" s="163"/>
      <c r="K2434" s="163"/>
      <c r="Q2434" s="163"/>
      <c r="R2434" s="163"/>
      <c r="S2434" s="163"/>
    </row>
    <row r="2435" spans="5:19" x14ac:dyDescent="0.25">
      <c r="E2435" s="163"/>
      <c r="K2435" s="163"/>
      <c r="Q2435" s="163"/>
      <c r="R2435" s="163"/>
      <c r="S2435" s="163"/>
    </row>
    <row r="2436" spans="5:19" x14ac:dyDescent="0.25">
      <c r="E2436" s="163"/>
      <c r="K2436" s="163"/>
      <c r="Q2436" s="163"/>
      <c r="R2436" s="163"/>
      <c r="S2436" s="163"/>
    </row>
    <row r="2437" spans="5:19" x14ac:dyDescent="0.25">
      <c r="E2437" s="163"/>
      <c r="K2437" s="163"/>
      <c r="Q2437" s="163"/>
      <c r="R2437" s="163"/>
      <c r="S2437" s="163"/>
    </row>
    <row r="2438" spans="5:19" x14ac:dyDescent="0.25">
      <c r="E2438" s="163"/>
      <c r="K2438" s="163"/>
      <c r="Q2438" s="163"/>
      <c r="R2438" s="163"/>
      <c r="S2438" s="163"/>
    </row>
    <row r="2439" spans="5:19" x14ac:dyDescent="0.25">
      <c r="E2439" s="163"/>
      <c r="K2439" s="163"/>
      <c r="Q2439" s="163"/>
      <c r="R2439" s="163"/>
      <c r="S2439" s="163"/>
    </row>
    <row r="2440" spans="5:19" x14ac:dyDescent="0.25">
      <c r="E2440" s="163"/>
      <c r="K2440" s="163"/>
      <c r="Q2440" s="163"/>
      <c r="R2440" s="163"/>
      <c r="S2440" s="163"/>
    </row>
    <row r="2441" spans="5:19" x14ac:dyDescent="0.25">
      <c r="E2441" s="163"/>
      <c r="K2441" s="163"/>
      <c r="Q2441" s="163"/>
      <c r="R2441" s="163"/>
      <c r="S2441" s="163"/>
    </row>
    <row r="2442" spans="5:19" x14ac:dyDescent="0.25">
      <c r="E2442" s="163"/>
      <c r="K2442" s="163"/>
      <c r="Q2442" s="163"/>
      <c r="R2442" s="163"/>
      <c r="S2442" s="163"/>
    </row>
    <row r="2443" spans="5:19" x14ac:dyDescent="0.25">
      <c r="E2443" s="163"/>
      <c r="K2443" s="163"/>
      <c r="Q2443" s="163"/>
      <c r="R2443" s="163"/>
      <c r="S2443" s="163"/>
    </row>
    <row r="2444" spans="5:19" x14ac:dyDescent="0.25">
      <c r="E2444" s="163"/>
      <c r="K2444" s="163"/>
      <c r="Q2444" s="163"/>
      <c r="R2444" s="163"/>
      <c r="S2444" s="163"/>
    </row>
    <row r="2445" spans="5:19" x14ac:dyDescent="0.25">
      <c r="E2445" s="163"/>
      <c r="K2445" s="163"/>
      <c r="Q2445" s="163"/>
      <c r="R2445" s="163"/>
      <c r="S2445" s="163"/>
    </row>
    <row r="2446" spans="5:19" x14ac:dyDescent="0.25">
      <c r="E2446" s="163"/>
      <c r="K2446" s="163"/>
      <c r="Q2446" s="163"/>
      <c r="R2446" s="163"/>
      <c r="S2446" s="163"/>
    </row>
    <row r="2447" spans="5:19" x14ac:dyDescent="0.25">
      <c r="E2447" s="163"/>
      <c r="K2447" s="163"/>
      <c r="Q2447" s="163"/>
      <c r="R2447" s="163"/>
      <c r="S2447" s="163"/>
    </row>
    <row r="2448" spans="5:19" x14ac:dyDescent="0.25">
      <c r="E2448" s="163"/>
      <c r="K2448" s="163"/>
      <c r="Q2448" s="163"/>
      <c r="R2448" s="163"/>
      <c r="S2448" s="163"/>
    </row>
    <row r="2449" spans="5:19" x14ac:dyDescent="0.25">
      <c r="E2449" s="163"/>
      <c r="K2449" s="163"/>
      <c r="Q2449" s="163"/>
      <c r="R2449" s="163"/>
      <c r="S2449" s="163"/>
    </row>
    <row r="2450" spans="5:19" x14ac:dyDescent="0.25">
      <c r="E2450" s="163"/>
      <c r="K2450" s="163"/>
      <c r="Q2450" s="163"/>
      <c r="R2450" s="163"/>
      <c r="S2450" s="163"/>
    </row>
    <row r="2451" spans="5:19" x14ac:dyDescent="0.25">
      <c r="E2451" s="163"/>
      <c r="K2451" s="163"/>
      <c r="Q2451" s="163"/>
      <c r="R2451" s="163"/>
      <c r="S2451" s="163"/>
    </row>
    <row r="2452" spans="5:19" x14ac:dyDescent="0.25">
      <c r="E2452" s="163"/>
      <c r="K2452" s="163"/>
      <c r="Q2452" s="163"/>
      <c r="R2452" s="163"/>
      <c r="S2452" s="163"/>
    </row>
    <row r="2453" spans="5:19" x14ac:dyDescent="0.25">
      <c r="E2453" s="163"/>
      <c r="K2453" s="163"/>
      <c r="Q2453" s="163"/>
      <c r="R2453" s="163"/>
      <c r="S2453" s="163"/>
    </row>
    <row r="2454" spans="5:19" x14ac:dyDescent="0.25">
      <c r="E2454" s="163"/>
      <c r="K2454" s="163"/>
      <c r="Q2454" s="163"/>
      <c r="R2454" s="163"/>
      <c r="S2454" s="163"/>
    </row>
    <row r="2455" spans="5:19" x14ac:dyDescent="0.25">
      <c r="E2455" s="163"/>
      <c r="K2455" s="163"/>
      <c r="Q2455" s="163"/>
      <c r="R2455" s="163"/>
      <c r="S2455" s="163"/>
    </row>
    <row r="2456" spans="5:19" x14ac:dyDescent="0.25">
      <c r="E2456" s="163"/>
      <c r="K2456" s="163"/>
      <c r="Q2456" s="163"/>
      <c r="R2456" s="163"/>
      <c r="S2456" s="163"/>
    </row>
    <row r="2457" spans="5:19" x14ac:dyDescent="0.25">
      <c r="E2457" s="163"/>
      <c r="K2457" s="163"/>
      <c r="Q2457" s="163"/>
      <c r="R2457" s="163"/>
      <c r="S2457" s="163"/>
    </row>
    <row r="2458" spans="5:19" x14ac:dyDescent="0.25">
      <c r="E2458" s="163"/>
      <c r="K2458" s="163"/>
      <c r="Q2458" s="163"/>
      <c r="R2458" s="163"/>
      <c r="S2458" s="163"/>
    </row>
    <row r="2459" spans="5:19" x14ac:dyDescent="0.25">
      <c r="E2459" s="163"/>
      <c r="K2459" s="163"/>
      <c r="Q2459" s="163"/>
      <c r="R2459" s="163"/>
      <c r="S2459" s="163"/>
    </row>
    <row r="2460" spans="5:19" x14ac:dyDescent="0.25">
      <c r="E2460" s="163"/>
      <c r="K2460" s="163"/>
      <c r="Q2460" s="163"/>
      <c r="R2460" s="163"/>
      <c r="S2460" s="163"/>
    </row>
    <row r="2461" spans="5:19" x14ac:dyDescent="0.25">
      <c r="E2461" s="163"/>
      <c r="K2461" s="163"/>
      <c r="Q2461" s="163"/>
      <c r="R2461" s="163"/>
      <c r="S2461" s="163"/>
    </row>
    <row r="2462" spans="5:19" x14ac:dyDescent="0.25">
      <c r="E2462" s="163"/>
      <c r="K2462" s="163"/>
      <c r="Q2462" s="163"/>
      <c r="R2462" s="163"/>
      <c r="S2462" s="163"/>
    </row>
    <row r="2463" spans="5:19" x14ac:dyDescent="0.25">
      <c r="E2463" s="163"/>
      <c r="K2463" s="163"/>
      <c r="Q2463" s="163"/>
      <c r="R2463" s="163"/>
      <c r="S2463" s="163"/>
    </row>
    <row r="2464" spans="5:19" x14ac:dyDescent="0.25">
      <c r="E2464" s="163"/>
      <c r="K2464" s="163"/>
      <c r="Q2464" s="163"/>
      <c r="R2464" s="163"/>
      <c r="S2464" s="163"/>
    </row>
    <row r="2465" spans="5:19" x14ac:dyDescent="0.25">
      <c r="E2465" s="163"/>
      <c r="K2465" s="163"/>
      <c r="Q2465" s="163"/>
      <c r="R2465" s="163"/>
      <c r="S2465" s="163"/>
    </row>
    <row r="2466" spans="5:19" x14ac:dyDescent="0.25">
      <c r="E2466" s="163"/>
      <c r="K2466" s="163"/>
      <c r="Q2466" s="163"/>
      <c r="R2466" s="163"/>
      <c r="S2466" s="163"/>
    </row>
    <row r="2467" spans="5:19" x14ac:dyDescent="0.25">
      <c r="E2467" s="163"/>
      <c r="K2467" s="163"/>
      <c r="Q2467" s="163"/>
      <c r="R2467" s="163"/>
      <c r="S2467" s="163"/>
    </row>
    <row r="2468" spans="5:19" x14ac:dyDescent="0.25">
      <c r="E2468" s="163"/>
      <c r="K2468" s="163"/>
      <c r="Q2468" s="163"/>
      <c r="R2468" s="163"/>
      <c r="S2468" s="163"/>
    </row>
    <row r="2469" spans="5:19" x14ac:dyDescent="0.25">
      <c r="E2469" s="163"/>
      <c r="K2469" s="163"/>
      <c r="Q2469" s="163"/>
      <c r="R2469" s="163"/>
      <c r="S2469" s="163"/>
    </row>
    <row r="2470" spans="5:19" x14ac:dyDescent="0.25">
      <c r="E2470" s="163"/>
      <c r="K2470" s="163"/>
      <c r="Q2470" s="163"/>
      <c r="R2470" s="163"/>
      <c r="S2470" s="163"/>
    </row>
    <row r="2471" spans="5:19" x14ac:dyDescent="0.25">
      <c r="E2471" s="163"/>
      <c r="K2471" s="163"/>
      <c r="Q2471" s="163"/>
      <c r="R2471" s="163"/>
      <c r="S2471" s="163"/>
    </row>
    <row r="2472" spans="5:19" x14ac:dyDescent="0.25">
      <c r="E2472" s="163"/>
      <c r="K2472" s="163"/>
      <c r="Q2472" s="163"/>
      <c r="R2472" s="163"/>
      <c r="S2472" s="163"/>
    </row>
    <row r="2473" spans="5:19" x14ac:dyDescent="0.25">
      <c r="E2473" s="163"/>
      <c r="K2473" s="163"/>
      <c r="Q2473" s="163"/>
      <c r="R2473" s="163"/>
      <c r="S2473" s="163"/>
    </row>
    <row r="2474" spans="5:19" x14ac:dyDescent="0.25">
      <c r="E2474" s="163"/>
      <c r="K2474" s="163"/>
      <c r="Q2474" s="163"/>
      <c r="R2474" s="163"/>
      <c r="S2474" s="163"/>
    </row>
    <row r="2475" spans="5:19" x14ac:dyDescent="0.25">
      <c r="E2475" s="163"/>
      <c r="K2475" s="163"/>
      <c r="Q2475" s="163"/>
      <c r="R2475" s="163"/>
      <c r="S2475" s="163"/>
    </row>
    <row r="2476" spans="5:19" x14ac:dyDescent="0.25">
      <c r="E2476" s="163"/>
      <c r="K2476" s="163"/>
      <c r="Q2476" s="163"/>
      <c r="R2476" s="163"/>
      <c r="S2476" s="163"/>
    </row>
    <row r="2477" spans="5:19" x14ac:dyDescent="0.25">
      <c r="E2477" s="163"/>
      <c r="K2477" s="163"/>
      <c r="Q2477" s="163"/>
      <c r="R2477" s="163"/>
      <c r="S2477" s="163"/>
    </row>
    <row r="2478" spans="5:19" x14ac:dyDescent="0.25">
      <c r="E2478" s="163"/>
      <c r="K2478" s="163"/>
      <c r="Q2478" s="163"/>
      <c r="R2478" s="163"/>
      <c r="S2478" s="163"/>
    </row>
    <row r="2479" spans="5:19" x14ac:dyDescent="0.25">
      <c r="E2479" s="163"/>
      <c r="K2479" s="163"/>
      <c r="Q2479" s="163"/>
      <c r="R2479" s="163"/>
      <c r="S2479" s="163"/>
    </row>
    <row r="2480" spans="5:19" x14ac:dyDescent="0.25">
      <c r="E2480" s="163"/>
      <c r="K2480" s="163"/>
      <c r="Q2480" s="163"/>
      <c r="R2480" s="163"/>
      <c r="S2480" s="163"/>
    </row>
    <row r="2481" spans="5:19" x14ac:dyDescent="0.25">
      <c r="E2481" s="163"/>
      <c r="K2481" s="163"/>
      <c r="Q2481" s="163"/>
      <c r="R2481" s="163"/>
      <c r="S2481" s="163"/>
    </row>
    <row r="2482" spans="5:19" x14ac:dyDescent="0.25">
      <c r="E2482" s="163"/>
      <c r="K2482" s="163"/>
      <c r="Q2482" s="163"/>
      <c r="R2482" s="163"/>
      <c r="S2482" s="163"/>
    </row>
    <row r="2483" spans="5:19" x14ac:dyDescent="0.25">
      <c r="E2483" s="163"/>
      <c r="K2483" s="163"/>
      <c r="Q2483" s="163"/>
      <c r="R2483" s="163"/>
      <c r="S2483" s="163"/>
    </row>
    <row r="2484" spans="5:19" x14ac:dyDescent="0.25">
      <c r="E2484" s="163"/>
      <c r="K2484" s="163"/>
      <c r="Q2484" s="163"/>
      <c r="R2484" s="163"/>
      <c r="S2484" s="163"/>
    </row>
    <row r="2485" spans="5:19" x14ac:dyDescent="0.25">
      <c r="E2485" s="163"/>
      <c r="K2485" s="163"/>
      <c r="Q2485" s="163"/>
      <c r="R2485" s="163"/>
      <c r="S2485" s="163"/>
    </row>
    <row r="2486" spans="5:19" x14ac:dyDescent="0.25">
      <c r="E2486" s="163"/>
      <c r="K2486" s="163"/>
      <c r="Q2486" s="163"/>
      <c r="R2486" s="163"/>
      <c r="S2486" s="163"/>
    </row>
    <row r="2487" spans="5:19" x14ac:dyDescent="0.25">
      <c r="E2487" s="163"/>
      <c r="K2487" s="163"/>
      <c r="Q2487" s="163"/>
      <c r="R2487" s="163"/>
      <c r="S2487" s="163"/>
    </row>
    <row r="2488" spans="5:19" x14ac:dyDescent="0.25">
      <c r="E2488" s="163"/>
      <c r="K2488" s="163"/>
      <c r="Q2488" s="163"/>
      <c r="R2488" s="163"/>
      <c r="S2488" s="163"/>
    </row>
    <row r="2489" spans="5:19" x14ac:dyDescent="0.25">
      <c r="E2489" s="163"/>
      <c r="K2489" s="163"/>
      <c r="Q2489" s="163"/>
      <c r="R2489" s="163"/>
      <c r="S2489" s="163"/>
    </row>
    <row r="2490" spans="5:19" x14ac:dyDescent="0.25">
      <c r="E2490" s="163"/>
      <c r="K2490" s="163"/>
      <c r="Q2490" s="163"/>
      <c r="R2490" s="163"/>
      <c r="S2490" s="163"/>
    </row>
    <row r="2491" spans="5:19" x14ac:dyDescent="0.25">
      <c r="E2491" s="163"/>
      <c r="K2491" s="163"/>
      <c r="Q2491" s="163"/>
      <c r="R2491" s="163"/>
      <c r="S2491" s="163"/>
    </row>
    <row r="2492" spans="5:19" x14ac:dyDescent="0.25">
      <c r="E2492" s="163"/>
      <c r="K2492" s="163"/>
      <c r="Q2492" s="163"/>
      <c r="R2492" s="163"/>
      <c r="S2492" s="163"/>
    </row>
    <row r="2493" spans="5:19" x14ac:dyDescent="0.25">
      <c r="E2493" s="163"/>
      <c r="K2493" s="163"/>
      <c r="Q2493" s="163"/>
      <c r="R2493" s="163"/>
      <c r="S2493" s="163"/>
    </row>
    <row r="2494" spans="5:19" x14ac:dyDescent="0.25">
      <c r="E2494" s="163"/>
      <c r="K2494" s="163"/>
      <c r="Q2494" s="163"/>
      <c r="R2494" s="163"/>
      <c r="S2494" s="163"/>
    </row>
    <row r="2495" spans="5:19" x14ac:dyDescent="0.25">
      <c r="E2495" s="163"/>
      <c r="K2495" s="163"/>
      <c r="Q2495" s="163"/>
      <c r="R2495" s="163"/>
      <c r="S2495" s="163"/>
    </row>
    <row r="2496" spans="5:19" x14ac:dyDescent="0.25">
      <c r="E2496" s="163"/>
      <c r="K2496" s="163"/>
      <c r="Q2496" s="163"/>
      <c r="R2496" s="163"/>
      <c r="S2496" s="163"/>
    </row>
    <row r="2497" spans="5:19" x14ac:dyDescent="0.25">
      <c r="E2497" s="163"/>
      <c r="K2497" s="163"/>
      <c r="Q2497" s="163"/>
      <c r="R2497" s="163"/>
      <c r="S2497" s="163"/>
    </row>
    <row r="2498" spans="5:19" x14ac:dyDescent="0.25">
      <c r="E2498" s="163"/>
      <c r="K2498" s="163"/>
      <c r="Q2498" s="163"/>
      <c r="R2498" s="163"/>
      <c r="S2498" s="163"/>
    </row>
    <row r="2499" spans="5:19" x14ac:dyDescent="0.25">
      <c r="E2499" s="163"/>
      <c r="K2499" s="163"/>
      <c r="Q2499" s="163"/>
      <c r="R2499" s="163"/>
      <c r="S2499" s="163"/>
    </row>
    <row r="2500" spans="5:19" x14ac:dyDescent="0.25">
      <c r="E2500" s="163"/>
      <c r="K2500" s="163"/>
      <c r="Q2500" s="163"/>
      <c r="R2500" s="163"/>
      <c r="S2500" s="163"/>
    </row>
    <row r="2501" spans="5:19" x14ac:dyDescent="0.25">
      <c r="E2501" s="163"/>
      <c r="K2501" s="163"/>
      <c r="Q2501" s="163"/>
      <c r="R2501" s="163"/>
      <c r="S2501" s="163"/>
    </row>
    <row r="2502" spans="5:19" x14ac:dyDescent="0.25">
      <c r="E2502" s="163"/>
      <c r="K2502" s="163"/>
      <c r="Q2502" s="163"/>
      <c r="R2502" s="163"/>
      <c r="S2502" s="163"/>
    </row>
    <row r="2503" spans="5:19" x14ac:dyDescent="0.25">
      <c r="E2503" s="163"/>
      <c r="K2503" s="163"/>
      <c r="Q2503" s="163"/>
      <c r="R2503" s="163"/>
      <c r="S2503" s="163"/>
    </row>
    <row r="2504" spans="5:19" x14ac:dyDescent="0.25">
      <c r="E2504" s="163"/>
      <c r="K2504" s="163"/>
      <c r="Q2504" s="163"/>
      <c r="R2504" s="163"/>
      <c r="S2504" s="163"/>
    </row>
    <row r="2505" spans="5:19" x14ac:dyDescent="0.25">
      <c r="E2505" s="163"/>
      <c r="K2505" s="163"/>
      <c r="Q2505" s="163"/>
      <c r="R2505" s="163"/>
      <c r="S2505" s="163"/>
    </row>
    <row r="2506" spans="5:19" x14ac:dyDescent="0.25">
      <c r="E2506" s="163"/>
      <c r="K2506" s="163"/>
      <c r="Q2506" s="163"/>
      <c r="R2506" s="163"/>
      <c r="S2506" s="163"/>
    </row>
    <row r="2507" spans="5:19" x14ac:dyDescent="0.25">
      <c r="E2507" s="163"/>
      <c r="K2507" s="163"/>
      <c r="Q2507" s="163"/>
      <c r="R2507" s="163"/>
      <c r="S2507" s="163"/>
    </row>
    <row r="2508" spans="5:19" x14ac:dyDescent="0.25">
      <c r="E2508" s="163"/>
      <c r="K2508" s="163"/>
      <c r="Q2508" s="163"/>
      <c r="R2508" s="163"/>
      <c r="S2508" s="163"/>
    </row>
    <row r="2509" spans="5:19" x14ac:dyDescent="0.25">
      <c r="E2509" s="163"/>
      <c r="K2509" s="163"/>
      <c r="Q2509" s="163"/>
      <c r="R2509" s="163"/>
      <c r="S2509" s="163"/>
    </row>
    <row r="2510" spans="5:19" x14ac:dyDescent="0.25">
      <c r="E2510" s="163"/>
      <c r="K2510" s="163"/>
      <c r="Q2510" s="163"/>
      <c r="R2510" s="163"/>
      <c r="S2510" s="163"/>
    </row>
    <row r="2511" spans="5:19" x14ac:dyDescent="0.25">
      <c r="E2511" s="163"/>
      <c r="K2511" s="163"/>
      <c r="Q2511" s="163"/>
      <c r="R2511" s="163"/>
      <c r="S2511" s="163"/>
    </row>
    <row r="2512" spans="5:19" x14ac:dyDescent="0.25">
      <c r="E2512" s="163"/>
      <c r="K2512" s="163"/>
      <c r="Q2512" s="163"/>
      <c r="R2512" s="163"/>
      <c r="S2512" s="163"/>
    </row>
    <row r="2513" spans="5:19" x14ac:dyDescent="0.25">
      <c r="E2513" s="163"/>
      <c r="K2513" s="163"/>
      <c r="Q2513" s="163"/>
      <c r="R2513" s="163"/>
      <c r="S2513" s="163"/>
    </row>
    <row r="2514" spans="5:19" x14ac:dyDescent="0.25">
      <c r="E2514" s="163"/>
      <c r="K2514" s="163"/>
      <c r="Q2514" s="163"/>
      <c r="R2514" s="163"/>
      <c r="S2514" s="163"/>
    </row>
    <row r="2515" spans="5:19" x14ac:dyDescent="0.25">
      <c r="E2515" s="163"/>
      <c r="K2515" s="163"/>
      <c r="Q2515" s="163"/>
      <c r="R2515" s="163"/>
      <c r="S2515" s="163"/>
    </row>
    <row r="2516" spans="5:19" x14ac:dyDescent="0.25">
      <c r="E2516" s="163"/>
      <c r="K2516" s="163"/>
      <c r="Q2516" s="163"/>
      <c r="R2516" s="163"/>
      <c r="S2516" s="163"/>
    </row>
    <row r="2517" spans="5:19" x14ac:dyDescent="0.25">
      <c r="E2517" s="163"/>
      <c r="K2517" s="163"/>
      <c r="Q2517" s="163"/>
      <c r="R2517" s="163"/>
      <c r="S2517" s="163"/>
    </row>
    <row r="2518" spans="5:19" x14ac:dyDescent="0.25">
      <c r="E2518" s="163"/>
      <c r="K2518" s="163"/>
      <c r="Q2518" s="163"/>
      <c r="R2518" s="163"/>
      <c r="S2518" s="163"/>
    </row>
    <row r="2519" spans="5:19" x14ac:dyDescent="0.25">
      <c r="E2519" s="163"/>
      <c r="K2519" s="163"/>
      <c r="Q2519" s="163"/>
      <c r="R2519" s="163"/>
      <c r="S2519" s="163"/>
    </row>
    <row r="2520" spans="5:19" x14ac:dyDescent="0.25">
      <c r="E2520" s="163"/>
      <c r="K2520" s="163"/>
      <c r="Q2520" s="163"/>
      <c r="R2520" s="163"/>
      <c r="S2520" s="163"/>
    </row>
    <row r="2521" spans="5:19" x14ac:dyDescent="0.25">
      <c r="E2521" s="163"/>
      <c r="K2521" s="163"/>
      <c r="Q2521" s="163"/>
      <c r="R2521" s="163"/>
      <c r="S2521" s="163"/>
    </row>
    <row r="2522" spans="5:19" x14ac:dyDescent="0.25">
      <c r="E2522" s="163"/>
      <c r="K2522" s="163"/>
      <c r="Q2522" s="163"/>
      <c r="R2522" s="163"/>
      <c r="S2522" s="163"/>
    </row>
    <row r="2523" spans="5:19" x14ac:dyDescent="0.25">
      <c r="E2523" s="163"/>
      <c r="K2523" s="163"/>
      <c r="Q2523" s="163"/>
      <c r="R2523" s="163"/>
      <c r="S2523" s="163"/>
    </row>
    <row r="2524" spans="5:19" x14ac:dyDescent="0.25">
      <c r="E2524" s="163"/>
      <c r="K2524" s="163"/>
      <c r="Q2524" s="163"/>
      <c r="R2524" s="163"/>
      <c r="S2524" s="163"/>
    </row>
    <row r="2525" spans="5:19" x14ac:dyDescent="0.25">
      <c r="E2525" s="163"/>
      <c r="K2525" s="163"/>
      <c r="Q2525" s="163"/>
      <c r="R2525" s="163"/>
      <c r="S2525" s="163"/>
    </row>
    <row r="2526" spans="5:19" x14ac:dyDescent="0.25">
      <c r="E2526" s="163"/>
      <c r="K2526" s="163"/>
      <c r="Q2526" s="163"/>
      <c r="R2526" s="163"/>
      <c r="S2526" s="163"/>
    </row>
    <row r="2527" spans="5:19" x14ac:dyDescent="0.25">
      <c r="E2527" s="163"/>
      <c r="K2527" s="163"/>
      <c r="Q2527" s="163"/>
      <c r="R2527" s="163"/>
      <c r="S2527" s="163"/>
    </row>
    <row r="2528" spans="5:19" x14ac:dyDescent="0.25">
      <c r="E2528" s="163"/>
      <c r="K2528" s="163"/>
      <c r="Q2528" s="163"/>
      <c r="R2528" s="163"/>
      <c r="S2528" s="163"/>
    </row>
    <row r="2529" spans="5:19" x14ac:dyDescent="0.25">
      <c r="E2529" s="163"/>
      <c r="K2529" s="163"/>
      <c r="Q2529" s="163"/>
      <c r="R2529" s="163"/>
      <c r="S2529" s="163"/>
    </row>
    <row r="2530" spans="5:19" x14ac:dyDescent="0.25">
      <c r="E2530" s="163"/>
      <c r="K2530" s="163"/>
      <c r="Q2530" s="163"/>
      <c r="R2530" s="163"/>
      <c r="S2530" s="163"/>
    </row>
    <row r="2531" spans="5:19" x14ac:dyDescent="0.25">
      <c r="E2531" s="163"/>
      <c r="K2531" s="163"/>
      <c r="Q2531" s="163"/>
      <c r="R2531" s="163"/>
      <c r="S2531" s="163"/>
    </row>
    <row r="2532" spans="5:19" x14ac:dyDescent="0.25">
      <c r="E2532" s="163"/>
      <c r="K2532" s="163"/>
      <c r="Q2532" s="163"/>
      <c r="R2532" s="163"/>
      <c r="S2532" s="163"/>
    </row>
    <row r="2533" spans="5:19" x14ac:dyDescent="0.25">
      <c r="E2533" s="163"/>
      <c r="K2533" s="163"/>
      <c r="Q2533" s="163"/>
      <c r="R2533" s="163"/>
      <c r="S2533" s="163"/>
    </row>
    <row r="2534" spans="5:19" x14ac:dyDescent="0.25">
      <c r="E2534" s="163"/>
      <c r="K2534" s="163"/>
      <c r="Q2534" s="163"/>
      <c r="R2534" s="163"/>
      <c r="S2534" s="163"/>
    </row>
    <row r="2535" spans="5:19" x14ac:dyDescent="0.25">
      <c r="E2535" s="163"/>
      <c r="K2535" s="163"/>
      <c r="Q2535" s="163"/>
      <c r="R2535" s="163"/>
      <c r="S2535" s="163"/>
    </row>
    <row r="2536" spans="5:19" x14ac:dyDescent="0.25">
      <c r="E2536" s="163"/>
      <c r="K2536" s="163"/>
      <c r="Q2536" s="163"/>
      <c r="R2536" s="163"/>
      <c r="S2536" s="163"/>
    </row>
    <row r="2537" spans="5:19" x14ac:dyDescent="0.25">
      <c r="E2537" s="163"/>
      <c r="K2537" s="163"/>
      <c r="Q2537" s="163"/>
      <c r="R2537" s="163"/>
      <c r="S2537" s="163"/>
    </row>
    <row r="2538" spans="5:19" x14ac:dyDescent="0.25">
      <c r="E2538" s="163"/>
      <c r="K2538" s="163"/>
      <c r="Q2538" s="163"/>
      <c r="R2538" s="163"/>
      <c r="S2538" s="163"/>
    </row>
    <row r="2539" spans="5:19" x14ac:dyDescent="0.25">
      <c r="E2539" s="163"/>
      <c r="K2539" s="163"/>
      <c r="Q2539" s="163"/>
      <c r="R2539" s="163"/>
      <c r="S2539" s="163"/>
    </row>
    <row r="2540" spans="5:19" x14ac:dyDescent="0.25">
      <c r="E2540" s="163"/>
      <c r="K2540" s="163"/>
      <c r="Q2540" s="163"/>
      <c r="R2540" s="163"/>
      <c r="S2540" s="163"/>
    </row>
    <row r="2541" spans="5:19" x14ac:dyDescent="0.25">
      <c r="E2541" s="163"/>
      <c r="K2541" s="163"/>
      <c r="Q2541" s="163"/>
      <c r="R2541" s="163"/>
      <c r="S2541" s="163"/>
    </row>
    <row r="2542" spans="5:19" x14ac:dyDescent="0.25">
      <c r="E2542" s="163"/>
      <c r="K2542" s="163"/>
      <c r="Q2542" s="163"/>
      <c r="R2542" s="163"/>
      <c r="S2542" s="163"/>
    </row>
    <row r="2543" spans="5:19" x14ac:dyDescent="0.25">
      <c r="E2543" s="163"/>
      <c r="K2543" s="163"/>
      <c r="Q2543" s="163"/>
      <c r="R2543" s="163"/>
      <c r="S2543" s="163"/>
    </row>
    <row r="2544" spans="5:19" x14ac:dyDescent="0.25">
      <c r="E2544" s="163"/>
      <c r="K2544" s="163"/>
      <c r="Q2544" s="163"/>
      <c r="R2544" s="163"/>
      <c r="S2544" s="163"/>
    </row>
    <row r="2545" spans="5:19" x14ac:dyDescent="0.25">
      <c r="E2545" s="163"/>
      <c r="K2545" s="163"/>
      <c r="Q2545" s="163"/>
      <c r="R2545" s="163"/>
      <c r="S2545" s="163"/>
    </row>
    <row r="2546" spans="5:19" x14ac:dyDescent="0.25">
      <c r="E2546" s="163"/>
      <c r="K2546" s="163"/>
      <c r="Q2546" s="163"/>
      <c r="R2546" s="163"/>
      <c r="S2546" s="163"/>
    </row>
    <row r="2547" spans="5:19" x14ac:dyDescent="0.25">
      <c r="E2547" s="163"/>
      <c r="K2547" s="163"/>
      <c r="Q2547" s="163"/>
      <c r="R2547" s="163"/>
      <c r="S2547" s="163"/>
    </row>
    <row r="2548" spans="5:19" x14ac:dyDescent="0.25">
      <c r="E2548" s="163"/>
      <c r="K2548" s="163"/>
      <c r="Q2548" s="163"/>
      <c r="R2548" s="163"/>
      <c r="S2548" s="163"/>
    </row>
    <row r="2549" spans="5:19" x14ac:dyDescent="0.25">
      <c r="E2549" s="163"/>
      <c r="K2549" s="163"/>
      <c r="Q2549" s="163"/>
      <c r="R2549" s="163"/>
      <c r="S2549" s="163"/>
    </row>
    <row r="2550" spans="5:19" x14ac:dyDescent="0.25">
      <c r="E2550" s="163"/>
      <c r="K2550" s="163"/>
      <c r="Q2550" s="163"/>
      <c r="R2550" s="163"/>
      <c r="S2550" s="163"/>
    </row>
    <row r="2551" spans="5:19" x14ac:dyDescent="0.25">
      <c r="E2551" s="163"/>
      <c r="K2551" s="163"/>
      <c r="Q2551" s="163"/>
      <c r="R2551" s="163"/>
      <c r="S2551" s="163"/>
    </row>
    <row r="2552" spans="5:19" x14ac:dyDescent="0.25">
      <c r="E2552" s="163"/>
      <c r="K2552" s="163"/>
      <c r="Q2552" s="163"/>
      <c r="R2552" s="163"/>
      <c r="S2552" s="163"/>
    </row>
    <row r="2553" spans="5:19" x14ac:dyDescent="0.25">
      <c r="E2553" s="163"/>
      <c r="K2553" s="163"/>
      <c r="Q2553" s="163"/>
      <c r="R2553" s="163"/>
      <c r="S2553" s="163"/>
    </row>
    <row r="2554" spans="5:19" x14ac:dyDescent="0.25">
      <c r="E2554" s="163"/>
      <c r="K2554" s="163"/>
      <c r="Q2554" s="163"/>
      <c r="R2554" s="163"/>
      <c r="S2554" s="163"/>
    </row>
    <row r="2555" spans="5:19" x14ac:dyDescent="0.25">
      <c r="E2555" s="163"/>
      <c r="K2555" s="163"/>
      <c r="Q2555" s="163"/>
      <c r="R2555" s="163"/>
      <c r="S2555" s="163"/>
    </row>
    <row r="2556" spans="5:19" x14ac:dyDescent="0.25">
      <c r="E2556" s="163"/>
      <c r="K2556" s="163"/>
      <c r="Q2556" s="163"/>
      <c r="R2556" s="163"/>
      <c r="S2556" s="163"/>
    </row>
    <row r="2557" spans="5:19" x14ac:dyDescent="0.25">
      <c r="E2557" s="163"/>
      <c r="K2557" s="163"/>
      <c r="Q2557" s="163"/>
      <c r="R2557" s="163"/>
      <c r="S2557" s="163"/>
    </row>
    <row r="2558" spans="5:19" x14ac:dyDescent="0.25">
      <c r="E2558" s="163"/>
      <c r="K2558" s="163"/>
      <c r="Q2558" s="163"/>
      <c r="R2558" s="163"/>
      <c r="S2558" s="163"/>
    </row>
    <row r="2559" spans="5:19" x14ac:dyDescent="0.25">
      <c r="E2559" s="163"/>
      <c r="K2559" s="163"/>
      <c r="Q2559" s="163"/>
      <c r="R2559" s="163"/>
      <c r="S2559" s="163"/>
    </row>
    <row r="2560" spans="5:19" x14ac:dyDescent="0.25">
      <c r="E2560" s="163"/>
      <c r="K2560" s="163"/>
      <c r="Q2560" s="163"/>
      <c r="R2560" s="163"/>
      <c r="S2560" s="163"/>
    </row>
    <row r="2561" spans="5:19" x14ac:dyDescent="0.25">
      <c r="E2561" s="163"/>
      <c r="K2561" s="163"/>
      <c r="Q2561" s="163"/>
      <c r="R2561" s="163"/>
      <c r="S2561" s="163"/>
    </row>
    <row r="2562" spans="5:19" x14ac:dyDescent="0.25">
      <c r="E2562" s="163"/>
      <c r="K2562" s="163"/>
      <c r="Q2562" s="163"/>
      <c r="R2562" s="163"/>
      <c r="S2562" s="163"/>
    </row>
    <row r="2563" spans="5:19" x14ac:dyDescent="0.25">
      <c r="E2563" s="163"/>
      <c r="K2563" s="163"/>
      <c r="Q2563" s="163"/>
      <c r="R2563" s="163"/>
      <c r="S2563" s="163"/>
    </row>
    <row r="2564" spans="5:19" x14ac:dyDescent="0.25">
      <c r="E2564" s="163"/>
      <c r="K2564" s="163"/>
      <c r="Q2564" s="163"/>
      <c r="R2564" s="163"/>
      <c r="S2564" s="163"/>
    </row>
    <row r="2565" spans="5:19" x14ac:dyDescent="0.25">
      <c r="E2565" s="163"/>
      <c r="K2565" s="163"/>
      <c r="Q2565" s="163"/>
      <c r="R2565" s="163"/>
      <c r="S2565" s="163"/>
    </row>
    <row r="2566" spans="5:19" x14ac:dyDescent="0.25">
      <c r="E2566" s="163"/>
      <c r="K2566" s="163"/>
      <c r="Q2566" s="163"/>
      <c r="R2566" s="163"/>
      <c r="S2566" s="163"/>
    </row>
    <row r="2567" spans="5:19" x14ac:dyDescent="0.25">
      <c r="E2567" s="163"/>
      <c r="K2567" s="163"/>
      <c r="Q2567" s="163"/>
      <c r="R2567" s="163"/>
      <c r="S2567" s="163"/>
    </row>
    <row r="2568" spans="5:19" x14ac:dyDescent="0.25">
      <c r="E2568" s="163"/>
      <c r="K2568" s="163"/>
      <c r="Q2568" s="163"/>
      <c r="R2568" s="163"/>
      <c r="S2568" s="163"/>
    </row>
    <row r="2569" spans="5:19" x14ac:dyDescent="0.25">
      <c r="E2569" s="163"/>
      <c r="K2569" s="163"/>
      <c r="Q2569" s="163"/>
      <c r="R2569" s="163"/>
      <c r="S2569" s="163"/>
    </row>
    <row r="2570" spans="5:19" x14ac:dyDescent="0.25">
      <c r="E2570" s="163"/>
      <c r="K2570" s="163"/>
      <c r="Q2570" s="163"/>
      <c r="R2570" s="163"/>
      <c r="S2570" s="163"/>
    </row>
    <row r="2571" spans="5:19" x14ac:dyDescent="0.25">
      <c r="E2571" s="163"/>
      <c r="K2571" s="163"/>
      <c r="Q2571" s="163"/>
      <c r="R2571" s="163"/>
      <c r="S2571" s="163"/>
    </row>
    <row r="2572" spans="5:19" x14ac:dyDescent="0.25">
      <c r="E2572" s="163"/>
      <c r="K2572" s="163"/>
      <c r="Q2572" s="163"/>
      <c r="R2572" s="163"/>
      <c r="S2572" s="163"/>
    </row>
    <row r="2573" spans="5:19" x14ac:dyDescent="0.25">
      <c r="E2573" s="163"/>
      <c r="K2573" s="163"/>
      <c r="Q2573" s="163"/>
      <c r="R2573" s="163"/>
      <c r="S2573" s="163"/>
    </row>
    <row r="2574" spans="5:19" x14ac:dyDescent="0.25">
      <c r="E2574" s="163"/>
      <c r="K2574" s="163"/>
      <c r="Q2574" s="163"/>
      <c r="R2574" s="163"/>
      <c r="S2574" s="163"/>
    </row>
    <row r="2575" spans="5:19" x14ac:dyDescent="0.25">
      <c r="E2575" s="163"/>
      <c r="K2575" s="163"/>
      <c r="Q2575" s="163"/>
      <c r="R2575" s="163"/>
      <c r="S2575" s="163"/>
    </row>
    <row r="2576" spans="5:19" x14ac:dyDescent="0.25">
      <c r="E2576" s="163"/>
      <c r="K2576" s="163"/>
      <c r="Q2576" s="163"/>
      <c r="R2576" s="163"/>
      <c r="S2576" s="163"/>
    </row>
    <row r="2577" spans="5:19" x14ac:dyDescent="0.25">
      <c r="E2577" s="163"/>
      <c r="K2577" s="163"/>
      <c r="Q2577" s="163"/>
      <c r="R2577" s="163"/>
      <c r="S2577" s="163"/>
    </row>
    <row r="2578" spans="5:19" x14ac:dyDescent="0.25">
      <c r="E2578" s="163"/>
      <c r="K2578" s="163"/>
      <c r="Q2578" s="163"/>
      <c r="R2578" s="163"/>
      <c r="S2578" s="163"/>
    </row>
    <row r="2579" spans="5:19" x14ac:dyDescent="0.25">
      <c r="E2579" s="163"/>
      <c r="K2579" s="163"/>
      <c r="Q2579" s="163"/>
      <c r="R2579" s="163"/>
      <c r="S2579" s="163"/>
    </row>
    <row r="2580" spans="5:19" x14ac:dyDescent="0.25">
      <c r="E2580" s="163"/>
      <c r="K2580" s="163"/>
      <c r="Q2580" s="163"/>
      <c r="R2580" s="163"/>
      <c r="S2580" s="163"/>
    </row>
    <row r="2581" spans="5:19" x14ac:dyDescent="0.25">
      <c r="E2581" s="163"/>
      <c r="K2581" s="163"/>
      <c r="Q2581" s="163"/>
      <c r="R2581" s="163"/>
      <c r="S2581" s="163"/>
    </row>
    <row r="2582" spans="5:19" x14ac:dyDescent="0.25">
      <c r="E2582" s="163"/>
      <c r="K2582" s="163"/>
      <c r="Q2582" s="163"/>
      <c r="R2582" s="163"/>
      <c r="S2582" s="163"/>
    </row>
    <row r="2583" spans="5:19" x14ac:dyDescent="0.25">
      <c r="E2583" s="163"/>
      <c r="K2583" s="163"/>
      <c r="Q2583" s="163"/>
      <c r="R2583" s="163"/>
      <c r="S2583" s="163"/>
    </row>
    <row r="2584" spans="5:19" x14ac:dyDescent="0.25">
      <c r="E2584" s="163"/>
      <c r="K2584" s="163"/>
      <c r="Q2584" s="163"/>
      <c r="R2584" s="163"/>
      <c r="S2584" s="163"/>
    </row>
    <row r="2585" spans="5:19" x14ac:dyDescent="0.25">
      <c r="E2585" s="163"/>
      <c r="K2585" s="163"/>
      <c r="Q2585" s="163"/>
      <c r="R2585" s="163"/>
      <c r="S2585" s="163"/>
    </row>
    <row r="2586" spans="5:19" x14ac:dyDescent="0.25">
      <c r="E2586" s="163"/>
      <c r="K2586" s="163"/>
      <c r="Q2586" s="163"/>
      <c r="R2586" s="163"/>
      <c r="S2586" s="163"/>
    </row>
    <row r="2587" spans="5:19" x14ac:dyDescent="0.25">
      <c r="E2587" s="163"/>
      <c r="K2587" s="163"/>
      <c r="Q2587" s="163"/>
      <c r="R2587" s="163"/>
      <c r="S2587" s="163"/>
    </row>
    <row r="2588" spans="5:19" x14ac:dyDescent="0.25">
      <c r="E2588" s="163"/>
      <c r="K2588" s="163"/>
      <c r="Q2588" s="163"/>
      <c r="R2588" s="163"/>
      <c r="S2588" s="163"/>
    </row>
    <row r="2589" spans="5:19" x14ac:dyDescent="0.25">
      <c r="E2589" s="163"/>
      <c r="K2589" s="163"/>
      <c r="Q2589" s="163"/>
      <c r="R2589" s="163"/>
      <c r="S2589" s="163"/>
    </row>
    <row r="2590" spans="5:19" x14ac:dyDescent="0.25">
      <c r="E2590" s="163"/>
      <c r="K2590" s="163"/>
      <c r="Q2590" s="163"/>
      <c r="R2590" s="163"/>
      <c r="S2590" s="163"/>
    </row>
    <row r="2591" spans="5:19" x14ac:dyDescent="0.25">
      <c r="E2591" s="163"/>
      <c r="K2591" s="163"/>
      <c r="Q2591" s="163"/>
      <c r="R2591" s="163"/>
      <c r="S2591" s="163"/>
    </row>
    <row r="2592" spans="5:19" x14ac:dyDescent="0.25">
      <c r="E2592" s="163"/>
      <c r="K2592" s="163"/>
      <c r="Q2592" s="163"/>
      <c r="R2592" s="163"/>
      <c r="S2592" s="163"/>
    </row>
    <row r="2593" spans="5:19" x14ac:dyDescent="0.25">
      <c r="E2593" s="163"/>
      <c r="K2593" s="163"/>
      <c r="Q2593" s="163"/>
      <c r="R2593" s="163"/>
      <c r="S2593" s="163"/>
    </row>
    <row r="2594" spans="5:19" x14ac:dyDescent="0.25">
      <c r="E2594" s="163"/>
      <c r="K2594" s="163"/>
      <c r="Q2594" s="163"/>
      <c r="R2594" s="163"/>
      <c r="S2594" s="163"/>
    </row>
    <row r="2595" spans="5:19" x14ac:dyDescent="0.25">
      <c r="E2595" s="163"/>
      <c r="K2595" s="163"/>
      <c r="Q2595" s="163"/>
      <c r="R2595" s="163"/>
      <c r="S2595" s="163"/>
    </row>
    <row r="2596" spans="5:19" x14ac:dyDescent="0.25">
      <c r="E2596" s="163"/>
      <c r="K2596" s="163"/>
      <c r="Q2596" s="163"/>
      <c r="R2596" s="163"/>
      <c r="S2596" s="163"/>
    </row>
    <row r="2597" spans="5:19" x14ac:dyDescent="0.25">
      <c r="E2597" s="163"/>
      <c r="K2597" s="163"/>
      <c r="Q2597" s="163"/>
      <c r="R2597" s="163"/>
      <c r="S2597" s="163"/>
    </row>
    <row r="2598" spans="5:19" x14ac:dyDescent="0.25">
      <c r="E2598" s="163"/>
      <c r="K2598" s="163"/>
      <c r="Q2598" s="163"/>
      <c r="R2598" s="163"/>
      <c r="S2598" s="163"/>
    </row>
    <row r="2599" spans="5:19" x14ac:dyDescent="0.25">
      <c r="E2599" s="163"/>
      <c r="K2599" s="163"/>
      <c r="Q2599" s="163"/>
      <c r="R2599" s="163"/>
      <c r="S2599" s="163"/>
    </row>
    <row r="2600" spans="5:19" x14ac:dyDescent="0.25">
      <c r="E2600" s="163"/>
      <c r="K2600" s="163"/>
      <c r="Q2600" s="163"/>
      <c r="R2600" s="163"/>
      <c r="S2600" s="163"/>
    </row>
    <row r="2601" spans="5:19" x14ac:dyDescent="0.25">
      <c r="E2601" s="163"/>
      <c r="K2601" s="163"/>
      <c r="Q2601" s="163"/>
      <c r="R2601" s="163"/>
      <c r="S2601" s="163"/>
    </row>
    <row r="2602" spans="5:19" x14ac:dyDescent="0.25">
      <c r="E2602" s="163"/>
      <c r="K2602" s="163"/>
      <c r="Q2602" s="163"/>
      <c r="R2602" s="163"/>
      <c r="S2602" s="163"/>
    </row>
    <row r="2603" spans="5:19" x14ac:dyDescent="0.25">
      <c r="E2603" s="163"/>
      <c r="K2603" s="163"/>
      <c r="Q2603" s="163"/>
      <c r="R2603" s="163"/>
      <c r="S2603" s="163"/>
    </row>
    <row r="2604" spans="5:19" x14ac:dyDescent="0.25">
      <c r="E2604" s="163"/>
      <c r="K2604" s="163"/>
      <c r="Q2604" s="163"/>
      <c r="R2604" s="163"/>
      <c r="S2604" s="163"/>
    </row>
    <row r="2605" spans="5:19" x14ac:dyDescent="0.25">
      <c r="E2605" s="163"/>
      <c r="K2605" s="163"/>
      <c r="Q2605" s="163"/>
      <c r="R2605" s="163"/>
      <c r="S2605" s="163"/>
    </row>
    <row r="2606" spans="5:19" x14ac:dyDescent="0.25">
      <c r="E2606" s="163"/>
      <c r="K2606" s="163"/>
      <c r="Q2606" s="163"/>
      <c r="R2606" s="163"/>
      <c r="S2606" s="163"/>
    </row>
    <row r="2607" spans="5:19" x14ac:dyDescent="0.25">
      <c r="E2607" s="163"/>
      <c r="K2607" s="163"/>
      <c r="Q2607" s="163"/>
      <c r="R2607" s="163"/>
      <c r="S2607" s="163"/>
    </row>
    <row r="2608" spans="5:19" x14ac:dyDescent="0.25">
      <c r="E2608" s="163"/>
      <c r="K2608" s="163"/>
      <c r="Q2608" s="163"/>
      <c r="R2608" s="163"/>
      <c r="S2608" s="163"/>
    </row>
    <row r="2609" spans="5:19" x14ac:dyDescent="0.25">
      <c r="E2609" s="163"/>
      <c r="K2609" s="163"/>
      <c r="Q2609" s="163"/>
      <c r="R2609" s="163"/>
      <c r="S2609" s="163"/>
    </row>
    <row r="2610" spans="5:19" x14ac:dyDescent="0.25">
      <c r="E2610" s="163"/>
      <c r="K2610" s="163"/>
      <c r="Q2610" s="163"/>
      <c r="R2610" s="163"/>
      <c r="S2610" s="163"/>
    </row>
    <row r="2611" spans="5:19" x14ac:dyDescent="0.25">
      <c r="E2611" s="163"/>
      <c r="K2611" s="163"/>
      <c r="Q2611" s="163"/>
      <c r="R2611" s="163"/>
      <c r="S2611" s="163"/>
    </row>
    <row r="2612" spans="5:19" x14ac:dyDescent="0.25">
      <c r="E2612" s="163"/>
      <c r="K2612" s="163"/>
      <c r="Q2612" s="163"/>
      <c r="R2612" s="163"/>
      <c r="S2612" s="163"/>
    </row>
    <row r="2613" spans="5:19" x14ac:dyDescent="0.25">
      <c r="E2613" s="163"/>
      <c r="K2613" s="163"/>
      <c r="Q2613" s="163"/>
      <c r="R2613" s="163"/>
      <c r="S2613" s="163"/>
    </row>
    <row r="2614" spans="5:19" x14ac:dyDescent="0.25">
      <c r="E2614" s="163"/>
      <c r="K2614" s="163"/>
      <c r="Q2614" s="163"/>
      <c r="R2614" s="163"/>
      <c r="S2614" s="163"/>
    </row>
    <row r="2615" spans="5:19" x14ac:dyDescent="0.25">
      <c r="E2615" s="163"/>
      <c r="K2615" s="163"/>
      <c r="Q2615" s="163"/>
      <c r="R2615" s="163"/>
      <c r="S2615" s="163"/>
    </row>
    <row r="2616" spans="5:19" x14ac:dyDescent="0.25">
      <c r="E2616" s="163"/>
      <c r="K2616" s="163"/>
      <c r="Q2616" s="163"/>
      <c r="R2616" s="163"/>
      <c r="S2616" s="163"/>
    </row>
    <row r="2617" spans="5:19" x14ac:dyDescent="0.25">
      <c r="E2617" s="163"/>
      <c r="K2617" s="163"/>
      <c r="Q2617" s="163"/>
      <c r="R2617" s="163"/>
      <c r="S2617" s="163"/>
    </row>
    <row r="2618" spans="5:19" x14ac:dyDescent="0.25">
      <c r="E2618" s="163"/>
      <c r="K2618" s="163"/>
      <c r="Q2618" s="163"/>
      <c r="R2618" s="163"/>
      <c r="S2618" s="163"/>
    </row>
    <row r="2619" spans="5:19" x14ac:dyDescent="0.25">
      <c r="E2619" s="163"/>
      <c r="K2619" s="163"/>
      <c r="Q2619" s="163"/>
      <c r="R2619" s="163"/>
      <c r="S2619" s="163"/>
    </row>
    <row r="2620" spans="5:19" x14ac:dyDescent="0.25">
      <c r="E2620" s="163"/>
      <c r="K2620" s="163"/>
      <c r="Q2620" s="163"/>
      <c r="R2620" s="163"/>
      <c r="S2620" s="163"/>
    </row>
    <row r="2621" spans="5:19" x14ac:dyDescent="0.25">
      <c r="E2621" s="163"/>
      <c r="K2621" s="163"/>
      <c r="Q2621" s="163"/>
      <c r="R2621" s="163"/>
      <c r="S2621" s="163"/>
    </row>
    <row r="2622" spans="5:19" x14ac:dyDescent="0.25">
      <c r="E2622" s="163"/>
      <c r="K2622" s="163"/>
      <c r="Q2622" s="163"/>
      <c r="R2622" s="163"/>
      <c r="S2622" s="163"/>
    </row>
    <row r="2623" spans="5:19" x14ac:dyDescent="0.25">
      <c r="E2623" s="163"/>
      <c r="K2623" s="163"/>
      <c r="Q2623" s="163"/>
      <c r="R2623" s="163"/>
      <c r="S2623" s="163"/>
    </row>
    <row r="2624" spans="5:19" x14ac:dyDescent="0.25">
      <c r="E2624" s="163"/>
      <c r="K2624" s="163"/>
      <c r="Q2624" s="163"/>
      <c r="R2624" s="163"/>
      <c r="S2624" s="163"/>
    </row>
    <row r="2625" spans="5:19" x14ac:dyDescent="0.25">
      <c r="E2625" s="163"/>
      <c r="K2625" s="163"/>
      <c r="Q2625" s="163"/>
      <c r="R2625" s="163"/>
      <c r="S2625" s="163"/>
    </row>
    <row r="2626" spans="5:19" x14ac:dyDescent="0.25">
      <c r="E2626" s="163"/>
      <c r="K2626" s="163"/>
      <c r="Q2626" s="163"/>
      <c r="R2626" s="163"/>
      <c r="S2626" s="163"/>
    </row>
    <row r="2627" spans="5:19" x14ac:dyDescent="0.25">
      <c r="E2627" s="163"/>
      <c r="K2627" s="163"/>
      <c r="Q2627" s="163"/>
      <c r="R2627" s="163"/>
      <c r="S2627" s="163"/>
    </row>
    <row r="2628" spans="5:19" x14ac:dyDescent="0.25">
      <c r="E2628" s="163"/>
      <c r="K2628" s="163"/>
      <c r="Q2628" s="163"/>
      <c r="R2628" s="163"/>
      <c r="S2628" s="163"/>
    </row>
    <row r="2629" spans="5:19" x14ac:dyDescent="0.25">
      <c r="E2629" s="163"/>
      <c r="K2629" s="163"/>
      <c r="Q2629" s="163"/>
      <c r="R2629" s="163"/>
      <c r="S2629" s="163"/>
    </row>
    <row r="2630" spans="5:19" x14ac:dyDescent="0.25">
      <c r="E2630" s="163"/>
      <c r="K2630" s="163"/>
      <c r="Q2630" s="163"/>
      <c r="R2630" s="163"/>
      <c r="S2630" s="163"/>
    </row>
    <row r="2631" spans="5:19" x14ac:dyDescent="0.25">
      <c r="E2631" s="163"/>
      <c r="K2631" s="163"/>
      <c r="Q2631" s="163"/>
      <c r="R2631" s="163"/>
      <c r="S2631" s="163"/>
    </row>
    <row r="2632" spans="5:19" x14ac:dyDescent="0.25">
      <c r="E2632" s="163"/>
      <c r="K2632" s="163"/>
      <c r="Q2632" s="163"/>
      <c r="R2632" s="163"/>
      <c r="S2632" s="163"/>
    </row>
    <row r="2633" spans="5:19" x14ac:dyDescent="0.25">
      <c r="E2633" s="163"/>
      <c r="K2633" s="163"/>
      <c r="Q2633" s="163"/>
      <c r="R2633" s="163"/>
      <c r="S2633" s="163"/>
    </row>
    <row r="2634" spans="5:19" x14ac:dyDescent="0.25">
      <c r="E2634" s="163"/>
      <c r="K2634" s="163"/>
      <c r="Q2634" s="163"/>
      <c r="R2634" s="163"/>
      <c r="S2634" s="163"/>
    </row>
    <row r="2635" spans="5:19" x14ac:dyDescent="0.25">
      <c r="E2635" s="163"/>
      <c r="K2635" s="163"/>
      <c r="Q2635" s="163"/>
      <c r="R2635" s="163"/>
      <c r="S2635" s="163"/>
    </row>
    <row r="2636" spans="5:19" x14ac:dyDescent="0.25">
      <c r="E2636" s="163"/>
      <c r="K2636" s="163"/>
      <c r="Q2636" s="163"/>
      <c r="R2636" s="163"/>
      <c r="S2636" s="163"/>
    </row>
    <row r="2637" spans="5:19" x14ac:dyDescent="0.25">
      <c r="E2637" s="163"/>
      <c r="K2637" s="163"/>
      <c r="Q2637" s="163"/>
      <c r="R2637" s="163"/>
      <c r="S2637" s="163"/>
    </row>
    <row r="2638" spans="5:19" x14ac:dyDescent="0.25">
      <c r="E2638" s="163"/>
      <c r="K2638" s="163"/>
      <c r="Q2638" s="163"/>
      <c r="R2638" s="163"/>
      <c r="S2638" s="163"/>
    </row>
    <row r="2639" spans="5:19" x14ac:dyDescent="0.25">
      <c r="E2639" s="163"/>
      <c r="K2639" s="163"/>
      <c r="Q2639" s="163"/>
      <c r="R2639" s="163"/>
      <c r="S2639" s="163"/>
    </row>
    <row r="2640" spans="5:19" x14ac:dyDescent="0.25">
      <c r="E2640" s="163"/>
      <c r="K2640" s="163"/>
      <c r="Q2640" s="163"/>
      <c r="R2640" s="163"/>
      <c r="S2640" s="163"/>
    </row>
    <row r="2641" spans="5:19" x14ac:dyDescent="0.25">
      <c r="E2641" s="163"/>
      <c r="K2641" s="163"/>
      <c r="Q2641" s="163"/>
      <c r="R2641" s="163"/>
      <c r="S2641" s="163"/>
    </row>
    <row r="2642" spans="5:19" x14ac:dyDescent="0.25">
      <c r="E2642" s="163"/>
      <c r="K2642" s="163"/>
      <c r="Q2642" s="163"/>
      <c r="R2642" s="163"/>
      <c r="S2642" s="163"/>
    </row>
    <row r="2643" spans="5:19" x14ac:dyDescent="0.25">
      <c r="E2643" s="163"/>
      <c r="K2643" s="163"/>
      <c r="Q2643" s="163"/>
      <c r="R2643" s="163"/>
      <c r="S2643" s="163"/>
    </row>
    <row r="2644" spans="5:19" x14ac:dyDescent="0.25">
      <c r="E2644" s="163"/>
      <c r="K2644" s="163"/>
      <c r="Q2644" s="163"/>
      <c r="R2644" s="163"/>
      <c r="S2644" s="163"/>
    </row>
    <row r="2645" spans="5:19" x14ac:dyDescent="0.25">
      <c r="E2645" s="163"/>
      <c r="K2645" s="163"/>
      <c r="Q2645" s="163"/>
      <c r="R2645" s="163"/>
      <c r="S2645" s="163"/>
    </row>
    <row r="2646" spans="5:19" x14ac:dyDescent="0.25">
      <c r="E2646" s="163"/>
      <c r="K2646" s="163"/>
      <c r="Q2646" s="163"/>
      <c r="R2646" s="163"/>
      <c r="S2646" s="163"/>
    </row>
    <row r="2647" spans="5:19" x14ac:dyDescent="0.25">
      <c r="E2647" s="163"/>
      <c r="K2647" s="163"/>
      <c r="Q2647" s="163"/>
      <c r="R2647" s="163"/>
      <c r="S2647" s="163"/>
    </row>
    <row r="2648" spans="5:19" x14ac:dyDescent="0.25">
      <c r="E2648" s="163"/>
      <c r="K2648" s="163"/>
      <c r="Q2648" s="163"/>
      <c r="R2648" s="163"/>
      <c r="S2648" s="163"/>
    </row>
    <row r="2649" spans="5:19" x14ac:dyDescent="0.25">
      <c r="E2649" s="163"/>
      <c r="K2649" s="163"/>
      <c r="Q2649" s="163"/>
      <c r="R2649" s="163"/>
      <c r="S2649" s="163"/>
    </row>
    <row r="2650" spans="5:19" x14ac:dyDescent="0.25">
      <c r="E2650" s="163"/>
      <c r="K2650" s="163"/>
      <c r="Q2650" s="163"/>
      <c r="R2650" s="163"/>
      <c r="S2650" s="163"/>
    </row>
    <row r="2651" spans="5:19" x14ac:dyDescent="0.25">
      <c r="E2651" s="163"/>
      <c r="K2651" s="163"/>
      <c r="Q2651" s="163"/>
      <c r="R2651" s="163"/>
      <c r="S2651" s="163"/>
    </row>
    <row r="2652" spans="5:19" x14ac:dyDescent="0.25">
      <c r="E2652" s="163"/>
      <c r="K2652" s="163"/>
      <c r="Q2652" s="163"/>
      <c r="R2652" s="163"/>
      <c r="S2652" s="163"/>
    </row>
    <row r="2653" spans="5:19" x14ac:dyDescent="0.25">
      <c r="E2653" s="163"/>
      <c r="K2653" s="163"/>
      <c r="Q2653" s="163"/>
      <c r="R2653" s="163"/>
      <c r="S2653" s="163"/>
    </row>
    <row r="2654" spans="5:19" x14ac:dyDescent="0.25">
      <c r="E2654" s="163"/>
      <c r="K2654" s="163"/>
      <c r="Q2654" s="163"/>
      <c r="R2654" s="163"/>
      <c r="S2654" s="163"/>
    </row>
    <row r="2655" spans="5:19" x14ac:dyDescent="0.25">
      <c r="E2655" s="163"/>
      <c r="K2655" s="163"/>
      <c r="Q2655" s="163"/>
      <c r="R2655" s="163"/>
      <c r="S2655" s="163"/>
    </row>
    <row r="2656" spans="5:19" x14ac:dyDescent="0.25">
      <c r="E2656" s="163"/>
      <c r="K2656" s="163"/>
      <c r="Q2656" s="163"/>
      <c r="R2656" s="163"/>
      <c r="S2656" s="163"/>
    </row>
    <row r="2657" spans="5:19" x14ac:dyDescent="0.25">
      <c r="E2657" s="163"/>
      <c r="K2657" s="163"/>
      <c r="Q2657" s="163"/>
      <c r="R2657" s="163"/>
      <c r="S2657" s="163"/>
    </row>
    <row r="2658" spans="5:19" x14ac:dyDescent="0.25">
      <c r="E2658" s="163"/>
      <c r="K2658" s="163"/>
      <c r="Q2658" s="163"/>
      <c r="R2658" s="163"/>
      <c r="S2658" s="163"/>
    </row>
    <row r="2659" spans="5:19" x14ac:dyDescent="0.25">
      <c r="E2659" s="163"/>
      <c r="K2659" s="163"/>
      <c r="Q2659" s="163"/>
      <c r="R2659" s="163"/>
      <c r="S2659" s="163"/>
    </row>
    <row r="2660" spans="5:19" x14ac:dyDescent="0.25">
      <c r="E2660" s="163"/>
      <c r="K2660" s="163"/>
      <c r="Q2660" s="163"/>
      <c r="R2660" s="163"/>
      <c r="S2660" s="163"/>
    </row>
    <row r="2661" spans="5:19" x14ac:dyDescent="0.25">
      <c r="E2661" s="163"/>
      <c r="K2661" s="163"/>
      <c r="Q2661" s="163"/>
      <c r="R2661" s="163"/>
      <c r="S2661" s="163"/>
    </row>
    <row r="2662" spans="5:19" x14ac:dyDescent="0.25">
      <c r="E2662" s="163"/>
      <c r="K2662" s="163"/>
      <c r="Q2662" s="163"/>
      <c r="R2662" s="163"/>
      <c r="S2662" s="163"/>
    </row>
    <row r="2663" spans="5:19" x14ac:dyDescent="0.25">
      <c r="E2663" s="163"/>
      <c r="K2663" s="163"/>
      <c r="Q2663" s="163"/>
      <c r="R2663" s="163"/>
      <c r="S2663" s="163"/>
    </row>
    <row r="2664" spans="5:19" x14ac:dyDescent="0.25">
      <c r="E2664" s="163"/>
      <c r="K2664" s="163"/>
      <c r="Q2664" s="163"/>
      <c r="R2664" s="163"/>
      <c r="S2664" s="163"/>
    </row>
    <row r="2665" spans="5:19" x14ac:dyDescent="0.25">
      <c r="E2665" s="163"/>
      <c r="K2665" s="163"/>
      <c r="Q2665" s="163"/>
      <c r="R2665" s="163"/>
      <c r="S2665" s="163"/>
    </row>
    <row r="2666" spans="5:19" x14ac:dyDescent="0.25">
      <c r="E2666" s="163"/>
      <c r="K2666" s="163"/>
      <c r="Q2666" s="163"/>
      <c r="R2666" s="163"/>
      <c r="S2666" s="163"/>
    </row>
    <row r="2667" spans="5:19" x14ac:dyDescent="0.25">
      <c r="E2667" s="163"/>
      <c r="K2667" s="163"/>
      <c r="Q2667" s="163"/>
      <c r="R2667" s="163"/>
      <c r="S2667" s="163"/>
    </row>
    <row r="2668" spans="5:19" x14ac:dyDescent="0.25">
      <c r="E2668" s="163"/>
      <c r="K2668" s="163"/>
      <c r="Q2668" s="163"/>
      <c r="R2668" s="163"/>
      <c r="S2668" s="163"/>
    </row>
    <row r="2669" spans="5:19" x14ac:dyDescent="0.25">
      <c r="E2669" s="163"/>
      <c r="K2669" s="163"/>
      <c r="Q2669" s="163"/>
      <c r="R2669" s="163"/>
      <c r="S2669" s="163"/>
    </row>
    <row r="2670" spans="5:19" x14ac:dyDescent="0.25">
      <c r="E2670" s="163"/>
      <c r="K2670" s="163"/>
      <c r="Q2670" s="163"/>
      <c r="R2670" s="163"/>
      <c r="S2670" s="163"/>
    </row>
    <row r="2671" spans="5:19" x14ac:dyDescent="0.25">
      <c r="E2671" s="163"/>
      <c r="K2671" s="163"/>
      <c r="Q2671" s="163"/>
      <c r="R2671" s="163"/>
      <c r="S2671" s="163"/>
    </row>
    <row r="2672" spans="5:19" x14ac:dyDescent="0.25">
      <c r="E2672" s="163"/>
      <c r="K2672" s="163"/>
      <c r="Q2672" s="163"/>
      <c r="R2672" s="163"/>
      <c r="S2672" s="163"/>
    </row>
    <row r="2673" spans="5:19" x14ac:dyDescent="0.25">
      <c r="E2673" s="163"/>
      <c r="K2673" s="163"/>
      <c r="Q2673" s="163"/>
      <c r="R2673" s="163"/>
      <c r="S2673" s="163"/>
    </row>
    <row r="2674" spans="5:19" x14ac:dyDescent="0.25">
      <c r="E2674" s="163"/>
      <c r="K2674" s="163"/>
      <c r="Q2674" s="163"/>
      <c r="R2674" s="163"/>
      <c r="S2674" s="163"/>
    </row>
    <row r="2675" spans="5:19" x14ac:dyDescent="0.25">
      <c r="E2675" s="163"/>
      <c r="K2675" s="163"/>
      <c r="Q2675" s="163"/>
      <c r="R2675" s="163"/>
      <c r="S2675" s="163"/>
    </row>
    <row r="2676" spans="5:19" x14ac:dyDescent="0.25">
      <c r="E2676" s="163"/>
      <c r="K2676" s="163"/>
      <c r="Q2676" s="163"/>
      <c r="R2676" s="163"/>
      <c r="S2676" s="163"/>
    </row>
    <row r="2677" spans="5:19" x14ac:dyDescent="0.25">
      <c r="E2677" s="163"/>
      <c r="K2677" s="163"/>
      <c r="Q2677" s="163"/>
      <c r="R2677" s="163"/>
      <c r="S2677" s="163"/>
    </row>
    <row r="2678" spans="5:19" x14ac:dyDescent="0.25">
      <c r="E2678" s="163"/>
      <c r="K2678" s="163"/>
      <c r="Q2678" s="163"/>
      <c r="R2678" s="163"/>
      <c r="S2678" s="163"/>
    </row>
    <row r="2679" spans="5:19" x14ac:dyDescent="0.25">
      <c r="E2679" s="163"/>
      <c r="K2679" s="163"/>
      <c r="Q2679" s="163"/>
      <c r="R2679" s="163"/>
      <c r="S2679" s="163"/>
    </row>
    <row r="2680" spans="5:19" x14ac:dyDescent="0.25">
      <c r="E2680" s="163"/>
      <c r="K2680" s="163"/>
      <c r="Q2680" s="163"/>
      <c r="R2680" s="163"/>
      <c r="S2680" s="163"/>
    </row>
    <row r="2681" spans="5:19" x14ac:dyDescent="0.25">
      <c r="E2681" s="163"/>
      <c r="K2681" s="163"/>
      <c r="Q2681" s="163"/>
      <c r="R2681" s="163"/>
      <c r="S2681" s="163"/>
    </row>
    <row r="2682" spans="5:19" x14ac:dyDescent="0.25">
      <c r="E2682" s="163"/>
      <c r="K2682" s="163"/>
      <c r="Q2682" s="163"/>
      <c r="R2682" s="163"/>
      <c r="S2682" s="163"/>
    </row>
    <row r="2683" spans="5:19" x14ac:dyDescent="0.25">
      <c r="E2683" s="163"/>
      <c r="K2683" s="163"/>
      <c r="Q2683" s="163"/>
      <c r="R2683" s="163"/>
      <c r="S2683" s="163"/>
    </row>
    <row r="2684" spans="5:19" x14ac:dyDescent="0.25">
      <c r="E2684" s="163"/>
      <c r="K2684" s="163"/>
      <c r="Q2684" s="163"/>
      <c r="R2684" s="163"/>
      <c r="S2684" s="163"/>
    </row>
    <row r="2685" spans="5:19" x14ac:dyDescent="0.25">
      <c r="E2685" s="163"/>
      <c r="K2685" s="163"/>
      <c r="Q2685" s="163"/>
      <c r="R2685" s="163"/>
      <c r="S2685" s="163"/>
    </row>
    <row r="2686" spans="5:19" x14ac:dyDescent="0.25">
      <c r="E2686" s="163"/>
      <c r="K2686" s="163"/>
      <c r="Q2686" s="163"/>
      <c r="R2686" s="163"/>
      <c r="S2686" s="163"/>
    </row>
    <row r="2687" spans="5:19" x14ac:dyDescent="0.25">
      <c r="E2687" s="163"/>
      <c r="K2687" s="163"/>
      <c r="Q2687" s="163"/>
      <c r="R2687" s="163"/>
      <c r="S2687" s="163"/>
    </row>
    <row r="2688" spans="5:19" x14ac:dyDescent="0.25">
      <c r="E2688" s="163"/>
      <c r="K2688" s="163"/>
      <c r="Q2688" s="163"/>
      <c r="R2688" s="163"/>
      <c r="S2688" s="163"/>
    </row>
    <row r="2689" spans="5:19" x14ac:dyDescent="0.25">
      <c r="E2689" s="163"/>
      <c r="K2689" s="163"/>
      <c r="Q2689" s="163"/>
      <c r="R2689" s="163"/>
      <c r="S2689" s="163"/>
    </row>
    <row r="2690" spans="5:19" x14ac:dyDescent="0.25">
      <c r="E2690" s="163"/>
      <c r="K2690" s="163"/>
      <c r="Q2690" s="163"/>
      <c r="R2690" s="163"/>
      <c r="S2690" s="163"/>
    </row>
    <row r="2691" spans="5:19" x14ac:dyDescent="0.25">
      <c r="E2691" s="163"/>
      <c r="K2691" s="163"/>
      <c r="Q2691" s="163"/>
      <c r="R2691" s="163"/>
      <c r="S2691" s="163"/>
    </row>
    <row r="2692" spans="5:19" x14ac:dyDescent="0.25">
      <c r="E2692" s="163"/>
      <c r="K2692" s="163"/>
      <c r="Q2692" s="163"/>
      <c r="R2692" s="163"/>
      <c r="S2692" s="163"/>
    </row>
    <row r="2693" spans="5:19" x14ac:dyDescent="0.25">
      <c r="E2693" s="163"/>
      <c r="K2693" s="163"/>
      <c r="Q2693" s="163"/>
      <c r="R2693" s="163"/>
      <c r="S2693" s="163"/>
    </row>
    <row r="2694" spans="5:19" x14ac:dyDescent="0.25">
      <c r="E2694" s="163"/>
      <c r="K2694" s="163"/>
      <c r="Q2694" s="163"/>
      <c r="R2694" s="163"/>
      <c r="S2694" s="163"/>
    </row>
    <row r="2695" spans="5:19" x14ac:dyDescent="0.25">
      <c r="E2695" s="163"/>
      <c r="K2695" s="163"/>
      <c r="Q2695" s="163"/>
      <c r="R2695" s="163"/>
      <c r="S2695" s="163"/>
    </row>
    <row r="2696" spans="5:19" x14ac:dyDescent="0.25">
      <c r="E2696" s="163"/>
      <c r="K2696" s="163"/>
      <c r="Q2696" s="163"/>
      <c r="R2696" s="163"/>
      <c r="S2696" s="163"/>
    </row>
    <row r="2697" spans="5:19" x14ac:dyDescent="0.25">
      <c r="E2697" s="163"/>
      <c r="K2697" s="163"/>
      <c r="Q2697" s="163"/>
      <c r="R2697" s="163"/>
      <c r="S2697" s="163"/>
    </row>
    <row r="2698" spans="5:19" x14ac:dyDescent="0.25">
      <c r="E2698" s="163"/>
      <c r="K2698" s="163"/>
      <c r="Q2698" s="163"/>
      <c r="R2698" s="163"/>
      <c r="S2698" s="163"/>
    </row>
    <row r="2699" spans="5:19" x14ac:dyDescent="0.25">
      <c r="E2699" s="163"/>
      <c r="K2699" s="163"/>
      <c r="Q2699" s="163"/>
      <c r="R2699" s="163"/>
      <c r="S2699" s="163"/>
    </row>
    <row r="2700" spans="5:19" x14ac:dyDescent="0.25">
      <c r="E2700" s="163"/>
      <c r="K2700" s="163"/>
      <c r="Q2700" s="163"/>
      <c r="R2700" s="163"/>
      <c r="S2700" s="163"/>
    </row>
    <row r="2701" spans="5:19" x14ac:dyDescent="0.25">
      <c r="E2701" s="163"/>
      <c r="K2701" s="163"/>
      <c r="Q2701" s="163"/>
      <c r="R2701" s="163"/>
      <c r="S2701" s="163"/>
    </row>
    <row r="2702" spans="5:19" x14ac:dyDescent="0.25">
      <c r="E2702" s="163"/>
      <c r="K2702" s="163"/>
      <c r="Q2702" s="163"/>
      <c r="R2702" s="163"/>
      <c r="S2702" s="163"/>
    </row>
    <row r="2703" spans="5:19" x14ac:dyDescent="0.25">
      <c r="E2703" s="163"/>
      <c r="K2703" s="163"/>
      <c r="Q2703" s="163"/>
      <c r="R2703" s="163"/>
      <c r="S2703" s="163"/>
    </row>
    <row r="2704" spans="5:19" x14ac:dyDescent="0.25">
      <c r="E2704" s="163"/>
      <c r="K2704" s="163"/>
      <c r="Q2704" s="163"/>
      <c r="R2704" s="163"/>
      <c r="S2704" s="163"/>
    </row>
    <row r="2705" spans="5:19" x14ac:dyDescent="0.25">
      <c r="E2705" s="163"/>
      <c r="K2705" s="163"/>
      <c r="Q2705" s="163"/>
      <c r="R2705" s="163"/>
      <c r="S2705" s="163"/>
    </row>
    <row r="2706" spans="5:19" x14ac:dyDescent="0.25">
      <c r="E2706" s="163"/>
      <c r="K2706" s="163"/>
      <c r="Q2706" s="163"/>
      <c r="R2706" s="163"/>
      <c r="S2706" s="163"/>
    </row>
    <row r="2707" spans="5:19" x14ac:dyDescent="0.25">
      <c r="E2707" s="163"/>
      <c r="K2707" s="163"/>
      <c r="Q2707" s="163"/>
      <c r="R2707" s="163"/>
      <c r="S2707" s="163"/>
    </row>
    <row r="2708" spans="5:19" x14ac:dyDescent="0.25">
      <c r="E2708" s="163"/>
      <c r="K2708" s="163"/>
      <c r="Q2708" s="163"/>
      <c r="R2708" s="163"/>
      <c r="S2708" s="163"/>
    </row>
    <row r="2709" spans="5:19" x14ac:dyDescent="0.25">
      <c r="E2709" s="163"/>
      <c r="K2709" s="163"/>
      <c r="Q2709" s="163"/>
      <c r="R2709" s="163"/>
      <c r="S2709" s="163"/>
    </row>
    <row r="2710" spans="5:19" x14ac:dyDescent="0.25">
      <c r="E2710" s="163"/>
      <c r="K2710" s="163"/>
      <c r="Q2710" s="163"/>
      <c r="R2710" s="163"/>
      <c r="S2710" s="163"/>
    </row>
    <row r="2711" spans="5:19" x14ac:dyDescent="0.25">
      <c r="E2711" s="163"/>
      <c r="K2711" s="163"/>
      <c r="Q2711" s="163"/>
      <c r="R2711" s="163"/>
      <c r="S2711" s="163"/>
    </row>
    <row r="2712" spans="5:19" x14ac:dyDescent="0.25">
      <c r="E2712" s="163"/>
      <c r="K2712" s="163"/>
      <c r="Q2712" s="163"/>
      <c r="R2712" s="163"/>
      <c r="S2712" s="163"/>
    </row>
    <row r="2713" spans="5:19" x14ac:dyDescent="0.25">
      <c r="E2713" s="163"/>
      <c r="K2713" s="163"/>
      <c r="Q2713" s="163"/>
      <c r="R2713" s="163"/>
      <c r="S2713" s="163"/>
    </row>
    <row r="2714" spans="5:19" x14ac:dyDescent="0.25">
      <c r="E2714" s="163"/>
      <c r="K2714" s="163"/>
      <c r="Q2714" s="163"/>
      <c r="R2714" s="163"/>
      <c r="S2714" s="163"/>
    </row>
    <row r="2715" spans="5:19" x14ac:dyDescent="0.25">
      <c r="E2715" s="163"/>
      <c r="K2715" s="163"/>
      <c r="Q2715" s="163"/>
      <c r="R2715" s="163"/>
      <c r="S2715" s="163"/>
    </row>
    <row r="2716" spans="5:19" x14ac:dyDescent="0.25">
      <c r="E2716" s="163"/>
      <c r="K2716" s="163"/>
      <c r="Q2716" s="163"/>
      <c r="R2716" s="163"/>
      <c r="S2716" s="163"/>
    </row>
    <row r="2717" spans="5:19" x14ac:dyDescent="0.25">
      <c r="E2717" s="163"/>
      <c r="K2717" s="163"/>
      <c r="Q2717" s="163"/>
      <c r="R2717" s="163"/>
      <c r="S2717" s="163"/>
    </row>
    <row r="2718" spans="5:19" x14ac:dyDescent="0.25">
      <c r="E2718" s="163"/>
      <c r="K2718" s="163"/>
      <c r="Q2718" s="163"/>
      <c r="R2718" s="163"/>
      <c r="S2718" s="163"/>
    </row>
    <row r="2719" spans="5:19" x14ac:dyDescent="0.25">
      <c r="E2719" s="163"/>
      <c r="K2719" s="163"/>
      <c r="Q2719" s="163"/>
      <c r="R2719" s="163"/>
      <c r="S2719" s="163"/>
    </row>
    <row r="2720" spans="5:19" x14ac:dyDescent="0.25">
      <c r="E2720" s="163"/>
      <c r="K2720" s="163"/>
      <c r="Q2720" s="163"/>
      <c r="R2720" s="163"/>
      <c r="S2720" s="163"/>
    </row>
    <row r="2721" spans="5:19" x14ac:dyDescent="0.25">
      <c r="E2721" s="163"/>
      <c r="K2721" s="163"/>
      <c r="Q2721" s="163"/>
      <c r="R2721" s="163"/>
      <c r="S2721" s="163"/>
    </row>
    <row r="2722" spans="5:19" x14ac:dyDescent="0.25">
      <c r="E2722" s="163"/>
      <c r="K2722" s="163"/>
      <c r="Q2722" s="163"/>
      <c r="R2722" s="163"/>
      <c r="S2722" s="163"/>
    </row>
    <row r="2723" spans="5:19" x14ac:dyDescent="0.25">
      <c r="E2723" s="163"/>
      <c r="K2723" s="163"/>
      <c r="Q2723" s="163"/>
      <c r="R2723" s="163"/>
      <c r="S2723" s="163"/>
    </row>
    <row r="2724" spans="5:19" x14ac:dyDescent="0.25">
      <c r="E2724" s="163"/>
      <c r="K2724" s="163"/>
      <c r="Q2724" s="163"/>
      <c r="R2724" s="163"/>
      <c r="S2724" s="163"/>
    </row>
    <row r="2725" spans="5:19" x14ac:dyDescent="0.25">
      <c r="E2725" s="163"/>
      <c r="K2725" s="163"/>
      <c r="Q2725" s="163"/>
      <c r="R2725" s="163"/>
      <c r="S2725" s="163"/>
    </row>
    <row r="2726" spans="5:19" x14ac:dyDescent="0.25">
      <c r="E2726" s="163"/>
      <c r="K2726" s="163"/>
      <c r="Q2726" s="163"/>
      <c r="R2726" s="163"/>
      <c r="S2726" s="163"/>
    </row>
    <row r="2727" spans="5:19" x14ac:dyDescent="0.25">
      <c r="E2727" s="163"/>
      <c r="K2727" s="163"/>
      <c r="Q2727" s="163"/>
      <c r="R2727" s="163"/>
      <c r="S2727" s="163"/>
    </row>
    <row r="2728" spans="5:19" x14ac:dyDescent="0.25">
      <c r="E2728" s="163"/>
      <c r="K2728" s="163"/>
      <c r="Q2728" s="163"/>
      <c r="R2728" s="163"/>
      <c r="S2728" s="163"/>
    </row>
    <row r="2729" spans="5:19" x14ac:dyDescent="0.25">
      <c r="E2729" s="163"/>
      <c r="K2729" s="163"/>
      <c r="Q2729" s="163"/>
      <c r="R2729" s="163"/>
      <c r="S2729" s="163"/>
    </row>
    <row r="2730" spans="5:19" x14ac:dyDescent="0.25">
      <c r="E2730" s="163"/>
      <c r="K2730" s="163"/>
      <c r="Q2730" s="163"/>
      <c r="R2730" s="163"/>
      <c r="S2730" s="163"/>
    </row>
    <row r="2731" spans="5:19" x14ac:dyDescent="0.25">
      <c r="E2731" s="163"/>
      <c r="K2731" s="163"/>
      <c r="Q2731" s="163"/>
      <c r="R2731" s="163"/>
      <c r="S2731" s="163"/>
    </row>
    <row r="2732" spans="5:19" x14ac:dyDescent="0.25">
      <c r="E2732" s="163"/>
      <c r="K2732" s="163"/>
      <c r="Q2732" s="163"/>
      <c r="R2732" s="163"/>
      <c r="S2732" s="163"/>
    </row>
    <row r="2733" spans="5:19" x14ac:dyDescent="0.25">
      <c r="E2733" s="163"/>
      <c r="K2733" s="163"/>
      <c r="Q2733" s="163"/>
      <c r="R2733" s="163"/>
      <c r="S2733" s="163"/>
    </row>
    <row r="2734" spans="5:19" x14ac:dyDescent="0.25">
      <c r="E2734" s="163"/>
      <c r="K2734" s="163"/>
      <c r="Q2734" s="163"/>
      <c r="R2734" s="163"/>
      <c r="S2734" s="163"/>
    </row>
    <row r="2735" spans="5:19" x14ac:dyDescent="0.25">
      <c r="E2735" s="163"/>
      <c r="K2735" s="163"/>
      <c r="Q2735" s="163"/>
      <c r="R2735" s="163"/>
      <c r="S2735" s="163"/>
    </row>
    <row r="2736" spans="5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5:19" x14ac:dyDescent="0.25">
      <c r="E7153" s="163"/>
      <c r="K7153" s="163"/>
      <c r="Q7153" s="163"/>
      <c r="R7153" s="163"/>
      <c r="S7153" s="163"/>
    </row>
    <row r="7154" spans="5:19" x14ac:dyDescent="0.25">
      <c r="E7154" s="163"/>
      <c r="K7154" s="163"/>
      <c r="Q7154" s="163"/>
      <c r="R7154" s="163"/>
      <c r="S7154" s="163"/>
    </row>
    <row r="7155" spans="5:19" x14ac:dyDescent="0.25">
      <c r="E7155" s="163"/>
      <c r="K7155" s="163"/>
      <c r="Q7155" s="163"/>
      <c r="R7155" s="163"/>
      <c r="S7155" s="163"/>
    </row>
    <row r="7156" spans="5:19" x14ac:dyDescent="0.25">
      <c r="E7156" s="163"/>
      <c r="K7156" s="163"/>
      <c r="Q7156" s="163"/>
      <c r="R7156" s="163"/>
      <c r="S7156" s="163"/>
    </row>
    <row r="7157" spans="5:19" x14ac:dyDescent="0.25">
      <c r="E7157" s="163"/>
      <c r="K7157" s="163"/>
      <c r="Q7157" s="163"/>
      <c r="R7157" s="163"/>
      <c r="S7157" s="163"/>
    </row>
    <row r="7158" spans="5:19" x14ac:dyDescent="0.25">
      <c r="E7158" s="163"/>
      <c r="K7158" s="163"/>
      <c r="Q7158" s="163"/>
      <c r="R7158" s="163"/>
      <c r="S7158" s="163"/>
    </row>
    <row r="7159" spans="5:19" x14ac:dyDescent="0.25">
      <c r="E7159" s="163"/>
      <c r="K7159" s="163"/>
      <c r="Q7159" s="163"/>
      <c r="R7159" s="163"/>
      <c r="S7159" s="163"/>
    </row>
    <row r="7160" spans="5:19" x14ac:dyDescent="0.25">
      <c r="E7160" s="163"/>
      <c r="K7160" s="163"/>
      <c r="Q7160" s="163"/>
      <c r="R7160" s="163"/>
      <c r="S7160" s="163"/>
    </row>
    <row r="7161" spans="5:19" x14ac:dyDescent="0.25">
      <c r="E7161" s="163"/>
      <c r="K7161" s="163"/>
      <c r="Q7161" s="163"/>
      <c r="R7161" s="163"/>
      <c r="S7161" s="163"/>
    </row>
    <row r="7162" spans="5:19" x14ac:dyDescent="0.25">
      <c r="E7162" s="163"/>
      <c r="K7162" s="163"/>
      <c r="Q7162" s="163"/>
      <c r="R7162" s="163"/>
      <c r="S7162" s="163"/>
    </row>
    <row r="7163" spans="5:19" x14ac:dyDescent="0.25">
      <c r="E7163" s="163"/>
      <c r="K7163" s="163"/>
      <c r="Q7163" s="163"/>
      <c r="R7163" s="163"/>
      <c r="S7163" s="163"/>
    </row>
    <row r="7164" spans="5:19" x14ac:dyDescent="0.25">
      <c r="E7164" s="163"/>
      <c r="K7164" s="163"/>
      <c r="Q7164" s="163"/>
      <c r="R7164" s="163"/>
      <c r="S7164" s="163"/>
    </row>
    <row r="7165" spans="5:19" x14ac:dyDescent="0.25">
      <c r="E7165" s="163"/>
      <c r="K7165" s="163"/>
      <c r="Q7165" s="163"/>
      <c r="R7165" s="163"/>
      <c r="S7165" s="163"/>
    </row>
    <row r="7166" spans="5:19" x14ac:dyDescent="0.25">
      <c r="E7166" s="163"/>
      <c r="K7166" s="163"/>
      <c r="Q7166" s="163"/>
      <c r="R7166" s="163"/>
      <c r="S7166" s="163"/>
    </row>
    <row r="7167" spans="5:19" x14ac:dyDescent="0.25">
      <c r="E7167" s="163"/>
      <c r="K7167" s="163"/>
      <c r="Q7167" s="163"/>
      <c r="R7167" s="163"/>
      <c r="S7167" s="163"/>
    </row>
    <row r="7168" spans="5:19" x14ac:dyDescent="0.25">
      <c r="E7168" s="163"/>
      <c r="K7168" s="163"/>
      <c r="Q7168" s="163"/>
      <c r="R7168" s="163"/>
      <c r="S7168" s="163"/>
    </row>
    <row r="7169" spans="3:19" x14ac:dyDescent="0.25">
      <c r="E7169" s="163"/>
      <c r="K7169" s="163"/>
      <c r="Q7169" s="163"/>
      <c r="R7169" s="163"/>
      <c r="S7169" s="163"/>
    </row>
    <row r="7170" spans="3:19" x14ac:dyDescent="0.25">
      <c r="E7170" s="163"/>
      <c r="K7170" s="163"/>
      <c r="Q7170" s="163"/>
      <c r="R7170" s="163"/>
      <c r="S7170" s="163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25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25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25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25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25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25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25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2026-09-03T14:39:38Z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