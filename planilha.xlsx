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25" documentId="8_{C51EB6CB-002B-4D6B-B68F-DDEBDB4460C0}" xr6:coauthVersionLast="47" xr6:coauthVersionMax="47" xr10:uidLastSave="{EC907786-B20E-4940-A5D1-D3926D479923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<sst xmlns="http://schemas.openxmlformats.org/spreadsheetml/2006/main" count="1715" uniqueCount="254">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</sst>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F41" sqref="F4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253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D49" sqref="D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80</v>
      </c>
      <c r="G55" s="40">
        <f>G41+G54</f>
        <v>323.39999999999998</v>
      </c>
      <c r="H55" s="41"/>
      <c r="I55" s="41"/>
      <c r="J55" s="41"/>
      <c r="K55" s="41"/>
      <c r="L55" s="41"/>
      <c r="M55" s="42">
        <f ca="1">IFERROR(M41+M54,"")</f>
        <v>8.4722222222222324E-2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" zoomScale="50" zoomScaleNormal="50" workbookViewId="0">
      <selection activeCell="J42" sqref="J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/>
      <c r="G42" s="34" t="str">
        <f t="shared" ref="G42:G53" si="9">IF(F42="","",IF(E42="PC 17",F42*4.2,IF(E42="PC 19",F42*5,IF(E42="CB",F42*24,""))))</f>
        <v/>
      </c>
      <c r="H42" s="26" t="s">
        <v>20</v>
      </c>
      <c r="I42" s="26" t="s">
        <v>47</v>
      </c>
      <c r="J42" s="26" t="s">
        <v>164</v>
      </c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 t="s">
        <v>249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77</v>
      </c>
      <c r="G55" s="40">
        <f>G41+G54</f>
        <v>323.40000000000003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N46" sqref="N4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 t="s">
        <v>249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141</v>
      </c>
      <c r="G55" s="40">
        <f>G41+G54</f>
        <v>558.6</v>
      </c>
      <c r="H55" s="41"/>
      <c r="I55" s="41"/>
      <c r="J55" s="41"/>
      <c r="K55" s="63"/>
      <c r="L55" s="63"/>
      <c r="M55" s="42">
        <f ca="1">IFERROR(M41+M54,"")</f>
        <v>1.1111111111111072E-2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2026-08-02T23:24:15Z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