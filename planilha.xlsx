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13" documentId="13_ncr:1_{A6DBCFB4-28D9-4249-9038-216934055CA6}" xr6:coauthVersionLast="47" xr6:coauthVersionMax="47" xr10:uidLastSave="{A0BD5FD4-3157-4BC7-8BA9-38F28A4F771B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<sst xmlns="http://schemas.openxmlformats.org/spreadsheetml/2006/main" count="10071" uniqueCount="428">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</sst>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R17" sqref="R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F600" sqref="F60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20</v>
      </c>
      <c r="G608" s="2">
        <f>SUM(G596:G607)</f>
        <v>100</v>
      </c>
      <c r="H608" s="72"/>
      <c r="I608" s="72"/>
      <c r="J608" s="72"/>
      <c r="K608" s="72"/>
      <c r="L608" s="72"/>
      <c r="M608" s="73">
        <f ca="1">IFERROR(SUM(M596:M607),"")</f>
        <v>0.16111111111111109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20</v>
      </c>
      <c r="G622" s="1">
        <f>G608+G621</f>
        <v>100</v>
      </c>
      <c r="H622" s="76"/>
      <c r="I622" s="76"/>
      <c r="J622" s="76"/>
      <c r="K622" s="76"/>
      <c r="L622" s="76"/>
      <c r="M622" s="77">
        <f ca="1">IFERROR(M608+M621,"")</f>
        <v>0.16111111111111109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600" sqref="G60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0.34638680555508472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0.48527569444397245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0.56999791666619526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/>
      <c r="Q596" s="66">
        <f t="shared" ref="Q596:Q607" ca="1" si="156">IFERROR(IF(O596="","",IF(P596="",MOD(NOW()-O596,1),IF(P596&gt;=O596,P596-O596,P596+1-O596))),"")</f>
        <v>1.999791667185491E-2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53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222.6</v>
      </c>
      <c r="L608" s="72"/>
      <c r="M608" s="72"/>
      <c r="N608" s="72"/>
      <c r="O608" s="72"/>
      <c r="P608" s="72"/>
      <c r="Q608" s="73">
        <f ca="1">IFERROR(SUM(Q596:Q607),"")</f>
        <v>1.999791667185491E-2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53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222.6</v>
      </c>
      <c r="L622" s="76"/>
      <c r="M622" s="76"/>
      <c r="N622" s="76"/>
      <c r="O622" s="76"/>
      <c r="P622" s="76"/>
      <c r="Q622" s="77">
        <f ca="1">IFERROR(Q608+Q621,"")</f>
        <v>1.999791667185491E-2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G600" sqref="G60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/>
      <c r="Q598" s="66">
        <f t="shared" ca="1" si="153"/>
        <v>1.999791667185491E-2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1"/>
        <v>0</v>
      </c>
      <c r="K599" s="69">
        <f t="shared" si="152"/>
        <v>29.400000000000002</v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88.2</v>
      </c>
      <c r="L608" s="72"/>
      <c r="M608" s="72"/>
      <c r="N608" s="72"/>
      <c r="O608" s="72"/>
      <c r="P608" s="72"/>
      <c r="Q608" s="73">
        <f ca="1">IFERROR(SUM(Q596:Q607),"")</f>
        <v>5.2636805560743793E-2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88.2</v>
      </c>
      <c r="L622" s="76"/>
      <c r="M622" s="76"/>
      <c r="N622" s="76"/>
      <c r="O622" s="76"/>
      <c r="P622" s="76"/>
      <c r="Q622" s="77">
        <f ca="1">IFERROR(Q608+Q621,"")</f>
        <v>5.2636805560743793E-2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600" sqref="G60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235.2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56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235.2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2026-08-23T15:14:06Z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