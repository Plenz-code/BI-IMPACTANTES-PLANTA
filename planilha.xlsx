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79" documentId="8_{AF585B22-221D-4780-BB9C-493D365A6A02}" xr6:coauthVersionLast="47" xr6:coauthVersionMax="47" xr10:uidLastSave="{81C99B2B-4AC2-494E-B2F9-70D6ADC71C9E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<sst xmlns="http://schemas.openxmlformats.org/spreadsheetml/2006/main" count="5326" uniqueCount="304">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</sst>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92" activePane="bottomLeft" state="frozen"/>
      <selection pane="bottomLeft" activeCell="F317" sqref="F31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23.6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 t="s">
        <v>232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>
        <v>38</v>
      </c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133.6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351.1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17" sqref="F3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/>
      <c r="M314" s="30">
        <f t="shared" ca="1" si="70"/>
        <v>9.2352314815798309E-2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43</v>
      </c>
      <c r="G324" s="36">
        <f>SUM(G312:G323)</f>
        <v>180.60000000000002</v>
      </c>
      <c r="H324" s="37"/>
      <c r="I324" s="37"/>
      <c r="J324" s="37"/>
      <c r="K324" s="37"/>
      <c r="L324" s="37"/>
      <c r="M324" s="38">
        <f ca="1">IFERROR(SUM(M312:M323),"")</f>
        <v>0.12915787037135396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134</v>
      </c>
      <c r="G325" s="40">
        <f>G311+G324</f>
        <v>562.79999999999995</v>
      </c>
      <c r="H325" s="41"/>
      <c r="I325" s="41"/>
      <c r="J325" s="41"/>
      <c r="K325" s="41"/>
      <c r="L325" s="41"/>
      <c r="M325" s="42">
        <f ca="1">IFERROR(M311+M324,"")</f>
        <v>0.27985231481579836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9" zoomScale="50" zoomScaleNormal="50" workbookViewId="0">
      <selection activeCell="F317" sqref="F3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46</v>
      </c>
      <c r="G324" s="36">
        <f>SUM(G312:G323)</f>
        <v>193.20000000000002</v>
      </c>
      <c r="H324" s="37"/>
      <c r="I324" s="37"/>
      <c r="J324" s="37"/>
      <c r="K324" s="37"/>
      <c r="L324" s="37"/>
      <c r="M324" s="38">
        <f ca="1">IFERROR(SUM(M312:M323),"")</f>
        <v>1.5972222222222276E-2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115</v>
      </c>
      <c r="G325" s="40">
        <f>G311+G324</f>
        <v>487.80000000000007</v>
      </c>
      <c r="H325" s="41"/>
      <c r="I325" s="41"/>
      <c r="J325" s="41"/>
      <c r="K325" s="41"/>
      <c r="L325" s="41"/>
      <c r="M325" s="42">
        <f ca="1">IFERROR(M311+M324,"")</f>
        <v>0.11527777777777772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F317" sqref="F31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282</v>
      </c>
      <c r="L58" s="29">
        <v>0.54097222222222219</v>
      </c>
      <c r="M58" s="30" t="str">
        <f t="shared" ca="1" si="13"/>
        <v/>
      </c>
      <c r="N58" s="27" t="s">
        <v>283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0.75554675926105119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0.95485231481660682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1.3222134259277178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67</v>
      </c>
      <c r="G324" s="36">
        <f>SUM(G312:G323)</f>
        <v>297.39999999999998</v>
      </c>
      <c r="H324" s="37"/>
      <c r="I324" s="37"/>
      <c r="J324" s="37"/>
      <c r="K324" s="61"/>
      <c r="L324" s="61"/>
      <c r="M324" s="38">
        <f ca="1">IFERROR(SUM(M312:M323),"")</f>
        <v>0.10069444444444431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97</v>
      </c>
      <c r="G325" s="40">
        <f>G311+G324</f>
        <v>423.4</v>
      </c>
      <c r="H325" s="41"/>
      <c r="I325" s="41"/>
      <c r="J325" s="41"/>
      <c r="K325" s="63"/>
      <c r="L325" s="63"/>
      <c r="M325" s="42">
        <f ca="1">IFERROR(M311+M324,"")</f>
        <v>0.51388888888888884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2026-07-13T04:06:59Z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