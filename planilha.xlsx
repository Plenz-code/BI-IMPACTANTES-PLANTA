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" documentId="13_ncr:1_{0A10D8D4-8450-4366-8075-B53B08E6B7EA}" xr6:coauthVersionLast="47" xr6:coauthVersionMax="47" xr10:uidLastSave="{A6E714D8-A885-44AF-AFBA-B365848464D1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23" i="4" l="1"/>
  <c r="H322" i="4"/>
  <c r="H321" i="4"/>
  <c r="H320" i="4"/>
  <c r="H319" i="4"/>
  <c r="H318" i="4"/>
  <c r="H317" i="4"/>
  <c r="H316" i="4"/>
  <c r="H315" i="4"/>
  <c r="H314" i="4"/>
  <c r="H313" i="4"/>
  <c r="H312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J306" i="4"/>
  <c r="K306" i="4"/>
  <c r="I307" i="4"/>
  <c r="J307" i="4"/>
  <c r="K307" i="4"/>
  <c r="I308" i="4"/>
  <c r="J308" i="4"/>
  <c r="K308" i="4"/>
  <c r="I309" i="4"/>
  <c r="J309" i="4"/>
  <c r="K309" i="4"/>
  <c r="I310" i="4"/>
  <c r="J310" i="4"/>
  <c r="K310" i="4"/>
  <c r="B308" i="3"/>
  <c r="B309" i="3" s="1"/>
  <c r="B310" i="3" s="1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299" i="4" l="1"/>
  <c r="J300" i="4"/>
  <c r="J301" i="4"/>
  <c r="J302" i="4"/>
  <c r="J303" i="4"/>
  <c r="J304" i="4"/>
  <c r="J305" i="4"/>
  <c r="H299" i="6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<sst xmlns="http://schemas.openxmlformats.org/spreadsheetml/2006/main" count="5749" uniqueCount="333">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</sst>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3" fontId="28" fillId="8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 x14ac:dyDescent="0.25">
      <c r="A1" s="158" t="s">
        <v>0</v>
      </c>
      <c r="B1" s="159"/>
      <c r="C1" s="159"/>
      <c r="D1" s="159"/>
      <c r="E1" s="159"/>
      <c r="F1" s="159"/>
      <c r="G1" s="159"/>
      <c r="H1" s="159"/>
      <c r="I1" s="159"/>
      <c r="J1" s="159"/>
    </row>
    <row r="2" spans="1:10" ht="24.75" customHeight="1" x14ac:dyDescent="0.25">
      <c r="A2" s="156"/>
      <c r="B2" s="15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 x14ac:dyDescent="0.25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 x14ac:dyDescent="0.25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 x14ac:dyDescent="0.25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 x14ac:dyDescent="0.25">
      <c r="A15" s="10">
        <v>12</v>
      </c>
      <c r="B15" s="73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0</v>
      </c>
      <c r="F15" s="11">
        <f>IFERROR('Linha 3'!S325,"")</f>
        <v>0</v>
      </c>
      <c r="G15" s="12">
        <f t="shared" si="0"/>
        <v>1479900</v>
      </c>
      <c r="H15" s="97">
        <f>IFERROR('Linha 1'!T325+'Linha 2'!T325+'Linha 3'!T325,0)</f>
        <v>97.952399999999997</v>
      </c>
      <c r="I15" s="97"/>
      <c r="J15" s="130">
        <f t="shared" si="1"/>
        <v>0</v>
      </c>
    </row>
    <row r="16" spans="1:10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 x14ac:dyDescent="0.25">
      <c r="A35" s="157" t="s">
        <v>12</v>
      </c>
      <c r="B35" s="157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6272590</v>
      </c>
      <c r="F35" s="13">
        <f t="shared" si="2"/>
        <v>15553450</v>
      </c>
      <c r="G35" s="13">
        <f t="shared" si="2"/>
        <v>36151570</v>
      </c>
      <c r="H35" s="98">
        <f t="shared" si="2"/>
        <v>97.952399999999997</v>
      </c>
      <c r="I35" s="98">
        <f>IFERROR(SUM(I4:I34),"")</f>
        <v>0</v>
      </c>
      <c r="J35" s="131">
        <f>IFERROR(AVERAGE(J4:J34),"-")</f>
        <v>0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0" t="s">
        <v>13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14</v>
      </c>
      <c r="O1" s="162"/>
      <c r="P1" s="162"/>
      <c r="Q1" s="162"/>
      <c r="R1" s="162"/>
    </row>
    <row r="2" spans="1:18" ht="4.5" customHeight="1" x14ac:dyDescent="0.25">
      <c r="M2" s="161"/>
    </row>
    <row r="3" spans="1:18" ht="25.9" customHeight="1" x14ac:dyDescent="0.25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1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 x14ac:dyDescent="0.25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61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 x14ac:dyDescent="0.25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61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 x14ac:dyDescent="0.25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61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 x14ac:dyDescent="0.25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61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 x14ac:dyDescent="0.25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61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 x14ac:dyDescent="0.25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61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 x14ac:dyDescent="0.25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61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 x14ac:dyDescent="0.25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61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 x14ac:dyDescent="0.25">
      <c r="A12" s="16"/>
      <c r="C12" s="16"/>
      <c r="J12" s="16"/>
      <c r="L12" s="16" t="s">
        <v>80</v>
      </c>
      <c r="M12" s="161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 x14ac:dyDescent="0.25">
      <c r="A13" s="17"/>
      <c r="C13" s="17"/>
      <c r="J13" s="17"/>
      <c r="L13" s="17" t="s">
        <v>85</v>
      </c>
      <c r="M13" s="161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 x14ac:dyDescent="0.25">
      <c r="A14" s="16"/>
      <c r="C14" s="16"/>
      <c r="J14" s="16"/>
      <c r="L14" s="16" t="s">
        <v>90</v>
      </c>
      <c r="M14" s="161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 x14ac:dyDescent="0.25">
      <c r="A15" s="17"/>
      <c r="C15" s="17"/>
      <c r="J15" s="17"/>
      <c r="L15" s="17" t="s">
        <v>96</v>
      </c>
      <c r="M15" s="161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 x14ac:dyDescent="0.25">
      <c r="A16" s="16"/>
      <c r="C16" s="16"/>
      <c r="J16" s="16"/>
      <c r="L16" s="16" t="s">
        <v>102</v>
      </c>
      <c r="M16" s="161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 x14ac:dyDescent="0.25">
      <c r="A17" s="17"/>
      <c r="C17" s="17"/>
      <c r="J17" s="17"/>
      <c r="L17" s="17" t="s">
        <v>108</v>
      </c>
      <c r="M17" s="161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 x14ac:dyDescent="0.25">
      <c r="A18" s="16"/>
      <c r="C18" s="16"/>
      <c r="J18" s="16"/>
      <c r="L18" s="16" t="s">
        <v>114</v>
      </c>
      <c r="M18" s="161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 x14ac:dyDescent="0.25">
      <c r="A19" s="17"/>
      <c r="C19" s="17"/>
      <c r="J19" s="17"/>
      <c r="L19" s="17" t="s">
        <v>120</v>
      </c>
      <c r="M19" s="161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 x14ac:dyDescent="0.25">
      <c r="A20" s="16"/>
      <c r="C20" s="16"/>
      <c r="J20" s="16"/>
      <c r="L20" s="16" t="s">
        <v>125</v>
      </c>
      <c r="M20" s="161"/>
      <c r="N20" s="16"/>
      <c r="O20" s="16"/>
      <c r="P20" s="16" t="s">
        <v>126</v>
      </c>
      <c r="Q20" s="16"/>
      <c r="R20" s="16" t="s">
        <v>127</v>
      </c>
    </row>
    <row r="21" spans="1:18" ht="15.75" customHeight="1" x14ac:dyDescent="0.25">
      <c r="A21" s="17"/>
      <c r="C21" s="17"/>
      <c r="J21" s="17"/>
      <c r="L21" s="17" t="s">
        <v>128</v>
      </c>
      <c r="M21" s="161"/>
      <c r="N21" s="17"/>
      <c r="O21" s="17"/>
      <c r="P21" s="17" t="s">
        <v>129</v>
      </c>
      <c r="Q21" s="17"/>
      <c r="R21" s="17" t="s">
        <v>130</v>
      </c>
    </row>
    <row r="22" spans="1:18" ht="15.75" customHeight="1" x14ac:dyDescent="0.25">
      <c r="A22" s="16"/>
      <c r="C22" s="16"/>
      <c r="J22" s="16"/>
      <c r="L22" s="16" t="s">
        <v>131</v>
      </c>
      <c r="M22" s="161"/>
      <c r="N22" s="16"/>
      <c r="O22" s="16"/>
      <c r="P22" s="16" t="s">
        <v>132</v>
      </c>
      <c r="Q22" s="16"/>
      <c r="R22" s="16" t="s">
        <v>133</v>
      </c>
    </row>
    <row r="23" spans="1:18" ht="15.75" customHeight="1" x14ac:dyDescent="0.25">
      <c r="A23" s="17"/>
      <c r="C23" s="17"/>
      <c r="J23" s="17"/>
      <c r="L23" s="17" t="s">
        <v>134</v>
      </c>
      <c r="M23" s="161"/>
      <c r="N23" s="17"/>
      <c r="O23" s="17"/>
      <c r="P23" s="17" t="s">
        <v>135</v>
      </c>
      <c r="Q23" s="17"/>
      <c r="R23" s="17" t="s">
        <v>136</v>
      </c>
    </row>
    <row r="24" spans="1:18" ht="15.75" customHeight="1" x14ac:dyDescent="0.25">
      <c r="A24" s="16"/>
      <c r="C24" s="16"/>
      <c r="J24" s="16"/>
      <c r="L24" s="16" t="s">
        <v>137</v>
      </c>
      <c r="M24" s="161"/>
      <c r="N24" s="16"/>
      <c r="O24" s="16"/>
      <c r="P24" s="16" t="s">
        <v>138</v>
      </c>
      <c r="Q24" s="16"/>
      <c r="R24" s="16" t="s">
        <v>139</v>
      </c>
    </row>
    <row r="25" spans="1:18" ht="15.75" customHeight="1" x14ac:dyDescent="0.25">
      <c r="A25" s="17"/>
      <c r="C25" s="17"/>
      <c r="J25" s="17"/>
      <c r="L25" s="17" t="s">
        <v>140</v>
      </c>
      <c r="M25" s="161"/>
      <c r="N25" s="17"/>
      <c r="O25" s="17"/>
      <c r="P25" s="17" t="s">
        <v>141</v>
      </c>
      <c r="Q25" s="17"/>
      <c r="R25" s="17" t="s">
        <v>142</v>
      </c>
    </row>
    <row r="26" spans="1:18" ht="15.75" customHeight="1" x14ac:dyDescent="0.25">
      <c r="A26" s="16"/>
      <c r="C26" s="16"/>
      <c r="J26" s="16"/>
      <c r="L26" s="16" t="s">
        <v>143</v>
      </c>
      <c r="M26" s="161"/>
      <c r="N26" s="16"/>
      <c r="O26" s="16"/>
      <c r="P26" s="16" t="s">
        <v>144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145</v>
      </c>
      <c r="M27" s="161"/>
      <c r="N27" s="17"/>
      <c r="O27" s="17"/>
      <c r="P27" s="17" t="s">
        <v>136</v>
      </c>
      <c r="Q27" s="17"/>
      <c r="R27" s="17" t="s">
        <v>67</v>
      </c>
    </row>
    <row r="28" spans="1:18" ht="15.75" customHeight="1" x14ac:dyDescent="0.25">
      <c r="A28" s="16"/>
      <c r="C28" s="16"/>
      <c r="J28" s="16"/>
      <c r="L28" s="16" t="s">
        <v>146</v>
      </c>
      <c r="M28" s="161"/>
      <c r="N28" s="16"/>
      <c r="O28" s="16"/>
      <c r="P28" s="16" t="s">
        <v>139</v>
      </c>
      <c r="Q28" s="16"/>
      <c r="R28" s="16" t="s">
        <v>147</v>
      </c>
    </row>
    <row r="29" spans="1:18" ht="15.75" customHeight="1" x14ac:dyDescent="0.25">
      <c r="A29" s="17"/>
      <c r="C29" s="17"/>
      <c r="J29" s="17"/>
      <c r="L29" s="17" t="s">
        <v>148</v>
      </c>
      <c r="M29" s="161"/>
      <c r="N29" s="17"/>
      <c r="O29" s="17"/>
      <c r="P29" s="17" t="s">
        <v>149</v>
      </c>
      <c r="Q29" s="17"/>
      <c r="R29" s="17" t="s">
        <v>150</v>
      </c>
    </row>
    <row r="30" spans="1:18" ht="15.75" customHeight="1" x14ac:dyDescent="0.25">
      <c r="A30" s="16"/>
      <c r="C30" s="16"/>
      <c r="J30" s="16"/>
      <c r="L30" s="16" t="s">
        <v>151</v>
      </c>
      <c r="M30" s="161"/>
      <c r="N30" s="16"/>
      <c r="O30" s="16"/>
      <c r="P30" s="16" t="s">
        <v>152</v>
      </c>
      <c r="Q30" s="16"/>
      <c r="R30" s="16" t="s">
        <v>153</v>
      </c>
    </row>
    <row r="31" spans="1:18" ht="15.75" customHeight="1" x14ac:dyDescent="0.25">
      <c r="A31" s="17"/>
      <c r="C31" s="17"/>
      <c r="J31" s="17"/>
      <c r="L31" s="17" t="s">
        <v>154</v>
      </c>
      <c r="M31" s="161"/>
      <c r="N31" s="17"/>
      <c r="O31" s="17"/>
      <c r="P31" s="18" t="s">
        <v>155</v>
      </c>
      <c r="Q31" s="17"/>
      <c r="R31" s="17" t="s">
        <v>156</v>
      </c>
    </row>
    <row r="32" spans="1:18" ht="15.75" customHeight="1" x14ac:dyDescent="0.25">
      <c r="A32" s="16"/>
      <c r="C32" s="16"/>
      <c r="J32" s="16"/>
      <c r="L32" s="16" t="s">
        <v>157</v>
      </c>
      <c r="M32" s="161"/>
      <c r="N32" s="16"/>
      <c r="O32" s="16"/>
      <c r="P32" s="16" t="s">
        <v>158</v>
      </c>
      <c r="Q32" s="16"/>
      <c r="R32" t="s">
        <v>159</v>
      </c>
    </row>
    <row r="33" spans="1:18" ht="15.75" customHeight="1" x14ac:dyDescent="0.25">
      <c r="A33" s="17"/>
      <c r="C33" s="132" t="s">
        <v>160</v>
      </c>
      <c r="E33" s="114">
        <v>1000</v>
      </c>
      <c r="J33" s="17"/>
      <c r="L33" s="17" t="s">
        <v>161</v>
      </c>
      <c r="M33" s="161"/>
      <c r="N33" s="17"/>
      <c r="O33" s="17"/>
      <c r="P33" s="18" t="s">
        <v>162</v>
      </c>
      <c r="Q33" s="17"/>
      <c r="R33" s="17" t="s">
        <v>25</v>
      </c>
    </row>
    <row r="34" spans="1:18" ht="15.75" customHeight="1" x14ac:dyDescent="0.25">
      <c r="A34" s="16"/>
      <c r="C34" s="16"/>
      <c r="J34" s="16"/>
      <c r="L34" s="16" t="s">
        <v>163</v>
      </c>
      <c r="M34" s="161"/>
      <c r="N34" s="16"/>
      <c r="O34" s="16"/>
      <c r="P34" s="16" t="s">
        <v>84</v>
      </c>
      <c r="Q34" s="16"/>
      <c r="R34" s="16" t="s">
        <v>164</v>
      </c>
    </row>
    <row r="35" spans="1:18" ht="15.75" customHeight="1" x14ac:dyDescent="0.25">
      <c r="A35" s="17"/>
      <c r="C35" s="17"/>
      <c r="J35" s="17"/>
      <c r="L35" s="17" t="s">
        <v>165</v>
      </c>
      <c r="M35" s="161"/>
      <c r="N35" s="17"/>
      <c r="O35" s="17"/>
      <c r="P35" s="17" t="s">
        <v>166</v>
      </c>
      <c r="Q35" s="17"/>
      <c r="R35" s="17" t="s">
        <v>167</v>
      </c>
    </row>
    <row r="36" spans="1:18" ht="15.75" customHeight="1" x14ac:dyDescent="0.25">
      <c r="A36" s="16"/>
      <c r="C36" s="16"/>
      <c r="J36" s="16"/>
      <c r="L36" s="16" t="s">
        <v>168</v>
      </c>
      <c r="M36" s="161"/>
      <c r="N36" s="16"/>
      <c r="O36" s="16"/>
      <c r="P36" s="16" t="s">
        <v>169</v>
      </c>
      <c r="Q36" s="16"/>
      <c r="R36" s="16" t="s">
        <v>170</v>
      </c>
    </row>
    <row r="37" spans="1:18" ht="15.75" customHeight="1" x14ac:dyDescent="0.25">
      <c r="A37" s="17"/>
      <c r="C37" s="17"/>
      <c r="J37" s="17"/>
      <c r="L37" s="17" t="s">
        <v>171</v>
      </c>
      <c r="M37" s="161"/>
      <c r="N37" s="17"/>
      <c r="O37" s="17"/>
      <c r="P37" s="17" t="s">
        <v>172</v>
      </c>
      <c r="Q37" s="17"/>
      <c r="R37" s="17" t="s">
        <v>173</v>
      </c>
    </row>
    <row r="38" spans="1:18" ht="15.75" customHeight="1" x14ac:dyDescent="0.25">
      <c r="A38" s="16"/>
      <c r="C38" s="16"/>
      <c r="J38" s="16"/>
      <c r="L38" s="16" t="s">
        <v>174</v>
      </c>
      <c r="M38" s="161"/>
      <c r="N38" s="16"/>
      <c r="O38" s="16"/>
      <c r="P38" s="16" t="s">
        <v>175</v>
      </c>
      <c r="Q38" s="16"/>
      <c r="R38" s="16" t="s">
        <v>176</v>
      </c>
    </row>
    <row r="39" spans="1:18" ht="15.75" customHeight="1" x14ac:dyDescent="0.25">
      <c r="A39" s="17"/>
      <c r="C39" s="17"/>
      <c r="J39" s="17"/>
      <c r="L39" s="17"/>
      <c r="M39" s="161"/>
      <c r="N39" s="17"/>
      <c r="O39" s="17"/>
      <c r="P39" s="17" t="s">
        <v>177</v>
      </c>
      <c r="Q39" s="17"/>
      <c r="R39" s="17" t="s">
        <v>178</v>
      </c>
    </row>
    <row r="40" spans="1:18" ht="15.75" customHeight="1" x14ac:dyDescent="0.25">
      <c r="A40" s="16"/>
      <c r="C40" s="16"/>
      <c r="J40" s="16"/>
      <c r="L40" s="16"/>
      <c r="M40" s="161"/>
      <c r="N40" s="16"/>
      <c r="O40" s="16"/>
      <c r="P40" s="16" t="s">
        <v>179</v>
      </c>
      <c r="Q40" s="16"/>
      <c r="R40" s="16" t="s">
        <v>180</v>
      </c>
    </row>
    <row r="41" spans="1:18" ht="15.75" customHeight="1" x14ac:dyDescent="0.25">
      <c r="A41" s="17"/>
      <c r="C41" s="17"/>
      <c r="J41" s="17"/>
      <c r="L41" s="17"/>
      <c r="M41" s="161"/>
      <c r="N41" s="17"/>
      <c r="O41" s="17"/>
      <c r="P41" s="17" t="s">
        <v>181</v>
      </c>
      <c r="Q41" s="17"/>
      <c r="R41" s="17" t="s">
        <v>182</v>
      </c>
    </row>
    <row r="42" spans="1:18" ht="15.75" customHeight="1" x14ac:dyDescent="0.25">
      <c r="A42" s="16"/>
      <c r="C42" s="16"/>
      <c r="J42" s="16"/>
      <c r="L42" s="16"/>
      <c r="M42" s="161"/>
      <c r="N42" s="16"/>
      <c r="O42" s="16"/>
      <c r="P42" s="16" t="s">
        <v>183</v>
      </c>
      <c r="Q42" s="16"/>
      <c r="R42" s="16" t="s">
        <v>184</v>
      </c>
    </row>
    <row r="43" spans="1:18" ht="15.75" customHeight="1" x14ac:dyDescent="0.25">
      <c r="A43" s="17"/>
      <c r="C43" s="17"/>
      <c r="J43" s="17"/>
      <c r="L43" s="17"/>
      <c r="M43" s="161"/>
      <c r="N43" s="17"/>
      <c r="O43" s="17"/>
      <c r="P43" s="17" t="s">
        <v>185</v>
      </c>
      <c r="Q43" s="17"/>
      <c r="R43" s="17" t="s">
        <v>186</v>
      </c>
    </row>
    <row r="44" spans="1:18" ht="15.75" customHeight="1" x14ac:dyDescent="0.25">
      <c r="A44" s="16"/>
      <c r="C44" s="16"/>
      <c r="J44" s="16"/>
      <c r="L44" s="16"/>
      <c r="M44" s="161"/>
      <c r="N44" s="16"/>
      <c r="O44" s="16"/>
      <c r="P44" s="16" t="s">
        <v>187</v>
      </c>
      <c r="Q44" s="16"/>
      <c r="R44" s="16" t="s">
        <v>188</v>
      </c>
    </row>
    <row r="45" spans="1:18" ht="15.75" customHeight="1" x14ac:dyDescent="0.25">
      <c r="A45" s="17"/>
      <c r="C45" s="17"/>
      <c r="J45" s="17"/>
      <c r="L45" s="17"/>
      <c r="M45" s="161"/>
      <c r="N45" s="17"/>
      <c r="O45" s="17"/>
      <c r="P45" s="17"/>
      <c r="Q45" s="17"/>
      <c r="R45" s="17" t="s">
        <v>189</v>
      </c>
    </row>
    <row r="46" spans="1:18" ht="15.75" customHeight="1" x14ac:dyDescent="0.25">
      <c r="A46" s="16"/>
      <c r="C46" s="16"/>
      <c r="J46" s="16"/>
      <c r="L46" s="16"/>
      <c r="M46" s="161"/>
      <c r="N46" s="16"/>
      <c r="O46" s="16"/>
      <c r="P46" s="16" t="s">
        <v>190</v>
      </c>
      <c r="Q46" s="16"/>
      <c r="R46" s="16" t="s">
        <v>191</v>
      </c>
    </row>
    <row r="47" spans="1:18" ht="15.75" customHeight="1" x14ac:dyDescent="0.25">
      <c r="A47" s="17"/>
      <c r="C47" s="17"/>
      <c r="J47" s="17"/>
      <c r="L47" s="17"/>
      <c r="M47" s="161"/>
      <c r="N47" s="17"/>
      <c r="O47" s="17"/>
      <c r="P47" s="17" t="s">
        <v>192</v>
      </c>
      <c r="Q47" s="17"/>
      <c r="R47" s="17" t="s">
        <v>193</v>
      </c>
    </row>
    <row r="48" spans="1:18" ht="15.75" customHeight="1" x14ac:dyDescent="0.25">
      <c r="A48" s="16"/>
      <c r="C48" s="16"/>
      <c r="J48" s="16"/>
      <c r="L48" s="16"/>
      <c r="M48" s="161"/>
      <c r="N48" s="16"/>
      <c r="O48" s="16"/>
      <c r="P48" s="16" t="s">
        <v>194</v>
      </c>
      <c r="Q48" s="16"/>
      <c r="R48" s="16" t="s">
        <v>195</v>
      </c>
    </row>
    <row r="49" spans="1:18" ht="18" customHeight="1" x14ac:dyDescent="0.25">
      <c r="M49" s="161"/>
      <c r="N49" s="17"/>
      <c r="O49" s="17"/>
      <c r="P49" s="17" t="s">
        <v>196</v>
      </c>
      <c r="Q49" s="17"/>
      <c r="R49" s="17" t="s">
        <v>197</v>
      </c>
    </row>
    <row r="50" spans="1:18" ht="21" customHeight="1" x14ac:dyDescent="0.25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1"/>
      <c r="N50" s="16"/>
      <c r="O50" s="16"/>
      <c r="P50" s="16" t="s">
        <v>199</v>
      </c>
      <c r="Q50" s="16"/>
      <c r="R50" s="16" t="s">
        <v>200</v>
      </c>
    </row>
    <row r="51" spans="1:18" ht="24" customHeight="1" x14ac:dyDescent="0.25">
      <c r="M51" s="161"/>
      <c r="N51" s="17"/>
      <c r="O51" s="17"/>
      <c r="P51" s="17" t="s">
        <v>201</v>
      </c>
      <c r="Q51" s="17"/>
      <c r="R51" s="17" t="s">
        <v>202</v>
      </c>
    </row>
    <row r="52" spans="1:18" ht="24" customHeight="1" x14ac:dyDescent="0.25">
      <c r="M52" s="161"/>
      <c r="N52" s="16"/>
      <c r="O52" s="16"/>
      <c r="P52" s="16" t="s">
        <v>203</v>
      </c>
      <c r="Q52" s="16"/>
      <c r="R52" s="16" t="s">
        <v>204</v>
      </c>
    </row>
    <row r="53" spans="1:18" ht="36" customHeight="1" x14ac:dyDescent="0.25">
      <c r="M53" s="161"/>
      <c r="N53" s="17"/>
      <c r="O53" s="17"/>
      <c r="P53" s="17" t="s">
        <v>205</v>
      </c>
      <c r="Q53" s="17"/>
      <c r="R53" s="17" t="s">
        <v>206</v>
      </c>
    </row>
    <row r="54" spans="1:18" ht="15" customHeight="1" x14ac:dyDescent="0.25">
      <c r="M54" s="161"/>
      <c r="N54" s="16"/>
      <c r="O54" s="16"/>
      <c r="P54" s="16" t="s">
        <v>207</v>
      </c>
      <c r="Q54" s="16"/>
      <c r="R54" s="16" t="s">
        <v>208</v>
      </c>
    </row>
    <row r="55" spans="1:18" ht="15" customHeight="1" x14ac:dyDescent="0.25">
      <c r="M55" s="161"/>
      <c r="N55" s="17"/>
      <c r="O55" s="17"/>
      <c r="P55" s="17" t="s">
        <v>209</v>
      </c>
      <c r="Q55" s="17"/>
      <c r="R55" s="17" t="s">
        <v>210</v>
      </c>
    </row>
    <row r="56" spans="1:18" ht="15" customHeight="1" x14ac:dyDescent="0.25">
      <c r="M56" s="161"/>
      <c r="N56" s="16"/>
      <c r="O56" s="16"/>
      <c r="P56" s="16" t="s">
        <v>211</v>
      </c>
      <c r="Q56" s="16"/>
      <c r="R56" s="16" t="s">
        <v>212</v>
      </c>
    </row>
    <row r="57" spans="1:18" ht="15" customHeight="1" x14ac:dyDescent="0.25">
      <c r="M57" s="161"/>
      <c r="N57" s="17"/>
      <c r="O57" s="17"/>
      <c r="P57" s="17" t="s">
        <v>55</v>
      </c>
      <c r="Q57" s="17"/>
      <c r="R57" s="17" t="s">
        <v>213</v>
      </c>
    </row>
    <row r="58" spans="1:18" ht="15" customHeight="1" x14ac:dyDescent="0.25">
      <c r="M58" s="161"/>
      <c r="N58" s="16"/>
      <c r="O58" s="16"/>
      <c r="P58" s="16" t="s">
        <v>214</v>
      </c>
      <c r="Q58" s="16"/>
      <c r="R58" s="16"/>
    </row>
    <row r="59" spans="1:18" ht="15" customHeight="1" x14ac:dyDescent="0.25">
      <c r="M59" s="161"/>
      <c r="N59" s="17"/>
      <c r="O59" s="17"/>
      <c r="P59" s="17" t="s">
        <v>215</v>
      </c>
      <c r="Q59" s="17"/>
      <c r="R59" s="17"/>
    </row>
    <row r="60" spans="1:18" ht="15" customHeight="1" x14ac:dyDescent="0.25">
      <c r="M60" s="161"/>
      <c r="N60" s="16"/>
      <c r="O60" s="16"/>
      <c r="P60" s="78" t="s">
        <v>110</v>
      </c>
      <c r="Q60" s="16"/>
      <c r="R60" s="16"/>
    </row>
    <row r="61" spans="1:18" ht="15" customHeight="1" x14ac:dyDescent="0.25">
      <c r="M61" s="161"/>
      <c r="N61" s="17"/>
      <c r="O61" s="17"/>
      <c r="P61" s="17" t="s">
        <v>216</v>
      </c>
      <c r="Q61" s="17"/>
      <c r="R61" s="17"/>
    </row>
    <row r="62" spans="1:18" ht="15" customHeight="1" x14ac:dyDescent="0.25">
      <c r="M62" s="161"/>
      <c r="N62" s="16"/>
      <c r="O62" s="16"/>
      <c r="P62" s="16" t="s">
        <v>217</v>
      </c>
      <c r="Q62" s="16"/>
      <c r="R62" s="16"/>
    </row>
    <row r="63" spans="1:18" ht="15" customHeight="1" x14ac:dyDescent="0.25">
      <c r="M63" s="161"/>
      <c r="N63" s="17"/>
      <c r="O63" s="17"/>
      <c r="P63" s="17" t="s">
        <v>218</v>
      </c>
      <c r="Q63" s="17"/>
      <c r="R63" s="17"/>
    </row>
    <row r="64" spans="1:18" ht="15" customHeight="1" x14ac:dyDescent="0.25">
      <c r="M64" s="161"/>
      <c r="N64" s="16"/>
      <c r="O64" s="16"/>
      <c r="P64" s="16" t="s">
        <v>219</v>
      </c>
      <c r="Q64" s="16"/>
      <c r="R64" s="16"/>
    </row>
    <row r="65" spans="13:18" ht="15" customHeight="1" x14ac:dyDescent="0.25">
      <c r="M65" s="161"/>
      <c r="N65" s="17"/>
      <c r="O65" s="17"/>
      <c r="P65" s="17" t="s">
        <v>220</v>
      </c>
      <c r="Q65" s="17"/>
      <c r="R65" s="17"/>
    </row>
    <row r="66" spans="13:18" ht="15" customHeight="1" x14ac:dyDescent="0.25">
      <c r="M66" s="161"/>
      <c r="N66" s="16"/>
      <c r="O66" s="16"/>
      <c r="P66" s="16" t="s">
        <v>221</v>
      </c>
      <c r="Q66" s="16"/>
      <c r="R66" s="16"/>
    </row>
    <row r="67" spans="13:18" ht="15" customHeight="1" x14ac:dyDescent="0.25">
      <c r="M67" s="161"/>
      <c r="N67" s="17"/>
      <c r="O67" s="17"/>
      <c r="P67" s="17" t="s">
        <v>222</v>
      </c>
      <c r="Q67" s="17"/>
      <c r="R67" s="17"/>
    </row>
    <row r="68" spans="13:18" ht="15" customHeight="1" x14ac:dyDescent="0.25">
      <c r="M68" s="161"/>
      <c r="N68" s="16"/>
      <c r="O68" s="16"/>
      <c r="P68" s="16" t="s">
        <v>223</v>
      </c>
      <c r="Q68" s="16"/>
      <c r="R68" s="16"/>
    </row>
    <row r="69" spans="13:18" ht="15" customHeight="1" x14ac:dyDescent="0.25">
      <c r="M69" s="161"/>
      <c r="N69" s="17"/>
      <c r="O69" s="17"/>
      <c r="P69" s="17" t="s">
        <v>224</v>
      </c>
      <c r="Q69" s="17"/>
      <c r="R69" s="17"/>
    </row>
    <row r="70" spans="13:18" ht="15" customHeight="1" x14ac:dyDescent="0.25">
      <c r="M70" s="161"/>
      <c r="N70" s="16"/>
      <c r="O70" s="16"/>
      <c r="P70" s="16" t="s">
        <v>225</v>
      </c>
      <c r="Q70" s="16"/>
      <c r="R70" s="16"/>
    </row>
    <row r="71" spans="13:18" ht="15" customHeight="1" x14ac:dyDescent="0.25">
      <c r="M71" s="161"/>
      <c r="N71" s="17"/>
      <c r="O71" s="17"/>
      <c r="P71" s="17" t="s">
        <v>226</v>
      </c>
      <c r="Q71" s="17"/>
      <c r="R71" s="17"/>
    </row>
    <row r="72" spans="13:18" ht="15" customHeight="1" x14ac:dyDescent="0.25">
      <c r="M72" s="161"/>
      <c r="N72" s="16"/>
      <c r="O72" s="16"/>
      <c r="P72" s="16" t="s">
        <v>227</v>
      </c>
      <c r="Q72" s="16"/>
      <c r="R72" s="16"/>
    </row>
    <row r="73" spans="13:18" ht="15" customHeight="1" x14ac:dyDescent="0.25">
      <c r="M73" s="161"/>
      <c r="N73" s="17"/>
      <c r="O73" s="17"/>
      <c r="P73" s="17" t="s">
        <v>228</v>
      </c>
      <c r="Q73" s="17"/>
      <c r="R73" s="17"/>
    </row>
    <row r="74" spans="13:18" ht="15" customHeight="1" x14ac:dyDescent="0.25">
      <c r="M74" s="161"/>
      <c r="N74" s="16"/>
      <c r="O74" s="16"/>
      <c r="P74" s="16" t="s">
        <v>229</v>
      </c>
      <c r="Q74" s="16"/>
      <c r="R74" s="16"/>
    </row>
    <row r="75" spans="13:18" ht="15" customHeight="1" x14ac:dyDescent="0.25">
      <c r="M75" s="161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6" activePane="bottomLeft" state="frozen"/>
      <selection pane="bottomLeft" activeCell="J316" sqref="J316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 x14ac:dyDescent="0.25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0" t="s">
        <v>241</v>
      </c>
      <c r="B14" s="151"/>
      <c r="C14" s="151"/>
      <c r="D14" s="151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0" t="s">
        <v>244</v>
      </c>
      <c r="B27" s="151"/>
      <c r="C27" s="151"/>
      <c r="D27" s="151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 x14ac:dyDescent="0.25">
      <c r="A28" s="152" t="s">
        <v>245</v>
      </c>
      <c r="B28" s="153"/>
      <c r="C28" s="153"/>
      <c r="D28" s="153"/>
      <c r="E28" s="16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0" t="s">
        <v>241</v>
      </c>
      <c r="B41" s="151"/>
      <c r="C41" s="151"/>
      <c r="D41" s="151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0" t="s">
        <v>244</v>
      </c>
      <c r="B54" s="151"/>
      <c r="C54" s="151"/>
      <c r="D54" s="151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 x14ac:dyDescent="0.25">
      <c r="A55" s="152" t="s">
        <v>245</v>
      </c>
      <c r="B55" s="153"/>
      <c r="C55" s="153"/>
      <c r="D55" s="153"/>
      <c r="E55" s="164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0" t="s">
        <v>241</v>
      </c>
      <c r="B68" s="151"/>
      <c r="C68" s="151"/>
      <c r="D68" s="151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0" t="s">
        <v>244</v>
      </c>
      <c r="B81" s="151"/>
      <c r="C81" s="151"/>
      <c r="D81" s="151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 x14ac:dyDescent="0.25">
      <c r="A82" s="152" t="s">
        <v>245</v>
      </c>
      <c r="B82" s="153"/>
      <c r="C82" s="153"/>
      <c r="D82" s="153"/>
      <c r="E82" s="164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0" t="s">
        <v>241</v>
      </c>
      <c r="B95" s="151"/>
      <c r="C95" s="151"/>
      <c r="D95" s="151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0" t="s">
        <v>244</v>
      </c>
      <c r="B108" s="151"/>
      <c r="C108" s="151"/>
      <c r="D108" s="151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 x14ac:dyDescent="0.25">
      <c r="A109" s="152" t="s">
        <v>245</v>
      </c>
      <c r="B109" s="153"/>
      <c r="C109" s="153"/>
      <c r="D109" s="153"/>
      <c r="E109" s="164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0" t="s">
        <v>241</v>
      </c>
      <c r="B122" s="151"/>
      <c r="C122" s="151"/>
      <c r="D122" s="151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0" t="s">
        <v>244</v>
      </c>
      <c r="B135" s="151"/>
      <c r="C135" s="151"/>
      <c r="D135" s="151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 x14ac:dyDescent="0.25">
      <c r="A136" s="152" t="s">
        <v>245</v>
      </c>
      <c r="B136" s="153"/>
      <c r="C136" s="153"/>
      <c r="D136" s="153"/>
      <c r="E136" s="164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0" t="s">
        <v>241</v>
      </c>
      <c r="B149" s="151"/>
      <c r="C149" s="151"/>
      <c r="D149" s="151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0" t="s">
        <v>244</v>
      </c>
      <c r="B162" s="151"/>
      <c r="C162" s="151"/>
      <c r="D162" s="151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 x14ac:dyDescent="0.25">
      <c r="A163" s="152" t="s">
        <v>245</v>
      </c>
      <c r="B163" s="153"/>
      <c r="C163" s="153"/>
      <c r="D163" s="153"/>
      <c r="E163" s="164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0" t="s">
        <v>241</v>
      </c>
      <c r="B176" s="151"/>
      <c r="C176" s="151"/>
      <c r="D176" s="151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0" t="s">
        <v>244</v>
      </c>
      <c r="B189" s="151"/>
      <c r="C189" s="151"/>
      <c r="D189" s="151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 x14ac:dyDescent="0.25">
      <c r="A190" s="152" t="s">
        <v>245</v>
      </c>
      <c r="B190" s="153"/>
      <c r="C190" s="153"/>
      <c r="D190" s="153"/>
      <c r="E190" s="164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0" t="s">
        <v>241</v>
      </c>
      <c r="B203" s="151"/>
      <c r="C203" s="151"/>
      <c r="D203" s="151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0" t="s">
        <v>244</v>
      </c>
      <c r="B216" s="151"/>
      <c r="C216" s="151"/>
      <c r="D216" s="151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 x14ac:dyDescent="0.25">
      <c r="A217" s="152" t="s">
        <v>245</v>
      </c>
      <c r="B217" s="153"/>
      <c r="C217" s="153"/>
      <c r="D217" s="153"/>
      <c r="E217" s="164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4" t="s">
        <v>241</v>
      </c>
      <c r="B230" s="155"/>
      <c r="C230" s="155"/>
      <c r="D230" s="155"/>
      <c r="E230" s="16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0" t="s">
        <v>244</v>
      </c>
      <c r="B243" s="151"/>
      <c r="C243" s="151"/>
      <c r="D243" s="151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 x14ac:dyDescent="0.25">
      <c r="A244" s="152" t="s">
        <v>245</v>
      </c>
      <c r="B244" s="153"/>
      <c r="C244" s="153"/>
      <c r="D244" s="153"/>
      <c r="E244" s="164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0" t="s">
        <v>241</v>
      </c>
      <c r="B257" s="151"/>
      <c r="C257" s="151"/>
      <c r="D257" s="151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0" t="s">
        <v>244</v>
      </c>
      <c r="B270" s="151"/>
      <c r="C270" s="151"/>
      <c r="D270" s="151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 x14ac:dyDescent="0.25">
      <c r="A271" s="152" t="s">
        <v>245</v>
      </c>
      <c r="B271" s="153"/>
      <c r="C271" s="153"/>
      <c r="D271" s="153"/>
      <c r="E271" s="164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 x14ac:dyDescent="0.25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0" t="s">
        <v>241</v>
      </c>
      <c r="B284" s="151"/>
      <c r="C284" s="151"/>
      <c r="D284" s="151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0" t="s">
        <v>244</v>
      </c>
      <c r="B297" s="151"/>
      <c r="C297" s="151"/>
      <c r="D297" s="151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 x14ac:dyDescent="0.25">
      <c r="A298" s="152" t="s">
        <v>245</v>
      </c>
      <c r="B298" s="153"/>
      <c r="C298" s="153"/>
      <c r="D298" s="153"/>
      <c r="E298" s="164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332</v>
      </c>
      <c r="M302" s="30" t="str">
        <f t="shared" ca="1" si="63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0" t="s">
        <v>241</v>
      </c>
      <c r="B311" s="151"/>
      <c r="C311" s="151"/>
      <c r="D311" s="151"/>
      <c r="E311" s="163"/>
      <c r="F311" s="36">
        <f>SUM(F299:F310)</f>
        <v>433</v>
      </c>
      <c r="G311" s="82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 x14ac:dyDescent="0.25">
      <c r="A312" s="68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8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0" t="s">
        <v>244</v>
      </c>
      <c r="B324" s="151"/>
      <c r="C324" s="151"/>
      <c r="D324" s="151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 x14ac:dyDescent="0.25">
      <c r="A325" s="152" t="s">
        <v>245</v>
      </c>
      <c r="B325" s="153"/>
      <c r="C325" s="153"/>
      <c r="D325" s="153"/>
      <c r="E325" s="164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0" t="s">
        <v>241</v>
      </c>
      <c r="B338" s="151"/>
      <c r="C338" s="151"/>
      <c r="D338" s="151"/>
      <c r="E338" s="16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0" t="s">
        <v>244</v>
      </c>
      <c r="B351" s="151"/>
      <c r="C351" s="151"/>
      <c r="D351" s="151"/>
      <c r="E351" s="16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 x14ac:dyDescent="0.25">
      <c r="A352" s="152" t="s">
        <v>245</v>
      </c>
      <c r="B352" s="153"/>
      <c r="C352" s="153"/>
      <c r="D352" s="153"/>
      <c r="E352" s="16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0" t="s">
        <v>241</v>
      </c>
      <c r="B365" s="151"/>
      <c r="C365" s="151"/>
      <c r="D365" s="151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0" t="s">
        <v>244</v>
      </c>
      <c r="B378" s="151"/>
      <c r="C378" s="151"/>
      <c r="D378" s="151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 x14ac:dyDescent="0.25">
      <c r="A379" s="152" t="s">
        <v>245</v>
      </c>
      <c r="B379" s="153"/>
      <c r="C379" s="153"/>
      <c r="D379" s="153"/>
      <c r="E379" s="16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0" t="s">
        <v>241</v>
      </c>
      <c r="B392" s="151"/>
      <c r="C392" s="151"/>
      <c r="D392" s="151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0" t="s">
        <v>244</v>
      </c>
      <c r="B405" s="151"/>
      <c r="C405" s="151"/>
      <c r="D405" s="151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 x14ac:dyDescent="0.25">
      <c r="A406" s="152" t="s">
        <v>245</v>
      </c>
      <c r="B406" s="153"/>
      <c r="C406" s="153"/>
      <c r="D406" s="153"/>
      <c r="E406" s="16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0" t="s">
        <v>241</v>
      </c>
      <c r="B419" s="151"/>
      <c r="C419" s="151"/>
      <c r="D419" s="151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0" t="s">
        <v>244</v>
      </c>
      <c r="B432" s="151"/>
      <c r="C432" s="151"/>
      <c r="D432" s="151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 x14ac:dyDescent="0.25">
      <c r="A433" s="152" t="s">
        <v>245</v>
      </c>
      <c r="B433" s="153"/>
      <c r="C433" s="153"/>
      <c r="D433" s="153"/>
      <c r="E433" s="16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0" t="s">
        <v>241</v>
      </c>
      <c r="B446" s="151"/>
      <c r="C446" s="151"/>
      <c r="D446" s="151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0" t="s">
        <v>244</v>
      </c>
      <c r="B459" s="151"/>
      <c r="C459" s="151"/>
      <c r="D459" s="151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 x14ac:dyDescent="0.25">
      <c r="A460" s="152" t="s">
        <v>245</v>
      </c>
      <c r="B460" s="153"/>
      <c r="C460" s="153"/>
      <c r="D460" s="153"/>
      <c r="E460" s="16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0" t="s">
        <v>241</v>
      </c>
      <c r="B473" s="151"/>
      <c r="C473" s="151"/>
      <c r="D473" s="151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0" t="s">
        <v>244</v>
      </c>
      <c r="B486" s="151"/>
      <c r="C486" s="151"/>
      <c r="D486" s="151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 x14ac:dyDescent="0.25">
      <c r="A487" s="152" t="s">
        <v>245</v>
      </c>
      <c r="B487" s="153"/>
      <c r="C487" s="153"/>
      <c r="D487" s="153"/>
      <c r="E487" s="16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0" t="s">
        <v>241</v>
      </c>
      <c r="B500" s="151"/>
      <c r="C500" s="151"/>
      <c r="D500" s="151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0" t="s">
        <v>244</v>
      </c>
      <c r="B513" s="151"/>
      <c r="C513" s="151"/>
      <c r="D513" s="151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 x14ac:dyDescent="0.25">
      <c r="A514" s="152" t="s">
        <v>245</v>
      </c>
      <c r="B514" s="153"/>
      <c r="C514" s="153"/>
      <c r="D514" s="153"/>
      <c r="E514" s="16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0" t="s">
        <v>241</v>
      </c>
      <c r="B527" s="151"/>
      <c r="C527" s="151"/>
      <c r="D527" s="151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0" t="s">
        <v>244</v>
      </c>
      <c r="B540" s="151"/>
      <c r="C540" s="151"/>
      <c r="D540" s="151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 x14ac:dyDescent="0.25">
      <c r="A541" s="152" t="s">
        <v>245</v>
      </c>
      <c r="B541" s="153"/>
      <c r="C541" s="153"/>
      <c r="D541" s="153"/>
      <c r="E541" s="16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0" t="s">
        <v>241</v>
      </c>
      <c r="B554" s="151"/>
      <c r="C554" s="151"/>
      <c r="D554" s="151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0" t="s">
        <v>244</v>
      </c>
      <c r="B567" s="151"/>
      <c r="C567" s="151"/>
      <c r="D567" s="151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 x14ac:dyDescent="0.25">
      <c r="A568" s="152" t="s">
        <v>245</v>
      </c>
      <c r="B568" s="153"/>
      <c r="C568" s="153"/>
      <c r="D568" s="153"/>
      <c r="E568" s="16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0" t="s">
        <v>241</v>
      </c>
      <c r="B581" s="151"/>
      <c r="C581" s="151"/>
      <c r="D581" s="151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0" t="s">
        <v>244</v>
      </c>
      <c r="B594" s="151"/>
      <c r="C594" s="151"/>
      <c r="D594" s="151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 x14ac:dyDescent="0.25">
      <c r="A595" s="152" t="s">
        <v>245</v>
      </c>
      <c r="B595" s="153"/>
      <c r="C595" s="153"/>
      <c r="D595" s="153"/>
      <c r="E595" s="16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0" t="s">
        <v>241</v>
      </c>
      <c r="B608" s="151"/>
      <c r="C608" s="151"/>
      <c r="D608" s="151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0" t="s">
        <v>244</v>
      </c>
      <c r="B621" s="151"/>
      <c r="C621" s="151"/>
      <c r="D621" s="151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 x14ac:dyDescent="0.25">
      <c r="A622" s="152" t="s">
        <v>245</v>
      </c>
      <c r="B622" s="153"/>
      <c r="C622" s="153"/>
      <c r="D622" s="153"/>
      <c r="E622" s="16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0" t="s">
        <v>241</v>
      </c>
      <c r="B635" s="151"/>
      <c r="C635" s="151"/>
      <c r="D635" s="151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0" t="s">
        <v>244</v>
      </c>
      <c r="B648" s="151"/>
      <c r="C648" s="151"/>
      <c r="D648" s="151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 x14ac:dyDescent="0.25">
      <c r="A649" s="152" t="s">
        <v>245</v>
      </c>
      <c r="B649" s="153"/>
      <c r="C649" s="153"/>
      <c r="D649" s="153"/>
      <c r="E649" s="16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0" t="s">
        <v>241</v>
      </c>
      <c r="B662" s="151"/>
      <c r="C662" s="151"/>
      <c r="D662" s="151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0" t="s">
        <v>244</v>
      </c>
      <c r="B675" s="151"/>
      <c r="C675" s="151"/>
      <c r="D675" s="151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 x14ac:dyDescent="0.25">
      <c r="A676" s="152" t="s">
        <v>245</v>
      </c>
      <c r="B676" s="153"/>
      <c r="C676" s="153"/>
      <c r="D676" s="153"/>
      <c r="E676" s="16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0" t="s">
        <v>241</v>
      </c>
      <c r="B689" s="151"/>
      <c r="C689" s="151"/>
      <c r="D689" s="151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0" t="s">
        <v>244</v>
      </c>
      <c r="B702" s="151"/>
      <c r="C702" s="151"/>
      <c r="D702" s="151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 x14ac:dyDescent="0.25">
      <c r="A703" s="152" t="s">
        <v>245</v>
      </c>
      <c r="B703" s="153"/>
      <c r="C703" s="153"/>
      <c r="D703" s="153"/>
      <c r="E703" s="16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0" t="s">
        <v>241</v>
      </c>
      <c r="B716" s="151"/>
      <c r="C716" s="151"/>
      <c r="D716" s="151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0" t="s">
        <v>244</v>
      </c>
      <c r="B729" s="151"/>
      <c r="C729" s="151"/>
      <c r="D729" s="151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 x14ac:dyDescent="0.25">
      <c r="A730" s="152" t="s">
        <v>245</v>
      </c>
      <c r="B730" s="153"/>
      <c r="C730" s="153"/>
      <c r="D730" s="153"/>
      <c r="E730" s="16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0" t="s">
        <v>241</v>
      </c>
      <c r="B743" s="151"/>
      <c r="C743" s="151"/>
      <c r="D743" s="151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0" t="s">
        <v>244</v>
      </c>
      <c r="B756" s="151"/>
      <c r="C756" s="151"/>
      <c r="D756" s="151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 x14ac:dyDescent="0.25">
      <c r="A757" s="152" t="s">
        <v>245</v>
      </c>
      <c r="B757" s="153"/>
      <c r="C757" s="153"/>
      <c r="D757" s="153"/>
      <c r="E757" s="16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0" t="s">
        <v>241</v>
      </c>
      <c r="B770" s="151"/>
      <c r="C770" s="151"/>
      <c r="D770" s="151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0" t="s">
        <v>244</v>
      </c>
      <c r="B783" s="151"/>
      <c r="C783" s="151"/>
      <c r="D783" s="151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 x14ac:dyDescent="0.25">
      <c r="A784" s="152" t="s">
        <v>245</v>
      </c>
      <c r="B784" s="153"/>
      <c r="C784" s="153"/>
      <c r="D784" s="153"/>
      <c r="E784" s="16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0" t="s">
        <v>241</v>
      </c>
      <c r="B797" s="151"/>
      <c r="C797" s="151"/>
      <c r="D797" s="151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0" t="s">
        <v>244</v>
      </c>
      <c r="B810" s="151"/>
      <c r="C810" s="151"/>
      <c r="D810" s="151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 x14ac:dyDescent="0.25">
      <c r="A811" s="166" t="s">
        <v>245</v>
      </c>
      <c r="B811" s="167"/>
      <c r="C811" s="167"/>
      <c r="D811" s="167"/>
      <c r="E811" s="168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0" t="s">
        <v>241</v>
      </c>
      <c r="B824" s="151"/>
      <c r="C824" s="151"/>
      <c r="D824" s="151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0" t="s">
        <v>244</v>
      </c>
      <c r="B837" s="151"/>
      <c r="C837" s="151"/>
      <c r="D837" s="151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 x14ac:dyDescent="0.25">
      <c r="A838" s="152" t="s">
        <v>245</v>
      </c>
      <c r="B838" s="153"/>
      <c r="C838" s="153"/>
      <c r="D838" s="153"/>
      <c r="E838" s="16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291" activePane="bottomLeft" state="frozen"/>
      <selection pane="bottomLeft" activeCell="S319" sqref="S319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263</v>
      </c>
      <c r="I1" s="134" t="s">
        <v>18</v>
      </c>
      <c r="J1" s="134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265</v>
      </c>
      <c r="S2" s="31"/>
    </row>
    <row r="3" spans="1:20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266</v>
      </c>
      <c r="S5" s="31"/>
    </row>
    <row r="6" spans="1:20" ht="15" customHeight="1" x14ac:dyDescent="0.25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267</v>
      </c>
      <c r="S6" s="31"/>
    </row>
    <row r="7" spans="1:20" ht="15" customHeight="1" x14ac:dyDescent="0.25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0" t="s">
        <v>241</v>
      </c>
      <c r="B14" s="151"/>
      <c r="C14" s="151"/>
      <c r="D14" s="151"/>
      <c r="E14" s="151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268</v>
      </c>
      <c r="S19" s="31"/>
    </row>
    <row r="20" spans="1:20" ht="15" customHeight="1" x14ac:dyDescent="0.25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269</v>
      </c>
      <c r="S20" s="31"/>
    </row>
    <row r="21" spans="1:20" ht="15" customHeight="1" x14ac:dyDescent="0.25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0" t="s">
        <v>244</v>
      </c>
      <c r="B27" s="151"/>
      <c r="C27" s="151"/>
      <c r="D27" s="151"/>
      <c r="E27" s="151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 x14ac:dyDescent="0.25">
      <c r="A28" s="152" t="s">
        <v>245</v>
      </c>
      <c r="B28" s="153"/>
      <c r="C28" s="153"/>
      <c r="D28" s="153"/>
      <c r="E28" s="153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0" t="s">
        <v>241</v>
      </c>
      <c r="B41" s="151"/>
      <c r="C41" s="151"/>
      <c r="D41" s="151"/>
      <c r="E41" s="151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 x14ac:dyDescent="0.25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270</v>
      </c>
      <c r="S48" s="31"/>
    </row>
    <row r="49" spans="1:20" ht="15" customHeight="1" x14ac:dyDescent="0.25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271</v>
      </c>
      <c r="S49" s="31"/>
    </row>
    <row r="50" spans="1:20" ht="15" customHeight="1" x14ac:dyDescent="0.25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272</v>
      </c>
      <c r="S52" s="31"/>
    </row>
    <row r="53" spans="1:20" ht="15" customHeight="1" thickBot="1" x14ac:dyDescent="0.3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0.19526874999428401</v>
      </c>
      <c r="R53" s="46" t="s">
        <v>273</v>
      </c>
      <c r="S53" s="31"/>
    </row>
    <row r="54" spans="1:20" ht="15.75" customHeight="1" thickBot="1" x14ac:dyDescent="0.3">
      <c r="A54" s="150" t="s">
        <v>244</v>
      </c>
      <c r="B54" s="151"/>
      <c r="C54" s="151"/>
      <c r="D54" s="151"/>
      <c r="E54" s="151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0.3341576388831729</v>
      </c>
      <c r="R54" s="36" t="s">
        <v>242</v>
      </c>
      <c r="S54" s="76">
        <v>352430</v>
      </c>
      <c r="T54" s="118"/>
    </row>
    <row r="55" spans="1:20" ht="18" customHeight="1" x14ac:dyDescent="0.25">
      <c r="A55" s="152" t="s">
        <v>245</v>
      </c>
      <c r="B55" s="153"/>
      <c r="C55" s="153"/>
      <c r="D55" s="153"/>
      <c r="E55" s="153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0.41887986110539521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 x14ac:dyDescent="0.25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265</v>
      </c>
      <c r="S63" s="31"/>
    </row>
    <row r="64" spans="1:20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0" t="s">
        <v>241</v>
      </c>
      <c r="B68" s="151"/>
      <c r="C68" s="151"/>
      <c r="D68" s="151"/>
      <c r="E68" s="151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274</v>
      </c>
      <c r="S76" s="31"/>
    </row>
    <row r="77" spans="1:20" ht="15" customHeight="1" x14ac:dyDescent="0.25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0" t="s">
        <v>244</v>
      </c>
      <c r="B81" s="151"/>
      <c r="C81" s="151"/>
      <c r="D81" s="151"/>
      <c r="E81" s="151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 x14ac:dyDescent="0.25">
      <c r="A82" s="152" t="s">
        <v>245</v>
      </c>
      <c r="B82" s="153"/>
      <c r="C82" s="153"/>
      <c r="D82" s="153"/>
      <c r="E82" s="153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 x14ac:dyDescent="0.25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0" t="s">
        <v>241</v>
      </c>
      <c r="B95" s="151"/>
      <c r="C95" s="151"/>
      <c r="D95" s="151"/>
      <c r="E95" s="151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275</v>
      </c>
      <c r="Q96" s="30" t="str">
        <f t="shared" ref="Q96:Q107" ca="1" si="22">IFERROR(IF(O96="","",IF(P96="",MOD(NOW()-O96,1),IF(P96&gt;=O96,P96-O96,P96+1-O96))),"")</f>
        <v/>
      </c>
      <c r="R96" s="46" t="s">
        <v>276</v>
      </c>
      <c r="S96" s="31"/>
    </row>
    <row r="97" spans="1:20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277</v>
      </c>
      <c r="S98" s="31"/>
    </row>
    <row r="99" spans="1:20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278</v>
      </c>
      <c r="S99" s="31"/>
    </row>
    <row r="100" spans="1:20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0" t="s">
        <v>244</v>
      </c>
      <c r="B108" s="151"/>
      <c r="C108" s="151"/>
      <c r="D108" s="151"/>
      <c r="E108" s="151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 x14ac:dyDescent="0.25">
      <c r="A109" s="152" t="s">
        <v>245</v>
      </c>
      <c r="B109" s="153"/>
      <c r="C109" s="153"/>
      <c r="D109" s="153"/>
      <c r="E109" s="153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279</v>
      </c>
      <c r="S111" s="31"/>
    </row>
    <row r="112" spans="1:20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0" t="s">
        <v>241</v>
      </c>
      <c r="B122" s="151"/>
      <c r="C122" s="151"/>
      <c r="D122" s="151"/>
      <c r="E122" s="151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0" t="s">
        <v>244</v>
      </c>
      <c r="B135" s="151"/>
      <c r="C135" s="151"/>
      <c r="D135" s="151"/>
      <c r="E135" s="151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 x14ac:dyDescent="0.25">
      <c r="A136" s="152" t="s">
        <v>245</v>
      </c>
      <c r="B136" s="153"/>
      <c r="C136" s="153"/>
      <c r="D136" s="153"/>
      <c r="E136" s="153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280</v>
      </c>
      <c r="S139" s="31"/>
    </row>
    <row r="140" spans="1:20" ht="15" customHeight="1" x14ac:dyDescent="0.25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281</v>
      </c>
      <c r="S141" s="31"/>
    </row>
    <row r="142" spans="1:20" ht="15" customHeight="1" x14ac:dyDescent="0.25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282</v>
      </c>
      <c r="S145" s="31"/>
    </row>
    <row r="146" spans="1:20" ht="15" customHeight="1" x14ac:dyDescent="0.25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0" t="s">
        <v>241</v>
      </c>
      <c r="B149" s="151"/>
      <c r="C149" s="151"/>
      <c r="D149" s="151"/>
      <c r="E149" s="151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283</v>
      </c>
      <c r="S151" s="31"/>
    </row>
    <row r="152" spans="1:20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0" t="s">
        <v>244</v>
      </c>
      <c r="B162" s="151"/>
      <c r="C162" s="151"/>
      <c r="D162" s="151"/>
      <c r="E162" s="151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 x14ac:dyDescent="0.25">
      <c r="A163" s="152" t="s">
        <v>245</v>
      </c>
      <c r="B163" s="153"/>
      <c r="C163" s="153"/>
      <c r="D163" s="153"/>
      <c r="E163" s="153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0" t="s">
        <v>241</v>
      </c>
      <c r="B176" s="151"/>
      <c r="C176" s="151"/>
      <c r="D176" s="151"/>
      <c r="E176" s="151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284</v>
      </c>
      <c r="S181" s="31"/>
    </row>
    <row r="182" spans="1:20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281</v>
      </c>
      <c r="S182" s="31"/>
    </row>
    <row r="183" spans="1:20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285</v>
      </c>
      <c r="S183" s="31"/>
    </row>
    <row r="184" spans="1:20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0" t="s">
        <v>244</v>
      </c>
      <c r="B189" s="151"/>
      <c r="C189" s="151"/>
      <c r="D189" s="151"/>
      <c r="E189" s="151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 x14ac:dyDescent="0.25">
      <c r="A190" s="152" t="s">
        <v>245</v>
      </c>
      <c r="B190" s="153"/>
      <c r="C190" s="153"/>
      <c r="D190" s="153"/>
      <c r="E190" s="153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286</v>
      </c>
      <c r="S191" s="31"/>
    </row>
    <row r="192" spans="1:20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279</v>
      </c>
      <c r="S195" s="31"/>
    </row>
    <row r="196" spans="1:20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0" t="s">
        <v>241</v>
      </c>
      <c r="B203" s="151"/>
      <c r="C203" s="151"/>
      <c r="D203" s="151"/>
      <c r="E203" s="151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0" t="s">
        <v>244</v>
      </c>
      <c r="B216" s="151"/>
      <c r="C216" s="151"/>
      <c r="D216" s="151"/>
      <c r="E216" s="151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 x14ac:dyDescent="0.25">
      <c r="A217" s="152" t="s">
        <v>245</v>
      </c>
      <c r="B217" s="153"/>
      <c r="C217" s="153"/>
      <c r="D217" s="153"/>
      <c r="E217" s="153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274</v>
      </c>
      <c r="S218" s="47"/>
    </row>
    <row r="219" spans="1:20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287</v>
      </c>
      <c r="S221" s="47"/>
    </row>
    <row r="222" spans="1:20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288</v>
      </c>
      <c r="S223" s="47"/>
    </row>
    <row r="224" spans="1:20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289</v>
      </c>
      <c r="S224" s="47"/>
    </row>
    <row r="225" spans="1:20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4" t="s">
        <v>241</v>
      </c>
      <c r="B230" s="155"/>
      <c r="C230" s="155"/>
      <c r="D230" s="155"/>
      <c r="E230" s="155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0" t="s">
        <v>244</v>
      </c>
      <c r="B243" s="151"/>
      <c r="C243" s="151"/>
      <c r="D243" s="151"/>
      <c r="E243" s="151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 x14ac:dyDescent="0.25">
      <c r="A244" s="152" t="s">
        <v>245</v>
      </c>
      <c r="B244" s="153"/>
      <c r="C244" s="153"/>
      <c r="D244" s="153"/>
      <c r="E244" s="153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0" t="s">
        <v>241</v>
      </c>
      <c r="B257" s="151"/>
      <c r="C257" s="151"/>
      <c r="D257" s="151"/>
      <c r="E257" s="151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 x14ac:dyDescent="0.25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0" t="s">
        <v>244</v>
      </c>
      <c r="B270" s="151"/>
      <c r="C270" s="151"/>
      <c r="D270" s="151"/>
      <c r="E270" s="151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 x14ac:dyDescent="0.25">
      <c r="A271" s="152" t="s">
        <v>245</v>
      </c>
      <c r="B271" s="153"/>
      <c r="C271" s="153"/>
      <c r="D271" s="153"/>
      <c r="E271" s="153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0" t="s">
        <v>241</v>
      </c>
      <c r="B284" s="151"/>
      <c r="C284" s="151"/>
      <c r="D284" s="151"/>
      <c r="E284" s="151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 x14ac:dyDescent="0.25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0" t="s">
        <v>244</v>
      </c>
      <c r="B297" s="151"/>
      <c r="C297" s="151"/>
      <c r="D297" s="151"/>
      <c r="E297" s="151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 x14ac:dyDescent="0.25">
      <c r="A298" s="152" t="s">
        <v>245</v>
      </c>
      <c r="B298" s="153"/>
      <c r="C298" s="153"/>
      <c r="D298" s="153"/>
      <c r="E298" s="153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v>37.800000000000004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5.2164000000000001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v>84</v>
      </c>
      <c r="I300" s="136">
        <f>IFERROR(IF($D300="","",VLOOKUP($D300,Cadastro!$C$4:$G$7,5,FALSE)),"")</f>
        <v>0.6</v>
      </c>
      <c r="J300" s="137">
        <f t="shared" si="66"/>
        <v>11.592000000000001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v>84</v>
      </c>
      <c r="I301" s="136">
        <f>IFERROR(IF($D301="","",VLOOKUP($D301,Cadastro!$C$4:$G$7,5,FALSE)),"")</f>
        <v>0.6</v>
      </c>
      <c r="J301" s="137">
        <f t="shared" si="66"/>
        <v>11.592000000000001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v>71.400000000000006</v>
      </c>
      <c r="I302" s="136">
        <f>IFERROR(IF($D302="","",VLOOKUP($D302,Cadastro!$C$4:$G$7,5,FALSE)),"")</f>
        <v>0.6</v>
      </c>
      <c r="J302" s="137">
        <f t="shared" si="66"/>
        <v>9.8531999999999993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v>63</v>
      </c>
      <c r="I303" s="136">
        <f>IFERROR(IF($D303="","",VLOOKUP($D303,Cadastro!$C$4:$G$7,5,FALSE)),"")</f>
        <v>0.6</v>
      </c>
      <c r="J303" s="137">
        <f t="shared" si="66"/>
        <v>8.6939999999999991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v>67.2</v>
      </c>
      <c r="I304" s="136">
        <f>IFERROR(IF($D304="","",VLOOKUP($D304,Cadastro!$C$4:$G$7,5,FALSE)),"")</f>
        <v>0.6</v>
      </c>
      <c r="J304" s="137">
        <f t="shared" si="66"/>
        <v>9.2736000000000001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v>54.6</v>
      </c>
      <c r="I305" s="136">
        <f>IFERROR(IF($D305="","",VLOOKUP($D305,Cadastro!$C$4:$G$7,5,FALSE)),"")</f>
        <v>0.6</v>
      </c>
      <c r="J305" s="137">
        <f t="shared" si="66"/>
        <v>7.5348000000000006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>
        <v>20</v>
      </c>
      <c r="H306" s="135">
        <v>84</v>
      </c>
      <c r="I306" s="136">
        <f>IFERROR(IF($D306="","",VLOOKUP($D306,Cadastro!$C$4:$G$7,5,FALSE)),"")</f>
        <v>0.6</v>
      </c>
      <c r="J306" s="137">
        <f t="shared" si="66"/>
        <v>11.592000000000001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>
        <v>16</v>
      </c>
      <c r="H307" s="135">
        <v>67.2</v>
      </c>
      <c r="I307" s="136">
        <f>IFERROR(IF($D307="","",VLOOKUP($D307,Cadastro!$C$4:$G$7,5,FALSE)),"")</f>
        <v>0.6</v>
      </c>
      <c r="J307" s="137">
        <f t="shared" si="66"/>
        <v>9.2736000000000001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>
        <v>14</v>
      </c>
      <c r="H308" s="135">
        <v>58.800000000000004</v>
      </c>
      <c r="I308" s="136">
        <f>IFERROR(IF($D308="","",VLOOKUP($D308,Cadastro!$C$4:$G$7,5,FALSE)),"")</f>
        <v>0.6</v>
      </c>
      <c r="J308" s="137">
        <f t="shared" si="66"/>
        <v>8.1143999999999998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>
        <v>4</v>
      </c>
      <c r="H309" s="135">
        <v>16.8</v>
      </c>
      <c r="I309" s="136">
        <f>IFERROR(IF($D309="","",VLOOKUP($D309,Cadastro!$C$4:$G$7,5,FALSE)),"")</f>
        <v>0.6</v>
      </c>
      <c r="J309" s="137">
        <f t="shared" si="66"/>
        <v>2.3184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>
        <v>5</v>
      </c>
      <c r="H310" s="138">
        <v>21</v>
      </c>
      <c r="I310" s="139">
        <f>IFERROR(IF($D310="","",VLOOKUP($D310,Cadastro!$C$4:$G$7,5,FALSE)),"")</f>
        <v>0.6</v>
      </c>
      <c r="J310" s="140">
        <f t="shared" si="66"/>
        <v>2.8980000000000001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0" t="s">
        <v>241</v>
      </c>
      <c r="B311" s="151"/>
      <c r="C311" s="151"/>
      <c r="D311" s="151"/>
      <c r="E311" s="151">
        <f>SUM(E299:E310)</f>
        <v>0</v>
      </c>
      <c r="F311" s="111"/>
      <c r="G311" s="81">
        <f>SUM(G299:G310)</f>
        <v>169</v>
      </c>
      <c r="H311" s="111">
        <f>IFERROR(SUM(H299:H310),"")</f>
        <v>709.8</v>
      </c>
      <c r="I311" s="115"/>
      <c r="J311" s="124">
        <f>IFERROR(SUM(J299:J310),"")</f>
        <v>97.952399999999997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69">
        <v>754870</v>
      </c>
      <c r="T311" s="123">
        <f>IFERROR(J311,"")</f>
        <v>97.952399999999997</v>
      </c>
    </row>
    <row r="312" spans="1:20" ht="15" customHeight="1" x14ac:dyDescent="0.25">
      <c r="A312" s="68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1">
        <f>IFERROR(IF($D312="","",VLOOKUP($D312,Cadastro!$C$4:$E$7,3,FALSE)),"")</f>
        <v>0.23</v>
      </c>
      <c r="G312" s="27">
        <v>22</v>
      </c>
      <c r="H312" s="28" t="str">
        <f t="shared" ref="H312:H323" si="70">IF(G312="","",IF(F312="PC 17",G312*4.2,IF(F312="PC 19",G312*5,IF(F312="CB",G312*24,""))))</f>
        <v/>
      </c>
      <c r="I312" s="142">
        <f>IFERROR(IF($D312="","",VLOOKUP($D312,Cadastro!$C$4:$G$7,5,FALSE)),"")</f>
        <v>0.6</v>
      </c>
      <c r="J312" s="143" t="str">
        <f t="shared" ref="J312:J323" si="71">IFERROR(IF($H312="","",$H312*$F312*$I312),"")</f>
        <v/>
      </c>
      <c r="K312" s="28">
        <f t="shared" ref="K312:K323" si="72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3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9">
        <v>46246</v>
      </c>
      <c r="B313" s="32">
        <f t="shared" ref="B313:B323" si="74">B312+TIME(0,60,0)</f>
        <v>0.87499999999999967</v>
      </c>
      <c r="C313" s="26" t="s">
        <v>26</v>
      </c>
      <c r="D313" s="62" t="s">
        <v>35</v>
      </c>
      <c r="E313" s="62" t="s">
        <v>256</v>
      </c>
      <c r="F313" s="135">
        <f>IFERROR(IF($D313="","",VLOOKUP($D313,Cadastro!$C$4:$E$7,3,FALSE)),"")</f>
        <v>0.23</v>
      </c>
      <c r="G313" s="27">
        <v>13</v>
      </c>
      <c r="H313" s="34" t="str">
        <f t="shared" si="70"/>
        <v/>
      </c>
      <c r="I313" s="136">
        <f>IFERROR(IF($D313="","",VLOOKUP($D313,Cadastro!$C$4:$G$7,5,FALSE)),"")</f>
        <v>0.6</v>
      </c>
      <c r="J313" s="137" t="str">
        <f t="shared" si="71"/>
        <v/>
      </c>
      <c r="K313" s="34">
        <f t="shared" si="72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3"/>
        <v>1.388888888888884E-2</v>
      </c>
      <c r="R313" s="46"/>
      <c r="S313" s="47"/>
    </row>
    <row r="314" spans="1:20" ht="15" customHeight="1" x14ac:dyDescent="0.25">
      <c r="A314" s="68">
        <v>46246</v>
      </c>
      <c r="B314" s="25">
        <f t="shared" si="74"/>
        <v>0.9166666666666663</v>
      </c>
      <c r="C314" s="26" t="s">
        <v>26</v>
      </c>
      <c r="D314" s="62" t="s">
        <v>35</v>
      </c>
      <c r="E314" s="62" t="s">
        <v>256</v>
      </c>
      <c r="F314" s="135">
        <f>IFERROR(IF($D314="","",VLOOKUP($D314,Cadastro!$C$4:$E$7,3,FALSE)),"")</f>
        <v>0.23</v>
      </c>
      <c r="G314" s="27">
        <v>16</v>
      </c>
      <c r="H314" s="28" t="str">
        <f t="shared" si="70"/>
        <v/>
      </c>
      <c r="I314" s="136">
        <f>IFERROR(IF($D314="","",VLOOKUP($D314,Cadastro!$C$4:$G$7,5,FALSE)),"")</f>
        <v>0.6</v>
      </c>
      <c r="J314" s="137" t="str">
        <f t="shared" si="71"/>
        <v/>
      </c>
      <c r="K314" s="28">
        <f t="shared" si="72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3"/>
        <v>1.7361111111111049E-2</v>
      </c>
      <c r="R314" s="46"/>
      <c r="S314" s="47"/>
    </row>
    <row r="315" spans="1:20" ht="15" customHeight="1" x14ac:dyDescent="0.25">
      <c r="A315" s="69">
        <v>46246</v>
      </c>
      <c r="B315" s="32">
        <f t="shared" si="74"/>
        <v>0.95833333333333293</v>
      </c>
      <c r="C315" s="26" t="s">
        <v>26</v>
      </c>
      <c r="D315" s="62" t="s">
        <v>35</v>
      </c>
      <c r="E315" s="62" t="s">
        <v>256</v>
      </c>
      <c r="F315" s="135">
        <f>IFERROR(IF($D315="","",VLOOKUP($D315,Cadastro!$C$4:$E$7,3,FALSE)),"")</f>
        <v>0.23</v>
      </c>
      <c r="G315" s="27">
        <v>6</v>
      </c>
      <c r="H315" s="34" t="str">
        <f t="shared" si="70"/>
        <v/>
      </c>
      <c r="I315" s="136">
        <f>IFERROR(IF($D315="","",VLOOKUP($D315,Cadastro!$C$4:$G$7,5,FALSE)),"")</f>
        <v>0.6</v>
      </c>
      <c r="J315" s="137" t="str">
        <f t="shared" si="71"/>
        <v/>
      </c>
      <c r="K315" s="34">
        <f t="shared" si="72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3"/>
        <v>3.4722222222222238E-3</v>
      </c>
      <c r="R315" s="46"/>
      <c r="S315" s="47"/>
    </row>
    <row r="316" spans="1:20" ht="15" customHeight="1" x14ac:dyDescent="0.25">
      <c r="A316" s="68">
        <v>46246</v>
      </c>
      <c r="B316" s="25">
        <f t="shared" si="74"/>
        <v>0.99999999999999956</v>
      </c>
      <c r="C316" s="26" t="s">
        <v>26</v>
      </c>
      <c r="D316" s="62" t="s">
        <v>35</v>
      </c>
      <c r="E316" s="62" t="s">
        <v>256</v>
      </c>
      <c r="F316" s="135">
        <f>IFERROR(IF($D316="","",VLOOKUP($D316,Cadastro!$C$4:$E$7,3,FALSE)),"")</f>
        <v>0.23</v>
      </c>
      <c r="G316" s="27">
        <v>20</v>
      </c>
      <c r="H316" s="170" t="str">
        <f>IF(G316="","",IF(F316="PC 17",G316*4.2,IF(F316="PC 19",G316*5,IF(F316="CB",G316*24,""))))</f>
        <v/>
      </c>
      <c r="I316" s="136">
        <f>IFERROR(IF($D316="","",VLOOKUP($D316,Cadastro!$C$4:$G$7,5,FALSE)),"")</f>
        <v>0.6</v>
      </c>
      <c r="J316" s="137" t="str">
        <f t="shared" si="71"/>
        <v/>
      </c>
      <c r="K316" s="28">
        <f t="shared" si="72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3"/>
        <v>2.0138888888888887E-2</v>
      </c>
      <c r="R316" s="46"/>
      <c r="S316" s="47"/>
    </row>
    <row r="317" spans="1:20" ht="15" customHeight="1" x14ac:dyDescent="0.25">
      <c r="A317" s="69">
        <v>46246</v>
      </c>
      <c r="B317" s="32">
        <f t="shared" si="74"/>
        <v>1.0416666666666663</v>
      </c>
      <c r="C317" s="26" t="s">
        <v>26</v>
      </c>
      <c r="D317" s="62" t="s">
        <v>35</v>
      </c>
      <c r="E317" s="62" t="s">
        <v>256</v>
      </c>
      <c r="F317" s="135">
        <f>IFERROR(IF($D317="","",VLOOKUP($D317,Cadastro!$C$4:$E$7,3,FALSE)),"")</f>
        <v>0.23</v>
      </c>
      <c r="G317" s="27">
        <v>18</v>
      </c>
      <c r="H317" s="34" t="str">
        <f t="shared" si="70"/>
        <v/>
      </c>
      <c r="I317" s="136">
        <f>IFERROR(IF($D317="","",VLOOKUP($D317,Cadastro!$C$4:$G$7,5,FALSE)),"")</f>
        <v>0.6</v>
      </c>
      <c r="J317" s="137" t="str">
        <f t="shared" si="71"/>
        <v/>
      </c>
      <c r="K317" s="34">
        <f t="shared" si="72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3"/>
        <v>6.9444444444444198E-3</v>
      </c>
      <c r="R317" s="46"/>
      <c r="S317" s="47"/>
    </row>
    <row r="318" spans="1:20" ht="15" customHeight="1" x14ac:dyDescent="0.25">
      <c r="A318" s="68">
        <v>46246</v>
      </c>
      <c r="B318" s="25">
        <f t="shared" si="74"/>
        <v>1.083333333333333</v>
      </c>
      <c r="C318" s="26" t="s">
        <v>26</v>
      </c>
      <c r="D318" s="62" t="s">
        <v>35</v>
      </c>
      <c r="E318" s="62" t="s">
        <v>256</v>
      </c>
      <c r="F318" s="135">
        <f>IFERROR(IF($D318="","",VLOOKUP($D318,Cadastro!$C$4:$E$7,3,FALSE)),"")</f>
        <v>0.23</v>
      </c>
      <c r="G318" s="27">
        <v>16</v>
      </c>
      <c r="H318" s="170" t="str">
        <f t="shared" si="70"/>
        <v/>
      </c>
      <c r="I318" s="136">
        <f>IFERROR(IF($D318="","",VLOOKUP($D318,Cadastro!$C$4:$G$7,5,FALSE)),"")</f>
        <v>0.6</v>
      </c>
      <c r="J318" s="137" t="str">
        <f t="shared" si="71"/>
        <v/>
      </c>
      <c r="K318" s="28">
        <f t="shared" si="72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3"/>
        <v>7.6388888888888895E-3</v>
      </c>
      <c r="R318" s="46"/>
      <c r="S318" s="47"/>
    </row>
    <row r="319" spans="1:20" ht="15" customHeight="1" x14ac:dyDescent="0.25">
      <c r="A319" s="69">
        <v>46246</v>
      </c>
      <c r="B319" s="32">
        <f t="shared" si="74"/>
        <v>1.1249999999999998</v>
      </c>
      <c r="C319" s="26" t="s">
        <v>26</v>
      </c>
      <c r="D319" s="62" t="s">
        <v>35</v>
      </c>
      <c r="E319" s="62" t="s">
        <v>256</v>
      </c>
      <c r="F319" s="135">
        <f>IFERROR(IF($D319="","",VLOOKUP($D319,Cadastro!$C$4:$E$7,3,FALSE)),"")</f>
        <v>0.23</v>
      </c>
      <c r="G319" s="27">
        <v>15</v>
      </c>
      <c r="H319" s="34" t="str">
        <f t="shared" si="70"/>
        <v/>
      </c>
      <c r="I319" s="136">
        <f>IFERROR(IF($D319="","",VLOOKUP($D319,Cadastro!$C$4:$G$7,5,FALSE)),"")</f>
        <v>0.6</v>
      </c>
      <c r="J319" s="137" t="str">
        <f t="shared" si="71"/>
        <v/>
      </c>
      <c r="K319" s="34">
        <f t="shared" si="72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3"/>
        <v>9.0277777777777735E-3</v>
      </c>
      <c r="R319" s="46"/>
      <c r="S319" s="47"/>
    </row>
    <row r="320" spans="1:20" ht="15" customHeight="1" x14ac:dyDescent="0.25">
      <c r="A320" s="68">
        <v>46246</v>
      </c>
      <c r="B320" s="25">
        <f t="shared" si="74"/>
        <v>1.1666666666666665</v>
      </c>
      <c r="C320" s="26" t="s">
        <v>26</v>
      </c>
      <c r="D320" s="62" t="s">
        <v>35</v>
      </c>
      <c r="E320" s="62" t="s">
        <v>256</v>
      </c>
      <c r="F320" s="135">
        <f>IFERROR(IF($D320="","",VLOOKUP($D320,Cadastro!$C$4:$E$7,3,FALSE)),"")</f>
        <v>0.23</v>
      </c>
      <c r="G320" s="27">
        <v>16</v>
      </c>
      <c r="H320" s="170" t="str">
        <f t="shared" si="70"/>
        <v/>
      </c>
      <c r="I320" s="136">
        <f>IFERROR(IF($D320="","",VLOOKUP($D320,Cadastro!$C$4:$G$7,5,FALSE)),"")</f>
        <v>0.6</v>
      </c>
      <c r="J320" s="137" t="str">
        <f t="shared" si="71"/>
        <v/>
      </c>
      <c r="K320" s="28">
        <f t="shared" si="72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3"/>
        <v>2.3611111111111138E-2</v>
      </c>
      <c r="R320" s="46"/>
      <c r="S320" s="47"/>
    </row>
    <row r="321" spans="1:20" ht="15" customHeight="1" x14ac:dyDescent="0.25">
      <c r="A321" s="69">
        <v>46246</v>
      </c>
      <c r="B321" s="32">
        <f t="shared" si="74"/>
        <v>1.2083333333333333</v>
      </c>
      <c r="C321" s="26" t="s">
        <v>26</v>
      </c>
      <c r="D321" s="62" t="s">
        <v>35</v>
      </c>
      <c r="E321" s="62" t="s">
        <v>256</v>
      </c>
      <c r="F321" s="135">
        <f>IFERROR(IF($D321="","",VLOOKUP($D321,Cadastro!$C$4:$E$7,3,FALSE)),"")</f>
        <v>0.23</v>
      </c>
      <c r="G321" s="27">
        <v>12</v>
      </c>
      <c r="H321" s="34" t="str">
        <f t="shared" si="70"/>
        <v/>
      </c>
      <c r="I321" s="136">
        <f>IFERROR(IF($D321="","",VLOOKUP($D321,Cadastro!$C$4:$G$7,5,FALSE)),"")</f>
        <v>0.6</v>
      </c>
      <c r="J321" s="137" t="str">
        <f t="shared" si="71"/>
        <v/>
      </c>
      <c r="K321" s="34">
        <f t="shared" si="72"/>
        <v>50.400000000000006</v>
      </c>
      <c r="L321" s="33"/>
      <c r="M321" s="33"/>
      <c r="N321" s="33"/>
      <c r="O321" s="29"/>
      <c r="P321" s="29"/>
      <c r="Q321" s="35" t="str">
        <f t="shared" ca="1" si="73"/>
        <v/>
      </c>
      <c r="R321" s="46"/>
      <c r="S321" s="47"/>
    </row>
    <row r="322" spans="1:20" ht="15" customHeight="1" x14ac:dyDescent="0.25">
      <c r="A322" s="68">
        <v>46246</v>
      </c>
      <c r="B322" s="25">
        <f t="shared" si="74"/>
        <v>1.25</v>
      </c>
      <c r="C322" s="26" t="s">
        <v>26</v>
      </c>
      <c r="D322" s="62" t="s">
        <v>35</v>
      </c>
      <c r="E322" s="62" t="s">
        <v>256</v>
      </c>
      <c r="F322" s="135">
        <f>IFERROR(IF($D322="","",VLOOKUP($D322,Cadastro!$C$4:$E$7,3,FALSE)),"")</f>
        <v>0.23</v>
      </c>
      <c r="G322" s="27">
        <v>10</v>
      </c>
      <c r="H322" s="170" t="str">
        <f t="shared" si="70"/>
        <v/>
      </c>
      <c r="I322" s="136">
        <f>IFERROR(IF($D322="","",VLOOKUP($D322,Cadastro!$C$4:$G$7,5,FALSE)),"")</f>
        <v>0.6</v>
      </c>
      <c r="J322" s="137" t="str">
        <f t="shared" si="71"/>
        <v/>
      </c>
      <c r="K322" s="28">
        <f t="shared" si="72"/>
        <v>42</v>
      </c>
      <c r="L322" s="26"/>
      <c r="M322" s="26"/>
      <c r="N322" s="26"/>
      <c r="O322" s="29"/>
      <c r="P322" s="29"/>
      <c r="Q322" s="30" t="str">
        <f t="shared" ca="1" si="73"/>
        <v/>
      </c>
      <c r="R322" s="46"/>
      <c r="S322" s="47"/>
    </row>
    <row r="323" spans="1:20" ht="15" customHeight="1" thickBot="1" x14ac:dyDescent="0.3">
      <c r="A323" s="69">
        <v>46246</v>
      </c>
      <c r="B323" s="32">
        <f t="shared" si="74"/>
        <v>1.2916666666666667</v>
      </c>
      <c r="C323" s="26" t="s">
        <v>26</v>
      </c>
      <c r="D323" s="62" t="s">
        <v>35</v>
      </c>
      <c r="E323" s="62" t="s">
        <v>256</v>
      </c>
      <c r="F323" s="138">
        <f>IFERROR(IF($D323="","",VLOOKUP($D323,Cadastro!$C$4:$E$7,3,FALSE)),"")</f>
        <v>0.23</v>
      </c>
      <c r="G323" s="27">
        <v>4</v>
      </c>
      <c r="H323" s="34" t="str">
        <f t="shared" si="70"/>
        <v/>
      </c>
      <c r="I323" s="139">
        <f>IFERROR(IF($D323="","",VLOOKUP($D323,Cadastro!$C$4:$G$7,5,FALSE)),"")</f>
        <v>0.6</v>
      </c>
      <c r="J323" s="140" t="str">
        <f t="shared" si="71"/>
        <v/>
      </c>
      <c r="K323" s="34">
        <f t="shared" si="72"/>
        <v>16.8</v>
      </c>
      <c r="L323" s="33"/>
      <c r="M323" s="33"/>
      <c r="N323" s="33"/>
      <c r="O323" s="29"/>
      <c r="P323" s="29"/>
      <c r="Q323" s="35" t="str">
        <f t="shared" ca="1" si="73"/>
        <v/>
      </c>
      <c r="R323" s="46"/>
      <c r="S323" s="47"/>
    </row>
    <row r="324" spans="1:20" ht="15.75" customHeight="1" thickBot="1" x14ac:dyDescent="0.3">
      <c r="A324" s="150" t="s">
        <v>244</v>
      </c>
      <c r="B324" s="151"/>
      <c r="C324" s="151"/>
      <c r="D324" s="151"/>
      <c r="E324" s="151">
        <f>SUM(E312:E323)</f>
        <v>0</v>
      </c>
      <c r="F324" s="112"/>
      <c r="G324" s="81">
        <f>SUM(G312:G323)</f>
        <v>168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69">
        <v>725030</v>
      </c>
      <c r="T324" s="123">
        <f>IFERROR(J324,"")</f>
        <v>0</v>
      </c>
    </row>
    <row r="325" spans="1:20" ht="18" customHeight="1" x14ac:dyDescent="0.25">
      <c r="A325" s="152" t="s">
        <v>245</v>
      </c>
      <c r="B325" s="153"/>
      <c r="C325" s="153"/>
      <c r="D325" s="153"/>
      <c r="E325" s="153">
        <f>E311+E324</f>
        <v>0</v>
      </c>
      <c r="F325" s="113"/>
      <c r="G325" s="92">
        <f>G311+G324</f>
        <v>337</v>
      </c>
      <c r="H325" s="113">
        <f>IFERROR(H311+H324,"")</f>
        <v>709.8</v>
      </c>
      <c r="I325" s="117"/>
      <c r="J325" s="126">
        <f>IFERROR(J311+J324,"")</f>
        <v>97.952399999999997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4">
        <f>IFERROR(S311+S324,"")</f>
        <v>1479900</v>
      </c>
      <c r="T325" s="145">
        <f>IFERROR(J325,"")</f>
        <v>97.952399999999997</v>
      </c>
    </row>
    <row r="326" spans="1:20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5">IFERROR(IF($H326="","",$H326*$F326*$I326),"")</f>
        <v/>
      </c>
      <c r="K326" s="28" t="str">
        <f t="shared" ref="K326:K337" si="76">IF(G326="","",IF(E326="PC 17",G326*4.2,IF(E326="PC 19",G326*5,IF(E326="CB",G326*24,""))))</f>
        <v/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7">IFERROR(IF(O326="","",IF(P326="",MOD(NOW()-O326,1),IF(P326&gt;=O326,P326-O326,P326+1-O326))),"")</f>
        <v>1.1240972220548429E-2</v>
      </c>
      <c r="R326" s="46" t="s">
        <v>290</v>
      </c>
      <c r="S326" s="47"/>
    </row>
    <row r="327" spans="1:20" ht="15" customHeight="1" x14ac:dyDescent="0.25">
      <c r="A327" s="69">
        <v>46247</v>
      </c>
      <c r="B327" s="32">
        <f t="shared" ref="B327:B337" si="78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5"/>
        <v/>
      </c>
      <c r="K327" s="34" t="str">
        <f t="shared" si="76"/>
        <v/>
      </c>
      <c r="L327" s="33"/>
      <c r="M327" s="33"/>
      <c r="N327" s="33"/>
      <c r="O327" s="29"/>
      <c r="P327" s="29"/>
      <c r="Q327" s="35" t="str">
        <f t="shared" ca="1" si="77"/>
        <v/>
      </c>
      <c r="R327" s="46"/>
      <c r="S327" s="47"/>
    </row>
    <row r="328" spans="1:20" ht="15" customHeight="1" x14ac:dyDescent="0.25">
      <c r="A328" s="68">
        <v>46247</v>
      </c>
      <c r="B328" s="25">
        <f t="shared" si="78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5"/>
        <v/>
      </c>
      <c r="K328" s="28" t="str">
        <f t="shared" si="76"/>
        <v/>
      </c>
      <c r="L328" s="26"/>
      <c r="M328" s="26"/>
      <c r="N328" s="26"/>
      <c r="O328" s="29"/>
      <c r="P328" s="29"/>
      <c r="Q328" s="30" t="str">
        <f t="shared" ca="1" si="77"/>
        <v/>
      </c>
      <c r="R328" s="46"/>
      <c r="S328" s="47"/>
    </row>
    <row r="329" spans="1:20" ht="15" customHeight="1" x14ac:dyDescent="0.25">
      <c r="A329" s="69">
        <v>46247</v>
      </c>
      <c r="B329" s="32">
        <f t="shared" si="78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5"/>
        <v/>
      </c>
      <c r="K329" s="34" t="str">
        <f t="shared" si="76"/>
        <v/>
      </c>
      <c r="L329" s="33"/>
      <c r="M329" s="33"/>
      <c r="N329" s="33"/>
      <c r="O329" s="29"/>
      <c r="P329" s="29"/>
      <c r="Q329" s="35" t="str">
        <f t="shared" ca="1" si="77"/>
        <v/>
      </c>
      <c r="R329" s="46"/>
      <c r="S329" s="47"/>
    </row>
    <row r="330" spans="1:20" ht="15" customHeight="1" x14ac:dyDescent="0.25">
      <c r="A330" s="68">
        <v>46247</v>
      </c>
      <c r="B330" s="25">
        <f t="shared" si="78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5"/>
        <v/>
      </c>
      <c r="K330" s="28" t="str">
        <f t="shared" si="76"/>
        <v/>
      </c>
      <c r="L330" s="26"/>
      <c r="M330" s="26"/>
      <c r="N330" s="26"/>
      <c r="O330" s="29"/>
      <c r="P330" s="29"/>
      <c r="Q330" s="30" t="str">
        <f t="shared" ca="1" si="77"/>
        <v/>
      </c>
      <c r="R330" s="46"/>
      <c r="S330" s="47"/>
    </row>
    <row r="331" spans="1:20" ht="15" customHeight="1" x14ac:dyDescent="0.25">
      <c r="A331" s="69">
        <v>46247</v>
      </c>
      <c r="B331" s="32">
        <f t="shared" si="78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5"/>
        <v/>
      </c>
      <c r="K331" s="34" t="str">
        <f t="shared" si="76"/>
        <v/>
      </c>
      <c r="L331" s="33"/>
      <c r="M331" s="33"/>
      <c r="N331" s="33"/>
      <c r="O331" s="29"/>
      <c r="P331" s="29"/>
      <c r="Q331" s="35" t="str">
        <f t="shared" ca="1" si="77"/>
        <v/>
      </c>
      <c r="R331" s="46"/>
      <c r="S331" s="47"/>
    </row>
    <row r="332" spans="1:20" ht="15" customHeight="1" x14ac:dyDescent="0.25">
      <c r="A332" s="68">
        <v>46247</v>
      </c>
      <c r="B332" s="25">
        <f t="shared" si="78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5"/>
        <v/>
      </c>
      <c r="K332" s="28" t="str">
        <f t="shared" si="76"/>
        <v/>
      </c>
      <c r="L332" s="26"/>
      <c r="M332" s="26"/>
      <c r="N332" s="26"/>
      <c r="O332" s="29"/>
      <c r="P332" s="29"/>
      <c r="Q332" s="30" t="str">
        <f t="shared" ca="1" si="77"/>
        <v/>
      </c>
      <c r="R332" s="46"/>
      <c r="S332" s="47"/>
    </row>
    <row r="333" spans="1:20" ht="15" customHeight="1" x14ac:dyDescent="0.25">
      <c r="A333" s="69">
        <v>46247</v>
      </c>
      <c r="B333" s="32">
        <f t="shared" si="78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5"/>
        <v/>
      </c>
      <c r="K333" s="34" t="str">
        <f t="shared" si="76"/>
        <v/>
      </c>
      <c r="L333" s="33"/>
      <c r="M333" s="33"/>
      <c r="N333" s="33"/>
      <c r="O333" s="29"/>
      <c r="P333" s="29"/>
      <c r="Q333" s="35" t="str">
        <f t="shared" ca="1" si="77"/>
        <v/>
      </c>
      <c r="R333" s="46"/>
      <c r="S333" s="47"/>
    </row>
    <row r="334" spans="1:20" ht="15" customHeight="1" x14ac:dyDescent="0.25">
      <c r="A334" s="68">
        <v>46247</v>
      </c>
      <c r="B334" s="25">
        <f t="shared" si="78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5"/>
        <v/>
      </c>
      <c r="K334" s="28" t="str">
        <f t="shared" si="76"/>
        <v/>
      </c>
      <c r="L334" s="26"/>
      <c r="M334" s="26"/>
      <c r="N334" s="26"/>
      <c r="O334" s="29"/>
      <c r="P334" s="29"/>
      <c r="Q334" s="30" t="str">
        <f t="shared" ca="1" si="77"/>
        <v/>
      </c>
      <c r="R334" s="46"/>
      <c r="S334" s="47"/>
    </row>
    <row r="335" spans="1:20" ht="15" customHeight="1" x14ac:dyDescent="0.25">
      <c r="A335" s="69">
        <v>46247</v>
      </c>
      <c r="B335" s="32">
        <f t="shared" si="78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5"/>
        <v/>
      </c>
      <c r="K335" s="34" t="str">
        <f t="shared" si="76"/>
        <v/>
      </c>
      <c r="L335" s="33"/>
      <c r="M335" s="33"/>
      <c r="N335" s="33"/>
      <c r="O335" s="29"/>
      <c r="P335" s="29"/>
      <c r="Q335" s="35" t="str">
        <f t="shared" ca="1" si="77"/>
        <v/>
      </c>
      <c r="R335" s="46"/>
      <c r="S335" s="47"/>
    </row>
    <row r="336" spans="1:20" ht="15" customHeight="1" x14ac:dyDescent="0.25">
      <c r="A336" s="68">
        <v>46247</v>
      </c>
      <c r="B336" s="25">
        <f t="shared" si="78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5"/>
        <v/>
      </c>
      <c r="K336" s="28" t="str">
        <f t="shared" si="76"/>
        <v/>
      </c>
      <c r="L336" s="26"/>
      <c r="M336" s="26"/>
      <c r="N336" s="26"/>
      <c r="O336" s="29"/>
      <c r="P336" s="29"/>
      <c r="Q336" s="30" t="str">
        <f t="shared" ca="1" si="77"/>
        <v/>
      </c>
      <c r="R336" s="46"/>
      <c r="S336" s="47"/>
    </row>
    <row r="337" spans="1:20" ht="15" customHeight="1" thickBot="1" x14ac:dyDescent="0.3">
      <c r="A337" s="69">
        <v>46247</v>
      </c>
      <c r="B337" s="32">
        <f t="shared" si="78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5"/>
        <v/>
      </c>
      <c r="K337" s="34" t="str">
        <f t="shared" si="76"/>
        <v/>
      </c>
      <c r="L337" s="33"/>
      <c r="M337" s="33"/>
      <c r="N337" s="33"/>
      <c r="O337" s="29"/>
      <c r="P337" s="29"/>
      <c r="Q337" s="35" t="str">
        <f t="shared" ca="1" si="77"/>
        <v/>
      </c>
      <c r="R337" s="46"/>
      <c r="S337" s="47"/>
    </row>
    <row r="338" spans="1:20" ht="15.75" customHeight="1" thickBot="1" x14ac:dyDescent="0.3">
      <c r="A338" s="150" t="s">
        <v>241</v>
      </c>
      <c r="B338" s="151"/>
      <c r="C338" s="151"/>
      <c r="D338" s="151"/>
      <c r="E338" s="151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1.1240972220548429E-2</v>
      </c>
      <c r="R338" s="36" t="s">
        <v>242</v>
      </c>
      <c r="S338" s="45"/>
      <c r="T338" s="123">
        <f>IFERROR(J338,"")</f>
        <v>0</v>
      </c>
    </row>
    <row r="339" spans="1:20" ht="15" customHeight="1" x14ac:dyDescent="0.25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9">IFERROR(IF($H339="","",$H339*$F339*$I339),"")</f>
        <v/>
      </c>
      <c r="K339" s="34" t="str">
        <f t="shared" ref="K339:K350" si="80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1">IFERROR(IF(O339="","",IF(P339="",MOD(NOW()-O339,1),IF(P339&gt;=O339,P339-O339,P339+1-O339))),"")</f>
        <v/>
      </c>
      <c r="R339" s="46"/>
      <c r="S339" s="47"/>
    </row>
    <row r="340" spans="1:20" ht="15" customHeight="1" x14ac:dyDescent="0.25">
      <c r="A340" s="68">
        <v>46247</v>
      </c>
      <c r="B340" s="25">
        <f t="shared" ref="B340:B350" si="82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9"/>
        <v/>
      </c>
      <c r="K340" s="28" t="str">
        <f t="shared" si="80"/>
        <v/>
      </c>
      <c r="L340" s="26"/>
      <c r="M340" s="26"/>
      <c r="N340" s="26"/>
      <c r="O340" s="29"/>
      <c r="P340" s="29"/>
      <c r="Q340" s="30" t="str">
        <f t="shared" ca="1" si="81"/>
        <v/>
      </c>
      <c r="R340" s="46"/>
      <c r="S340" s="47"/>
    </row>
    <row r="341" spans="1:20" ht="15" customHeight="1" x14ac:dyDescent="0.25">
      <c r="A341" s="69">
        <v>46247</v>
      </c>
      <c r="B341" s="32">
        <f t="shared" si="82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9"/>
        <v/>
      </c>
      <c r="K341" s="34" t="str">
        <f t="shared" si="80"/>
        <v/>
      </c>
      <c r="L341" s="33"/>
      <c r="M341" s="33"/>
      <c r="N341" s="33"/>
      <c r="O341" s="29"/>
      <c r="P341" s="29"/>
      <c r="Q341" s="35" t="str">
        <f t="shared" ca="1" si="81"/>
        <v/>
      </c>
      <c r="R341" s="46"/>
      <c r="S341" s="47"/>
    </row>
    <row r="342" spans="1:20" ht="15" customHeight="1" x14ac:dyDescent="0.25">
      <c r="A342" s="68">
        <v>46247</v>
      </c>
      <c r="B342" s="25">
        <f t="shared" si="82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9"/>
        <v/>
      </c>
      <c r="K342" s="28" t="str">
        <f t="shared" si="80"/>
        <v/>
      </c>
      <c r="L342" s="26"/>
      <c r="M342" s="26"/>
      <c r="N342" s="26"/>
      <c r="O342" s="29"/>
      <c r="P342" s="29"/>
      <c r="Q342" s="30" t="str">
        <f t="shared" ca="1" si="81"/>
        <v/>
      </c>
      <c r="R342" s="46"/>
      <c r="S342" s="47"/>
    </row>
    <row r="343" spans="1:20" ht="15" customHeight="1" x14ac:dyDescent="0.25">
      <c r="A343" s="69">
        <v>46247</v>
      </c>
      <c r="B343" s="32">
        <f t="shared" si="82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9"/>
        <v/>
      </c>
      <c r="K343" s="34" t="str">
        <f t="shared" si="80"/>
        <v/>
      </c>
      <c r="L343" s="33"/>
      <c r="M343" s="33"/>
      <c r="N343" s="33"/>
      <c r="O343" s="29"/>
      <c r="P343" s="29"/>
      <c r="Q343" s="35" t="str">
        <f t="shared" ca="1" si="81"/>
        <v/>
      </c>
      <c r="R343" s="46"/>
      <c r="S343" s="47"/>
    </row>
    <row r="344" spans="1:20" ht="15" customHeight="1" x14ac:dyDescent="0.25">
      <c r="A344" s="68">
        <v>46247</v>
      </c>
      <c r="B344" s="25">
        <f t="shared" si="82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9"/>
        <v/>
      </c>
      <c r="K344" s="28" t="str">
        <f t="shared" si="80"/>
        <v/>
      </c>
      <c r="L344" s="26"/>
      <c r="M344" s="26"/>
      <c r="N344" s="26"/>
      <c r="O344" s="29"/>
      <c r="P344" s="29"/>
      <c r="Q344" s="30" t="str">
        <f t="shared" ca="1" si="81"/>
        <v/>
      </c>
      <c r="R344" s="46"/>
      <c r="S344" s="47"/>
    </row>
    <row r="345" spans="1:20" ht="15" customHeight="1" x14ac:dyDescent="0.25">
      <c r="A345" s="69">
        <v>46247</v>
      </c>
      <c r="B345" s="32">
        <f t="shared" si="82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9"/>
        <v/>
      </c>
      <c r="K345" s="34" t="str">
        <f t="shared" si="80"/>
        <v/>
      </c>
      <c r="L345" s="33"/>
      <c r="M345" s="33"/>
      <c r="N345" s="33"/>
      <c r="O345" s="29"/>
      <c r="P345" s="29"/>
      <c r="Q345" s="35" t="str">
        <f t="shared" ca="1" si="81"/>
        <v/>
      </c>
      <c r="R345" s="46"/>
      <c r="S345" s="47"/>
    </row>
    <row r="346" spans="1:20" ht="15" customHeight="1" x14ac:dyDescent="0.25">
      <c r="A346" s="68">
        <v>46247</v>
      </c>
      <c r="B346" s="25">
        <f t="shared" si="82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9"/>
        <v/>
      </c>
      <c r="K346" s="28" t="str">
        <f t="shared" si="80"/>
        <v/>
      </c>
      <c r="L346" s="26"/>
      <c r="M346" s="26"/>
      <c r="N346" s="26"/>
      <c r="O346" s="29"/>
      <c r="P346" s="29"/>
      <c r="Q346" s="30" t="str">
        <f t="shared" ca="1" si="81"/>
        <v/>
      </c>
      <c r="R346" s="46"/>
      <c r="S346" s="47"/>
    </row>
    <row r="347" spans="1:20" ht="15" customHeight="1" x14ac:dyDescent="0.25">
      <c r="A347" s="69">
        <v>46247</v>
      </c>
      <c r="B347" s="32">
        <f t="shared" si="82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9"/>
        <v/>
      </c>
      <c r="K347" s="34" t="str">
        <f t="shared" si="80"/>
        <v/>
      </c>
      <c r="L347" s="33"/>
      <c r="M347" s="33"/>
      <c r="N347" s="33"/>
      <c r="O347" s="29"/>
      <c r="P347" s="29"/>
      <c r="Q347" s="35" t="str">
        <f t="shared" ca="1" si="81"/>
        <v/>
      </c>
      <c r="R347" s="46"/>
      <c r="S347" s="47"/>
    </row>
    <row r="348" spans="1:20" ht="15" customHeight="1" x14ac:dyDescent="0.25">
      <c r="A348" s="68">
        <v>46247</v>
      </c>
      <c r="B348" s="25">
        <f t="shared" si="82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9"/>
        <v/>
      </c>
      <c r="K348" s="28" t="str">
        <f t="shared" si="80"/>
        <v/>
      </c>
      <c r="L348" s="26"/>
      <c r="M348" s="26"/>
      <c r="N348" s="26"/>
      <c r="O348" s="29"/>
      <c r="P348" s="29"/>
      <c r="Q348" s="30" t="str">
        <f t="shared" ca="1" si="81"/>
        <v/>
      </c>
      <c r="R348" s="46"/>
      <c r="S348" s="47"/>
    </row>
    <row r="349" spans="1:20" ht="15" customHeight="1" x14ac:dyDescent="0.25">
      <c r="A349" s="69">
        <v>46247</v>
      </c>
      <c r="B349" s="32">
        <f t="shared" si="82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9"/>
        <v/>
      </c>
      <c r="K349" s="34" t="str">
        <f t="shared" si="80"/>
        <v/>
      </c>
      <c r="L349" s="33"/>
      <c r="M349" s="33"/>
      <c r="N349" s="33"/>
      <c r="O349" s="29"/>
      <c r="P349" s="29"/>
      <c r="Q349" s="35" t="str">
        <f t="shared" ca="1" si="81"/>
        <v/>
      </c>
      <c r="R349" s="46"/>
      <c r="S349" s="47"/>
    </row>
    <row r="350" spans="1:20" ht="15" customHeight="1" thickBot="1" x14ac:dyDescent="0.3">
      <c r="A350" s="68">
        <v>46247</v>
      </c>
      <c r="B350" s="25">
        <f t="shared" si="82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9"/>
        <v/>
      </c>
      <c r="K350" s="28" t="str">
        <f t="shared" si="80"/>
        <v/>
      </c>
      <c r="L350" s="26"/>
      <c r="M350" s="26"/>
      <c r="N350" s="26"/>
      <c r="O350" s="29"/>
      <c r="P350" s="29"/>
      <c r="Q350" s="30" t="str">
        <f t="shared" ca="1" si="81"/>
        <v/>
      </c>
      <c r="R350" s="46"/>
      <c r="S350" s="47"/>
    </row>
    <row r="351" spans="1:20" ht="15.75" customHeight="1" thickBot="1" x14ac:dyDescent="0.3">
      <c r="A351" s="150" t="s">
        <v>244</v>
      </c>
      <c r="B351" s="151"/>
      <c r="C351" s="151"/>
      <c r="D351" s="151"/>
      <c r="E351" s="151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 x14ac:dyDescent="0.25">
      <c r="A352" s="152" t="s">
        <v>245</v>
      </c>
      <c r="B352" s="153"/>
      <c r="C352" s="153"/>
      <c r="D352" s="153"/>
      <c r="E352" s="153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1.1240972220548429E-2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 x14ac:dyDescent="0.25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3">IFERROR(IF($H353="","",$H353*$F353*$I353),"")</f>
        <v/>
      </c>
      <c r="K353" s="34" t="str">
        <f t="shared" ref="K353:K364" si="84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5">IFERROR(IF(O353="","",IF(P353="",MOD(NOW()-O353,1),IF(P353&gt;=O353,P353-O353,P353+1-O353))),"")</f>
        <v/>
      </c>
      <c r="R353" s="46"/>
      <c r="S353" s="47"/>
    </row>
    <row r="354" spans="1:20" ht="15" customHeight="1" x14ac:dyDescent="0.25">
      <c r="A354" s="68">
        <v>46248</v>
      </c>
      <c r="B354" s="25">
        <f t="shared" ref="B354:B364" si="86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3"/>
        <v/>
      </c>
      <c r="K354" s="28" t="str">
        <f t="shared" si="84"/>
        <v/>
      </c>
      <c r="L354" s="26"/>
      <c r="M354" s="26"/>
      <c r="N354" s="26"/>
      <c r="O354" s="29"/>
      <c r="P354" s="29"/>
      <c r="Q354" s="30" t="str">
        <f t="shared" ca="1" si="85"/>
        <v/>
      </c>
      <c r="R354" s="46"/>
      <c r="S354" s="47"/>
    </row>
    <row r="355" spans="1:20" ht="15" customHeight="1" x14ac:dyDescent="0.25">
      <c r="A355" s="69">
        <v>46248</v>
      </c>
      <c r="B355" s="32">
        <f t="shared" si="86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3"/>
        <v/>
      </c>
      <c r="K355" s="34" t="str">
        <f t="shared" si="84"/>
        <v/>
      </c>
      <c r="L355" s="33"/>
      <c r="M355" s="33"/>
      <c r="N355" s="33"/>
      <c r="O355" s="29"/>
      <c r="P355" s="29"/>
      <c r="Q355" s="35" t="str">
        <f t="shared" ca="1" si="85"/>
        <v/>
      </c>
      <c r="R355" s="46"/>
      <c r="S355" s="47"/>
    </row>
    <row r="356" spans="1:20" ht="15" customHeight="1" x14ac:dyDescent="0.25">
      <c r="A356" s="68">
        <v>46248</v>
      </c>
      <c r="B356" s="25">
        <f t="shared" si="86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3"/>
        <v/>
      </c>
      <c r="K356" s="28" t="str">
        <f t="shared" si="84"/>
        <v/>
      </c>
      <c r="L356" s="26"/>
      <c r="M356" s="26"/>
      <c r="N356" s="26"/>
      <c r="O356" s="29"/>
      <c r="P356" s="29"/>
      <c r="Q356" s="30" t="str">
        <f t="shared" ca="1" si="85"/>
        <v/>
      </c>
      <c r="R356" s="46"/>
      <c r="S356" s="47"/>
    </row>
    <row r="357" spans="1:20" ht="15" customHeight="1" x14ac:dyDescent="0.25">
      <c r="A357" s="69">
        <v>46248</v>
      </c>
      <c r="B357" s="32">
        <f t="shared" si="86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3"/>
        <v/>
      </c>
      <c r="K357" s="34" t="str">
        <f t="shared" si="84"/>
        <v/>
      </c>
      <c r="L357" s="33"/>
      <c r="M357" s="33"/>
      <c r="N357" s="33"/>
      <c r="O357" s="29"/>
      <c r="P357" s="29"/>
      <c r="Q357" s="35" t="str">
        <f t="shared" ca="1" si="85"/>
        <v/>
      </c>
      <c r="R357" s="46"/>
      <c r="S357" s="47"/>
    </row>
    <row r="358" spans="1:20" ht="15" customHeight="1" x14ac:dyDescent="0.25">
      <c r="A358" s="68">
        <v>46248</v>
      </c>
      <c r="B358" s="25">
        <f t="shared" si="86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3"/>
        <v/>
      </c>
      <c r="K358" s="28" t="str">
        <f t="shared" si="84"/>
        <v/>
      </c>
      <c r="L358" s="26"/>
      <c r="M358" s="26"/>
      <c r="N358" s="26"/>
      <c r="O358" s="29"/>
      <c r="P358" s="29"/>
      <c r="Q358" s="30" t="str">
        <f t="shared" ca="1" si="85"/>
        <v/>
      </c>
      <c r="R358" s="46"/>
      <c r="S358" s="47"/>
    </row>
    <row r="359" spans="1:20" ht="15" customHeight="1" x14ac:dyDescent="0.25">
      <c r="A359" s="69">
        <v>46248</v>
      </c>
      <c r="B359" s="32">
        <f t="shared" si="86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3"/>
        <v/>
      </c>
      <c r="K359" s="34" t="str">
        <f t="shared" si="84"/>
        <v/>
      </c>
      <c r="L359" s="33"/>
      <c r="M359" s="33"/>
      <c r="N359" s="33"/>
      <c r="O359" s="29"/>
      <c r="P359" s="29"/>
      <c r="Q359" s="35" t="str">
        <f t="shared" ca="1" si="85"/>
        <v/>
      </c>
      <c r="R359" s="46"/>
      <c r="S359" s="47"/>
    </row>
    <row r="360" spans="1:20" ht="15" customHeight="1" x14ac:dyDescent="0.25">
      <c r="A360" s="68">
        <v>46248</v>
      </c>
      <c r="B360" s="25">
        <f t="shared" si="86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3"/>
        <v/>
      </c>
      <c r="K360" s="28" t="str">
        <f t="shared" si="84"/>
        <v/>
      </c>
      <c r="L360" s="26"/>
      <c r="M360" s="26"/>
      <c r="N360" s="26"/>
      <c r="O360" s="29"/>
      <c r="P360" s="29"/>
      <c r="Q360" s="30" t="str">
        <f t="shared" ca="1" si="85"/>
        <v/>
      </c>
      <c r="R360" s="46"/>
      <c r="S360" s="47"/>
    </row>
    <row r="361" spans="1:20" ht="15" customHeight="1" x14ac:dyDescent="0.25">
      <c r="A361" s="69">
        <v>46248</v>
      </c>
      <c r="B361" s="32">
        <f t="shared" si="86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3"/>
        <v/>
      </c>
      <c r="K361" s="34" t="str">
        <f t="shared" si="84"/>
        <v/>
      </c>
      <c r="L361" s="33"/>
      <c r="M361" s="33"/>
      <c r="N361" s="33"/>
      <c r="O361" s="29"/>
      <c r="P361" s="29"/>
      <c r="Q361" s="35" t="str">
        <f t="shared" ca="1" si="85"/>
        <v/>
      </c>
      <c r="R361" s="27"/>
      <c r="S361" s="47"/>
    </row>
    <row r="362" spans="1:20" ht="15" customHeight="1" x14ac:dyDescent="0.25">
      <c r="A362" s="68">
        <v>46248</v>
      </c>
      <c r="B362" s="25">
        <f t="shared" si="86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3"/>
        <v/>
      </c>
      <c r="K362" s="28" t="str">
        <f t="shared" si="84"/>
        <v/>
      </c>
      <c r="L362" s="26"/>
      <c r="M362" s="26"/>
      <c r="N362" s="26"/>
      <c r="O362" s="29"/>
      <c r="P362" s="29"/>
      <c r="Q362" s="30" t="str">
        <f t="shared" ca="1" si="85"/>
        <v/>
      </c>
      <c r="R362" s="27"/>
      <c r="S362" s="47"/>
    </row>
    <row r="363" spans="1:20" ht="15" customHeight="1" x14ac:dyDescent="0.25">
      <c r="A363" s="69">
        <v>46248</v>
      </c>
      <c r="B363" s="32">
        <f t="shared" si="86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3"/>
        <v/>
      </c>
      <c r="K363" s="34" t="str">
        <f t="shared" si="84"/>
        <v/>
      </c>
      <c r="L363" s="33"/>
      <c r="M363" s="33"/>
      <c r="N363" s="33"/>
      <c r="O363" s="29"/>
      <c r="P363" s="29"/>
      <c r="Q363" s="35" t="str">
        <f t="shared" ca="1" si="85"/>
        <v/>
      </c>
      <c r="R363" s="46"/>
      <c r="S363" s="47"/>
    </row>
    <row r="364" spans="1:20" ht="15" customHeight="1" thickBot="1" x14ac:dyDescent="0.3">
      <c r="A364" s="68">
        <v>46248</v>
      </c>
      <c r="B364" s="25">
        <f t="shared" si="86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3"/>
        <v/>
      </c>
      <c r="K364" s="28" t="str">
        <f t="shared" si="84"/>
        <v/>
      </c>
      <c r="L364" s="26"/>
      <c r="M364" s="26"/>
      <c r="N364" s="26"/>
      <c r="O364" s="29"/>
      <c r="P364" s="29"/>
      <c r="Q364" s="30" t="str">
        <f t="shared" ca="1" si="85"/>
        <v/>
      </c>
      <c r="R364" s="46"/>
      <c r="S364" s="47"/>
    </row>
    <row r="365" spans="1:20" ht="15.75" customHeight="1" thickBot="1" x14ac:dyDescent="0.3">
      <c r="A365" s="150" t="s">
        <v>241</v>
      </c>
      <c r="B365" s="151"/>
      <c r="C365" s="151"/>
      <c r="D365" s="151"/>
      <c r="E365" s="151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 x14ac:dyDescent="0.25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7">IFERROR(IF($H366="","",$H366*$F366*$I366),"")</f>
        <v/>
      </c>
      <c r="K366" s="28" t="str">
        <f t="shared" ref="K366:K377" si="88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9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9">
        <v>46248</v>
      </c>
      <c r="B367" s="32">
        <f t="shared" ref="B367:B377" si="90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7"/>
        <v/>
      </c>
      <c r="K367" s="34" t="str">
        <f t="shared" si="88"/>
        <v/>
      </c>
      <c r="L367" s="33"/>
      <c r="M367" s="33"/>
      <c r="N367" s="33"/>
      <c r="O367" s="29"/>
      <c r="P367" s="29"/>
      <c r="Q367" s="35" t="str">
        <f t="shared" ca="1" si="89"/>
        <v/>
      </c>
      <c r="R367" s="46"/>
      <c r="S367" s="47"/>
    </row>
    <row r="368" spans="1:20" ht="15" customHeight="1" x14ac:dyDescent="0.25">
      <c r="A368" s="68">
        <v>46248</v>
      </c>
      <c r="B368" s="25">
        <f t="shared" si="90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7"/>
        <v/>
      </c>
      <c r="K368" s="28" t="str">
        <f t="shared" si="88"/>
        <v/>
      </c>
      <c r="L368" s="26"/>
      <c r="M368" s="26"/>
      <c r="N368" s="26"/>
      <c r="O368" s="29"/>
      <c r="P368" s="29"/>
      <c r="Q368" s="30" t="str">
        <f t="shared" ca="1" si="89"/>
        <v/>
      </c>
      <c r="R368" s="46"/>
      <c r="S368" s="47"/>
    </row>
    <row r="369" spans="1:20" ht="15" customHeight="1" x14ac:dyDescent="0.25">
      <c r="A369" s="69">
        <v>46248</v>
      </c>
      <c r="B369" s="32">
        <f t="shared" si="90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7"/>
        <v/>
      </c>
      <c r="K369" s="34" t="str">
        <f t="shared" si="88"/>
        <v/>
      </c>
      <c r="L369" s="33"/>
      <c r="M369" s="33"/>
      <c r="N369" s="33"/>
      <c r="O369" s="29"/>
      <c r="P369" s="29"/>
      <c r="Q369" s="35" t="str">
        <f t="shared" ca="1" si="89"/>
        <v/>
      </c>
      <c r="R369" s="46"/>
      <c r="S369" s="47"/>
    </row>
    <row r="370" spans="1:20" ht="15" customHeight="1" x14ac:dyDescent="0.25">
      <c r="A370" s="68">
        <v>46248</v>
      </c>
      <c r="B370" s="25">
        <f t="shared" si="90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7"/>
        <v/>
      </c>
      <c r="K370" s="28" t="str">
        <f t="shared" si="88"/>
        <v/>
      </c>
      <c r="L370" s="26"/>
      <c r="M370" s="26"/>
      <c r="N370" s="26"/>
      <c r="O370" s="29"/>
      <c r="P370" s="29"/>
      <c r="Q370" s="30" t="str">
        <f t="shared" ca="1" si="89"/>
        <v/>
      </c>
      <c r="R370" s="46"/>
      <c r="S370" s="47"/>
    </row>
    <row r="371" spans="1:20" ht="15" customHeight="1" x14ac:dyDescent="0.25">
      <c r="A371" s="69">
        <v>46248</v>
      </c>
      <c r="B371" s="32">
        <f t="shared" si="90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7"/>
        <v/>
      </c>
      <c r="K371" s="34" t="str">
        <f t="shared" si="88"/>
        <v/>
      </c>
      <c r="L371" s="33"/>
      <c r="M371" s="33"/>
      <c r="N371" s="33"/>
      <c r="O371" s="29"/>
      <c r="P371" s="29"/>
      <c r="Q371" s="35" t="str">
        <f t="shared" ca="1" si="89"/>
        <v/>
      </c>
      <c r="R371" s="46"/>
      <c r="S371" s="47"/>
    </row>
    <row r="372" spans="1:20" ht="15" customHeight="1" x14ac:dyDescent="0.25">
      <c r="A372" s="68">
        <v>46248</v>
      </c>
      <c r="B372" s="25">
        <f t="shared" si="90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7"/>
        <v/>
      </c>
      <c r="K372" s="28" t="str">
        <f t="shared" si="88"/>
        <v/>
      </c>
      <c r="L372" s="26"/>
      <c r="M372" s="26"/>
      <c r="N372" s="26"/>
      <c r="O372" s="29"/>
      <c r="P372" s="29"/>
      <c r="Q372" s="30" t="str">
        <f t="shared" ca="1" si="89"/>
        <v/>
      </c>
      <c r="R372" s="46"/>
      <c r="S372" s="47"/>
    </row>
    <row r="373" spans="1:20" ht="15" customHeight="1" x14ac:dyDescent="0.25">
      <c r="A373" s="69">
        <v>46248</v>
      </c>
      <c r="B373" s="32">
        <f t="shared" si="90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7"/>
        <v/>
      </c>
      <c r="K373" s="34" t="str">
        <f t="shared" si="88"/>
        <v/>
      </c>
      <c r="L373" s="33"/>
      <c r="M373" s="33"/>
      <c r="N373" s="33"/>
      <c r="O373" s="29"/>
      <c r="P373" s="29"/>
      <c r="Q373" s="35" t="str">
        <f t="shared" ca="1" si="89"/>
        <v/>
      </c>
      <c r="R373" s="46"/>
      <c r="S373" s="47"/>
    </row>
    <row r="374" spans="1:20" ht="15" customHeight="1" x14ac:dyDescent="0.25">
      <c r="A374" s="68">
        <v>46248</v>
      </c>
      <c r="B374" s="25">
        <f t="shared" si="90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7"/>
        <v/>
      </c>
      <c r="K374" s="28" t="str">
        <f t="shared" si="88"/>
        <v/>
      </c>
      <c r="L374" s="26"/>
      <c r="M374" s="26"/>
      <c r="N374" s="26"/>
      <c r="O374" s="29"/>
      <c r="P374" s="29"/>
      <c r="Q374" s="30" t="str">
        <f t="shared" ca="1" si="89"/>
        <v/>
      </c>
      <c r="R374" s="46"/>
      <c r="S374" s="47"/>
    </row>
    <row r="375" spans="1:20" ht="15" customHeight="1" x14ac:dyDescent="0.25">
      <c r="A375" s="69">
        <v>46248</v>
      </c>
      <c r="B375" s="32">
        <f t="shared" si="90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7"/>
        <v/>
      </c>
      <c r="K375" s="34" t="str">
        <f t="shared" si="88"/>
        <v/>
      </c>
      <c r="L375" s="33"/>
      <c r="M375" s="33"/>
      <c r="N375" s="33"/>
      <c r="O375" s="29"/>
      <c r="P375" s="29"/>
      <c r="Q375" s="35" t="str">
        <f t="shared" ca="1" si="89"/>
        <v/>
      </c>
      <c r="R375" s="46"/>
      <c r="S375" s="47"/>
    </row>
    <row r="376" spans="1:20" ht="15" customHeight="1" x14ac:dyDescent="0.25">
      <c r="A376" s="68">
        <v>46248</v>
      </c>
      <c r="B376" s="25">
        <f t="shared" si="90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7"/>
        <v/>
      </c>
      <c r="K376" s="28" t="str">
        <f t="shared" si="88"/>
        <v/>
      </c>
      <c r="L376" s="26"/>
      <c r="M376" s="26"/>
      <c r="N376" s="26"/>
      <c r="O376" s="29"/>
      <c r="P376" s="29"/>
      <c r="Q376" s="30" t="str">
        <f t="shared" ca="1" si="89"/>
        <v/>
      </c>
      <c r="R376" s="46"/>
      <c r="S376" s="47"/>
    </row>
    <row r="377" spans="1:20" ht="15" customHeight="1" thickBot="1" x14ac:dyDescent="0.3">
      <c r="A377" s="69">
        <v>46248</v>
      </c>
      <c r="B377" s="32">
        <f t="shared" si="90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7"/>
        <v/>
      </c>
      <c r="K377" s="34" t="str">
        <f t="shared" si="88"/>
        <v/>
      </c>
      <c r="L377" s="33"/>
      <c r="M377" s="33"/>
      <c r="N377" s="33"/>
      <c r="O377" s="29"/>
      <c r="P377" s="29"/>
      <c r="Q377" s="35" t="str">
        <f t="shared" ca="1" si="89"/>
        <v/>
      </c>
      <c r="R377" s="46"/>
      <c r="S377" s="47"/>
    </row>
    <row r="378" spans="1:20" ht="15.75" customHeight="1" thickBot="1" x14ac:dyDescent="0.3">
      <c r="A378" s="150" t="s">
        <v>244</v>
      </c>
      <c r="B378" s="151"/>
      <c r="C378" s="151"/>
      <c r="D378" s="151"/>
      <c r="E378" s="151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 x14ac:dyDescent="0.25">
      <c r="A379" s="152" t="s">
        <v>245</v>
      </c>
      <c r="B379" s="153"/>
      <c r="C379" s="153"/>
      <c r="D379" s="153"/>
      <c r="E379" s="153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 x14ac:dyDescent="0.25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1">IFERROR(IF($H380="","",$H380*$F380*$I380),"")</f>
        <v/>
      </c>
      <c r="K380" s="28" t="str">
        <f t="shared" ref="K380:K391" si="92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3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9">
        <v>46249</v>
      </c>
      <c r="B381" s="32">
        <f t="shared" ref="B381:B391" si="94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1"/>
        <v/>
      </c>
      <c r="K381" s="34" t="str">
        <f t="shared" si="92"/>
        <v/>
      </c>
      <c r="L381" s="33"/>
      <c r="M381" s="33"/>
      <c r="N381" s="33"/>
      <c r="O381" s="29"/>
      <c r="P381" s="29"/>
      <c r="Q381" s="35" t="str">
        <f t="shared" ca="1" si="93"/>
        <v/>
      </c>
      <c r="R381" s="46"/>
      <c r="S381" s="47"/>
    </row>
    <row r="382" spans="1:20" ht="15" customHeight="1" x14ac:dyDescent="0.25">
      <c r="A382" s="68">
        <v>46249</v>
      </c>
      <c r="B382" s="25">
        <f t="shared" si="94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1"/>
        <v/>
      </c>
      <c r="K382" s="28" t="str">
        <f t="shared" si="92"/>
        <v/>
      </c>
      <c r="L382" s="26"/>
      <c r="M382" s="26"/>
      <c r="N382" s="33"/>
      <c r="O382" s="29"/>
      <c r="P382" s="29"/>
      <c r="Q382" s="30" t="str">
        <f t="shared" ca="1" si="93"/>
        <v/>
      </c>
      <c r="R382" s="46"/>
      <c r="S382" s="47"/>
    </row>
    <row r="383" spans="1:20" ht="15" customHeight="1" x14ac:dyDescent="0.25">
      <c r="A383" s="69">
        <v>46249</v>
      </c>
      <c r="B383" s="32">
        <f t="shared" si="94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1"/>
        <v/>
      </c>
      <c r="K383" s="34" t="str">
        <f t="shared" si="92"/>
        <v/>
      </c>
      <c r="L383" s="33"/>
      <c r="M383" s="33"/>
      <c r="N383" s="33"/>
      <c r="O383" s="29"/>
      <c r="P383" s="29"/>
      <c r="Q383" s="35" t="str">
        <f t="shared" ca="1" si="93"/>
        <v/>
      </c>
      <c r="R383" s="46"/>
      <c r="S383" s="47"/>
    </row>
    <row r="384" spans="1:20" ht="15" customHeight="1" x14ac:dyDescent="0.25">
      <c r="A384" s="68">
        <v>46249</v>
      </c>
      <c r="B384" s="25">
        <f t="shared" si="94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1"/>
        <v/>
      </c>
      <c r="K384" s="28" t="str">
        <f t="shared" si="92"/>
        <v/>
      </c>
      <c r="L384" s="26"/>
      <c r="M384" s="26"/>
      <c r="N384" s="26"/>
      <c r="O384" s="29"/>
      <c r="P384" s="29"/>
      <c r="Q384" s="30" t="str">
        <f t="shared" ca="1" si="93"/>
        <v/>
      </c>
      <c r="R384" s="46"/>
      <c r="S384" s="47"/>
    </row>
    <row r="385" spans="1:20" ht="15" customHeight="1" x14ac:dyDescent="0.25">
      <c r="A385" s="69">
        <v>46249</v>
      </c>
      <c r="B385" s="32">
        <f t="shared" si="94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1"/>
        <v/>
      </c>
      <c r="K385" s="34" t="str">
        <f t="shared" si="92"/>
        <v/>
      </c>
      <c r="L385" s="33"/>
      <c r="M385" s="33"/>
      <c r="N385" s="33"/>
      <c r="O385" s="29"/>
      <c r="P385" s="29"/>
      <c r="Q385" s="35" t="str">
        <f t="shared" ca="1" si="93"/>
        <v/>
      </c>
      <c r="R385" s="46"/>
      <c r="S385" s="47"/>
    </row>
    <row r="386" spans="1:20" ht="15" customHeight="1" x14ac:dyDescent="0.25">
      <c r="A386" s="68">
        <v>46249</v>
      </c>
      <c r="B386" s="25">
        <f t="shared" si="94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1"/>
        <v/>
      </c>
      <c r="K386" s="28" t="str">
        <f t="shared" si="92"/>
        <v/>
      </c>
      <c r="L386" s="26"/>
      <c r="M386" s="26"/>
      <c r="N386" s="26"/>
      <c r="O386" s="29"/>
      <c r="P386" s="29"/>
      <c r="Q386" s="30" t="str">
        <f t="shared" ca="1" si="93"/>
        <v/>
      </c>
      <c r="R386" s="46"/>
      <c r="S386" s="47"/>
    </row>
    <row r="387" spans="1:20" ht="15" customHeight="1" x14ac:dyDescent="0.25">
      <c r="A387" s="69">
        <v>46249</v>
      </c>
      <c r="B387" s="32">
        <f t="shared" si="94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1"/>
        <v/>
      </c>
      <c r="K387" s="34" t="str">
        <f t="shared" si="92"/>
        <v/>
      </c>
      <c r="L387" s="33"/>
      <c r="M387" s="33"/>
      <c r="N387" s="33"/>
      <c r="O387" s="29"/>
      <c r="P387" s="29"/>
      <c r="Q387" s="35" t="str">
        <f t="shared" ca="1" si="93"/>
        <v/>
      </c>
      <c r="R387" s="46"/>
      <c r="S387" s="47"/>
    </row>
    <row r="388" spans="1:20" ht="15" customHeight="1" x14ac:dyDescent="0.25">
      <c r="A388" s="68">
        <v>46249</v>
      </c>
      <c r="B388" s="25">
        <f t="shared" si="94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1"/>
        <v/>
      </c>
      <c r="K388" s="28" t="str">
        <f t="shared" si="92"/>
        <v/>
      </c>
      <c r="L388" s="26"/>
      <c r="M388" s="26"/>
      <c r="N388" s="26"/>
      <c r="O388" s="29"/>
      <c r="P388" s="29"/>
      <c r="Q388" s="30" t="str">
        <f t="shared" ca="1" si="93"/>
        <v/>
      </c>
      <c r="R388" s="46"/>
      <c r="S388" s="47"/>
    </row>
    <row r="389" spans="1:20" ht="15" customHeight="1" x14ac:dyDescent="0.25">
      <c r="A389" s="69">
        <v>46249</v>
      </c>
      <c r="B389" s="32">
        <f t="shared" si="94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1"/>
        <v/>
      </c>
      <c r="K389" s="34" t="str">
        <f t="shared" si="92"/>
        <v/>
      </c>
      <c r="L389" s="33"/>
      <c r="M389" s="33"/>
      <c r="N389" s="33"/>
      <c r="O389" s="29"/>
      <c r="P389" s="29"/>
      <c r="Q389" s="35" t="str">
        <f t="shared" ca="1" si="93"/>
        <v/>
      </c>
      <c r="R389" s="46"/>
      <c r="S389" s="47"/>
    </row>
    <row r="390" spans="1:20" ht="15" customHeight="1" x14ac:dyDescent="0.25">
      <c r="A390" s="68">
        <v>46249</v>
      </c>
      <c r="B390" s="25">
        <f t="shared" si="94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1"/>
        <v/>
      </c>
      <c r="K390" s="28" t="str">
        <f t="shared" si="92"/>
        <v/>
      </c>
      <c r="L390" s="26"/>
      <c r="M390" s="26"/>
      <c r="N390" s="26"/>
      <c r="O390" s="29"/>
      <c r="P390" s="29"/>
      <c r="Q390" s="30" t="str">
        <f t="shared" ca="1" si="93"/>
        <v/>
      </c>
      <c r="R390" s="46"/>
      <c r="S390" s="47"/>
    </row>
    <row r="391" spans="1:20" ht="15" customHeight="1" thickBot="1" x14ac:dyDescent="0.3">
      <c r="A391" s="69">
        <v>46249</v>
      </c>
      <c r="B391" s="32">
        <f t="shared" si="94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1"/>
        <v/>
      </c>
      <c r="K391" s="34" t="str">
        <f t="shared" si="92"/>
        <v/>
      </c>
      <c r="L391" s="33"/>
      <c r="M391" s="33"/>
      <c r="N391" s="33"/>
      <c r="O391" s="29"/>
      <c r="P391" s="29"/>
      <c r="Q391" s="35" t="str">
        <f t="shared" ca="1" si="93"/>
        <v/>
      </c>
      <c r="R391" s="46"/>
      <c r="S391" s="47"/>
    </row>
    <row r="392" spans="1:20" ht="15.75" customHeight="1" thickBot="1" x14ac:dyDescent="0.3">
      <c r="A392" s="150" t="s">
        <v>241</v>
      </c>
      <c r="B392" s="151"/>
      <c r="C392" s="151"/>
      <c r="D392" s="151"/>
      <c r="E392" s="151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 x14ac:dyDescent="0.25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5">IFERROR(IF($H393="","",$H393*$F393*$I393),"")</f>
        <v/>
      </c>
      <c r="K393" s="34" t="str">
        <f t="shared" ref="K393:K404" si="96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7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8">
        <v>46249</v>
      </c>
      <c r="B394" s="25">
        <f t="shared" ref="B394:B404" si="98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5"/>
        <v/>
      </c>
      <c r="K394" s="28" t="str">
        <f t="shared" si="96"/>
        <v/>
      </c>
      <c r="L394" s="26"/>
      <c r="M394" s="26"/>
      <c r="N394" s="26"/>
      <c r="O394" s="29"/>
      <c r="P394" s="29"/>
      <c r="Q394" s="30" t="str">
        <f t="shared" ca="1" si="97"/>
        <v/>
      </c>
      <c r="R394" s="46"/>
      <c r="S394" s="47"/>
    </row>
    <row r="395" spans="1:20" ht="15" customHeight="1" x14ac:dyDescent="0.25">
      <c r="A395" s="69">
        <v>46249</v>
      </c>
      <c r="B395" s="32">
        <f t="shared" si="98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5"/>
        <v/>
      </c>
      <c r="K395" s="34" t="str">
        <f t="shared" si="96"/>
        <v/>
      </c>
      <c r="L395" s="33"/>
      <c r="M395" s="33"/>
      <c r="N395" s="33"/>
      <c r="O395" s="29"/>
      <c r="P395" s="29"/>
      <c r="Q395" s="35" t="str">
        <f t="shared" ca="1" si="97"/>
        <v/>
      </c>
      <c r="R395" s="46"/>
      <c r="S395" s="47"/>
    </row>
    <row r="396" spans="1:20" ht="15" customHeight="1" x14ac:dyDescent="0.25">
      <c r="A396" s="68">
        <v>46249</v>
      </c>
      <c r="B396" s="25">
        <f t="shared" si="98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5"/>
        <v/>
      </c>
      <c r="K396" s="28" t="str">
        <f t="shared" si="96"/>
        <v/>
      </c>
      <c r="L396" s="26"/>
      <c r="M396" s="26"/>
      <c r="N396" s="26"/>
      <c r="O396" s="29"/>
      <c r="P396" s="29"/>
      <c r="Q396" s="30" t="str">
        <f t="shared" ca="1" si="97"/>
        <v/>
      </c>
      <c r="R396" s="46"/>
      <c r="S396" s="47"/>
    </row>
    <row r="397" spans="1:20" ht="15" customHeight="1" x14ac:dyDescent="0.25">
      <c r="A397" s="69">
        <v>46249</v>
      </c>
      <c r="B397" s="32">
        <f t="shared" si="98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5"/>
        <v/>
      </c>
      <c r="K397" s="34" t="str">
        <f t="shared" si="96"/>
        <v/>
      </c>
      <c r="L397" s="33"/>
      <c r="M397" s="33"/>
      <c r="N397" s="33"/>
      <c r="O397" s="29"/>
      <c r="P397" s="29"/>
      <c r="Q397" s="35" t="str">
        <f t="shared" ca="1" si="97"/>
        <v/>
      </c>
      <c r="R397" s="46"/>
      <c r="S397" s="47"/>
    </row>
    <row r="398" spans="1:20" ht="15" customHeight="1" x14ac:dyDescent="0.25">
      <c r="A398" s="68">
        <v>46249</v>
      </c>
      <c r="B398" s="25">
        <f t="shared" si="98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5"/>
        <v/>
      </c>
      <c r="K398" s="28" t="str">
        <f t="shared" si="96"/>
        <v/>
      </c>
      <c r="L398" s="26"/>
      <c r="M398" s="26"/>
      <c r="N398" s="26"/>
      <c r="O398" s="29"/>
      <c r="P398" s="29"/>
      <c r="Q398" s="30" t="str">
        <f t="shared" ca="1" si="97"/>
        <v/>
      </c>
      <c r="R398" s="46"/>
      <c r="S398" s="47"/>
    </row>
    <row r="399" spans="1:20" ht="15" customHeight="1" x14ac:dyDescent="0.25">
      <c r="A399" s="69">
        <v>46249</v>
      </c>
      <c r="B399" s="32">
        <f t="shared" si="98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5"/>
        <v/>
      </c>
      <c r="K399" s="34" t="str">
        <f t="shared" si="96"/>
        <v/>
      </c>
      <c r="L399" s="33"/>
      <c r="M399" s="33"/>
      <c r="N399" s="33"/>
      <c r="O399" s="29"/>
      <c r="P399" s="29"/>
      <c r="Q399" s="35" t="str">
        <f t="shared" ca="1" si="97"/>
        <v/>
      </c>
      <c r="R399" s="46"/>
      <c r="S399" s="47"/>
    </row>
    <row r="400" spans="1:20" ht="15" customHeight="1" x14ac:dyDescent="0.25">
      <c r="A400" s="68">
        <v>46249</v>
      </c>
      <c r="B400" s="25">
        <f t="shared" si="98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5"/>
        <v/>
      </c>
      <c r="K400" s="28" t="str">
        <f t="shared" si="96"/>
        <v/>
      </c>
      <c r="L400" s="26"/>
      <c r="M400" s="26"/>
      <c r="N400" s="26"/>
      <c r="O400" s="29"/>
      <c r="P400" s="29"/>
      <c r="Q400" s="30" t="str">
        <f t="shared" ca="1" si="97"/>
        <v/>
      </c>
      <c r="R400" s="46"/>
      <c r="S400" s="47"/>
    </row>
    <row r="401" spans="1:20" ht="15" customHeight="1" x14ac:dyDescent="0.25">
      <c r="A401" s="69">
        <v>46249</v>
      </c>
      <c r="B401" s="32">
        <f t="shared" si="98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5"/>
        <v/>
      </c>
      <c r="K401" s="34" t="str">
        <f t="shared" si="96"/>
        <v/>
      </c>
      <c r="L401" s="33"/>
      <c r="M401" s="33"/>
      <c r="N401" s="33"/>
      <c r="O401" s="29"/>
      <c r="P401" s="29"/>
      <c r="Q401" s="35" t="str">
        <f t="shared" ca="1" si="97"/>
        <v/>
      </c>
      <c r="R401" s="46"/>
      <c r="S401" s="47"/>
    </row>
    <row r="402" spans="1:20" ht="15" customHeight="1" x14ac:dyDescent="0.25">
      <c r="A402" s="68">
        <v>46249</v>
      </c>
      <c r="B402" s="25">
        <f t="shared" si="98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5"/>
        <v/>
      </c>
      <c r="K402" s="28" t="str">
        <f t="shared" si="96"/>
        <v/>
      </c>
      <c r="L402" s="26"/>
      <c r="M402" s="26"/>
      <c r="N402" s="26"/>
      <c r="O402" s="29"/>
      <c r="P402" s="29"/>
      <c r="Q402" s="30" t="str">
        <f t="shared" ca="1" si="97"/>
        <v/>
      </c>
      <c r="R402" s="46"/>
      <c r="S402" s="47"/>
    </row>
    <row r="403" spans="1:20" ht="15" customHeight="1" x14ac:dyDescent="0.25">
      <c r="A403" s="69">
        <v>46249</v>
      </c>
      <c r="B403" s="32">
        <f t="shared" si="98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5"/>
        <v/>
      </c>
      <c r="K403" s="34" t="str">
        <f t="shared" si="96"/>
        <v/>
      </c>
      <c r="L403" s="33"/>
      <c r="M403" s="33"/>
      <c r="N403" s="33"/>
      <c r="O403" s="29"/>
      <c r="P403" s="29"/>
      <c r="Q403" s="35" t="str">
        <f t="shared" ca="1" si="97"/>
        <v/>
      </c>
      <c r="R403" s="46"/>
      <c r="S403" s="47"/>
    </row>
    <row r="404" spans="1:20" ht="15" customHeight="1" thickBot="1" x14ac:dyDescent="0.3">
      <c r="A404" s="68">
        <v>46249</v>
      </c>
      <c r="B404" s="25">
        <f t="shared" si="98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5"/>
        <v/>
      </c>
      <c r="K404" s="28" t="str">
        <f t="shared" si="96"/>
        <v/>
      </c>
      <c r="L404" s="26"/>
      <c r="M404" s="26"/>
      <c r="N404" s="26"/>
      <c r="O404" s="29"/>
      <c r="P404" s="29"/>
      <c r="Q404" s="30" t="str">
        <f t="shared" ca="1" si="97"/>
        <v/>
      </c>
      <c r="R404" s="46"/>
      <c r="S404" s="47"/>
    </row>
    <row r="405" spans="1:20" ht="15.75" customHeight="1" thickBot="1" x14ac:dyDescent="0.3">
      <c r="A405" s="150" t="s">
        <v>244</v>
      </c>
      <c r="B405" s="151"/>
      <c r="C405" s="151"/>
      <c r="D405" s="151"/>
      <c r="E405" s="151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 x14ac:dyDescent="0.25">
      <c r="A406" s="152" t="s">
        <v>245</v>
      </c>
      <c r="B406" s="153"/>
      <c r="C406" s="153"/>
      <c r="D406" s="153"/>
      <c r="E406" s="153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 x14ac:dyDescent="0.25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9">IFERROR(IF($H407="","",$H407*$F407*$I407),"")</f>
        <v/>
      </c>
      <c r="K407" s="34" t="str">
        <f t="shared" ref="K407:K418" si="100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1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8">
        <v>46250</v>
      </c>
      <c r="B408" s="25">
        <f t="shared" ref="B408:B418" si="102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9"/>
        <v/>
      </c>
      <c r="K408" s="28" t="str">
        <f t="shared" si="100"/>
        <v/>
      </c>
      <c r="L408" s="26"/>
      <c r="M408" s="26"/>
      <c r="N408" s="26"/>
      <c r="O408" s="29"/>
      <c r="P408" s="29"/>
      <c r="Q408" s="30" t="str">
        <f t="shared" ca="1" si="101"/>
        <v/>
      </c>
      <c r="R408" s="46"/>
      <c r="S408" s="47"/>
    </row>
    <row r="409" spans="1:20" ht="15" customHeight="1" x14ac:dyDescent="0.25">
      <c r="A409" s="69">
        <v>46250</v>
      </c>
      <c r="B409" s="32">
        <f t="shared" si="102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9"/>
        <v/>
      </c>
      <c r="K409" s="34" t="str">
        <f t="shared" si="100"/>
        <v/>
      </c>
      <c r="L409" s="33"/>
      <c r="M409" s="33"/>
      <c r="N409" s="33"/>
      <c r="O409" s="29"/>
      <c r="P409" s="29"/>
      <c r="Q409" s="35" t="str">
        <f t="shared" ca="1" si="101"/>
        <v/>
      </c>
      <c r="R409" s="46"/>
      <c r="S409" s="47"/>
    </row>
    <row r="410" spans="1:20" ht="15" customHeight="1" x14ac:dyDescent="0.25">
      <c r="A410" s="68">
        <v>46250</v>
      </c>
      <c r="B410" s="25">
        <f t="shared" si="102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9"/>
        <v/>
      </c>
      <c r="K410" s="28" t="str">
        <f t="shared" si="100"/>
        <v/>
      </c>
      <c r="L410" s="26"/>
      <c r="M410" s="26"/>
      <c r="N410" s="26"/>
      <c r="O410" s="29"/>
      <c r="P410" s="29"/>
      <c r="Q410" s="30" t="str">
        <f t="shared" ca="1" si="101"/>
        <v/>
      </c>
      <c r="R410" s="46"/>
      <c r="S410" s="47"/>
    </row>
    <row r="411" spans="1:20" ht="15" customHeight="1" x14ac:dyDescent="0.25">
      <c r="A411" s="69">
        <v>46250</v>
      </c>
      <c r="B411" s="32">
        <f t="shared" si="102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9"/>
        <v/>
      </c>
      <c r="K411" s="34" t="str">
        <f t="shared" si="100"/>
        <v/>
      </c>
      <c r="L411" s="33"/>
      <c r="M411" s="33"/>
      <c r="N411" s="33"/>
      <c r="O411" s="29"/>
      <c r="P411" s="29"/>
      <c r="Q411" s="35" t="str">
        <f t="shared" ca="1" si="101"/>
        <v/>
      </c>
      <c r="R411" s="46"/>
      <c r="S411" s="47"/>
    </row>
    <row r="412" spans="1:20" ht="15" customHeight="1" x14ac:dyDescent="0.25">
      <c r="A412" s="68">
        <v>46250</v>
      </c>
      <c r="B412" s="25">
        <f t="shared" si="102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9"/>
        <v/>
      </c>
      <c r="K412" s="34" t="str">
        <f t="shared" si="100"/>
        <v/>
      </c>
      <c r="L412" s="26"/>
      <c r="M412" s="26"/>
      <c r="N412" s="26"/>
      <c r="O412" s="29"/>
      <c r="P412" s="29"/>
      <c r="Q412" s="30" t="str">
        <f t="shared" ca="1" si="101"/>
        <v/>
      </c>
      <c r="R412" s="46"/>
      <c r="S412" s="47"/>
    </row>
    <row r="413" spans="1:20" ht="15" customHeight="1" x14ac:dyDescent="0.25">
      <c r="A413" s="69">
        <v>46250</v>
      </c>
      <c r="B413" s="32">
        <f t="shared" si="102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9"/>
        <v/>
      </c>
      <c r="K413" s="34" t="str">
        <f t="shared" si="100"/>
        <v/>
      </c>
      <c r="L413" s="33"/>
      <c r="M413" s="33"/>
      <c r="N413" s="33"/>
      <c r="O413" s="29"/>
      <c r="P413" s="29"/>
      <c r="Q413" s="35" t="str">
        <f t="shared" ca="1" si="101"/>
        <v/>
      </c>
      <c r="R413" s="46"/>
      <c r="S413" s="47"/>
    </row>
    <row r="414" spans="1:20" ht="15" customHeight="1" x14ac:dyDescent="0.25">
      <c r="A414" s="68">
        <v>46250</v>
      </c>
      <c r="B414" s="25">
        <f t="shared" si="102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9"/>
        <v/>
      </c>
      <c r="K414" s="34" t="str">
        <f t="shared" si="100"/>
        <v/>
      </c>
      <c r="L414" s="26"/>
      <c r="M414" s="26"/>
      <c r="N414" s="26"/>
      <c r="O414" s="29"/>
      <c r="P414" s="29"/>
      <c r="Q414" s="30" t="str">
        <f t="shared" ca="1" si="101"/>
        <v/>
      </c>
      <c r="R414" s="46"/>
      <c r="S414" s="47"/>
    </row>
    <row r="415" spans="1:20" ht="15" customHeight="1" x14ac:dyDescent="0.25">
      <c r="A415" s="69">
        <v>46250</v>
      </c>
      <c r="B415" s="32">
        <f t="shared" si="102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9"/>
        <v/>
      </c>
      <c r="K415" s="34" t="str">
        <f t="shared" si="100"/>
        <v/>
      </c>
      <c r="L415" s="33"/>
      <c r="M415" s="33"/>
      <c r="N415" s="33"/>
      <c r="O415" s="29"/>
      <c r="P415" s="29"/>
      <c r="Q415" s="35" t="str">
        <f t="shared" ca="1" si="101"/>
        <v/>
      </c>
      <c r="R415" s="46"/>
      <c r="S415" s="47"/>
    </row>
    <row r="416" spans="1:20" ht="15" customHeight="1" x14ac:dyDescent="0.25">
      <c r="A416" s="68">
        <v>46250</v>
      </c>
      <c r="B416" s="25">
        <f t="shared" si="102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9"/>
        <v/>
      </c>
      <c r="K416" s="28" t="str">
        <f t="shared" si="100"/>
        <v/>
      </c>
      <c r="L416" s="26"/>
      <c r="M416" s="26"/>
      <c r="N416" s="26"/>
      <c r="O416" s="29"/>
      <c r="P416" s="29"/>
      <c r="Q416" s="30" t="str">
        <f t="shared" ca="1" si="101"/>
        <v/>
      </c>
      <c r="R416" s="46"/>
      <c r="S416" s="47"/>
    </row>
    <row r="417" spans="1:20" ht="15" customHeight="1" x14ac:dyDescent="0.25">
      <c r="A417" s="69">
        <v>46250</v>
      </c>
      <c r="B417" s="32">
        <f t="shared" si="102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9"/>
        <v/>
      </c>
      <c r="K417" s="34" t="str">
        <f t="shared" si="100"/>
        <v/>
      </c>
      <c r="L417" s="33"/>
      <c r="M417" s="33"/>
      <c r="N417" s="33"/>
      <c r="O417" s="29"/>
      <c r="P417" s="29"/>
      <c r="Q417" s="35" t="str">
        <f t="shared" ca="1" si="101"/>
        <v/>
      </c>
      <c r="R417" s="46"/>
      <c r="S417" s="47"/>
    </row>
    <row r="418" spans="1:20" ht="15" customHeight="1" thickBot="1" x14ac:dyDescent="0.3">
      <c r="A418" s="68">
        <v>46250</v>
      </c>
      <c r="B418" s="25">
        <f t="shared" si="102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9"/>
        <v/>
      </c>
      <c r="K418" s="28" t="str">
        <f t="shared" si="100"/>
        <v/>
      </c>
      <c r="L418" s="26"/>
      <c r="M418" s="26"/>
      <c r="N418" s="26"/>
      <c r="O418" s="29"/>
      <c r="P418" s="29"/>
      <c r="Q418" s="30" t="str">
        <f t="shared" ca="1" si="101"/>
        <v/>
      </c>
      <c r="R418" s="46"/>
      <c r="S418" s="47"/>
    </row>
    <row r="419" spans="1:20" ht="15.75" customHeight="1" thickBot="1" x14ac:dyDescent="0.3">
      <c r="A419" s="150" t="s">
        <v>241</v>
      </c>
      <c r="B419" s="151"/>
      <c r="C419" s="151"/>
      <c r="D419" s="151"/>
      <c r="E419" s="151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 x14ac:dyDescent="0.25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3">IFERROR(IF($H420="","",$H420*$F420*$I420),"")</f>
        <v/>
      </c>
      <c r="K420" s="28" t="str">
        <f t="shared" ref="K420:K431" si="104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5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9">
        <v>46250</v>
      </c>
      <c r="B421" s="32">
        <f t="shared" ref="B421:B431" si="106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3"/>
        <v/>
      </c>
      <c r="K421" s="34" t="str">
        <f t="shared" si="104"/>
        <v/>
      </c>
      <c r="L421" s="33"/>
      <c r="M421" s="33"/>
      <c r="N421" s="33"/>
      <c r="O421" s="29"/>
      <c r="P421" s="29"/>
      <c r="Q421" s="35" t="str">
        <f t="shared" ca="1" si="105"/>
        <v/>
      </c>
      <c r="R421" s="46"/>
      <c r="S421" s="47"/>
    </row>
    <row r="422" spans="1:20" ht="15" customHeight="1" x14ac:dyDescent="0.25">
      <c r="A422" s="68">
        <v>46250</v>
      </c>
      <c r="B422" s="25">
        <f t="shared" si="106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3"/>
        <v/>
      </c>
      <c r="K422" s="28" t="str">
        <f t="shared" si="104"/>
        <v/>
      </c>
      <c r="L422" s="26"/>
      <c r="M422" s="26"/>
      <c r="N422" s="26"/>
      <c r="O422" s="29"/>
      <c r="P422" s="29"/>
      <c r="Q422" s="30" t="str">
        <f t="shared" ca="1" si="105"/>
        <v/>
      </c>
      <c r="R422" s="46"/>
      <c r="S422" s="47"/>
    </row>
    <row r="423" spans="1:20" ht="15" customHeight="1" x14ac:dyDescent="0.25">
      <c r="A423" s="69">
        <v>46250</v>
      </c>
      <c r="B423" s="32">
        <f t="shared" si="106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3"/>
        <v/>
      </c>
      <c r="K423" s="34" t="str">
        <f t="shared" si="104"/>
        <v/>
      </c>
      <c r="L423" s="33"/>
      <c r="M423" s="33"/>
      <c r="N423" s="33"/>
      <c r="O423" s="29"/>
      <c r="P423" s="29"/>
      <c r="Q423" s="35" t="str">
        <f t="shared" ca="1" si="105"/>
        <v/>
      </c>
      <c r="R423" s="46"/>
      <c r="S423" s="47"/>
    </row>
    <row r="424" spans="1:20" ht="15" customHeight="1" x14ac:dyDescent="0.25">
      <c r="A424" s="68">
        <v>46250</v>
      </c>
      <c r="B424" s="25">
        <f t="shared" si="106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3"/>
        <v/>
      </c>
      <c r="K424" s="28" t="str">
        <f t="shared" si="104"/>
        <v/>
      </c>
      <c r="L424" s="26"/>
      <c r="M424" s="26"/>
      <c r="N424" s="26"/>
      <c r="O424" s="29"/>
      <c r="P424" s="29"/>
      <c r="Q424" s="30" t="str">
        <f t="shared" ca="1" si="105"/>
        <v/>
      </c>
      <c r="R424" s="46"/>
      <c r="S424" s="47"/>
    </row>
    <row r="425" spans="1:20" ht="15" customHeight="1" x14ac:dyDescent="0.25">
      <c r="A425" s="69">
        <v>46250</v>
      </c>
      <c r="B425" s="32">
        <f t="shared" si="106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3"/>
        <v/>
      </c>
      <c r="K425" s="34" t="str">
        <f t="shared" si="104"/>
        <v/>
      </c>
      <c r="L425" s="33"/>
      <c r="M425" s="33"/>
      <c r="N425" s="33"/>
      <c r="O425" s="29"/>
      <c r="P425" s="29"/>
      <c r="Q425" s="35" t="str">
        <f t="shared" ca="1" si="105"/>
        <v/>
      </c>
      <c r="R425" s="46"/>
      <c r="S425" s="47"/>
    </row>
    <row r="426" spans="1:20" ht="15" customHeight="1" x14ac:dyDescent="0.25">
      <c r="A426" s="68">
        <v>46250</v>
      </c>
      <c r="B426" s="25">
        <f t="shared" si="106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3"/>
        <v/>
      </c>
      <c r="K426" s="28" t="str">
        <f t="shared" si="104"/>
        <v/>
      </c>
      <c r="L426" s="26"/>
      <c r="M426" s="26"/>
      <c r="N426" s="26"/>
      <c r="O426" s="29"/>
      <c r="P426" s="29"/>
      <c r="Q426" s="30" t="str">
        <f t="shared" ca="1" si="105"/>
        <v/>
      </c>
      <c r="R426" s="46"/>
      <c r="S426" s="47"/>
    </row>
    <row r="427" spans="1:20" ht="15" customHeight="1" x14ac:dyDescent="0.25">
      <c r="A427" s="69">
        <v>46250</v>
      </c>
      <c r="B427" s="32">
        <f t="shared" si="106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3"/>
        <v/>
      </c>
      <c r="K427" s="34" t="str">
        <f t="shared" si="104"/>
        <v/>
      </c>
      <c r="L427" s="33"/>
      <c r="M427" s="33"/>
      <c r="N427" s="33"/>
      <c r="O427" s="29"/>
      <c r="P427" s="29"/>
      <c r="Q427" s="35" t="str">
        <f t="shared" ca="1" si="105"/>
        <v/>
      </c>
      <c r="R427" s="46"/>
      <c r="S427" s="47"/>
    </row>
    <row r="428" spans="1:20" ht="15" customHeight="1" x14ac:dyDescent="0.25">
      <c r="A428" s="68">
        <v>46250</v>
      </c>
      <c r="B428" s="25">
        <f t="shared" si="106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3"/>
        <v/>
      </c>
      <c r="K428" s="28" t="str">
        <f t="shared" si="104"/>
        <v/>
      </c>
      <c r="L428" s="26"/>
      <c r="M428" s="26"/>
      <c r="N428" s="26"/>
      <c r="O428" s="29"/>
      <c r="P428" s="29"/>
      <c r="Q428" s="30" t="str">
        <f t="shared" ca="1" si="105"/>
        <v/>
      </c>
      <c r="R428" s="46"/>
      <c r="S428" s="47"/>
    </row>
    <row r="429" spans="1:20" ht="15" customHeight="1" x14ac:dyDescent="0.25">
      <c r="A429" s="69">
        <v>46250</v>
      </c>
      <c r="B429" s="32">
        <f t="shared" si="106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3"/>
        <v/>
      </c>
      <c r="K429" s="34" t="str">
        <f t="shared" si="104"/>
        <v/>
      </c>
      <c r="L429" s="33"/>
      <c r="M429" s="33"/>
      <c r="N429" s="33"/>
      <c r="O429" s="29"/>
      <c r="P429" s="29"/>
      <c r="Q429" s="35" t="str">
        <f t="shared" ca="1" si="105"/>
        <v/>
      </c>
      <c r="R429" s="46"/>
      <c r="S429" s="47"/>
    </row>
    <row r="430" spans="1:20" ht="15" customHeight="1" x14ac:dyDescent="0.25">
      <c r="A430" s="68">
        <v>46250</v>
      </c>
      <c r="B430" s="25">
        <f t="shared" si="106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3"/>
        <v/>
      </c>
      <c r="K430" s="28" t="str">
        <f t="shared" si="104"/>
        <v/>
      </c>
      <c r="L430" s="26"/>
      <c r="M430" s="26"/>
      <c r="N430" s="26"/>
      <c r="O430" s="29"/>
      <c r="P430" s="29"/>
      <c r="Q430" s="30" t="str">
        <f t="shared" ca="1" si="105"/>
        <v/>
      </c>
      <c r="R430" s="46"/>
      <c r="S430" s="47"/>
    </row>
    <row r="431" spans="1:20" ht="15" customHeight="1" thickBot="1" x14ac:dyDescent="0.3">
      <c r="A431" s="69">
        <v>46250</v>
      </c>
      <c r="B431" s="32">
        <f t="shared" si="106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3"/>
        <v/>
      </c>
      <c r="K431" s="34" t="str">
        <f t="shared" si="104"/>
        <v/>
      </c>
      <c r="L431" s="33"/>
      <c r="M431" s="33"/>
      <c r="N431" s="33"/>
      <c r="O431" s="29"/>
      <c r="P431" s="29"/>
      <c r="Q431" s="35" t="str">
        <f t="shared" ca="1" si="105"/>
        <v/>
      </c>
      <c r="R431" s="46"/>
      <c r="S431" s="47"/>
    </row>
    <row r="432" spans="1:20" ht="15.75" customHeight="1" thickBot="1" x14ac:dyDescent="0.3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 x14ac:dyDescent="0.25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 x14ac:dyDescent="0.25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7">IFERROR(IF($H434="","",$H434*$F434*$I434),"")</f>
        <v/>
      </c>
      <c r="K434" s="28" t="str">
        <f t="shared" ref="K434:K445" si="108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9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9">
        <v>46251</v>
      </c>
      <c r="B435" s="32">
        <f t="shared" ref="B435:B445" si="110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7"/>
        <v/>
      </c>
      <c r="K435" s="28" t="str">
        <f t="shared" si="108"/>
        <v/>
      </c>
      <c r="L435" s="33"/>
      <c r="M435" s="33"/>
      <c r="N435" s="33"/>
      <c r="O435" s="29"/>
      <c r="P435" s="29"/>
      <c r="Q435" s="35" t="str">
        <f t="shared" ca="1" si="109"/>
        <v/>
      </c>
      <c r="R435" s="46"/>
      <c r="S435" s="47"/>
    </row>
    <row r="436" spans="1:20" ht="15" customHeight="1" x14ac:dyDescent="0.25">
      <c r="A436" s="68">
        <v>46251</v>
      </c>
      <c r="B436" s="25">
        <f t="shared" si="110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7"/>
        <v/>
      </c>
      <c r="K436" s="28" t="str">
        <f t="shared" si="108"/>
        <v/>
      </c>
      <c r="L436" s="26"/>
      <c r="M436" s="26"/>
      <c r="N436" s="26"/>
      <c r="O436" s="29"/>
      <c r="P436" s="29"/>
      <c r="Q436" s="30" t="str">
        <f t="shared" ca="1" si="109"/>
        <v/>
      </c>
      <c r="R436" s="46"/>
      <c r="S436" s="47"/>
    </row>
    <row r="437" spans="1:20" ht="15" customHeight="1" x14ac:dyDescent="0.25">
      <c r="A437" s="69">
        <v>46251</v>
      </c>
      <c r="B437" s="32">
        <f t="shared" si="110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7"/>
        <v/>
      </c>
      <c r="K437" s="34" t="str">
        <f t="shared" si="108"/>
        <v/>
      </c>
      <c r="L437" s="33"/>
      <c r="M437" s="33"/>
      <c r="N437" s="33"/>
      <c r="O437" s="29"/>
      <c r="P437" s="29"/>
      <c r="Q437" s="35" t="str">
        <f t="shared" ca="1" si="109"/>
        <v/>
      </c>
      <c r="R437" s="46"/>
      <c r="S437" s="47"/>
    </row>
    <row r="438" spans="1:20" ht="15" customHeight="1" x14ac:dyDescent="0.25">
      <c r="A438" s="68">
        <v>46251</v>
      </c>
      <c r="B438" s="25">
        <f t="shared" si="110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7"/>
        <v/>
      </c>
      <c r="K438" s="28" t="str">
        <f t="shared" si="108"/>
        <v/>
      </c>
      <c r="L438" s="26"/>
      <c r="M438" s="26"/>
      <c r="N438" s="26"/>
      <c r="O438" s="29"/>
      <c r="P438" s="29"/>
      <c r="Q438" s="30" t="str">
        <f t="shared" ca="1" si="109"/>
        <v/>
      </c>
      <c r="R438" s="46"/>
      <c r="S438" s="47"/>
    </row>
    <row r="439" spans="1:20" ht="15" customHeight="1" x14ac:dyDescent="0.25">
      <c r="A439" s="69">
        <v>46251</v>
      </c>
      <c r="B439" s="32">
        <f t="shared" si="110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7"/>
        <v/>
      </c>
      <c r="K439" s="34" t="str">
        <f t="shared" si="108"/>
        <v/>
      </c>
      <c r="L439" s="33"/>
      <c r="M439" s="33"/>
      <c r="N439" s="33"/>
      <c r="O439" s="29"/>
      <c r="P439" s="29"/>
      <c r="Q439" s="35" t="str">
        <f t="shared" ca="1" si="109"/>
        <v/>
      </c>
      <c r="R439" s="46"/>
      <c r="S439" s="47"/>
    </row>
    <row r="440" spans="1:20" ht="15" customHeight="1" x14ac:dyDescent="0.25">
      <c r="A440" s="68">
        <v>46251</v>
      </c>
      <c r="B440" s="25">
        <f t="shared" si="110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7"/>
        <v/>
      </c>
      <c r="K440" s="28" t="str">
        <f t="shared" si="108"/>
        <v/>
      </c>
      <c r="L440" s="26"/>
      <c r="M440" s="26"/>
      <c r="N440" s="26"/>
      <c r="O440" s="29"/>
      <c r="P440" s="29"/>
      <c r="Q440" s="30" t="str">
        <f t="shared" ca="1" si="109"/>
        <v/>
      </c>
      <c r="R440" s="46"/>
      <c r="S440" s="47"/>
    </row>
    <row r="441" spans="1:20" ht="15" customHeight="1" x14ac:dyDescent="0.25">
      <c r="A441" s="69">
        <v>46251</v>
      </c>
      <c r="B441" s="32">
        <f t="shared" si="110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7"/>
        <v/>
      </c>
      <c r="K441" s="34" t="str">
        <f t="shared" si="108"/>
        <v/>
      </c>
      <c r="L441" s="33"/>
      <c r="M441" s="33"/>
      <c r="N441" s="33"/>
      <c r="O441" s="29"/>
      <c r="P441" s="29"/>
      <c r="Q441" s="35" t="str">
        <f t="shared" ca="1" si="109"/>
        <v/>
      </c>
      <c r="R441" s="46"/>
      <c r="S441" s="47"/>
    </row>
    <row r="442" spans="1:20" ht="15" customHeight="1" x14ac:dyDescent="0.25">
      <c r="A442" s="68">
        <v>46251</v>
      </c>
      <c r="B442" s="25">
        <f t="shared" si="110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7"/>
        <v/>
      </c>
      <c r="K442" s="28" t="str">
        <f t="shared" si="108"/>
        <v/>
      </c>
      <c r="L442" s="26"/>
      <c r="M442" s="26"/>
      <c r="N442" s="26"/>
      <c r="O442" s="29"/>
      <c r="P442" s="29"/>
      <c r="Q442" s="30" t="str">
        <f t="shared" ca="1" si="109"/>
        <v/>
      </c>
      <c r="R442" s="46"/>
      <c r="S442" s="47"/>
    </row>
    <row r="443" spans="1:20" ht="15" customHeight="1" x14ac:dyDescent="0.25">
      <c r="A443" s="69">
        <v>46251</v>
      </c>
      <c r="B443" s="32">
        <f t="shared" si="110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7"/>
        <v/>
      </c>
      <c r="K443" s="34" t="str">
        <f t="shared" si="108"/>
        <v/>
      </c>
      <c r="L443" s="33"/>
      <c r="M443" s="33"/>
      <c r="N443" s="33"/>
      <c r="O443" s="29"/>
      <c r="P443" s="29"/>
      <c r="Q443" s="35" t="str">
        <f t="shared" ca="1" si="109"/>
        <v/>
      </c>
      <c r="R443" s="46"/>
      <c r="S443" s="47"/>
    </row>
    <row r="444" spans="1:20" ht="15" customHeight="1" x14ac:dyDescent="0.25">
      <c r="A444" s="68">
        <v>46251</v>
      </c>
      <c r="B444" s="25">
        <f t="shared" si="110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7"/>
        <v/>
      </c>
      <c r="K444" s="28" t="str">
        <f t="shared" si="108"/>
        <v/>
      </c>
      <c r="L444" s="26"/>
      <c r="M444" s="26"/>
      <c r="N444" s="26"/>
      <c r="O444" s="29"/>
      <c r="P444" s="29"/>
      <c r="Q444" s="30" t="str">
        <f t="shared" ca="1" si="109"/>
        <v/>
      </c>
      <c r="R444" s="46"/>
      <c r="S444" s="47"/>
    </row>
    <row r="445" spans="1:20" ht="15" customHeight="1" thickBot="1" x14ac:dyDescent="0.3">
      <c r="A445" s="69">
        <v>46251</v>
      </c>
      <c r="B445" s="32">
        <f t="shared" si="110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7"/>
        <v/>
      </c>
      <c r="K445" s="34" t="str">
        <f t="shared" si="108"/>
        <v/>
      </c>
      <c r="L445" s="33"/>
      <c r="M445" s="33"/>
      <c r="N445" s="33"/>
      <c r="O445" s="29"/>
      <c r="P445" s="29"/>
      <c r="Q445" s="35" t="str">
        <f t="shared" ca="1" si="109"/>
        <v/>
      </c>
      <c r="R445" s="46"/>
      <c r="S445" s="47"/>
    </row>
    <row r="446" spans="1:20" ht="15.75" customHeight="1" thickBot="1" x14ac:dyDescent="0.3">
      <c r="A446" s="150" t="s">
        <v>241</v>
      </c>
      <c r="B446" s="151"/>
      <c r="C446" s="151"/>
      <c r="D446" s="151"/>
      <c r="E446" s="151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 x14ac:dyDescent="0.25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1">IFERROR(IF($H447="","",$H447*$F447*$I447),"")</f>
        <v/>
      </c>
      <c r="K447" s="34" t="str">
        <f t="shared" ref="K447:K458" si="112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3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8">
        <v>46251</v>
      </c>
      <c r="B448" s="25">
        <f t="shared" ref="B448:B458" si="114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1"/>
        <v/>
      </c>
      <c r="K448" s="28" t="str">
        <f t="shared" si="112"/>
        <v/>
      </c>
      <c r="L448" s="26"/>
      <c r="M448" s="26"/>
      <c r="N448" s="26"/>
      <c r="O448" s="29"/>
      <c r="P448" s="29"/>
      <c r="Q448" s="30" t="str">
        <f t="shared" ca="1" si="113"/>
        <v/>
      </c>
      <c r="R448" s="46"/>
      <c r="S448" s="47"/>
    </row>
    <row r="449" spans="1:20" ht="15" customHeight="1" x14ac:dyDescent="0.25">
      <c r="A449" s="69">
        <v>46251</v>
      </c>
      <c r="B449" s="32">
        <f t="shared" si="114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1"/>
        <v/>
      </c>
      <c r="K449" s="34" t="str">
        <f t="shared" si="112"/>
        <v/>
      </c>
      <c r="L449" s="33"/>
      <c r="M449" s="33"/>
      <c r="N449" s="33"/>
      <c r="O449" s="29"/>
      <c r="P449" s="29"/>
      <c r="Q449" s="35" t="str">
        <f t="shared" ca="1" si="113"/>
        <v/>
      </c>
      <c r="R449" s="46"/>
      <c r="S449" s="47"/>
    </row>
    <row r="450" spans="1:20" ht="15" customHeight="1" x14ac:dyDescent="0.25">
      <c r="A450" s="68">
        <v>46251</v>
      </c>
      <c r="B450" s="25">
        <f t="shared" si="114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1"/>
        <v/>
      </c>
      <c r="K450" s="28" t="str">
        <f t="shared" si="112"/>
        <v/>
      </c>
      <c r="L450" s="26"/>
      <c r="M450" s="26"/>
      <c r="N450" s="26"/>
      <c r="O450" s="29"/>
      <c r="P450" s="29"/>
      <c r="Q450" s="30" t="str">
        <f t="shared" ca="1" si="113"/>
        <v/>
      </c>
      <c r="R450" s="46"/>
      <c r="S450" s="47"/>
    </row>
    <row r="451" spans="1:20" ht="15" customHeight="1" x14ac:dyDescent="0.25">
      <c r="A451" s="69">
        <v>46251</v>
      </c>
      <c r="B451" s="32">
        <f t="shared" si="114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1"/>
        <v/>
      </c>
      <c r="K451" s="34" t="str">
        <f t="shared" si="112"/>
        <v/>
      </c>
      <c r="L451" s="33"/>
      <c r="M451" s="33"/>
      <c r="N451" s="33"/>
      <c r="O451" s="29"/>
      <c r="P451" s="29"/>
      <c r="Q451" s="35" t="str">
        <f t="shared" ca="1" si="113"/>
        <v/>
      </c>
      <c r="R451" s="46"/>
      <c r="S451" s="47"/>
    </row>
    <row r="452" spans="1:20" ht="15" customHeight="1" x14ac:dyDescent="0.25">
      <c r="A452" s="68">
        <v>46251</v>
      </c>
      <c r="B452" s="25">
        <f t="shared" si="114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1"/>
        <v/>
      </c>
      <c r="K452" s="28" t="str">
        <f t="shared" si="112"/>
        <v/>
      </c>
      <c r="L452" s="26"/>
      <c r="M452" s="26"/>
      <c r="N452" s="26"/>
      <c r="O452" s="29"/>
      <c r="P452" s="29"/>
      <c r="Q452" s="30" t="str">
        <f t="shared" ca="1" si="113"/>
        <v/>
      </c>
      <c r="R452" s="46"/>
      <c r="S452" s="47"/>
    </row>
    <row r="453" spans="1:20" ht="15" customHeight="1" x14ac:dyDescent="0.25">
      <c r="A453" s="69">
        <v>46251</v>
      </c>
      <c r="B453" s="32">
        <f t="shared" si="114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1"/>
        <v/>
      </c>
      <c r="K453" s="34" t="str">
        <f t="shared" si="112"/>
        <v/>
      </c>
      <c r="L453" s="33"/>
      <c r="M453" s="33"/>
      <c r="N453" s="33"/>
      <c r="O453" s="29"/>
      <c r="P453" s="29"/>
      <c r="Q453" s="35" t="str">
        <f t="shared" ca="1" si="113"/>
        <v/>
      </c>
      <c r="R453" s="46"/>
      <c r="S453" s="47"/>
    </row>
    <row r="454" spans="1:20" ht="15" customHeight="1" x14ac:dyDescent="0.25">
      <c r="A454" s="68">
        <v>46251</v>
      </c>
      <c r="B454" s="25">
        <f t="shared" si="114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1"/>
        <v/>
      </c>
      <c r="K454" s="28" t="str">
        <f t="shared" si="112"/>
        <v/>
      </c>
      <c r="L454" s="26"/>
      <c r="M454" s="26"/>
      <c r="N454" s="26"/>
      <c r="O454" s="29"/>
      <c r="P454" s="29"/>
      <c r="Q454" s="30" t="str">
        <f t="shared" ca="1" si="113"/>
        <v/>
      </c>
      <c r="R454" s="46"/>
      <c r="S454" s="47"/>
    </row>
    <row r="455" spans="1:20" ht="15" customHeight="1" x14ac:dyDescent="0.25">
      <c r="A455" s="69">
        <v>46251</v>
      </c>
      <c r="B455" s="32">
        <f t="shared" si="114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1"/>
        <v/>
      </c>
      <c r="K455" s="34" t="str">
        <f t="shared" si="112"/>
        <v/>
      </c>
      <c r="L455" s="33"/>
      <c r="M455" s="33"/>
      <c r="N455" s="33"/>
      <c r="O455" s="29"/>
      <c r="P455" s="29"/>
      <c r="Q455" s="35" t="str">
        <f t="shared" ca="1" si="113"/>
        <v/>
      </c>
      <c r="R455" s="46"/>
      <c r="S455" s="47"/>
    </row>
    <row r="456" spans="1:20" ht="15" customHeight="1" x14ac:dyDescent="0.25">
      <c r="A456" s="68">
        <v>46251</v>
      </c>
      <c r="B456" s="25">
        <f t="shared" si="114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1"/>
        <v/>
      </c>
      <c r="K456" s="28" t="str">
        <f t="shared" si="112"/>
        <v/>
      </c>
      <c r="L456" s="26"/>
      <c r="M456" s="26"/>
      <c r="N456" s="26"/>
      <c r="O456" s="29"/>
      <c r="P456" s="29"/>
      <c r="Q456" s="30" t="str">
        <f t="shared" ca="1" si="113"/>
        <v/>
      </c>
      <c r="R456" s="46"/>
      <c r="S456" s="47"/>
    </row>
    <row r="457" spans="1:20" ht="15" customHeight="1" x14ac:dyDescent="0.25">
      <c r="A457" s="69">
        <v>46251</v>
      </c>
      <c r="B457" s="32">
        <f t="shared" si="114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1"/>
        <v/>
      </c>
      <c r="K457" s="34" t="str">
        <f t="shared" si="112"/>
        <v/>
      </c>
      <c r="L457" s="33"/>
      <c r="M457" s="33"/>
      <c r="N457" s="33"/>
      <c r="O457" s="29"/>
      <c r="P457" s="29"/>
      <c r="Q457" s="35" t="str">
        <f t="shared" ca="1" si="113"/>
        <v/>
      </c>
      <c r="R457" s="46"/>
      <c r="S457" s="47"/>
    </row>
    <row r="458" spans="1:20" ht="15" customHeight="1" thickBot="1" x14ac:dyDescent="0.3">
      <c r="A458" s="68">
        <v>46251</v>
      </c>
      <c r="B458" s="25">
        <f t="shared" si="114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1"/>
        <v/>
      </c>
      <c r="K458" s="28" t="str">
        <f t="shared" si="112"/>
        <v/>
      </c>
      <c r="L458" s="26"/>
      <c r="M458" s="26"/>
      <c r="N458" s="26"/>
      <c r="O458" s="29"/>
      <c r="P458" s="29"/>
      <c r="Q458" s="30" t="str">
        <f t="shared" ca="1" si="113"/>
        <v/>
      </c>
      <c r="R458" s="46"/>
      <c r="S458" s="47"/>
    </row>
    <row r="459" spans="1:20" ht="15.75" customHeight="1" thickBot="1" x14ac:dyDescent="0.3">
      <c r="A459" s="150" t="s">
        <v>244</v>
      </c>
      <c r="B459" s="151"/>
      <c r="C459" s="151"/>
      <c r="D459" s="151"/>
      <c r="E459" s="151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 x14ac:dyDescent="0.25">
      <c r="A460" s="152" t="s">
        <v>245</v>
      </c>
      <c r="B460" s="153"/>
      <c r="C460" s="153"/>
      <c r="D460" s="153"/>
      <c r="E460" s="153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 x14ac:dyDescent="0.25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5">IFERROR(IF($H461="","",$H461*$F461*$I461),"")</f>
        <v/>
      </c>
      <c r="K461" s="34" t="str">
        <f t="shared" ref="K461:K472" si="116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7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8">
        <v>46252</v>
      </c>
      <c r="B462" s="25">
        <f t="shared" ref="B462:B472" si="118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5"/>
        <v/>
      </c>
      <c r="K462" s="28" t="str">
        <f t="shared" si="116"/>
        <v/>
      </c>
      <c r="L462" s="26"/>
      <c r="M462" s="26"/>
      <c r="N462" s="26"/>
      <c r="O462" s="29"/>
      <c r="P462" s="29"/>
      <c r="Q462" s="30" t="str">
        <f t="shared" ca="1" si="117"/>
        <v/>
      </c>
      <c r="R462" s="46"/>
      <c r="S462" s="47"/>
    </row>
    <row r="463" spans="1:20" ht="15" customHeight="1" x14ac:dyDescent="0.25">
      <c r="A463" s="69">
        <v>46252</v>
      </c>
      <c r="B463" s="32">
        <f t="shared" si="118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5"/>
        <v/>
      </c>
      <c r="K463" s="34" t="str">
        <f t="shared" si="116"/>
        <v/>
      </c>
      <c r="L463" s="33"/>
      <c r="M463" s="33"/>
      <c r="N463" s="33"/>
      <c r="O463" s="29"/>
      <c r="P463" s="29"/>
      <c r="Q463" s="35" t="str">
        <f t="shared" ca="1" si="117"/>
        <v/>
      </c>
      <c r="R463" s="46"/>
      <c r="S463" s="47"/>
    </row>
    <row r="464" spans="1:20" ht="15" customHeight="1" x14ac:dyDescent="0.25">
      <c r="A464" s="68">
        <v>46252</v>
      </c>
      <c r="B464" s="25">
        <f t="shared" si="118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5"/>
        <v/>
      </c>
      <c r="K464" s="28" t="str">
        <f t="shared" si="116"/>
        <v/>
      </c>
      <c r="L464" s="26"/>
      <c r="M464" s="26"/>
      <c r="N464" s="26"/>
      <c r="O464" s="29"/>
      <c r="P464" s="29"/>
      <c r="Q464" s="30" t="str">
        <f t="shared" ca="1" si="117"/>
        <v/>
      </c>
      <c r="R464" s="46"/>
      <c r="S464" s="47"/>
    </row>
    <row r="465" spans="1:20" ht="15" customHeight="1" x14ac:dyDescent="0.25">
      <c r="A465" s="69">
        <v>46252</v>
      </c>
      <c r="B465" s="32">
        <f t="shared" si="118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5"/>
        <v/>
      </c>
      <c r="K465" s="34" t="str">
        <f t="shared" si="116"/>
        <v/>
      </c>
      <c r="L465" s="33"/>
      <c r="M465" s="33"/>
      <c r="N465" s="33"/>
      <c r="O465" s="29"/>
      <c r="P465" s="29"/>
      <c r="Q465" s="35" t="str">
        <f t="shared" ca="1" si="117"/>
        <v/>
      </c>
      <c r="R465" s="46"/>
      <c r="S465" s="47"/>
    </row>
    <row r="466" spans="1:20" ht="15" customHeight="1" x14ac:dyDescent="0.25">
      <c r="A466" s="68">
        <v>46252</v>
      </c>
      <c r="B466" s="25">
        <f t="shared" si="118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5"/>
        <v/>
      </c>
      <c r="K466" s="28" t="str">
        <f t="shared" si="116"/>
        <v/>
      </c>
      <c r="L466" s="26"/>
      <c r="M466" s="26"/>
      <c r="N466" s="26"/>
      <c r="O466" s="29"/>
      <c r="P466" s="29"/>
      <c r="Q466" s="30" t="str">
        <f t="shared" ca="1" si="117"/>
        <v/>
      </c>
      <c r="R466" s="46"/>
      <c r="S466" s="47"/>
    </row>
    <row r="467" spans="1:20" ht="15" customHeight="1" x14ac:dyDescent="0.25">
      <c r="A467" s="69">
        <v>46252</v>
      </c>
      <c r="B467" s="32">
        <f t="shared" si="118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5"/>
        <v/>
      </c>
      <c r="K467" s="34" t="str">
        <f t="shared" si="116"/>
        <v/>
      </c>
      <c r="L467" s="33"/>
      <c r="M467" s="33"/>
      <c r="N467" s="33"/>
      <c r="O467" s="29"/>
      <c r="P467" s="29"/>
      <c r="Q467" s="35" t="str">
        <f t="shared" ca="1" si="117"/>
        <v/>
      </c>
      <c r="R467" s="46"/>
      <c r="S467" s="47"/>
    </row>
    <row r="468" spans="1:20" ht="15" customHeight="1" x14ac:dyDescent="0.25">
      <c r="A468" s="68">
        <v>46252</v>
      </c>
      <c r="B468" s="25">
        <f t="shared" si="118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5"/>
        <v/>
      </c>
      <c r="K468" s="28" t="str">
        <f t="shared" si="116"/>
        <v/>
      </c>
      <c r="L468" s="26"/>
      <c r="M468" s="26"/>
      <c r="N468" s="26"/>
      <c r="O468" s="29"/>
      <c r="P468" s="29"/>
      <c r="Q468" s="30" t="str">
        <f t="shared" ca="1" si="117"/>
        <v/>
      </c>
      <c r="R468" s="46"/>
      <c r="S468" s="47"/>
    </row>
    <row r="469" spans="1:20" ht="15" customHeight="1" x14ac:dyDescent="0.25">
      <c r="A469" s="69">
        <v>46252</v>
      </c>
      <c r="B469" s="32">
        <f t="shared" si="118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5"/>
        <v/>
      </c>
      <c r="K469" s="34" t="str">
        <f t="shared" si="116"/>
        <v/>
      </c>
      <c r="L469" s="33"/>
      <c r="M469" s="33"/>
      <c r="N469" s="33"/>
      <c r="O469" s="29"/>
      <c r="P469" s="29"/>
      <c r="Q469" s="35" t="str">
        <f t="shared" ca="1" si="117"/>
        <v/>
      </c>
      <c r="R469" s="46"/>
      <c r="S469" s="47"/>
    </row>
    <row r="470" spans="1:20" ht="15" customHeight="1" x14ac:dyDescent="0.25">
      <c r="A470" s="68">
        <v>46252</v>
      </c>
      <c r="B470" s="25">
        <f t="shared" si="118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5"/>
        <v/>
      </c>
      <c r="K470" s="28" t="str">
        <f t="shared" si="116"/>
        <v/>
      </c>
      <c r="L470" s="26"/>
      <c r="M470" s="26"/>
      <c r="N470" s="26"/>
      <c r="O470" s="29"/>
      <c r="P470" s="29"/>
      <c r="Q470" s="30" t="str">
        <f t="shared" ca="1" si="117"/>
        <v/>
      </c>
      <c r="R470" s="46"/>
      <c r="S470" s="47"/>
    </row>
    <row r="471" spans="1:20" ht="15" customHeight="1" x14ac:dyDescent="0.25">
      <c r="A471" s="69">
        <v>46252</v>
      </c>
      <c r="B471" s="32">
        <f t="shared" si="118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5"/>
        <v/>
      </c>
      <c r="K471" s="34" t="str">
        <f t="shared" si="116"/>
        <v/>
      </c>
      <c r="L471" s="33"/>
      <c r="M471" s="33"/>
      <c r="N471" s="33"/>
      <c r="O471" s="29"/>
      <c r="P471" s="29"/>
      <c r="Q471" s="35" t="str">
        <f t="shared" ca="1" si="117"/>
        <v/>
      </c>
      <c r="R471" s="46"/>
      <c r="S471" s="47"/>
    </row>
    <row r="472" spans="1:20" ht="15" customHeight="1" thickBot="1" x14ac:dyDescent="0.3">
      <c r="A472" s="68">
        <v>46252</v>
      </c>
      <c r="B472" s="25">
        <f t="shared" si="118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5"/>
        <v/>
      </c>
      <c r="K472" s="28" t="str">
        <f t="shared" si="116"/>
        <v/>
      </c>
      <c r="L472" s="26"/>
      <c r="M472" s="26"/>
      <c r="N472" s="26"/>
      <c r="O472" s="29"/>
      <c r="P472" s="29"/>
      <c r="Q472" s="30" t="str">
        <f t="shared" ca="1" si="117"/>
        <v/>
      </c>
      <c r="R472" s="46"/>
      <c r="S472" s="47"/>
    </row>
    <row r="473" spans="1:20" ht="15.75" customHeight="1" thickBot="1" x14ac:dyDescent="0.3">
      <c r="A473" s="150" t="s">
        <v>241</v>
      </c>
      <c r="B473" s="151"/>
      <c r="C473" s="151"/>
      <c r="D473" s="151"/>
      <c r="E473" s="151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 x14ac:dyDescent="0.25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9">IFERROR(IF($H474="","",$H474*$F474*$I474),"")</f>
        <v/>
      </c>
      <c r="K474" s="28" t="str">
        <f t="shared" ref="K474:K485" si="120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1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9">
        <v>46252</v>
      </c>
      <c r="B475" s="32">
        <f t="shared" ref="B475:B485" si="122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9"/>
        <v/>
      </c>
      <c r="K475" s="34" t="str">
        <f t="shared" si="120"/>
        <v/>
      </c>
      <c r="L475" s="33"/>
      <c r="M475" s="33"/>
      <c r="N475" s="33"/>
      <c r="O475" s="29"/>
      <c r="P475" s="29"/>
      <c r="Q475" s="35" t="str">
        <f t="shared" ca="1" si="121"/>
        <v/>
      </c>
      <c r="R475" s="46"/>
      <c r="S475" s="47"/>
    </row>
    <row r="476" spans="1:20" ht="15" customHeight="1" x14ac:dyDescent="0.25">
      <c r="A476" s="68">
        <v>46252</v>
      </c>
      <c r="B476" s="25">
        <f t="shared" si="122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9"/>
        <v/>
      </c>
      <c r="K476" s="28" t="str">
        <f t="shared" si="120"/>
        <v/>
      </c>
      <c r="L476" s="26"/>
      <c r="M476" s="26"/>
      <c r="N476" s="26"/>
      <c r="O476" s="29"/>
      <c r="P476" s="29"/>
      <c r="Q476" s="30" t="str">
        <f t="shared" ca="1" si="121"/>
        <v/>
      </c>
      <c r="R476" s="46"/>
      <c r="S476" s="47"/>
    </row>
    <row r="477" spans="1:20" ht="15" customHeight="1" x14ac:dyDescent="0.25">
      <c r="A477" s="69">
        <v>46252</v>
      </c>
      <c r="B477" s="32">
        <f t="shared" si="122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9"/>
        <v/>
      </c>
      <c r="K477" s="34" t="str">
        <f t="shared" si="120"/>
        <v/>
      </c>
      <c r="L477" s="33"/>
      <c r="M477" s="33"/>
      <c r="N477" s="33"/>
      <c r="O477" s="29"/>
      <c r="P477" s="29"/>
      <c r="Q477" s="35" t="str">
        <f t="shared" ca="1" si="121"/>
        <v/>
      </c>
      <c r="R477" s="46"/>
      <c r="S477" s="47"/>
    </row>
    <row r="478" spans="1:20" ht="15" customHeight="1" x14ac:dyDescent="0.25">
      <c r="A478" s="68">
        <v>46252</v>
      </c>
      <c r="B478" s="25">
        <f t="shared" si="122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9"/>
        <v/>
      </c>
      <c r="K478" s="28" t="str">
        <f t="shared" si="120"/>
        <v/>
      </c>
      <c r="L478" s="26"/>
      <c r="M478" s="26"/>
      <c r="N478" s="26"/>
      <c r="O478" s="29"/>
      <c r="P478" s="29"/>
      <c r="Q478" s="30" t="str">
        <f t="shared" ca="1" si="121"/>
        <v/>
      </c>
      <c r="R478" s="46"/>
      <c r="S478" s="47"/>
    </row>
    <row r="479" spans="1:20" ht="15" customHeight="1" x14ac:dyDescent="0.25">
      <c r="A479" s="69">
        <v>46252</v>
      </c>
      <c r="B479" s="32">
        <f t="shared" si="122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9"/>
        <v/>
      </c>
      <c r="K479" s="34" t="str">
        <f t="shared" si="120"/>
        <v/>
      </c>
      <c r="L479" s="33"/>
      <c r="M479" s="33"/>
      <c r="N479" s="33"/>
      <c r="O479" s="29"/>
      <c r="P479" s="29"/>
      <c r="Q479" s="35" t="str">
        <f t="shared" ca="1" si="121"/>
        <v/>
      </c>
      <c r="R479" s="46"/>
      <c r="S479" s="47"/>
    </row>
    <row r="480" spans="1:20" ht="15" customHeight="1" x14ac:dyDescent="0.25">
      <c r="A480" s="68">
        <v>46252</v>
      </c>
      <c r="B480" s="25">
        <f t="shared" si="122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9"/>
        <v/>
      </c>
      <c r="K480" s="28" t="str">
        <f t="shared" si="120"/>
        <v/>
      </c>
      <c r="L480" s="26"/>
      <c r="M480" s="26"/>
      <c r="N480" s="26"/>
      <c r="O480" s="29"/>
      <c r="P480" s="29"/>
      <c r="Q480" s="30" t="str">
        <f t="shared" ca="1" si="121"/>
        <v/>
      </c>
      <c r="R480" s="46"/>
      <c r="S480" s="47"/>
    </row>
    <row r="481" spans="1:20" ht="15" customHeight="1" x14ac:dyDescent="0.25">
      <c r="A481" s="69">
        <v>46252</v>
      </c>
      <c r="B481" s="32">
        <f t="shared" si="122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9"/>
        <v/>
      </c>
      <c r="K481" s="34" t="str">
        <f t="shared" si="120"/>
        <v/>
      </c>
      <c r="L481" s="33"/>
      <c r="M481" s="33"/>
      <c r="N481" s="33"/>
      <c r="O481" s="29"/>
      <c r="P481" s="29"/>
      <c r="Q481" s="35" t="str">
        <f t="shared" ca="1" si="121"/>
        <v/>
      </c>
      <c r="R481" s="46"/>
      <c r="S481" s="47"/>
    </row>
    <row r="482" spans="1:20" ht="15" customHeight="1" x14ac:dyDescent="0.25">
      <c r="A482" s="68">
        <v>46252</v>
      </c>
      <c r="B482" s="25">
        <f t="shared" si="122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9"/>
        <v/>
      </c>
      <c r="K482" s="28" t="str">
        <f t="shared" si="120"/>
        <v/>
      </c>
      <c r="L482" s="26"/>
      <c r="M482" s="26"/>
      <c r="N482" s="26"/>
      <c r="O482" s="29"/>
      <c r="P482" s="29"/>
      <c r="Q482" s="30" t="str">
        <f t="shared" ca="1" si="121"/>
        <v/>
      </c>
      <c r="R482" s="46"/>
      <c r="S482" s="47"/>
    </row>
    <row r="483" spans="1:20" ht="15" customHeight="1" x14ac:dyDescent="0.25">
      <c r="A483" s="69">
        <v>46252</v>
      </c>
      <c r="B483" s="32">
        <f t="shared" si="122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9"/>
        <v/>
      </c>
      <c r="K483" s="34" t="str">
        <f t="shared" si="120"/>
        <v/>
      </c>
      <c r="L483" s="33"/>
      <c r="M483" s="33"/>
      <c r="N483" s="33"/>
      <c r="O483" s="29"/>
      <c r="P483" s="29"/>
      <c r="Q483" s="35" t="str">
        <f t="shared" ca="1" si="121"/>
        <v/>
      </c>
      <c r="R483" s="46"/>
      <c r="S483" s="47"/>
    </row>
    <row r="484" spans="1:20" ht="15" customHeight="1" x14ac:dyDescent="0.25">
      <c r="A484" s="68">
        <v>46252</v>
      </c>
      <c r="B484" s="25">
        <f t="shared" si="122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9"/>
        <v/>
      </c>
      <c r="K484" s="28" t="str">
        <f t="shared" si="120"/>
        <v/>
      </c>
      <c r="L484" s="26"/>
      <c r="M484" s="26"/>
      <c r="N484" s="26"/>
      <c r="O484" s="29"/>
      <c r="P484" s="29"/>
      <c r="Q484" s="30" t="str">
        <f t="shared" ca="1" si="121"/>
        <v/>
      </c>
      <c r="R484" s="46"/>
      <c r="S484" s="47"/>
    </row>
    <row r="485" spans="1:20" ht="15" customHeight="1" thickBot="1" x14ac:dyDescent="0.3">
      <c r="A485" s="69">
        <v>46252</v>
      </c>
      <c r="B485" s="32">
        <f t="shared" si="122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9"/>
        <v/>
      </c>
      <c r="K485" s="34" t="str">
        <f t="shared" si="120"/>
        <v/>
      </c>
      <c r="L485" s="33"/>
      <c r="M485" s="33"/>
      <c r="N485" s="33"/>
      <c r="O485" s="29"/>
      <c r="P485" s="29"/>
      <c r="Q485" s="35" t="str">
        <f t="shared" ca="1" si="121"/>
        <v/>
      </c>
      <c r="R485" s="46"/>
      <c r="S485" s="47"/>
    </row>
    <row r="486" spans="1:20" ht="15.75" customHeight="1" thickBot="1" x14ac:dyDescent="0.3">
      <c r="A486" s="150" t="s">
        <v>244</v>
      </c>
      <c r="B486" s="151"/>
      <c r="C486" s="151"/>
      <c r="D486" s="151"/>
      <c r="E486" s="151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 x14ac:dyDescent="0.25">
      <c r="A487" s="152" t="s">
        <v>245</v>
      </c>
      <c r="B487" s="153"/>
      <c r="C487" s="153"/>
      <c r="D487" s="153"/>
      <c r="E487" s="153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 x14ac:dyDescent="0.25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5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9">
        <v>46253</v>
      </c>
      <c r="B489" s="32">
        <f t="shared" ref="B489:B499" si="126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t="shared" ca="1" si="125"/>
        <v/>
      </c>
      <c r="R489" s="46"/>
      <c r="S489" s="47"/>
    </row>
    <row r="490" spans="1:20" ht="15" customHeight="1" x14ac:dyDescent="0.25">
      <c r="A490" s="68">
        <v>46253</v>
      </c>
      <c r="B490" s="25">
        <f t="shared" si="126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t="shared" ca="1" si="125"/>
        <v/>
      </c>
      <c r="R490" s="46"/>
      <c r="S490" s="47"/>
    </row>
    <row r="491" spans="1:20" ht="15" customHeight="1" x14ac:dyDescent="0.25">
      <c r="A491" s="69">
        <v>46253</v>
      </c>
      <c r="B491" s="32">
        <f t="shared" si="126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t="shared" ca="1" si="125"/>
        <v/>
      </c>
      <c r="R491" s="46"/>
      <c r="S491" s="47"/>
    </row>
    <row r="492" spans="1:20" ht="15" customHeight="1" x14ac:dyDescent="0.25">
      <c r="A492" s="68">
        <v>46253</v>
      </c>
      <c r="B492" s="25">
        <f t="shared" si="126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 t="str">
        <f t="shared" ca="1" si="125"/>
        <v/>
      </c>
      <c r="R492" s="46"/>
      <c r="S492" s="47"/>
    </row>
    <row r="493" spans="1:20" ht="15" customHeight="1" x14ac:dyDescent="0.25">
      <c r="A493" s="69">
        <v>46253</v>
      </c>
      <c r="B493" s="32">
        <f t="shared" si="126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ca="1" si="125"/>
        <v/>
      </c>
      <c r="R493" s="46"/>
      <c r="S493" s="47"/>
    </row>
    <row r="494" spans="1:20" ht="15" customHeight="1" x14ac:dyDescent="0.25">
      <c r="A494" s="68">
        <v>46253</v>
      </c>
      <c r="B494" s="25">
        <f t="shared" si="126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46"/>
      <c r="S494" s="47"/>
    </row>
    <row r="495" spans="1:20" ht="15" customHeight="1" x14ac:dyDescent="0.25">
      <c r="A495" s="69">
        <v>46253</v>
      </c>
      <c r="B495" s="32">
        <f t="shared" si="126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46"/>
      <c r="S495" s="47"/>
    </row>
    <row r="496" spans="1:20" ht="15" customHeight="1" x14ac:dyDescent="0.25">
      <c r="A496" s="68">
        <v>46253</v>
      </c>
      <c r="B496" s="25">
        <f t="shared" si="126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46"/>
      <c r="S496" s="47"/>
    </row>
    <row r="497" spans="1:20" ht="15" customHeight="1" x14ac:dyDescent="0.25">
      <c r="A497" s="69">
        <v>46253</v>
      </c>
      <c r="B497" s="32">
        <f t="shared" si="126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46"/>
      <c r="S497" s="47"/>
    </row>
    <row r="498" spans="1:20" ht="15" customHeight="1" x14ac:dyDescent="0.25">
      <c r="A498" s="68">
        <v>46253</v>
      </c>
      <c r="B498" s="25">
        <f t="shared" si="126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46"/>
      <c r="S498" s="47"/>
    </row>
    <row r="499" spans="1:20" ht="15" customHeight="1" thickBot="1" x14ac:dyDescent="0.3">
      <c r="A499" s="69">
        <v>46253</v>
      </c>
      <c r="B499" s="32">
        <f t="shared" si="126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46"/>
      <c r="S499" s="47"/>
    </row>
    <row r="500" spans="1:20" ht="15.75" customHeight="1" thickBot="1" x14ac:dyDescent="0.3">
      <c r="A500" s="150" t="s">
        <v>241</v>
      </c>
      <c r="B500" s="151"/>
      <c r="C500" s="151"/>
      <c r="D500" s="151"/>
      <c r="E500" s="151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 x14ac:dyDescent="0.25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8">
        <v>46253</v>
      </c>
      <c r="B502" s="25">
        <f t="shared" ref="B502:B512" si="130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46"/>
      <c r="S502" s="47"/>
    </row>
    <row r="503" spans="1:20" ht="15" customHeight="1" x14ac:dyDescent="0.25">
      <c r="A503" s="69">
        <v>46253</v>
      </c>
      <c r="B503" s="32">
        <f t="shared" si="130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46"/>
      <c r="S503" s="47"/>
    </row>
    <row r="504" spans="1:20" ht="15" customHeight="1" x14ac:dyDescent="0.25">
      <c r="A504" s="68">
        <v>46253</v>
      </c>
      <c r="B504" s="25">
        <f t="shared" si="130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46"/>
      <c r="S504" s="47"/>
    </row>
    <row r="505" spans="1:20" ht="15" customHeight="1" x14ac:dyDescent="0.25">
      <c r="A505" s="69">
        <v>46253</v>
      </c>
      <c r="B505" s="32">
        <f t="shared" si="130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46"/>
      <c r="S505" s="47"/>
    </row>
    <row r="506" spans="1:20" ht="15" customHeight="1" x14ac:dyDescent="0.25">
      <c r="A506" s="68">
        <v>46253</v>
      </c>
      <c r="B506" s="25">
        <f t="shared" si="130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46"/>
      <c r="S506" s="47"/>
    </row>
    <row r="507" spans="1:20" ht="15" customHeight="1" x14ac:dyDescent="0.25">
      <c r="A507" s="69">
        <v>46253</v>
      </c>
      <c r="B507" s="32">
        <f t="shared" si="130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46"/>
      <c r="S507" s="47"/>
    </row>
    <row r="508" spans="1:20" ht="15" customHeight="1" x14ac:dyDescent="0.25">
      <c r="A508" s="68">
        <v>46253</v>
      </c>
      <c r="B508" s="25">
        <f t="shared" si="130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46"/>
      <c r="S508" s="47"/>
    </row>
    <row r="509" spans="1:20" ht="15" customHeight="1" x14ac:dyDescent="0.25">
      <c r="A509" s="69">
        <v>46253</v>
      </c>
      <c r="B509" s="32">
        <f t="shared" si="130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46"/>
      <c r="S509" s="47"/>
    </row>
    <row r="510" spans="1:20" ht="15" customHeight="1" x14ac:dyDescent="0.25">
      <c r="A510" s="68">
        <v>46253</v>
      </c>
      <c r="B510" s="25">
        <f t="shared" si="130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46"/>
      <c r="S510" s="47"/>
    </row>
    <row r="511" spans="1:20" ht="15" customHeight="1" x14ac:dyDescent="0.25">
      <c r="A511" s="69">
        <v>46253</v>
      </c>
      <c r="B511" s="32">
        <f t="shared" si="130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46"/>
      <c r="S511" s="47"/>
    </row>
    <row r="512" spans="1:20" ht="15" customHeight="1" thickBot="1" x14ac:dyDescent="0.3">
      <c r="A512" s="68">
        <v>46253</v>
      </c>
      <c r="B512" s="25">
        <f t="shared" si="130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46"/>
      <c r="S512" s="47"/>
    </row>
    <row r="513" spans="1:20" ht="15.75" customHeight="1" thickBot="1" x14ac:dyDescent="0.3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 x14ac:dyDescent="0.25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 x14ac:dyDescent="0.25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8">
        <v>46254</v>
      </c>
      <c r="B516" s="25">
        <f t="shared" ref="B516:B526" si="134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46"/>
      <c r="S516" s="47"/>
    </row>
    <row r="517" spans="1:20" ht="15" customHeight="1" x14ac:dyDescent="0.25">
      <c r="A517" s="69">
        <v>46254</v>
      </c>
      <c r="B517" s="32">
        <f t="shared" si="134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46"/>
      <c r="S517" s="47"/>
    </row>
    <row r="518" spans="1:20" ht="15" customHeight="1" x14ac:dyDescent="0.25">
      <c r="A518" s="68">
        <v>46254</v>
      </c>
      <c r="B518" s="25">
        <f t="shared" si="134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46"/>
      <c r="S518" s="47"/>
    </row>
    <row r="519" spans="1:20" ht="15" customHeight="1" x14ac:dyDescent="0.25">
      <c r="A519" s="69">
        <v>46254</v>
      </c>
      <c r="B519" s="32">
        <f t="shared" si="134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46"/>
      <c r="S519" s="47"/>
    </row>
    <row r="520" spans="1:20" ht="15" customHeight="1" x14ac:dyDescent="0.25">
      <c r="A520" s="68">
        <v>46254</v>
      </c>
      <c r="B520" s="25">
        <f t="shared" si="134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46"/>
      <c r="S520" s="47"/>
    </row>
    <row r="521" spans="1:20" ht="15" customHeight="1" x14ac:dyDescent="0.25">
      <c r="A521" s="69">
        <v>46254</v>
      </c>
      <c r="B521" s="32">
        <f t="shared" si="134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46"/>
      <c r="S521" s="47"/>
    </row>
    <row r="522" spans="1:20" ht="15" customHeight="1" x14ac:dyDescent="0.25">
      <c r="A522" s="68">
        <v>46254</v>
      </c>
      <c r="B522" s="25">
        <f t="shared" si="134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46"/>
      <c r="S522" s="47"/>
    </row>
    <row r="523" spans="1:20" ht="15" customHeight="1" x14ac:dyDescent="0.25">
      <c r="A523" s="69">
        <v>46254</v>
      </c>
      <c r="B523" s="32">
        <f t="shared" si="134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46"/>
      <c r="S523" s="47"/>
    </row>
    <row r="524" spans="1:20" ht="15" customHeight="1" x14ac:dyDescent="0.25">
      <c r="A524" s="68">
        <v>46254</v>
      </c>
      <c r="B524" s="25">
        <f t="shared" si="134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46"/>
      <c r="S524" s="47"/>
    </row>
    <row r="525" spans="1:20" ht="15" customHeight="1" x14ac:dyDescent="0.25">
      <c r="A525" s="69">
        <v>46254</v>
      </c>
      <c r="B525" s="32">
        <f t="shared" si="134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46"/>
      <c r="S525" s="47"/>
    </row>
    <row r="526" spans="1:20" ht="15" customHeight="1" thickBot="1" x14ac:dyDescent="0.3">
      <c r="A526" s="68">
        <v>46254</v>
      </c>
      <c r="B526" s="25">
        <f t="shared" si="134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46"/>
      <c r="S526" s="47"/>
    </row>
    <row r="527" spans="1:20" ht="15.75" customHeight="1" thickBot="1" x14ac:dyDescent="0.3">
      <c r="A527" s="150" t="s">
        <v>241</v>
      </c>
      <c r="B527" s="151"/>
      <c r="C527" s="151"/>
      <c r="D527" s="151"/>
      <c r="E527" s="151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 x14ac:dyDescent="0.25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9">
        <v>46254</v>
      </c>
      <c r="B529" s="32">
        <f t="shared" ref="B529:B539" si="138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46"/>
      <c r="S529" s="47"/>
    </row>
    <row r="530" spans="1:20" ht="15" customHeight="1" x14ac:dyDescent="0.25">
      <c r="A530" s="68">
        <v>46254</v>
      </c>
      <c r="B530" s="25">
        <f t="shared" si="138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46"/>
      <c r="S530" s="47"/>
    </row>
    <row r="531" spans="1:20" ht="15" customHeight="1" x14ac:dyDescent="0.25">
      <c r="A531" s="69">
        <v>46254</v>
      </c>
      <c r="B531" s="32">
        <f t="shared" si="138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46"/>
      <c r="S531" s="47"/>
    </row>
    <row r="532" spans="1:20" ht="15" customHeight="1" x14ac:dyDescent="0.25">
      <c r="A532" s="68">
        <v>46254</v>
      </c>
      <c r="B532" s="25">
        <f t="shared" si="138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46"/>
      <c r="S532" s="47"/>
    </row>
    <row r="533" spans="1:20" ht="15" customHeight="1" x14ac:dyDescent="0.25">
      <c r="A533" s="69">
        <v>46254</v>
      </c>
      <c r="B533" s="32">
        <f t="shared" si="138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46"/>
      <c r="S533" s="47"/>
    </row>
    <row r="534" spans="1:20" ht="15" customHeight="1" x14ac:dyDescent="0.25">
      <c r="A534" s="68">
        <v>46254</v>
      </c>
      <c r="B534" s="25">
        <f t="shared" si="138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46"/>
      <c r="S534" s="47"/>
    </row>
    <row r="535" spans="1:20" ht="15" customHeight="1" x14ac:dyDescent="0.25">
      <c r="A535" s="69">
        <v>46254</v>
      </c>
      <c r="B535" s="32">
        <f t="shared" si="138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46"/>
      <c r="S535" s="47"/>
    </row>
    <row r="536" spans="1:20" ht="15" customHeight="1" x14ac:dyDescent="0.25">
      <c r="A536" s="68">
        <v>46254</v>
      </c>
      <c r="B536" s="25">
        <f t="shared" si="138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46"/>
      <c r="S536" s="47"/>
    </row>
    <row r="537" spans="1:20" ht="15" customHeight="1" x14ac:dyDescent="0.25">
      <c r="A537" s="69">
        <v>46254</v>
      </c>
      <c r="B537" s="32">
        <f t="shared" si="138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46"/>
      <c r="S537" s="47"/>
    </row>
    <row r="538" spans="1:20" ht="15" customHeight="1" x14ac:dyDescent="0.25">
      <c r="A538" s="68">
        <v>46254</v>
      </c>
      <c r="B538" s="25">
        <f t="shared" si="138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46"/>
      <c r="S538" s="47"/>
    </row>
    <row r="539" spans="1:20" ht="15" customHeight="1" thickBot="1" x14ac:dyDescent="0.3">
      <c r="A539" s="69">
        <v>46254</v>
      </c>
      <c r="B539" s="32">
        <f t="shared" si="138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46"/>
      <c r="S539" s="47"/>
    </row>
    <row r="540" spans="1:20" ht="15.75" customHeight="1" thickBot="1" x14ac:dyDescent="0.3">
      <c r="A540" s="150" t="s">
        <v>244</v>
      </c>
      <c r="B540" s="151"/>
      <c r="C540" s="151"/>
      <c r="D540" s="151"/>
      <c r="E540" s="151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 x14ac:dyDescent="0.25">
      <c r="A541" s="152" t="s">
        <v>245</v>
      </c>
      <c r="B541" s="153"/>
      <c r="C541" s="153"/>
      <c r="D541" s="153"/>
      <c r="E541" s="153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 x14ac:dyDescent="0.25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9">
        <v>46255</v>
      </c>
      <c r="B543" s="32">
        <f t="shared" ref="B543:B553" si="142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46"/>
      <c r="S543" s="47"/>
    </row>
    <row r="544" spans="1:20" ht="15" customHeight="1" x14ac:dyDescent="0.25">
      <c r="A544" s="68">
        <v>46255</v>
      </c>
      <c r="B544" s="25">
        <f t="shared" si="142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46"/>
      <c r="S544" s="47"/>
    </row>
    <row r="545" spans="1:20" ht="15" customHeight="1" x14ac:dyDescent="0.25">
      <c r="A545" s="69">
        <v>46255</v>
      </c>
      <c r="B545" s="32">
        <f t="shared" si="142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46"/>
      <c r="S545" s="47"/>
    </row>
    <row r="546" spans="1:20" ht="15" customHeight="1" x14ac:dyDescent="0.25">
      <c r="A546" s="68">
        <v>46255</v>
      </c>
      <c r="B546" s="25">
        <f t="shared" si="142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46"/>
      <c r="S546" s="47"/>
    </row>
    <row r="547" spans="1:20" ht="15" customHeight="1" x14ac:dyDescent="0.25">
      <c r="A547" s="69">
        <v>46255</v>
      </c>
      <c r="B547" s="32">
        <f t="shared" si="142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46"/>
      <c r="S547" s="47"/>
    </row>
    <row r="548" spans="1:20" ht="15" customHeight="1" x14ac:dyDescent="0.25">
      <c r="A548" s="68">
        <v>46255</v>
      </c>
      <c r="B548" s="25">
        <f t="shared" si="142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46"/>
      <c r="S548" s="47"/>
    </row>
    <row r="549" spans="1:20" ht="15" customHeight="1" x14ac:dyDescent="0.25">
      <c r="A549" s="69">
        <v>46255</v>
      </c>
      <c r="B549" s="32">
        <f t="shared" si="142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46"/>
      <c r="S549" s="47"/>
    </row>
    <row r="550" spans="1:20" ht="15" customHeight="1" x14ac:dyDescent="0.25">
      <c r="A550" s="68">
        <v>46255</v>
      </c>
      <c r="B550" s="25">
        <f t="shared" si="142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46"/>
      <c r="S550" s="47"/>
    </row>
    <row r="551" spans="1:20" ht="15" customHeight="1" x14ac:dyDescent="0.25">
      <c r="A551" s="69">
        <v>46255</v>
      </c>
      <c r="B551" s="32">
        <f t="shared" si="142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46"/>
      <c r="S551" s="47"/>
    </row>
    <row r="552" spans="1:20" ht="15" customHeight="1" x14ac:dyDescent="0.25">
      <c r="A552" s="68">
        <v>46255</v>
      </c>
      <c r="B552" s="25">
        <f t="shared" si="142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46"/>
      <c r="S552" s="47"/>
    </row>
    <row r="553" spans="1:20" ht="15" customHeight="1" thickBot="1" x14ac:dyDescent="0.3">
      <c r="A553" s="69">
        <v>46255</v>
      </c>
      <c r="B553" s="32">
        <f t="shared" si="142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46"/>
      <c r="S553" s="47"/>
    </row>
    <row r="554" spans="1:20" ht="15.75" customHeight="1" thickBot="1" x14ac:dyDescent="0.3">
      <c r="A554" s="150" t="s">
        <v>241</v>
      </c>
      <c r="B554" s="151"/>
      <c r="C554" s="151"/>
      <c r="D554" s="151"/>
      <c r="E554" s="151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 x14ac:dyDescent="0.25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5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8">
        <v>46255</v>
      </c>
      <c r="B556" s="25">
        <f t="shared" ref="B556:B566" si="146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ca="1" si="145"/>
        <v/>
      </c>
      <c r="R556" s="46"/>
      <c r="S556" s="47"/>
    </row>
    <row r="557" spans="1:20" ht="15" customHeight="1" x14ac:dyDescent="0.25">
      <c r="A557" s="69">
        <v>46255</v>
      </c>
      <c r="B557" s="32">
        <f t="shared" si="146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46"/>
      <c r="S557" s="47"/>
    </row>
    <row r="558" spans="1:20" ht="15" customHeight="1" x14ac:dyDescent="0.25">
      <c r="A558" s="68">
        <v>46255</v>
      </c>
      <c r="B558" s="25">
        <f t="shared" si="146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46"/>
      <c r="S558" s="47"/>
    </row>
    <row r="559" spans="1:20" ht="15" customHeight="1" x14ac:dyDescent="0.25">
      <c r="A559" s="69">
        <v>46255</v>
      </c>
      <c r="B559" s="32">
        <f t="shared" si="146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46"/>
      <c r="S559" s="47"/>
    </row>
    <row r="560" spans="1:20" ht="15" customHeight="1" x14ac:dyDescent="0.25">
      <c r="A560" s="68">
        <v>46255</v>
      </c>
      <c r="B560" s="25">
        <f t="shared" si="146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46"/>
      <c r="S560" s="47"/>
    </row>
    <row r="561" spans="1:20" ht="15" customHeight="1" x14ac:dyDescent="0.25">
      <c r="A561" s="69">
        <v>46255</v>
      </c>
      <c r="B561" s="32">
        <f t="shared" si="146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46"/>
      <c r="S561" s="47"/>
    </row>
    <row r="562" spans="1:20" ht="15" customHeight="1" x14ac:dyDescent="0.25">
      <c r="A562" s="68">
        <v>46255</v>
      </c>
      <c r="B562" s="25">
        <f t="shared" si="146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46"/>
      <c r="S562" s="47"/>
    </row>
    <row r="563" spans="1:20" ht="15" customHeight="1" x14ac:dyDescent="0.25">
      <c r="A563" s="69">
        <v>46255</v>
      </c>
      <c r="B563" s="32">
        <f t="shared" si="146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46"/>
      <c r="S563" s="47"/>
    </row>
    <row r="564" spans="1:20" ht="15" customHeight="1" x14ac:dyDescent="0.25">
      <c r="A564" s="68">
        <v>46255</v>
      </c>
      <c r="B564" s="25">
        <f t="shared" si="146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46"/>
      <c r="S564" s="47"/>
    </row>
    <row r="565" spans="1:20" ht="15" customHeight="1" x14ac:dyDescent="0.25">
      <c r="A565" s="69">
        <v>46255</v>
      </c>
      <c r="B565" s="32">
        <f t="shared" si="146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46"/>
      <c r="S565" s="47"/>
    </row>
    <row r="566" spans="1:20" ht="15" customHeight="1" thickBot="1" x14ac:dyDescent="0.3">
      <c r="A566" s="68">
        <v>46255</v>
      </c>
      <c r="B566" s="25">
        <f t="shared" si="146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46"/>
      <c r="S566" s="47"/>
    </row>
    <row r="567" spans="1:20" ht="15.75" customHeight="1" thickBot="1" x14ac:dyDescent="0.3">
      <c r="A567" s="150" t="s">
        <v>244</v>
      </c>
      <c r="B567" s="151"/>
      <c r="C567" s="151"/>
      <c r="D567" s="151"/>
      <c r="E567" s="151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 x14ac:dyDescent="0.25">
      <c r="A568" s="152" t="s">
        <v>245</v>
      </c>
      <c r="B568" s="153"/>
      <c r="C568" s="153"/>
      <c r="D568" s="153"/>
      <c r="E568" s="153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 x14ac:dyDescent="0.25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9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8">
        <v>46256</v>
      </c>
      <c r="B570" s="25">
        <f t="shared" ref="B570:B580" si="150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46"/>
      <c r="S570" s="47"/>
    </row>
    <row r="571" spans="1:20" ht="15" customHeight="1" x14ac:dyDescent="0.25">
      <c r="A571" s="69">
        <v>46256</v>
      </c>
      <c r="B571" s="32">
        <f t="shared" si="150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46"/>
      <c r="S571" s="47"/>
    </row>
    <row r="572" spans="1:20" ht="15" customHeight="1" x14ac:dyDescent="0.25">
      <c r="A572" s="68">
        <v>46256</v>
      </c>
      <c r="B572" s="25">
        <f t="shared" si="150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46"/>
      <c r="S572" s="47"/>
    </row>
    <row r="573" spans="1:20" ht="15" customHeight="1" x14ac:dyDescent="0.25">
      <c r="A573" s="69">
        <v>46256</v>
      </c>
      <c r="B573" s="32">
        <f t="shared" si="150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46"/>
      <c r="S573" s="47"/>
    </row>
    <row r="574" spans="1:20" ht="15" customHeight="1" x14ac:dyDescent="0.25">
      <c r="A574" s="68">
        <v>46256</v>
      </c>
      <c r="B574" s="25">
        <f t="shared" si="150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46"/>
      <c r="S574" s="47"/>
    </row>
    <row r="575" spans="1:20" ht="15" customHeight="1" x14ac:dyDescent="0.25">
      <c r="A575" s="69">
        <v>46256</v>
      </c>
      <c r="B575" s="32">
        <f t="shared" si="150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 t="str">
        <f t="shared" ca="1" si="149"/>
        <v/>
      </c>
      <c r="R575" s="46"/>
      <c r="S575" s="47"/>
    </row>
    <row r="576" spans="1:20" ht="15" customHeight="1" x14ac:dyDescent="0.25">
      <c r="A576" s="68">
        <v>46256</v>
      </c>
      <c r="B576" s="25">
        <f t="shared" si="150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t="shared" ca="1" si="149"/>
        <v/>
      </c>
      <c r="R576" s="46"/>
      <c r="S576" s="47"/>
    </row>
    <row r="577" spans="1:20" ht="15" customHeight="1" x14ac:dyDescent="0.25">
      <c r="A577" s="69">
        <v>46256</v>
      </c>
      <c r="B577" s="32">
        <f t="shared" si="150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t="shared" ca="1" si="149"/>
        <v/>
      </c>
      <c r="R577" s="46"/>
      <c r="S577" s="47"/>
    </row>
    <row r="578" spans="1:20" ht="15" customHeight="1" x14ac:dyDescent="0.25">
      <c r="A578" s="68">
        <v>46256</v>
      </c>
      <c r="B578" s="25">
        <f t="shared" si="150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t="shared" ca="1" si="149"/>
        <v/>
      </c>
      <c r="R578" s="46"/>
      <c r="S578" s="47"/>
    </row>
    <row r="579" spans="1:20" ht="15" customHeight="1" x14ac:dyDescent="0.25">
      <c r="A579" s="69">
        <v>46256</v>
      </c>
      <c r="B579" s="32">
        <f t="shared" si="150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t="shared" ca="1" si="149"/>
        <v/>
      </c>
      <c r="R579" s="46"/>
      <c r="S579" s="47"/>
    </row>
    <row r="580" spans="1:20" ht="15" customHeight="1" thickBot="1" x14ac:dyDescent="0.3">
      <c r="A580" s="68">
        <v>46256</v>
      </c>
      <c r="B580" s="25">
        <f t="shared" si="150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t="shared" ca="1" si="149"/>
        <v/>
      </c>
      <c r="R580" s="46"/>
      <c r="S580" s="47"/>
    </row>
    <row r="581" spans="1:20" ht="15.75" customHeight="1" thickBot="1" x14ac:dyDescent="0.3">
      <c r="A581" s="150" t="s">
        <v>241</v>
      </c>
      <c r="B581" s="151"/>
      <c r="C581" s="151"/>
      <c r="D581" s="151"/>
      <c r="E581" s="151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 x14ac:dyDescent="0.25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9">
        <v>46256</v>
      </c>
      <c r="B583" s="32">
        <f t="shared" ref="B583:B593" si="154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46"/>
      <c r="S583" s="47"/>
    </row>
    <row r="584" spans="1:20" ht="15" customHeight="1" x14ac:dyDescent="0.25">
      <c r="A584" s="68">
        <v>46256</v>
      </c>
      <c r="B584" s="25">
        <f t="shared" si="154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46"/>
      <c r="S584" s="47"/>
    </row>
    <row r="585" spans="1:20" ht="15" customHeight="1" x14ac:dyDescent="0.25">
      <c r="A585" s="69">
        <v>46256</v>
      </c>
      <c r="B585" s="32">
        <f t="shared" si="154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46"/>
      <c r="S585" s="47"/>
    </row>
    <row r="586" spans="1:20" ht="15" customHeight="1" x14ac:dyDescent="0.25">
      <c r="A586" s="68">
        <v>46256</v>
      </c>
      <c r="B586" s="25">
        <f t="shared" si="154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46"/>
      <c r="S586" s="47"/>
    </row>
    <row r="587" spans="1:20" ht="15" customHeight="1" x14ac:dyDescent="0.25">
      <c r="A587" s="69">
        <v>46256</v>
      </c>
      <c r="B587" s="32">
        <f t="shared" si="154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46"/>
      <c r="S587" s="47"/>
    </row>
    <row r="588" spans="1:20" ht="15" customHeight="1" x14ac:dyDescent="0.25">
      <c r="A588" s="68">
        <v>46256</v>
      </c>
      <c r="B588" s="25">
        <f t="shared" si="154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46"/>
      <c r="S588" s="47"/>
    </row>
    <row r="589" spans="1:20" ht="15" customHeight="1" x14ac:dyDescent="0.25">
      <c r="A589" s="69">
        <v>46256</v>
      </c>
      <c r="B589" s="32">
        <f t="shared" si="154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46"/>
      <c r="S589" s="47"/>
    </row>
    <row r="590" spans="1:20" ht="15" customHeight="1" x14ac:dyDescent="0.25">
      <c r="A590" s="68">
        <v>46256</v>
      </c>
      <c r="B590" s="25">
        <f t="shared" si="154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46"/>
      <c r="S590" s="47"/>
    </row>
    <row r="591" spans="1:20" ht="15" customHeight="1" x14ac:dyDescent="0.25">
      <c r="A591" s="69">
        <v>46256</v>
      </c>
      <c r="B591" s="32">
        <f t="shared" si="154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46"/>
      <c r="S591" s="47"/>
    </row>
    <row r="592" spans="1:20" ht="15" customHeight="1" x14ac:dyDescent="0.25">
      <c r="A592" s="68">
        <v>46256</v>
      </c>
      <c r="B592" s="25">
        <f t="shared" si="154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46"/>
      <c r="S592" s="47"/>
    </row>
    <row r="593" spans="1:20" ht="15" customHeight="1" thickBot="1" x14ac:dyDescent="0.3">
      <c r="A593" s="69">
        <v>46256</v>
      </c>
      <c r="B593" s="32">
        <f t="shared" si="154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46"/>
      <c r="S593" s="47"/>
    </row>
    <row r="594" spans="1:20" ht="15.75" customHeight="1" thickBot="1" x14ac:dyDescent="0.3">
      <c r="A594" s="150" t="s">
        <v>244</v>
      </c>
      <c r="B594" s="151"/>
      <c r="C594" s="151"/>
      <c r="D594" s="151"/>
      <c r="E594" s="151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 x14ac:dyDescent="0.25">
      <c r="A595" s="152" t="s">
        <v>245</v>
      </c>
      <c r="B595" s="153"/>
      <c r="C595" s="153"/>
      <c r="D595" s="153"/>
      <c r="E595" s="153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 x14ac:dyDescent="0.25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9">
        <v>46257</v>
      </c>
      <c r="B597" s="32">
        <f t="shared" ref="B597:B607" si="158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46"/>
      <c r="S597" s="47"/>
    </row>
    <row r="598" spans="1:20" ht="15" customHeight="1" x14ac:dyDescent="0.25">
      <c r="A598" s="68">
        <v>46257</v>
      </c>
      <c r="B598" s="25">
        <f t="shared" si="158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46"/>
      <c r="S598" s="47"/>
    </row>
    <row r="599" spans="1:20" ht="15" customHeight="1" x14ac:dyDescent="0.25">
      <c r="A599" s="69">
        <v>46257</v>
      </c>
      <c r="B599" s="32">
        <f t="shared" si="158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46"/>
      <c r="S599" s="47"/>
    </row>
    <row r="600" spans="1:20" ht="15" customHeight="1" x14ac:dyDescent="0.25">
      <c r="A600" s="68">
        <v>46257</v>
      </c>
      <c r="B600" s="25">
        <f t="shared" si="158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46"/>
      <c r="S600" s="47"/>
    </row>
    <row r="601" spans="1:20" ht="15" customHeight="1" x14ac:dyDescent="0.25">
      <c r="A601" s="69">
        <v>46257</v>
      </c>
      <c r="B601" s="32">
        <f t="shared" si="158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46"/>
      <c r="S601" s="47"/>
    </row>
    <row r="602" spans="1:20" ht="15" customHeight="1" x14ac:dyDescent="0.25">
      <c r="A602" s="68">
        <v>46257</v>
      </c>
      <c r="B602" s="25">
        <f t="shared" si="158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46"/>
      <c r="S602" s="47"/>
    </row>
    <row r="603" spans="1:20" ht="15" customHeight="1" x14ac:dyDescent="0.25">
      <c r="A603" s="69">
        <v>46257</v>
      </c>
      <c r="B603" s="32">
        <f t="shared" si="158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46"/>
      <c r="S603" s="47"/>
    </row>
    <row r="604" spans="1:20" ht="15" customHeight="1" x14ac:dyDescent="0.25">
      <c r="A604" s="68">
        <v>46257</v>
      </c>
      <c r="B604" s="25">
        <f t="shared" si="158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46"/>
      <c r="S604" s="47"/>
    </row>
    <row r="605" spans="1:20" ht="15" customHeight="1" x14ac:dyDescent="0.25">
      <c r="A605" s="69">
        <v>46257</v>
      </c>
      <c r="B605" s="32">
        <f t="shared" si="158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46"/>
      <c r="S605" s="47"/>
    </row>
    <row r="606" spans="1:20" ht="15" customHeight="1" x14ac:dyDescent="0.25">
      <c r="A606" s="68">
        <v>46257</v>
      </c>
      <c r="B606" s="25">
        <f t="shared" si="158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46"/>
      <c r="S606" s="47"/>
    </row>
    <row r="607" spans="1:20" ht="15" customHeight="1" thickBot="1" x14ac:dyDescent="0.3">
      <c r="A607" s="69">
        <v>46257</v>
      </c>
      <c r="B607" s="32">
        <f t="shared" si="158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46"/>
      <c r="S607" s="47"/>
    </row>
    <row r="608" spans="1:20" ht="15.75" customHeight="1" thickBot="1" x14ac:dyDescent="0.3">
      <c r="A608" s="150" t="s">
        <v>241</v>
      </c>
      <c r="B608" s="151"/>
      <c r="C608" s="151"/>
      <c r="D608" s="151"/>
      <c r="E608" s="151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 x14ac:dyDescent="0.25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8">
        <v>46257</v>
      </c>
      <c r="B610" s="25">
        <f t="shared" ref="B610:B620" si="162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46"/>
      <c r="S610" s="47"/>
    </row>
    <row r="611" spans="1:20" ht="15" customHeight="1" x14ac:dyDescent="0.25">
      <c r="A611" s="69">
        <v>46257</v>
      </c>
      <c r="B611" s="32">
        <f t="shared" si="162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46"/>
      <c r="S611" s="47"/>
    </row>
    <row r="612" spans="1:20" ht="15" customHeight="1" x14ac:dyDescent="0.25">
      <c r="A612" s="68">
        <v>46257</v>
      </c>
      <c r="B612" s="25">
        <f t="shared" si="162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46"/>
      <c r="S612" s="47"/>
    </row>
    <row r="613" spans="1:20" ht="15" customHeight="1" x14ac:dyDescent="0.25">
      <c r="A613" s="69">
        <v>46257</v>
      </c>
      <c r="B613" s="32">
        <f t="shared" si="162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46"/>
      <c r="S613" s="47"/>
    </row>
    <row r="614" spans="1:20" ht="15" customHeight="1" x14ac:dyDescent="0.25">
      <c r="A614" s="68">
        <v>46257</v>
      </c>
      <c r="B614" s="25">
        <f t="shared" si="162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46"/>
      <c r="S614" s="47"/>
    </row>
    <row r="615" spans="1:20" ht="15" customHeight="1" x14ac:dyDescent="0.25">
      <c r="A615" s="69">
        <v>46257</v>
      </c>
      <c r="B615" s="32">
        <f t="shared" si="162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46"/>
      <c r="S615" s="47"/>
    </row>
    <row r="616" spans="1:20" ht="15" customHeight="1" x14ac:dyDescent="0.25">
      <c r="A616" s="68">
        <v>46257</v>
      </c>
      <c r="B616" s="25">
        <f t="shared" si="162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46"/>
      <c r="S616" s="47"/>
    </row>
    <row r="617" spans="1:20" ht="15" customHeight="1" x14ac:dyDescent="0.25">
      <c r="A617" s="69">
        <v>46257</v>
      </c>
      <c r="B617" s="32">
        <f t="shared" si="162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46"/>
      <c r="S617" s="47"/>
    </row>
    <row r="618" spans="1:20" ht="15" customHeight="1" x14ac:dyDescent="0.25">
      <c r="A618" s="68">
        <v>46257</v>
      </c>
      <c r="B618" s="25">
        <f t="shared" si="162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46"/>
      <c r="S618" s="47"/>
    </row>
    <row r="619" spans="1:20" ht="15" customHeight="1" x14ac:dyDescent="0.25">
      <c r="A619" s="69">
        <v>46257</v>
      </c>
      <c r="B619" s="32">
        <f t="shared" si="162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46"/>
      <c r="S619" s="47"/>
    </row>
    <row r="620" spans="1:20" ht="15" customHeight="1" thickBot="1" x14ac:dyDescent="0.3">
      <c r="A620" s="68">
        <v>46257</v>
      </c>
      <c r="B620" s="25">
        <f t="shared" si="162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46"/>
      <c r="S620" s="47"/>
    </row>
    <row r="621" spans="1:20" ht="15.75" customHeight="1" thickBot="1" x14ac:dyDescent="0.3">
      <c r="A621" s="150" t="s">
        <v>244</v>
      </c>
      <c r="B621" s="151"/>
      <c r="C621" s="151"/>
      <c r="D621" s="151"/>
      <c r="E621" s="151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 x14ac:dyDescent="0.25">
      <c r="A622" s="152" t="s">
        <v>245</v>
      </c>
      <c r="B622" s="153"/>
      <c r="C622" s="153"/>
      <c r="D622" s="153"/>
      <c r="E622" s="153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 x14ac:dyDescent="0.25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8">
        <v>46258</v>
      </c>
      <c r="B624" s="25">
        <f t="shared" ref="B624:B634" si="166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46"/>
      <c r="S624" s="47"/>
    </row>
    <row r="625" spans="1:20" ht="15" customHeight="1" x14ac:dyDescent="0.25">
      <c r="A625" s="69">
        <v>46258</v>
      </c>
      <c r="B625" s="32">
        <f t="shared" si="166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46"/>
      <c r="S625" s="47"/>
    </row>
    <row r="626" spans="1:20" ht="15" customHeight="1" x14ac:dyDescent="0.25">
      <c r="A626" s="68">
        <v>46258</v>
      </c>
      <c r="B626" s="25">
        <f t="shared" si="166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46"/>
      <c r="S626" s="47"/>
    </row>
    <row r="627" spans="1:20" ht="15" customHeight="1" x14ac:dyDescent="0.25">
      <c r="A627" s="69">
        <v>46258</v>
      </c>
      <c r="B627" s="32">
        <f t="shared" si="166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46"/>
      <c r="S627" s="47"/>
    </row>
    <row r="628" spans="1:20" ht="15" customHeight="1" x14ac:dyDescent="0.25">
      <c r="A628" s="68">
        <v>46258</v>
      </c>
      <c r="B628" s="25">
        <f t="shared" si="166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46"/>
      <c r="S628" s="47"/>
    </row>
    <row r="629" spans="1:20" ht="15" customHeight="1" x14ac:dyDescent="0.25">
      <c r="A629" s="69">
        <v>46258</v>
      </c>
      <c r="B629" s="32">
        <f t="shared" si="166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46"/>
      <c r="S629" s="47"/>
    </row>
    <row r="630" spans="1:20" ht="15" customHeight="1" x14ac:dyDescent="0.25">
      <c r="A630" s="68">
        <v>46258</v>
      </c>
      <c r="B630" s="25">
        <f t="shared" si="166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46"/>
      <c r="S630" s="47"/>
    </row>
    <row r="631" spans="1:20" ht="15" customHeight="1" x14ac:dyDescent="0.25">
      <c r="A631" s="69">
        <v>46258</v>
      </c>
      <c r="B631" s="32">
        <f t="shared" si="166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46"/>
      <c r="S631" s="47"/>
    </row>
    <row r="632" spans="1:20" ht="15" customHeight="1" x14ac:dyDescent="0.25">
      <c r="A632" s="68">
        <v>46258</v>
      </c>
      <c r="B632" s="25">
        <f t="shared" si="166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46"/>
      <c r="S632" s="47"/>
    </row>
    <row r="633" spans="1:20" ht="15" customHeight="1" x14ac:dyDescent="0.25">
      <c r="A633" s="69">
        <v>46258</v>
      </c>
      <c r="B633" s="32">
        <f t="shared" si="166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46"/>
      <c r="S633" s="47"/>
    </row>
    <row r="634" spans="1:20" ht="15" customHeight="1" thickBot="1" x14ac:dyDescent="0.3">
      <c r="A634" s="68">
        <v>46258</v>
      </c>
      <c r="B634" s="25">
        <f t="shared" si="166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46"/>
      <c r="S634" s="47"/>
    </row>
    <row r="635" spans="1:20" ht="15.75" customHeight="1" thickBot="1" x14ac:dyDescent="0.3">
      <c r="A635" s="150" t="s">
        <v>241</v>
      </c>
      <c r="B635" s="151"/>
      <c r="C635" s="151"/>
      <c r="D635" s="151"/>
      <c r="E635" s="151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 x14ac:dyDescent="0.25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9">
        <v>46258</v>
      </c>
      <c r="B637" s="32">
        <f t="shared" ref="B637:B647" si="170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46"/>
      <c r="S637" s="47"/>
    </row>
    <row r="638" spans="1:20" ht="15" customHeight="1" x14ac:dyDescent="0.25">
      <c r="A638" s="68">
        <v>46258</v>
      </c>
      <c r="B638" s="25">
        <f t="shared" si="170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46"/>
      <c r="S638" s="47"/>
    </row>
    <row r="639" spans="1:20" ht="15" customHeight="1" x14ac:dyDescent="0.25">
      <c r="A639" s="69">
        <v>46258</v>
      </c>
      <c r="B639" s="32">
        <f t="shared" si="170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46"/>
      <c r="S639" s="47"/>
    </row>
    <row r="640" spans="1:20" ht="15" customHeight="1" x14ac:dyDescent="0.25">
      <c r="A640" s="68">
        <v>46258</v>
      </c>
      <c r="B640" s="25">
        <f t="shared" si="170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46"/>
      <c r="S640" s="47"/>
    </row>
    <row r="641" spans="1:20" ht="15" customHeight="1" x14ac:dyDescent="0.25">
      <c r="A641" s="69">
        <v>46258</v>
      </c>
      <c r="B641" s="32">
        <f t="shared" si="170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46"/>
      <c r="S641" s="47"/>
    </row>
    <row r="642" spans="1:20" ht="15" customHeight="1" x14ac:dyDescent="0.25">
      <c r="A642" s="68">
        <v>46258</v>
      </c>
      <c r="B642" s="25">
        <f t="shared" si="170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46"/>
      <c r="S642" s="47"/>
    </row>
    <row r="643" spans="1:20" ht="15" customHeight="1" x14ac:dyDescent="0.25">
      <c r="A643" s="69">
        <v>46258</v>
      </c>
      <c r="B643" s="32">
        <f t="shared" si="170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46"/>
      <c r="S643" s="47"/>
    </row>
    <row r="644" spans="1:20" ht="15" customHeight="1" x14ac:dyDescent="0.25">
      <c r="A644" s="68">
        <v>46258</v>
      </c>
      <c r="B644" s="25">
        <f t="shared" si="170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46"/>
      <c r="S644" s="47"/>
    </row>
    <row r="645" spans="1:20" ht="15" customHeight="1" x14ac:dyDescent="0.25">
      <c r="A645" s="69">
        <v>46258</v>
      </c>
      <c r="B645" s="32">
        <f t="shared" si="170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46"/>
      <c r="S645" s="47"/>
    </row>
    <row r="646" spans="1:20" ht="15" customHeight="1" x14ac:dyDescent="0.25">
      <c r="A646" s="68">
        <v>46258</v>
      </c>
      <c r="B646" s="25">
        <f t="shared" si="170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46"/>
      <c r="S646" s="47"/>
    </row>
    <row r="647" spans="1:20" ht="15" customHeight="1" thickBot="1" x14ac:dyDescent="0.3">
      <c r="A647" s="69">
        <v>46258</v>
      </c>
      <c r="B647" s="32">
        <f t="shared" si="170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46"/>
      <c r="S647" s="47"/>
    </row>
    <row r="648" spans="1:20" ht="15.75" customHeight="1" thickBot="1" x14ac:dyDescent="0.3">
      <c r="A648" s="150" t="s">
        <v>244</v>
      </c>
      <c r="B648" s="151"/>
      <c r="C648" s="151"/>
      <c r="D648" s="151"/>
      <c r="E648" s="151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 x14ac:dyDescent="0.25">
      <c r="A649" s="152" t="s">
        <v>245</v>
      </c>
      <c r="B649" s="153"/>
      <c r="C649" s="153"/>
      <c r="D649" s="153"/>
      <c r="E649" s="153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 x14ac:dyDescent="0.25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9">
        <v>46259</v>
      </c>
      <c r="B651" s="32">
        <f t="shared" ref="B651:B661" si="174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46"/>
      <c r="S651" s="47"/>
    </row>
    <row r="652" spans="1:20" ht="15" customHeight="1" x14ac:dyDescent="0.25">
      <c r="A652" s="68">
        <v>46259</v>
      </c>
      <c r="B652" s="25">
        <f t="shared" si="174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46"/>
      <c r="S652" s="47"/>
    </row>
    <row r="653" spans="1:20" ht="15" customHeight="1" x14ac:dyDescent="0.25">
      <c r="A653" s="69">
        <v>46259</v>
      </c>
      <c r="B653" s="32">
        <f t="shared" si="174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46"/>
      <c r="S653" s="47"/>
    </row>
    <row r="654" spans="1:20" ht="15" customHeight="1" x14ac:dyDescent="0.25">
      <c r="A654" s="68">
        <v>46259</v>
      </c>
      <c r="B654" s="25">
        <f t="shared" si="174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46"/>
      <c r="S654" s="47"/>
    </row>
    <row r="655" spans="1:20" ht="15" customHeight="1" x14ac:dyDescent="0.25">
      <c r="A655" s="69">
        <v>46259</v>
      </c>
      <c r="B655" s="32">
        <f t="shared" si="174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46"/>
      <c r="S655" s="47"/>
    </row>
    <row r="656" spans="1:20" ht="15" customHeight="1" x14ac:dyDescent="0.25">
      <c r="A656" s="68">
        <v>46259</v>
      </c>
      <c r="B656" s="25">
        <f t="shared" si="174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46"/>
      <c r="S656" s="47"/>
    </row>
    <row r="657" spans="1:20" ht="15" customHeight="1" x14ac:dyDescent="0.25">
      <c r="A657" s="69">
        <v>46259</v>
      </c>
      <c r="B657" s="32">
        <f t="shared" si="174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46"/>
      <c r="S657" s="47"/>
    </row>
    <row r="658" spans="1:20" ht="15" customHeight="1" x14ac:dyDescent="0.25">
      <c r="A658" s="68">
        <v>46259</v>
      </c>
      <c r="B658" s="25">
        <f t="shared" si="174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46"/>
      <c r="S658" s="47"/>
    </row>
    <row r="659" spans="1:20" ht="15" customHeight="1" x14ac:dyDescent="0.25">
      <c r="A659" s="69">
        <v>46259</v>
      </c>
      <c r="B659" s="32">
        <f t="shared" si="174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46"/>
      <c r="S659" s="47"/>
    </row>
    <row r="660" spans="1:20" ht="15" customHeight="1" x14ac:dyDescent="0.25">
      <c r="A660" s="68">
        <v>46259</v>
      </c>
      <c r="B660" s="25">
        <f t="shared" si="174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46"/>
      <c r="S660" s="47"/>
    </row>
    <row r="661" spans="1:20" ht="15" customHeight="1" thickBot="1" x14ac:dyDescent="0.3">
      <c r="A661" s="69">
        <v>46259</v>
      </c>
      <c r="B661" s="32">
        <f t="shared" si="174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46"/>
      <c r="S661" s="47"/>
    </row>
    <row r="662" spans="1:20" ht="15.75" customHeight="1" thickBot="1" x14ac:dyDescent="0.3">
      <c r="A662" s="150" t="s">
        <v>241</v>
      </c>
      <c r="B662" s="151"/>
      <c r="C662" s="151"/>
      <c r="D662" s="151"/>
      <c r="E662" s="151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 x14ac:dyDescent="0.25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8">
        <v>46259</v>
      </c>
      <c r="B664" s="25">
        <f t="shared" ref="B664:B674" si="178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46"/>
      <c r="S664" s="47"/>
    </row>
    <row r="665" spans="1:20" ht="15" customHeight="1" x14ac:dyDescent="0.25">
      <c r="A665" s="69">
        <v>46259</v>
      </c>
      <c r="B665" s="32">
        <f t="shared" si="178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46"/>
      <c r="S665" s="47"/>
    </row>
    <row r="666" spans="1:20" ht="15" customHeight="1" x14ac:dyDescent="0.25">
      <c r="A666" s="68">
        <v>46259</v>
      </c>
      <c r="B666" s="25">
        <f t="shared" si="178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46"/>
      <c r="S666" s="47"/>
    </row>
    <row r="667" spans="1:20" ht="15" customHeight="1" x14ac:dyDescent="0.25">
      <c r="A667" s="69">
        <v>46259</v>
      </c>
      <c r="B667" s="32">
        <f t="shared" si="178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46"/>
      <c r="S667" s="47"/>
    </row>
    <row r="668" spans="1:20" ht="15" customHeight="1" x14ac:dyDescent="0.25">
      <c r="A668" s="68">
        <v>46259</v>
      </c>
      <c r="B668" s="25">
        <f t="shared" si="178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46"/>
      <c r="S668" s="47"/>
    </row>
    <row r="669" spans="1:20" ht="15" customHeight="1" x14ac:dyDescent="0.25">
      <c r="A669" s="69">
        <v>46259</v>
      </c>
      <c r="B669" s="32">
        <f t="shared" si="178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46"/>
      <c r="S669" s="47"/>
    </row>
    <row r="670" spans="1:20" ht="15" customHeight="1" x14ac:dyDescent="0.25">
      <c r="A670" s="68">
        <v>46259</v>
      </c>
      <c r="B670" s="25">
        <f t="shared" si="178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46"/>
      <c r="S670" s="47"/>
    </row>
    <row r="671" spans="1:20" ht="15" customHeight="1" x14ac:dyDescent="0.25">
      <c r="A671" s="69">
        <v>46259</v>
      </c>
      <c r="B671" s="32">
        <f t="shared" si="178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46"/>
      <c r="S671" s="47"/>
    </row>
    <row r="672" spans="1:20" ht="15" customHeight="1" x14ac:dyDescent="0.25">
      <c r="A672" s="68">
        <v>46259</v>
      </c>
      <c r="B672" s="25">
        <f t="shared" si="178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46"/>
      <c r="S672" s="47"/>
    </row>
    <row r="673" spans="1:20" ht="15" customHeight="1" x14ac:dyDescent="0.25">
      <c r="A673" s="69">
        <v>46259</v>
      </c>
      <c r="B673" s="32">
        <f t="shared" si="178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46"/>
      <c r="S673" s="47"/>
    </row>
    <row r="674" spans="1:20" ht="15" customHeight="1" thickBot="1" x14ac:dyDescent="0.3">
      <c r="A674" s="68">
        <v>46259</v>
      </c>
      <c r="B674" s="25">
        <f t="shared" si="178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46"/>
      <c r="S674" s="47"/>
    </row>
    <row r="675" spans="1:20" ht="15.75" customHeight="1" thickBot="1" x14ac:dyDescent="0.3">
      <c r="A675" s="150" t="s">
        <v>244</v>
      </c>
      <c r="B675" s="151"/>
      <c r="C675" s="151"/>
      <c r="D675" s="151"/>
      <c r="E675" s="151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 x14ac:dyDescent="0.25">
      <c r="A676" s="152" t="s">
        <v>245</v>
      </c>
      <c r="B676" s="153"/>
      <c r="C676" s="153"/>
      <c r="D676" s="153"/>
      <c r="E676" s="153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 x14ac:dyDescent="0.25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8">
        <v>46260</v>
      </c>
      <c r="B678" s="25">
        <f t="shared" ref="B678:B688" si="182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5" t="str">
        <f t="shared" ca="1" si="181"/>
        <v/>
      </c>
      <c r="R678" s="46"/>
      <c r="S678" s="47"/>
    </row>
    <row r="679" spans="1:20" ht="15" customHeight="1" x14ac:dyDescent="0.25">
      <c r="A679" s="69">
        <v>46260</v>
      </c>
      <c r="B679" s="32">
        <f t="shared" si="182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46"/>
      <c r="S679" s="47"/>
    </row>
    <row r="680" spans="1:20" ht="15" customHeight="1" x14ac:dyDescent="0.25">
      <c r="A680" s="68">
        <v>46260</v>
      </c>
      <c r="B680" s="25">
        <f t="shared" si="182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5" t="str">
        <f t="shared" ca="1" si="181"/>
        <v/>
      </c>
      <c r="R680" s="46"/>
      <c r="S680" s="47"/>
    </row>
    <row r="681" spans="1:20" ht="15" customHeight="1" x14ac:dyDescent="0.25">
      <c r="A681" s="69">
        <v>46260</v>
      </c>
      <c r="B681" s="32">
        <f t="shared" si="182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46"/>
      <c r="S681" s="47"/>
    </row>
    <row r="682" spans="1:20" ht="15" customHeight="1" x14ac:dyDescent="0.25">
      <c r="A682" s="68">
        <v>46260</v>
      </c>
      <c r="B682" s="25">
        <f t="shared" si="182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5" t="str">
        <f t="shared" ca="1" si="181"/>
        <v/>
      </c>
      <c r="R682" s="46"/>
      <c r="S682" s="47"/>
    </row>
    <row r="683" spans="1:20" ht="15" customHeight="1" x14ac:dyDescent="0.25">
      <c r="A683" s="69">
        <v>46260</v>
      </c>
      <c r="B683" s="32">
        <f t="shared" si="182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46"/>
      <c r="S683" s="47"/>
    </row>
    <row r="684" spans="1:20" ht="15" customHeight="1" x14ac:dyDescent="0.25">
      <c r="A684" s="68">
        <v>46260</v>
      </c>
      <c r="B684" s="25">
        <f t="shared" si="182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46"/>
      <c r="S684" s="47"/>
    </row>
    <row r="685" spans="1:20" ht="15" customHeight="1" x14ac:dyDescent="0.25">
      <c r="A685" s="69">
        <v>46260</v>
      </c>
      <c r="B685" s="32">
        <f t="shared" si="182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46"/>
      <c r="S685" s="47"/>
    </row>
    <row r="686" spans="1:20" ht="15" customHeight="1" x14ac:dyDescent="0.25">
      <c r="A686" s="68">
        <v>46260</v>
      </c>
      <c r="B686" s="25">
        <f t="shared" si="182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46"/>
      <c r="S686" s="47"/>
    </row>
    <row r="687" spans="1:20" ht="15" customHeight="1" x14ac:dyDescent="0.25">
      <c r="A687" s="69">
        <v>46260</v>
      </c>
      <c r="B687" s="32">
        <f t="shared" si="182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46"/>
      <c r="S687" s="47"/>
    </row>
    <row r="688" spans="1:20" ht="15" customHeight="1" thickBot="1" x14ac:dyDescent="0.3">
      <c r="A688" s="68">
        <v>46260</v>
      </c>
      <c r="B688" s="25">
        <f t="shared" si="182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46"/>
      <c r="S688" s="47"/>
    </row>
    <row r="689" spans="1:20" ht="15.75" customHeight="1" thickBot="1" x14ac:dyDescent="0.3">
      <c r="A689" s="150" t="s">
        <v>241</v>
      </c>
      <c r="B689" s="151"/>
      <c r="C689" s="151"/>
      <c r="D689" s="151"/>
      <c r="E689" s="151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 x14ac:dyDescent="0.25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9">
        <v>46260</v>
      </c>
      <c r="B691" s="32">
        <f t="shared" ref="B691:B701" si="186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46"/>
      <c r="S691" s="47"/>
    </row>
    <row r="692" spans="1:20" ht="15" customHeight="1" x14ac:dyDescent="0.25">
      <c r="A692" s="68">
        <v>46260</v>
      </c>
      <c r="B692" s="25">
        <f t="shared" si="186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46"/>
      <c r="S692" s="47"/>
    </row>
    <row r="693" spans="1:20" ht="15" customHeight="1" x14ac:dyDescent="0.25">
      <c r="A693" s="69">
        <v>46260</v>
      </c>
      <c r="B693" s="32">
        <f t="shared" si="186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46"/>
      <c r="S693" s="47"/>
    </row>
    <row r="694" spans="1:20" ht="15" customHeight="1" x14ac:dyDescent="0.25">
      <c r="A694" s="68">
        <v>46260</v>
      </c>
      <c r="B694" s="25">
        <f t="shared" si="186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46"/>
      <c r="S694" s="47"/>
    </row>
    <row r="695" spans="1:20" ht="15" customHeight="1" x14ac:dyDescent="0.25">
      <c r="A695" s="69">
        <v>46260</v>
      </c>
      <c r="B695" s="32">
        <f t="shared" si="186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46"/>
      <c r="S695" s="47"/>
    </row>
    <row r="696" spans="1:20" ht="15" customHeight="1" x14ac:dyDescent="0.25">
      <c r="A696" s="68">
        <v>46260</v>
      </c>
      <c r="B696" s="25">
        <f t="shared" si="186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46"/>
      <c r="S696" s="47"/>
    </row>
    <row r="697" spans="1:20" ht="15" customHeight="1" x14ac:dyDescent="0.25">
      <c r="A697" s="69">
        <v>46260</v>
      </c>
      <c r="B697" s="32">
        <f t="shared" si="186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46"/>
      <c r="S697" s="47"/>
    </row>
    <row r="698" spans="1:20" ht="15" customHeight="1" x14ac:dyDescent="0.25">
      <c r="A698" s="68">
        <v>46260</v>
      </c>
      <c r="B698" s="25">
        <f t="shared" si="186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46"/>
      <c r="S698" s="47"/>
    </row>
    <row r="699" spans="1:20" ht="15" customHeight="1" x14ac:dyDescent="0.25">
      <c r="A699" s="69">
        <v>46260</v>
      </c>
      <c r="B699" s="32">
        <f t="shared" si="186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46"/>
      <c r="S699" s="47"/>
    </row>
    <row r="700" spans="1:20" ht="15" customHeight="1" x14ac:dyDescent="0.25">
      <c r="A700" s="68">
        <v>46260</v>
      </c>
      <c r="B700" s="25">
        <f t="shared" si="186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46"/>
      <c r="S700" s="47"/>
    </row>
    <row r="701" spans="1:20" ht="15" customHeight="1" thickBot="1" x14ac:dyDescent="0.3">
      <c r="A701" s="69">
        <v>46260</v>
      </c>
      <c r="B701" s="32">
        <f t="shared" si="186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46"/>
      <c r="S701" s="47"/>
    </row>
    <row r="702" spans="1:20" ht="15.75" customHeight="1" thickBot="1" x14ac:dyDescent="0.3">
      <c r="A702" s="150" t="s">
        <v>244</v>
      </c>
      <c r="B702" s="151"/>
      <c r="C702" s="151"/>
      <c r="D702" s="151"/>
      <c r="E702" s="151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 x14ac:dyDescent="0.25">
      <c r="A703" s="152" t="s">
        <v>245</v>
      </c>
      <c r="B703" s="153"/>
      <c r="C703" s="153"/>
      <c r="D703" s="153"/>
      <c r="E703" s="153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 x14ac:dyDescent="0.25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9">
        <v>46261</v>
      </c>
      <c r="B705" s="32">
        <f t="shared" ref="B705:B715" si="190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46"/>
      <c r="S705" s="47"/>
    </row>
    <row r="706" spans="1:20" ht="15" customHeight="1" x14ac:dyDescent="0.25">
      <c r="A706" s="68">
        <v>46261</v>
      </c>
      <c r="B706" s="25">
        <f t="shared" si="190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46"/>
      <c r="S706" s="47"/>
    </row>
    <row r="707" spans="1:20" ht="15" customHeight="1" x14ac:dyDescent="0.25">
      <c r="A707" s="69">
        <v>46261</v>
      </c>
      <c r="B707" s="32">
        <f t="shared" si="190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46"/>
      <c r="S707" s="47"/>
    </row>
    <row r="708" spans="1:20" ht="15" customHeight="1" x14ac:dyDescent="0.25">
      <c r="A708" s="68">
        <v>46261</v>
      </c>
      <c r="B708" s="25">
        <f t="shared" si="190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46"/>
      <c r="S708" s="47"/>
    </row>
    <row r="709" spans="1:20" ht="15" customHeight="1" x14ac:dyDescent="0.25">
      <c r="A709" s="69">
        <v>46261</v>
      </c>
      <c r="B709" s="32">
        <f t="shared" si="190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46"/>
      <c r="S709" s="47"/>
    </row>
    <row r="710" spans="1:20" ht="15" customHeight="1" x14ac:dyDescent="0.25">
      <c r="A710" s="68">
        <v>46261</v>
      </c>
      <c r="B710" s="25">
        <f t="shared" si="190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46"/>
      <c r="S710" s="47"/>
    </row>
    <row r="711" spans="1:20" ht="15" customHeight="1" x14ac:dyDescent="0.25">
      <c r="A711" s="69">
        <v>46261</v>
      </c>
      <c r="B711" s="32">
        <f t="shared" si="190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46"/>
      <c r="S711" s="47"/>
    </row>
    <row r="712" spans="1:20" ht="15" customHeight="1" x14ac:dyDescent="0.25">
      <c r="A712" s="68">
        <v>46261</v>
      </c>
      <c r="B712" s="25">
        <f t="shared" si="190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46"/>
      <c r="S712" s="47"/>
    </row>
    <row r="713" spans="1:20" ht="15" customHeight="1" x14ac:dyDescent="0.25">
      <c r="A713" s="69">
        <v>46261</v>
      </c>
      <c r="B713" s="32">
        <f t="shared" si="190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46"/>
      <c r="S713" s="47"/>
    </row>
    <row r="714" spans="1:20" ht="15" customHeight="1" x14ac:dyDescent="0.25">
      <c r="A714" s="68">
        <v>46261</v>
      </c>
      <c r="B714" s="25">
        <f t="shared" si="190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46"/>
      <c r="S714" s="47"/>
    </row>
    <row r="715" spans="1:20" ht="15" customHeight="1" thickBot="1" x14ac:dyDescent="0.3">
      <c r="A715" s="69">
        <v>46261</v>
      </c>
      <c r="B715" s="32">
        <f t="shared" si="190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46"/>
      <c r="S715" s="47"/>
    </row>
    <row r="716" spans="1:20" ht="15.75" customHeight="1" thickBot="1" x14ac:dyDescent="0.3">
      <c r="A716" s="150" t="s">
        <v>241</v>
      </c>
      <c r="B716" s="151"/>
      <c r="C716" s="151"/>
      <c r="D716" s="151"/>
      <c r="E716" s="151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 x14ac:dyDescent="0.25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8">
        <v>46261</v>
      </c>
      <c r="B718" s="25">
        <f t="shared" ref="B718:B728" si="194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46"/>
      <c r="S718" s="47"/>
    </row>
    <row r="719" spans="1:20" ht="15" customHeight="1" x14ac:dyDescent="0.25">
      <c r="A719" s="69">
        <v>46261</v>
      </c>
      <c r="B719" s="32">
        <f t="shared" si="194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46"/>
      <c r="S719" s="47"/>
    </row>
    <row r="720" spans="1:20" ht="15" customHeight="1" x14ac:dyDescent="0.25">
      <c r="A720" s="68">
        <v>46261</v>
      </c>
      <c r="B720" s="25">
        <f t="shared" si="194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46"/>
      <c r="S720" s="47"/>
    </row>
    <row r="721" spans="1:20" ht="15" customHeight="1" x14ac:dyDescent="0.25">
      <c r="A721" s="69">
        <v>46261</v>
      </c>
      <c r="B721" s="32">
        <f t="shared" si="194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46"/>
      <c r="S721" s="47"/>
    </row>
    <row r="722" spans="1:20" ht="15" customHeight="1" x14ac:dyDescent="0.25">
      <c r="A722" s="68">
        <v>46261</v>
      </c>
      <c r="B722" s="25">
        <f t="shared" si="194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46"/>
      <c r="S722" s="47"/>
    </row>
    <row r="723" spans="1:20" ht="15" customHeight="1" x14ac:dyDescent="0.25">
      <c r="A723" s="69">
        <v>46261</v>
      </c>
      <c r="B723" s="32">
        <f t="shared" si="194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46"/>
      <c r="S723" s="47"/>
    </row>
    <row r="724" spans="1:20" ht="15" customHeight="1" x14ac:dyDescent="0.25">
      <c r="A724" s="68">
        <v>46261</v>
      </c>
      <c r="B724" s="25">
        <f t="shared" si="194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46"/>
      <c r="S724" s="47"/>
    </row>
    <row r="725" spans="1:20" ht="15" customHeight="1" x14ac:dyDescent="0.25">
      <c r="A725" s="69">
        <v>46261</v>
      </c>
      <c r="B725" s="32">
        <f t="shared" si="194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46"/>
      <c r="S725" s="47"/>
    </row>
    <row r="726" spans="1:20" ht="15" customHeight="1" x14ac:dyDescent="0.25">
      <c r="A726" s="68">
        <v>46261</v>
      </c>
      <c r="B726" s="25">
        <f t="shared" si="194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46"/>
      <c r="S726" s="47"/>
    </row>
    <row r="727" spans="1:20" ht="15" customHeight="1" x14ac:dyDescent="0.25">
      <c r="A727" s="69">
        <v>46261</v>
      </c>
      <c r="B727" s="32">
        <f t="shared" si="194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46"/>
      <c r="S727" s="47"/>
    </row>
    <row r="728" spans="1:20" ht="15" customHeight="1" thickBot="1" x14ac:dyDescent="0.3">
      <c r="A728" s="68">
        <v>46261</v>
      </c>
      <c r="B728" s="25">
        <f t="shared" si="194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46"/>
      <c r="S728" s="47"/>
    </row>
    <row r="729" spans="1:20" ht="15.75" customHeight="1" thickBot="1" x14ac:dyDescent="0.3">
      <c r="A729" s="150" t="s">
        <v>244</v>
      </c>
      <c r="B729" s="151"/>
      <c r="C729" s="151"/>
      <c r="D729" s="151"/>
      <c r="E729" s="151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 x14ac:dyDescent="0.25">
      <c r="A730" s="152" t="s">
        <v>245</v>
      </c>
      <c r="B730" s="153"/>
      <c r="C730" s="153"/>
      <c r="D730" s="153"/>
      <c r="E730" s="153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 x14ac:dyDescent="0.25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8">
        <v>46262</v>
      </c>
      <c r="B732" s="25">
        <f t="shared" ref="B732:B742" si="198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46"/>
      <c r="S732" s="47"/>
    </row>
    <row r="733" spans="1:20" ht="15" customHeight="1" x14ac:dyDescent="0.25">
      <c r="A733" s="69">
        <v>46262</v>
      </c>
      <c r="B733" s="32">
        <f t="shared" si="198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46"/>
      <c r="S733" s="47"/>
    </row>
    <row r="734" spans="1:20" ht="15" customHeight="1" x14ac:dyDescent="0.25">
      <c r="A734" s="68">
        <v>46262</v>
      </c>
      <c r="B734" s="25">
        <f t="shared" si="198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46"/>
      <c r="S734" s="47"/>
    </row>
    <row r="735" spans="1:20" ht="15" customHeight="1" x14ac:dyDescent="0.25">
      <c r="A735" s="69">
        <v>46262</v>
      </c>
      <c r="B735" s="32">
        <f t="shared" si="198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46"/>
      <c r="S735" s="47"/>
    </row>
    <row r="736" spans="1:20" ht="15" customHeight="1" x14ac:dyDescent="0.25">
      <c r="A736" s="68">
        <v>46262</v>
      </c>
      <c r="B736" s="25">
        <f t="shared" si="198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46"/>
      <c r="S736" s="47"/>
    </row>
    <row r="737" spans="1:20" ht="15" customHeight="1" x14ac:dyDescent="0.25">
      <c r="A737" s="69">
        <v>46262</v>
      </c>
      <c r="B737" s="32">
        <f t="shared" si="198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46"/>
      <c r="S737" s="47"/>
    </row>
    <row r="738" spans="1:20" ht="15" customHeight="1" x14ac:dyDescent="0.25">
      <c r="A738" s="68">
        <v>46262</v>
      </c>
      <c r="B738" s="25">
        <f t="shared" si="198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46"/>
      <c r="S738" s="47"/>
    </row>
    <row r="739" spans="1:20" ht="15" customHeight="1" x14ac:dyDescent="0.25">
      <c r="A739" s="69">
        <v>46262</v>
      </c>
      <c r="B739" s="32">
        <f t="shared" si="198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46"/>
      <c r="S739" s="47"/>
    </row>
    <row r="740" spans="1:20" ht="15" customHeight="1" x14ac:dyDescent="0.25">
      <c r="A740" s="68">
        <v>46262</v>
      </c>
      <c r="B740" s="25">
        <f t="shared" si="198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46"/>
      <c r="S740" s="47"/>
    </row>
    <row r="741" spans="1:20" ht="15" customHeight="1" x14ac:dyDescent="0.25">
      <c r="A741" s="69">
        <v>46262</v>
      </c>
      <c r="B741" s="32">
        <f t="shared" si="198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46"/>
      <c r="S741" s="47"/>
    </row>
    <row r="742" spans="1:20" ht="15" customHeight="1" thickBot="1" x14ac:dyDescent="0.3">
      <c r="A742" s="68">
        <v>46262</v>
      </c>
      <c r="B742" s="25">
        <f t="shared" si="198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46"/>
      <c r="S742" s="47"/>
    </row>
    <row r="743" spans="1:20" ht="15.75" customHeight="1" thickBot="1" x14ac:dyDescent="0.3">
      <c r="A743" s="150" t="s">
        <v>241</v>
      </c>
      <c r="B743" s="151"/>
      <c r="C743" s="151"/>
      <c r="D743" s="151"/>
      <c r="E743" s="151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 x14ac:dyDescent="0.25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9">
        <v>46262</v>
      </c>
      <c r="B745" s="32">
        <f t="shared" ref="B745:B755" si="202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46"/>
      <c r="S745" s="47"/>
    </row>
    <row r="746" spans="1:20" ht="15" customHeight="1" x14ac:dyDescent="0.25">
      <c r="A746" s="68">
        <v>46262</v>
      </c>
      <c r="B746" s="25">
        <f t="shared" si="202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46"/>
      <c r="S746" s="47"/>
    </row>
    <row r="747" spans="1:20" ht="15" customHeight="1" x14ac:dyDescent="0.25">
      <c r="A747" s="69">
        <v>46262</v>
      </c>
      <c r="B747" s="32">
        <f t="shared" si="202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46"/>
      <c r="S747" s="47"/>
    </row>
    <row r="748" spans="1:20" ht="15" customHeight="1" x14ac:dyDescent="0.25">
      <c r="A748" s="68">
        <v>46262</v>
      </c>
      <c r="B748" s="25">
        <f t="shared" si="202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46"/>
      <c r="S748" s="47"/>
    </row>
    <row r="749" spans="1:20" ht="15" customHeight="1" x14ac:dyDescent="0.25">
      <c r="A749" s="69">
        <v>46262</v>
      </c>
      <c r="B749" s="32">
        <f t="shared" si="202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46"/>
      <c r="S749" s="47"/>
    </row>
    <row r="750" spans="1:20" ht="15" customHeight="1" x14ac:dyDescent="0.25">
      <c r="A750" s="68">
        <v>46262</v>
      </c>
      <c r="B750" s="25">
        <f t="shared" si="202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46"/>
      <c r="S750" s="47"/>
    </row>
    <row r="751" spans="1:20" ht="15" customHeight="1" x14ac:dyDescent="0.25">
      <c r="A751" s="69">
        <v>46262</v>
      </c>
      <c r="B751" s="32">
        <f t="shared" si="202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46"/>
      <c r="S751" s="47"/>
    </row>
    <row r="752" spans="1:20" ht="15" customHeight="1" x14ac:dyDescent="0.25">
      <c r="A752" s="68">
        <v>46262</v>
      </c>
      <c r="B752" s="25">
        <f t="shared" si="202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46"/>
      <c r="S752" s="47"/>
    </row>
    <row r="753" spans="1:20" ht="15" customHeight="1" x14ac:dyDescent="0.25">
      <c r="A753" s="69">
        <v>46262</v>
      </c>
      <c r="B753" s="32">
        <f t="shared" si="202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46"/>
      <c r="S753" s="47"/>
    </row>
    <row r="754" spans="1:20" ht="15" customHeight="1" x14ac:dyDescent="0.25">
      <c r="A754" s="68">
        <v>46262</v>
      </c>
      <c r="B754" s="25">
        <f t="shared" si="202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46"/>
      <c r="S754" s="47"/>
    </row>
    <row r="755" spans="1:20" ht="15" customHeight="1" thickBot="1" x14ac:dyDescent="0.3">
      <c r="A755" s="69">
        <v>46262</v>
      </c>
      <c r="B755" s="32">
        <f t="shared" si="202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46"/>
      <c r="S755" s="47"/>
    </row>
    <row r="756" spans="1:20" ht="15.75" customHeight="1" thickBot="1" x14ac:dyDescent="0.3">
      <c r="A756" s="150" t="s">
        <v>244</v>
      </c>
      <c r="B756" s="151"/>
      <c r="C756" s="151"/>
      <c r="D756" s="151"/>
      <c r="E756" s="151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 x14ac:dyDescent="0.25">
      <c r="A757" s="152" t="s">
        <v>245</v>
      </c>
      <c r="B757" s="153"/>
      <c r="C757" s="153"/>
      <c r="D757" s="153"/>
      <c r="E757" s="153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 x14ac:dyDescent="0.25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9">
        <v>46263</v>
      </c>
      <c r="B759" s="32">
        <f t="shared" ref="B759:B769" si="206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46"/>
      <c r="S759" s="47"/>
    </row>
    <row r="760" spans="1:20" ht="15" customHeight="1" x14ac:dyDescent="0.25">
      <c r="A760" s="68">
        <v>46263</v>
      </c>
      <c r="B760" s="25">
        <f t="shared" si="206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46"/>
      <c r="S760" s="47"/>
    </row>
    <row r="761" spans="1:20" ht="15" customHeight="1" x14ac:dyDescent="0.25">
      <c r="A761" s="69">
        <v>46263</v>
      </c>
      <c r="B761" s="32">
        <f t="shared" si="206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46"/>
      <c r="S761" s="47"/>
    </row>
    <row r="762" spans="1:20" ht="15" customHeight="1" x14ac:dyDescent="0.25">
      <c r="A762" s="68">
        <v>46263</v>
      </c>
      <c r="B762" s="25">
        <f t="shared" si="206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46"/>
      <c r="S762" s="47"/>
    </row>
    <row r="763" spans="1:20" ht="15" customHeight="1" x14ac:dyDescent="0.25">
      <c r="A763" s="69">
        <v>46263</v>
      </c>
      <c r="B763" s="32">
        <f t="shared" si="206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46"/>
      <c r="S763" s="47"/>
    </row>
    <row r="764" spans="1:20" ht="15" customHeight="1" x14ac:dyDescent="0.25">
      <c r="A764" s="68">
        <v>46263</v>
      </c>
      <c r="B764" s="25">
        <f t="shared" si="206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46"/>
      <c r="S764" s="47"/>
    </row>
    <row r="765" spans="1:20" ht="15" customHeight="1" x14ac:dyDescent="0.25">
      <c r="A765" s="69">
        <v>46263</v>
      </c>
      <c r="B765" s="32">
        <f t="shared" si="206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46"/>
      <c r="S765" s="47"/>
    </row>
    <row r="766" spans="1:20" ht="15" customHeight="1" x14ac:dyDescent="0.25">
      <c r="A766" s="68">
        <v>46263</v>
      </c>
      <c r="B766" s="25">
        <f t="shared" si="206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46"/>
      <c r="S766" s="47"/>
    </row>
    <row r="767" spans="1:20" ht="15" customHeight="1" x14ac:dyDescent="0.25">
      <c r="A767" s="69">
        <v>46263</v>
      </c>
      <c r="B767" s="32">
        <f t="shared" si="206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46"/>
      <c r="S767" s="47"/>
    </row>
    <row r="768" spans="1:20" ht="15" customHeight="1" x14ac:dyDescent="0.25">
      <c r="A768" s="68">
        <v>46263</v>
      </c>
      <c r="B768" s="25">
        <f t="shared" si="206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46"/>
      <c r="S768" s="47"/>
    </row>
    <row r="769" spans="1:20" ht="15" customHeight="1" thickBot="1" x14ac:dyDescent="0.3">
      <c r="A769" s="69">
        <v>46263</v>
      </c>
      <c r="B769" s="32">
        <f t="shared" si="206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46"/>
      <c r="S769" s="47"/>
    </row>
    <row r="770" spans="1:20" ht="15.75" customHeight="1" thickBot="1" x14ac:dyDescent="0.3">
      <c r="A770" s="150" t="s">
        <v>241</v>
      </c>
      <c r="B770" s="151"/>
      <c r="C770" s="151"/>
      <c r="D770" s="151"/>
      <c r="E770" s="151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 x14ac:dyDescent="0.25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8">
        <v>46263</v>
      </c>
      <c r="B772" s="25">
        <f t="shared" ref="B772:B782" si="210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46"/>
      <c r="S772" s="47"/>
    </row>
    <row r="773" spans="1:20" ht="15" customHeight="1" x14ac:dyDescent="0.25">
      <c r="A773" s="69">
        <v>46263</v>
      </c>
      <c r="B773" s="32">
        <f t="shared" si="210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46"/>
      <c r="S773" s="47"/>
    </row>
    <row r="774" spans="1:20" ht="15" customHeight="1" x14ac:dyDescent="0.25">
      <c r="A774" s="68">
        <v>46263</v>
      </c>
      <c r="B774" s="25">
        <f t="shared" si="210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46"/>
      <c r="S774" s="47"/>
    </row>
    <row r="775" spans="1:20" ht="15" customHeight="1" x14ac:dyDescent="0.25">
      <c r="A775" s="69">
        <v>46263</v>
      </c>
      <c r="B775" s="32">
        <f t="shared" si="210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46"/>
      <c r="S775" s="47"/>
    </row>
    <row r="776" spans="1:20" ht="15" customHeight="1" x14ac:dyDescent="0.25">
      <c r="A776" s="68">
        <v>46263</v>
      </c>
      <c r="B776" s="25">
        <f t="shared" si="210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46"/>
      <c r="S776" s="47"/>
    </row>
    <row r="777" spans="1:20" ht="15" customHeight="1" x14ac:dyDescent="0.25">
      <c r="A777" s="69">
        <v>46263</v>
      </c>
      <c r="B777" s="32">
        <f t="shared" si="210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46"/>
      <c r="S777" s="47"/>
    </row>
    <row r="778" spans="1:20" ht="15" customHeight="1" x14ac:dyDescent="0.25">
      <c r="A778" s="68">
        <v>46263</v>
      </c>
      <c r="B778" s="25">
        <f t="shared" si="210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46"/>
      <c r="S778" s="47"/>
    </row>
    <row r="779" spans="1:20" ht="15" customHeight="1" x14ac:dyDescent="0.25">
      <c r="A779" s="69">
        <v>46263</v>
      </c>
      <c r="B779" s="32">
        <f t="shared" si="210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46"/>
      <c r="S779" s="47"/>
    </row>
    <row r="780" spans="1:20" ht="15" customHeight="1" x14ac:dyDescent="0.25">
      <c r="A780" s="68">
        <v>46263</v>
      </c>
      <c r="B780" s="25">
        <f t="shared" si="210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46"/>
      <c r="S780" s="47"/>
    </row>
    <row r="781" spans="1:20" ht="15" customHeight="1" x14ac:dyDescent="0.25">
      <c r="A781" s="69">
        <v>46263</v>
      </c>
      <c r="B781" s="32">
        <f t="shared" si="210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46"/>
      <c r="S781" s="47"/>
    </row>
    <row r="782" spans="1:20" ht="15" customHeight="1" thickBot="1" x14ac:dyDescent="0.3">
      <c r="A782" s="68">
        <v>46263</v>
      </c>
      <c r="B782" s="25">
        <f t="shared" si="210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46"/>
      <c r="S782" s="47"/>
    </row>
    <row r="783" spans="1:20" ht="15.75" customHeight="1" thickBot="1" x14ac:dyDescent="0.3">
      <c r="A783" s="150" t="s">
        <v>244</v>
      </c>
      <c r="B783" s="151"/>
      <c r="C783" s="151"/>
      <c r="D783" s="151"/>
      <c r="E783" s="151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 x14ac:dyDescent="0.25">
      <c r="A784" s="152" t="s">
        <v>245</v>
      </c>
      <c r="B784" s="153"/>
      <c r="C784" s="153"/>
      <c r="D784" s="153"/>
      <c r="E784" s="153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 x14ac:dyDescent="0.25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8">
        <v>46264</v>
      </c>
      <c r="B786" s="25">
        <f t="shared" ref="B786:B796" si="213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46"/>
      <c r="S786" s="47"/>
    </row>
    <row r="787" spans="1:20" ht="15" customHeight="1" x14ac:dyDescent="0.25">
      <c r="A787" s="69">
        <v>46264</v>
      </c>
      <c r="B787" s="32">
        <f t="shared" si="213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46"/>
      <c r="S787" s="47"/>
    </row>
    <row r="788" spans="1:20" ht="15" customHeight="1" x14ac:dyDescent="0.25">
      <c r="A788" s="68">
        <v>46264</v>
      </c>
      <c r="B788" s="25">
        <f t="shared" si="213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46"/>
      <c r="S788" s="47"/>
    </row>
    <row r="789" spans="1:20" ht="15" customHeight="1" x14ac:dyDescent="0.25">
      <c r="A789" s="69">
        <v>46264</v>
      </c>
      <c r="B789" s="32">
        <f t="shared" si="213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46"/>
      <c r="S789" s="47"/>
    </row>
    <row r="790" spans="1:20" ht="15" customHeight="1" x14ac:dyDescent="0.25">
      <c r="A790" s="68">
        <v>46264</v>
      </c>
      <c r="B790" s="25">
        <f t="shared" si="213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46"/>
      <c r="S790" s="47"/>
    </row>
    <row r="791" spans="1:20" ht="15" customHeight="1" x14ac:dyDescent="0.25">
      <c r="A791" s="69">
        <v>46264</v>
      </c>
      <c r="B791" s="32">
        <f t="shared" si="213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46"/>
      <c r="S791" s="47"/>
    </row>
    <row r="792" spans="1:20" ht="15" customHeight="1" x14ac:dyDescent="0.25">
      <c r="A792" s="68">
        <v>46264</v>
      </c>
      <c r="B792" s="25">
        <f t="shared" si="213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46"/>
      <c r="S792" s="47"/>
    </row>
    <row r="793" spans="1:20" ht="15" customHeight="1" x14ac:dyDescent="0.25">
      <c r="A793" s="69">
        <v>46264</v>
      </c>
      <c r="B793" s="32">
        <f t="shared" si="213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46"/>
      <c r="S793" s="47"/>
    </row>
    <row r="794" spans="1:20" ht="15" customHeight="1" x14ac:dyDescent="0.25">
      <c r="A794" s="68">
        <v>46264</v>
      </c>
      <c r="B794" s="25">
        <f t="shared" si="213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46"/>
      <c r="S794" s="47"/>
    </row>
    <row r="795" spans="1:20" ht="15" customHeight="1" x14ac:dyDescent="0.25">
      <c r="A795" s="69">
        <v>46264</v>
      </c>
      <c r="B795" s="32">
        <f t="shared" si="213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46"/>
      <c r="S795" s="47"/>
    </row>
    <row r="796" spans="1:20" ht="15" customHeight="1" thickBot="1" x14ac:dyDescent="0.3">
      <c r="A796" s="68">
        <v>46264</v>
      </c>
      <c r="B796" s="25">
        <f t="shared" si="213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46"/>
      <c r="S796" s="47"/>
    </row>
    <row r="797" spans="1:20" ht="15.75" customHeight="1" thickBot="1" x14ac:dyDescent="0.3">
      <c r="A797" s="150" t="s">
        <v>241</v>
      </c>
      <c r="B797" s="151"/>
      <c r="C797" s="151"/>
      <c r="D797" s="151"/>
      <c r="E797" s="151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 x14ac:dyDescent="0.25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9">
        <v>46264</v>
      </c>
      <c r="B799" s="32">
        <f t="shared" ref="B799:B809" si="216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46"/>
      <c r="S799" s="47"/>
    </row>
    <row r="800" spans="1:20" ht="15" customHeight="1" x14ac:dyDescent="0.25">
      <c r="A800" s="68">
        <v>46264</v>
      </c>
      <c r="B800" s="25">
        <f t="shared" si="216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46"/>
      <c r="S800" s="47"/>
    </row>
    <row r="801" spans="1:20" ht="15" customHeight="1" x14ac:dyDescent="0.25">
      <c r="A801" s="69">
        <v>46264</v>
      </c>
      <c r="B801" s="32">
        <f t="shared" si="216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46"/>
      <c r="S801" s="47"/>
    </row>
    <row r="802" spans="1:20" ht="15" customHeight="1" x14ac:dyDescent="0.25">
      <c r="A802" s="68">
        <v>46264</v>
      </c>
      <c r="B802" s="25">
        <f t="shared" si="216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46"/>
      <c r="S802" s="47"/>
    </row>
    <row r="803" spans="1:20" ht="15" customHeight="1" x14ac:dyDescent="0.25">
      <c r="A803" s="69">
        <v>46264</v>
      </c>
      <c r="B803" s="32">
        <f t="shared" si="216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46"/>
      <c r="S803" s="47"/>
    </row>
    <row r="804" spans="1:20" ht="15" customHeight="1" x14ac:dyDescent="0.25">
      <c r="A804" s="68">
        <v>46264</v>
      </c>
      <c r="B804" s="25">
        <f t="shared" si="216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46"/>
      <c r="S804" s="47"/>
    </row>
    <row r="805" spans="1:20" ht="15" customHeight="1" x14ac:dyDescent="0.25">
      <c r="A805" s="69">
        <v>46264</v>
      </c>
      <c r="B805" s="32">
        <f t="shared" si="216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46"/>
      <c r="S805" s="47"/>
    </row>
    <row r="806" spans="1:20" ht="15" customHeight="1" x14ac:dyDescent="0.25">
      <c r="A806" s="68">
        <v>46264</v>
      </c>
      <c r="B806" s="25">
        <f t="shared" si="216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46"/>
      <c r="S806" s="47"/>
    </row>
    <row r="807" spans="1:20" ht="15" customHeight="1" x14ac:dyDescent="0.25">
      <c r="A807" s="69">
        <v>46264</v>
      </c>
      <c r="B807" s="32">
        <f t="shared" si="216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46"/>
      <c r="S807" s="47"/>
    </row>
    <row r="808" spans="1:20" ht="15" customHeight="1" x14ac:dyDescent="0.25">
      <c r="A808" s="68">
        <v>46264</v>
      </c>
      <c r="B808" s="25">
        <f t="shared" si="216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46"/>
      <c r="S808" s="47"/>
    </row>
    <row r="809" spans="1:20" ht="15" customHeight="1" thickBot="1" x14ac:dyDescent="0.3">
      <c r="A809" s="69">
        <v>46264</v>
      </c>
      <c r="B809" s="32">
        <f t="shared" si="216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46"/>
      <c r="S809" s="47"/>
    </row>
    <row r="810" spans="1:20" ht="15.75" customHeight="1" thickBot="1" x14ac:dyDescent="0.3">
      <c r="A810" s="150" t="s">
        <v>244</v>
      </c>
      <c r="B810" s="151"/>
      <c r="C810" s="151"/>
      <c r="D810" s="151"/>
      <c r="E810" s="151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 x14ac:dyDescent="0.25">
      <c r="A811" s="152" t="s">
        <v>245</v>
      </c>
      <c r="B811" s="153"/>
      <c r="C811" s="153"/>
      <c r="D811" s="153"/>
      <c r="E811" s="153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 x14ac:dyDescent="0.25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20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9">
        <v>46265</v>
      </c>
      <c r="B813" s="32">
        <f t="shared" ref="B813:B823" si="221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0" t="str">
        <f t="shared" ca="1" si="220"/>
        <v/>
      </c>
      <c r="R813" s="46"/>
      <c r="S813" s="31"/>
    </row>
    <row r="814" spans="1:20" ht="15" customHeight="1" x14ac:dyDescent="0.25">
      <c r="A814" s="68">
        <v>46265</v>
      </c>
      <c r="B814" s="25">
        <f t="shared" si="221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5" t="str">
        <f t="shared" ca="1" si="220"/>
        <v/>
      </c>
      <c r="R814" s="46"/>
      <c r="S814" s="31"/>
    </row>
    <row r="815" spans="1:20" ht="15" customHeight="1" x14ac:dyDescent="0.25">
      <c r="A815" s="69">
        <v>46265</v>
      </c>
      <c r="B815" s="32">
        <f t="shared" si="221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0" t="str">
        <f t="shared" ca="1" si="220"/>
        <v/>
      </c>
      <c r="R815" s="46"/>
      <c r="S815" s="31"/>
    </row>
    <row r="816" spans="1:20" ht="15" customHeight="1" x14ac:dyDescent="0.25">
      <c r="A816" s="68">
        <v>46265</v>
      </c>
      <c r="B816" s="25">
        <f t="shared" si="221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5" t="str">
        <f t="shared" ca="1" si="220"/>
        <v/>
      </c>
      <c r="R816" s="46"/>
      <c r="S816" s="31"/>
    </row>
    <row r="817" spans="1:20" ht="15" customHeight="1" x14ac:dyDescent="0.25">
      <c r="A817" s="69">
        <v>46265</v>
      </c>
      <c r="B817" s="32">
        <f t="shared" si="221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0" t="str">
        <f t="shared" ca="1" si="220"/>
        <v/>
      </c>
      <c r="R817" s="46"/>
      <c r="S817" s="31"/>
    </row>
    <row r="818" spans="1:20" ht="15" customHeight="1" x14ac:dyDescent="0.25">
      <c r="A818" s="68">
        <v>46265</v>
      </c>
      <c r="B818" s="25">
        <f t="shared" si="221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5" t="str">
        <f t="shared" ca="1" si="220"/>
        <v/>
      </c>
      <c r="R818" s="46"/>
      <c r="S818" s="31"/>
    </row>
    <row r="819" spans="1:20" ht="15" customHeight="1" x14ac:dyDescent="0.25">
      <c r="A819" s="69">
        <v>46265</v>
      </c>
      <c r="B819" s="32">
        <f t="shared" si="221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0" t="str">
        <f t="shared" ca="1" si="220"/>
        <v/>
      </c>
      <c r="R819" s="46"/>
      <c r="S819" s="31"/>
    </row>
    <row r="820" spans="1:20" ht="15" customHeight="1" x14ac:dyDescent="0.25">
      <c r="A820" s="68">
        <v>46265</v>
      </c>
      <c r="B820" s="25">
        <f t="shared" si="221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5" t="str">
        <f t="shared" ca="1" si="220"/>
        <v/>
      </c>
      <c r="R820" s="46"/>
      <c r="S820" s="31"/>
    </row>
    <row r="821" spans="1:20" ht="15" customHeight="1" x14ac:dyDescent="0.25">
      <c r="A821" s="69">
        <v>46265</v>
      </c>
      <c r="B821" s="32">
        <f t="shared" si="221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0" t="str">
        <f t="shared" ca="1" si="220"/>
        <v/>
      </c>
      <c r="R821" s="46"/>
      <c r="S821" s="31"/>
    </row>
    <row r="822" spans="1:20" ht="15" customHeight="1" x14ac:dyDescent="0.25">
      <c r="A822" s="68">
        <v>46265</v>
      </c>
      <c r="B822" s="25">
        <f t="shared" si="221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5" t="str">
        <f t="shared" ca="1" si="220"/>
        <v/>
      </c>
      <c r="R822" s="46"/>
      <c r="S822" s="31"/>
    </row>
    <row r="823" spans="1:20" ht="15" customHeight="1" thickBot="1" x14ac:dyDescent="0.3">
      <c r="A823" s="69">
        <v>46265</v>
      </c>
      <c r="B823" s="32">
        <f t="shared" si="221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0" t="str">
        <f t="shared" ca="1" si="220"/>
        <v/>
      </c>
      <c r="R823" s="46"/>
      <c r="S823" s="31"/>
    </row>
    <row r="824" spans="1:20" ht="15.75" customHeight="1" thickBot="1" x14ac:dyDescent="0.3">
      <c r="A824" s="150" t="s">
        <v>241</v>
      </c>
      <c r="B824" s="151"/>
      <c r="C824" s="151"/>
      <c r="D824" s="151"/>
      <c r="E824" s="151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 x14ac:dyDescent="0.25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4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8">
        <v>46265</v>
      </c>
      <c r="B826" s="25">
        <f t="shared" ref="B826:B836" si="225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0" t="str">
        <f t="shared" ca="1" si="224"/>
        <v/>
      </c>
      <c r="R826" s="46"/>
      <c r="S826" s="31"/>
    </row>
    <row r="827" spans="1:20" ht="15" customHeight="1" x14ac:dyDescent="0.25">
      <c r="A827" s="69">
        <v>46265</v>
      </c>
      <c r="B827" s="32">
        <f t="shared" si="225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0" t="str">
        <f t="shared" ca="1" si="224"/>
        <v/>
      </c>
      <c r="R827" s="46"/>
      <c r="S827" s="31"/>
    </row>
    <row r="828" spans="1:20" ht="15" customHeight="1" x14ac:dyDescent="0.25">
      <c r="A828" s="68">
        <v>46265</v>
      </c>
      <c r="B828" s="25">
        <f t="shared" si="225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0" t="str">
        <f t="shared" ca="1" si="224"/>
        <v/>
      </c>
      <c r="R828" s="46"/>
      <c r="S828" s="31"/>
    </row>
    <row r="829" spans="1:20" ht="15" customHeight="1" x14ac:dyDescent="0.25">
      <c r="A829" s="69">
        <v>46265</v>
      </c>
      <c r="B829" s="32">
        <f t="shared" si="225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0" t="str">
        <f t="shared" ca="1" si="224"/>
        <v/>
      </c>
      <c r="R829" s="46"/>
      <c r="S829" s="31"/>
    </row>
    <row r="830" spans="1:20" ht="15" customHeight="1" x14ac:dyDescent="0.25">
      <c r="A830" s="68">
        <v>46265</v>
      </c>
      <c r="B830" s="25">
        <f t="shared" si="225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0" t="str">
        <f t="shared" ca="1" si="224"/>
        <v/>
      </c>
      <c r="R830" s="46"/>
      <c r="S830" s="31"/>
    </row>
    <row r="831" spans="1:20" ht="15" customHeight="1" x14ac:dyDescent="0.25">
      <c r="A831" s="69">
        <v>46265</v>
      </c>
      <c r="B831" s="32">
        <f t="shared" si="225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0" t="str">
        <f t="shared" ca="1" si="224"/>
        <v/>
      </c>
      <c r="R831" s="46"/>
      <c r="S831" s="31"/>
    </row>
    <row r="832" spans="1:20" ht="15" customHeight="1" x14ac:dyDescent="0.25">
      <c r="A832" s="68">
        <v>46265</v>
      </c>
      <c r="B832" s="25">
        <f t="shared" si="225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0" t="str">
        <f t="shared" ca="1" si="224"/>
        <v/>
      </c>
      <c r="R832" s="46"/>
      <c r="S832" s="31"/>
    </row>
    <row r="833" spans="1:20" ht="15" customHeight="1" x14ac:dyDescent="0.25">
      <c r="A833" s="69">
        <v>46265</v>
      </c>
      <c r="B833" s="32">
        <f t="shared" si="225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0" t="str">
        <f t="shared" ca="1" si="224"/>
        <v/>
      </c>
      <c r="R833" s="46"/>
      <c r="S833" s="31"/>
    </row>
    <row r="834" spans="1:20" ht="15" customHeight="1" x14ac:dyDescent="0.25">
      <c r="A834" s="68">
        <v>46265</v>
      </c>
      <c r="B834" s="25">
        <f t="shared" si="225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0" t="str">
        <f t="shared" ca="1" si="224"/>
        <v/>
      </c>
      <c r="R834" s="46"/>
      <c r="S834" s="31"/>
    </row>
    <row r="835" spans="1:20" ht="15" customHeight="1" x14ac:dyDescent="0.25">
      <c r="A835" s="69">
        <v>46265</v>
      </c>
      <c r="B835" s="32">
        <f t="shared" si="225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0" t="str">
        <f t="shared" ca="1" si="224"/>
        <v/>
      </c>
      <c r="R835" s="46"/>
      <c r="S835" s="31"/>
    </row>
    <row r="836" spans="1:20" ht="15" customHeight="1" thickBot="1" x14ac:dyDescent="0.3">
      <c r="A836" s="68">
        <v>46265</v>
      </c>
      <c r="B836" s="25">
        <f t="shared" si="225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0" t="str">
        <f t="shared" ca="1" si="224"/>
        <v/>
      </c>
      <c r="R836" s="46"/>
      <c r="S836" s="31"/>
    </row>
    <row r="837" spans="1:20" ht="15.75" customHeight="1" thickBot="1" x14ac:dyDescent="0.3">
      <c r="A837" s="150" t="s">
        <v>244</v>
      </c>
      <c r="B837" s="151"/>
      <c r="C837" s="151"/>
      <c r="D837" s="151"/>
      <c r="E837" s="151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 x14ac:dyDescent="0.25">
      <c r="A838" s="152" t="s">
        <v>245</v>
      </c>
      <c r="B838" s="153"/>
      <c r="C838" s="153"/>
      <c r="D838" s="153"/>
      <c r="E838" s="153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59LgOEWzp/oCRmOHK7gmiNXO9eSHOLDshb8V6FYn5lwPq2EFwiuAFzqTlR5kSCB36NE6AkJ6Ahx8Z+YEA4156g==" saltValue="VZPmy+G4ib09CwbTyeapcQ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1" activePane="bottomLeft" state="frozen"/>
      <selection pane="bottomLeft" activeCell="L344" sqref="L344:L345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263</v>
      </c>
      <c r="I1" s="134" t="s">
        <v>18</v>
      </c>
      <c r="J1" s="134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0" t="s">
        <v>241</v>
      </c>
      <c r="B14" s="151"/>
      <c r="C14" s="151"/>
      <c r="D14" s="151"/>
      <c r="E14" s="151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268</v>
      </c>
      <c r="S18" s="31"/>
    </row>
    <row r="19" spans="1:20" ht="15" customHeight="1" x14ac:dyDescent="0.25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 x14ac:dyDescent="0.25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0" t="s">
        <v>244</v>
      </c>
      <c r="B27" s="151"/>
      <c r="C27" s="151"/>
      <c r="D27" s="151"/>
      <c r="E27" s="151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 x14ac:dyDescent="0.25">
      <c r="A28" s="152" t="s">
        <v>245</v>
      </c>
      <c r="B28" s="153"/>
      <c r="C28" s="153"/>
      <c r="D28" s="153"/>
      <c r="E28" s="153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0" t="s">
        <v>241</v>
      </c>
      <c r="B41" s="151"/>
      <c r="C41" s="151"/>
      <c r="D41" s="151"/>
      <c r="E41" s="151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 x14ac:dyDescent="0.25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274</v>
      </c>
      <c r="S42" s="31"/>
    </row>
    <row r="43" spans="1:20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 x14ac:dyDescent="0.25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 x14ac:dyDescent="0.25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0" t="s">
        <v>244</v>
      </c>
      <c r="B54" s="151"/>
      <c r="C54" s="151"/>
      <c r="D54" s="151"/>
      <c r="E54" s="151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 x14ac:dyDescent="0.25">
      <c r="A55" s="152" t="s">
        <v>245</v>
      </c>
      <c r="B55" s="153"/>
      <c r="C55" s="153"/>
      <c r="D55" s="153"/>
      <c r="E55" s="153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 x14ac:dyDescent="0.25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0" t="s">
        <v>241</v>
      </c>
      <c r="B68" s="151"/>
      <c r="C68" s="151"/>
      <c r="D68" s="151"/>
      <c r="E68" s="151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0" t="s">
        <v>244</v>
      </c>
      <c r="B81" s="151"/>
      <c r="C81" s="151"/>
      <c r="D81" s="151"/>
      <c r="E81" s="151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 x14ac:dyDescent="0.25">
      <c r="A82" s="152" t="s">
        <v>245</v>
      </c>
      <c r="B82" s="153"/>
      <c r="C82" s="153"/>
      <c r="D82" s="153"/>
      <c r="E82" s="153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 x14ac:dyDescent="0.25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0" t="s">
        <v>241</v>
      </c>
      <c r="B95" s="151"/>
      <c r="C95" s="151"/>
      <c r="D95" s="151"/>
      <c r="E95" s="151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0" t="s">
        <v>244</v>
      </c>
      <c r="B108" s="151"/>
      <c r="C108" s="151"/>
      <c r="D108" s="151"/>
      <c r="E108" s="151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 x14ac:dyDescent="0.25">
      <c r="A109" s="152" t="s">
        <v>245</v>
      </c>
      <c r="B109" s="153"/>
      <c r="C109" s="153"/>
      <c r="D109" s="153"/>
      <c r="E109" s="153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0" t="s">
        <v>241</v>
      </c>
      <c r="B122" s="151"/>
      <c r="C122" s="151"/>
      <c r="D122" s="151"/>
      <c r="E122" s="151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0" t="s">
        <v>244</v>
      </c>
      <c r="B135" s="151"/>
      <c r="C135" s="151"/>
      <c r="D135" s="151"/>
      <c r="E135" s="151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 x14ac:dyDescent="0.25">
      <c r="A136" s="152" t="s">
        <v>245</v>
      </c>
      <c r="B136" s="153"/>
      <c r="C136" s="153"/>
      <c r="D136" s="153"/>
      <c r="E136" s="153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282</v>
      </c>
      <c r="S144" s="31"/>
    </row>
    <row r="145" spans="1:20" ht="15" customHeight="1" x14ac:dyDescent="0.25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0" t="s">
        <v>241</v>
      </c>
      <c r="B149" s="151"/>
      <c r="C149" s="151"/>
      <c r="D149" s="151"/>
      <c r="E149" s="151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274</v>
      </c>
      <c r="S153" s="31"/>
    </row>
    <row r="154" spans="1:20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0" t="s">
        <v>244</v>
      </c>
      <c r="B162" s="151"/>
      <c r="C162" s="151"/>
      <c r="D162" s="151"/>
      <c r="E162" s="151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 x14ac:dyDescent="0.25">
      <c r="A163" s="152" t="s">
        <v>245</v>
      </c>
      <c r="B163" s="153"/>
      <c r="C163" s="153"/>
      <c r="D163" s="153"/>
      <c r="E163" s="153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0" t="s">
        <v>241</v>
      </c>
      <c r="B176" s="151"/>
      <c r="C176" s="151"/>
      <c r="D176" s="151"/>
      <c r="E176" s="151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285</v>
      </c>
      <c r="S182" s="31"/>
    </row>
    <row r="183" spans="1:20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285</v>
      </c>
      <c r="S185" s="31"/>
    </row>
    <row r="186" spans="1:20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0" t="s">
        <v>244</v>
      </c>
      <c r="B189" s="151"/>
      <c r="C189" s="151"/>
      <c r="D189" s="151"/>
      <c r="E189" s="151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 x14ac:dyDescent="0.25">
      <c r="A190" s="152" t="s">
        <v>245</v>
      </c>
      <c r="B190" s="153"/>
      <c r="C190" s="153"/>
      <c r="D190" s="153"/>
      <c r="E190" s="153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0" t="s">
        <v>241</v>
      </c>
      <c r="B203" s="151"/>
      <c r="C203" s="151"/>
      <c r="D203" s="151"/>
      <c r="E203" s="151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0" t="s">
        <v>244</v>
      </c>
      <c r="B216" s="151"/>
      <c r="C216" s="151"/>
      <c r="D216" s="151"/>
      <c r="E216" s="151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 x14ac:dyDescent="0.25">
      <c r="A217" s="152" t="s">
        <v>245</v>
      </c>
      <c r="B217" s="153"/>
      <c r="C217" s="153"/>
      <c r="D217" s="153"/>
      <c r="E217" s="153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0" t="s">
        <v>241</v>
      </c>
      <c r="B230" s="151"/>
      <c r="C230" s="151"/>
      <c r="D230" s="151"/>
      <c r="E230" s="151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0" t="s">
        <v>244</v>
      </c>
      <c r="B243" s="151"/>
      <c r="C243" s="151"/>
      <c r="D243" s="151"/>
      <c r="E243" s="151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 x14ac:dyDescent="0.25">
      <c r="A244" s="152" t="s">
        <v>245</v>
      </c>
      <c r="B244" s="153"/>
      <c r="C244" s="153"/>
      <c r="D244" s="153"/>
      <c r="E244" s="153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0" t="s">
        <v>241</v>
      </c>
      <c r="B257" s="151"/>
      <c r="C257" s="151"/>
      <c r="D257" s="151"/>
      <c r="E257" s="151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 x14ac:dyDescent="0.25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0" t="s">
        <v>244</v>
      </c>
      <c r="B270" s="151"/>
      <c r="C270" s="151"/>
      <c r="D270" s="151"/>
      <c r="E270" s="151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 x14ac:dyDescent="0.25">
      <c r="A271" s="152" t="s">
        <v>245</v>
      </c>
      <c r="B271" s="153"/>
      <c r="C271" s="153"/>
      <c r="D271" s="153"/>
      <c r="E271" s="153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0" t="s">
        <v>241</v>
      </c>
      <c r="B284" s="151"/>
      <c r="C284" s="151"/>
      <c r="D284" s="151"/>
      <c r="E284" s="151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 x14ac:dyDescent="0.25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0" t="s">
        <v>244</v>
      </c>
      <c r="B297" s="151"/>
      <c r="C297" s="151"/>
      <c r="D297" s="151"/>
      <c r="E297" s="151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 x14ac:dyDescent="0.25">
      <c r="A298" s="152" t="s">
        <v>245</v>
      </c>
      <c r="B298" s="153"/>
      <c r="C298" s="153"/>
      <c r="D298" s="153"/>
      <c r="E298" s="153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0.70846319444535766</v>
      </c>
      <c r="R301" s="27" t="s">
        <v>32</v>
      </c>
      <c r="S301" s="47"/>
    </row>
    <row r="302" spans="1:20" ht="15" customHeight="1" x14ac:dyDescent="0.25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 x14ac:dyDescent="0.25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50" t="s">
        <v>241</v>
      </c>
      <c r="B311" s="151"/>
      <c r="C311" s="151"/>
      <c r="D311" s="151"/>
      <c r="E311" s="151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0.7188798611120244</v>
      </c>
      <c r="R311" s="36" t="s">
        <v>242</v>
      </c>
      <c r="S311" s="39"/>
      <c r="T311" s="120">
        <f>IFERROR(J311,"")</f>
        <v>0</v>
      </c>
    </row>
    <row r="312" spans="1:20" ht="15" customHeight="1" x14ac:dyDescent="0.25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 x14ac:dyDescent="0.25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 x14ac:dyDescent="0.25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 x14ac:dyDescent="0.25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 x14ac:dyDescent="0.25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 x14ac:dyDescent="0.25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 x14ac:dyDescent="0.25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 x14ac:dyDescent="0.25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 x14ac:dyDescent="0.25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 x14ac:dyDescent="0.25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 x14ac:dyDescent="0.25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 x14ac:dyDescent="0.3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 x14ac:dyDescent="0.3">
      <c r="A324" s="150" t="s">
        <v>244</v>
      </c>
      <c r="B324" s="151"/>
      <c r="C324" s="151"/>
      <c r="D324" s="151"/>
      <c r="E324" s="151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 x14ac:dyDescent="0.25">
      <c r="A325" s="152" t="s">
        <v>245</v>
      </c>
      <c r="B325" s="153"/>
      <c r="C325" s="153"/>
      <c r="D325" s="153"/>
      <c r="E325" s="153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0.7188798611120244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 x14ac:dyDescent="0.25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 x14ac:dyDescent="0.25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 x14ac:dyDescent="0.25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 x14ac:dyDescent="0.25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 x14ac:dyDescent="0.25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 x14ac:dyDescent="0.25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 x14ac:dyDescent="0.25">
      <c r="A333" s="69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 x14ac:dyDescent="0.25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 x14ac:dyDescent="0.25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 x14ac:dyDescent="0.25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 x14ac:dyDescent="0.3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 x14ac:dyDescent="0.3">
      <c r="A338" s="150" t="s">
        <v>241</v>
      </c>
      <c r="B338" s="151"/>
      <c r="C338" s="151"/>
      <c r="D338" s="151"/>
      <c r="E338" s="151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 x14ac:dyDescent="0.25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 x14ac:dyDescent="0.25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 x14ac:dyDescent="0.25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 x14ac:dyDescent="0.25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 x14ac:dyDescent="0.25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 x14ac:dyDescent="0.25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 x14ac:dyDescent="0.25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 x14ac:dyDescent="0.25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 x14ac:dyDescent="0.25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 x14ac:dyDescent="0.25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 x14ac:dyDescent="0.25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 x14ac:dyDescent="0.3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 x14ac:dyDescent="0.3">
      <c r="A351" s="150" t="s">
        <v>244</v>
      </c>
      <c r="B351" s="151"/>
      <c r="C351" s="151"/>
      <c r="D351" s="151"/>
      <c r="E351" s="151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 x14ac:dyDescent="0.25">
      <c r="A352" s="152" t="s">
        <v>245</v>
      </c>
      <c r="B352" s="153"/>
      <c r="C352" s="153"/>
      <c r="D352" s="153"/>
      <c r="E352" s="153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 x14ac:dyDescent="0.25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 x14ac:dyDescent="0.25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 x14ac:dyDescent="0.25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 x14ac:dyDescent="0.25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 x14ac:dyDescent="0.25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 x14ac:dyDescent="0.25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 x14ac:dyDescent="0.25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 x14ac:dyDescent="0.25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 x14ac:dyDescent="0.25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 x14ac:dyDescent="0.25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 x14ac:dyDescent="0.25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 x14ac:dyDescent="0.3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 x14ac:dyDescent="0.3">
      <c r="A365" s="150" t="s">
        <v>241</v>
      </c>
      <c r="B365" s="151"/>
      <c r="C365" s="151"/>
      <c r="D365" s="151"/>
      <c r="E365" s="151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 x14ac:dyDescent="0.25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 x14ac:dyDescent="0.25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 x14ac:dyDescent="0.25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 x14ac:dyDescent="0.25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 x14ac:dyDescent="0.25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 x14ac:dyDescent="0.25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 x14ac:dyDescent="0.25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 x14ac:dyDescent="0.25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 x14ac:dyDescent="0.25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 x14ac:dyDescent="0.25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 x14ac:dyDescent="0.3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 x14ac:dyDescent="0.3">
      <c r="A378" s="150" t="s">
        <v>244</v>
      </c>
      <c r="B378" s="151"/>
      <c r="C378" s="151"/>
      <c r="D378" s="151"/>
      <c r="E378" s="151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 x14ac:dyDescent="0.25">
      <c r="A379" s="152" t="s">
        <v>245</v>
      </c>
      <c r="B379" s="153"/>
      <c r="C379" s="153"/>
      <c r="D379" s="153"/>
      <c r="E379" s="153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 x14ac:dyDescent="0.25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 x14ac:dyDescent="0.25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 x14ac:dyDescent="0.25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 x14ac:dyDescent="0.25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 x14ac:dyDescent="0.25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 x14ac:dyDescent="0.25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 x14ac:dyDescent="0.25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 x14ac:dyDescent="0.25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 x14ac:dyDescent="0.25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 x14ac:dyDescent="0.25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 x14ac:dyDescent="0.3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 x14ac:dyDescent="0.3">
      <c r="A392" s="150" t="s">
        <v>241</v>
      </c>
      <c r="B392" s="151"/>
      <c r="C392" s="151"/>
      <c r="D392" s="151"/>
      <c r="E392" s="151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 x14ac:dyDescent="0.25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 x14ac:dyDescent="0.25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 x14ac:dyDescent="0.25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 x14ac:dyDescent="0.25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 x14ac:dyDescent="0.25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 x14ac:dyDescent="0.25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 x14ac:dyDescent="0.25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 x14ac:dyDescent="0.25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 x14ac:dyDescent="0.25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 x14ac:dyDescent="0.25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 x14ac:dyDescent="0.3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 x14ac:dyDescent="0.3">
      <c r="A405" s="150" t="s">
        <v>244</v>
      </c>
      <c r="B405" s="151"/>
      <c r="C405" s="151"/>
      <c r="D405" s="151"/>
      <c r="E405" s="151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 x14ac:dyDescent="0.25">
      <c r="A406" s="152" t="s">
        <v>245</v>
      </c>
      <c r="B406" s="153"/>
      <c r="C406" s="153"/>
      <c r="D406" s="153"/>
      <c r="E406" s="153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 x14ac:dyDescent="0.25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 x14ac:dyDescent="0.25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 x14ac:dyDescent="0.25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 x14ac:dyDescent="0.25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 x14ac:dyDescent="0.25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 x14ac:dyDescent="0.25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 x14ac:dyDescent="0.25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 x14ac:dyDescent="0.25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 x14ac:dyDescent="0.25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 x14ac:dyDescent="0.25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 x14ac:dyDescent="0.3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 x14ac:dyDescent="0.3">
      <c r="A419" s="150" t="s">
        <v>241</v>
      </c>
      <c r="B419" s="151"/>
      <c r="C419" s="151"/>
      <c r="D419" s="151"/>
      <c r="E419" s="151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 x14ac:dyDescent="0.25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 x14ac:dyDescent="0.25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 x14ac:dyDescent="0.25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 x14ac:dyDescent="0.25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 x14ac:dyDescent="0.25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 x14ac:dyDescent="0.25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 x14ac:dyDescent="0.25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 x14ac:dyDescent="0.25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 x14ac:dyDescent="0.25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 x14ac:dyDescent="0.25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 x14ac:dyDescent="0.25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 x14ac:dyDescent="0.3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 x14ac:dyDescent="0.3">
      <c r="A432" s="150" t="s">
        <v>244</v>
      </c>
      <c r="B432" s="151"/>
      <c r="C432" s="151"/>
      <c r="D432" s="151"/>
      <c r="E432" s="151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 x14ac:dyDescent="0.25">
      <c r="A433" s="152" t="s">
        <v>245</v>
      </c>
      <c r="B433" s="153"/>
      <c r="C433" s="153"/>
      <c r="D433" s="153"/>
      <c r="E433" s="153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 x14ac:dyDescent="0.25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 x14ac:dyDescent="0.25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 x14ac:dyDescent="0.25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 x14ac:dyDescent="0.25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 x14ac:dyDescent="0.25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 x14ac:dyDescent="0.25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 x14ac:dyDescent="0.25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 x14ac:dyDescent="0.25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 x14ac:dyDescent="0.25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 x14ac:dyDescent="0.25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 x14ac:dyDescent="0.3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 x14ac:dyDescent="0.3">
      <c r="A446" s="150" t="s">
        <v>241</v>
      </c>
      <c r="B446" s="151"/>
      <c r="C446" s="151"/>
      <c r="D446" s="151"/>
      <c r="E446" s="151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 x14ac:dyDescent="0.25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 x14ac:dyDescent="0.25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 x14ac:dyDescent="0.25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 x14ac:dyDescent="0.25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 x14ac:dyDescent="0.25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 x14ac:dyDescent="0.25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 x14ac:dyDescent="0.25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 x14ac:dyDescent="0.25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 x14ac:dyDescent="0.25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 x14ac:dyDescent="0.25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 x14ac:dyDescent="0.3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 x14ac:dyDescent="0.3">
      <c r="A459" s="150" t="s">
        <v>244</v>
      </c>
      <c r="B459" s="151"/>
      <c r="C459" s="151"/>
      <c r="D459" s="151"/>
      <c r="E459" s="151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 x14ac:dyDescent="0.25">
      <c r="A460" s="152" t="s">
        <v>245</v>
      </c>
      <c r="B460" s="153"/>
      <c r="C460" s="153"/>
      <c r="D460" s="153"/>
      <c r="E460" s="153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 x14ac:dyDescent="0.25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 x14ac:dyDescent="0.25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 x14ac:dyDescent="0.25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 x14ac:dyDescent="0.25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 x14ac:dyDescent="0.25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 x14ac:dyDescent="0.25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 x14ac:dyDescent="0.25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 x14ac:dyDescent="0.25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 x14ac:dyDescent="0.25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 x14ac:dyDescent="0.25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 x14ac:dyDescent="0.3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 x14ac:dyDescent="0.3">
      <c r="A473" s="150" t="s">
        <v>241</v>
      </c>
      <c r="B473" s="151"/>
      <c r="C473" s="151"/>
      <c r="D473" s="151"/>
      <c r="E473" s="151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 x14ac:dyDescent="0.25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 x14ac:dyDescent="0.25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 x14ac:dyDescent="0.25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 x14ac:dyDescent="0.25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 x14ac:dyDescent="0.25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 x14ac:dyDescent="0.25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 x14ac:dyDescent="0.25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 x14ac:dyDescent="0.25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 x14ac:dyDescent="0.25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 x14ac:dyDescent="0.25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 x14ac:dyDescent="0.3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 x14ac:dyDescent="0.3">
      <c r="A486" s="150" t="s">
        <v>244</v>
      </c>
      <c r="B486" s="151"/>
      <c r="C486" s="151"/>
      <c r="D486" s="151"/>
      <c r="E486" s="151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 x14ac:dyDescent="0.25">
      <c r="A487" s="152" t="s">
        <v>245</v>
      </c>
      <c r="B487" s="153"/>
      <c r="C487" s="153"/>
      <c r="D487" s="153"/>
      <c r="E487" s="153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 x14ac:dyDescent="0.25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 x14ac:dyDescent="0.25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 x14ac:dyDescent="0.25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 x14ac:dyDescent="0.25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 x14ac:dyDescent="0.25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 x14ac:dyDescent="0.25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 x14ac:dyDescent="0.25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 x14ac:dyDescent="0.25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 x14ac:dyDescent="0.25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 x14ac:dyDescent="0.25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 x14ac:dyDescent="0.3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 x14ac:dyDescent="0.3">
      <c r="A500" s="150" t="s">
        <v>241</v>
      </c>
      <c r="B500" s="151"/>
      <c r="C500" s="151"/>
      <c r="D500" s="151"/>
      <c r="E500" s="151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 x14ac:dyDescent="0.25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 x14ac:dyDescent="0.25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 x14ac:dyDescent="0.25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 x14ac:dyDescent="0.25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 x14ac:dyDescent="0.25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 x14ac:dyDescent="0.25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 x14ac:dyDescent="0.25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 x14ac:dyDescent="0.25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 x14ac:dyDescent="0.25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 x14ac:dyDescent="0.25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 x14ac:dyDescent="0.3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 x14ac:dyDescent="0.3">
      <c r="A513" s="150" t="s">
        <v>244</v>
      </c>
      <c r="B513" s="151"/>
      <c r="C513" s="151"/>
      <c r="D513" s="151"/>
      <c r="E513" s="151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 x14ac:dyDescent="0.25">
      <c r="A514" s="152" t="s">
        <v>245</v>
      </c>
      <c r="B514" s="153"/>
      <c r="C514" s="153"/>
      <c r="D514" s="153"/>
      <c r="E514" s="153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 x14ac:dyDescent="0.25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 x14ac:dyDescent="0.25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 x14ac:dyDescent="0.25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 x14ac:dyDescent="0.25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 x14ac:dyDescent="0.25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 x14ac:dyDescent="0.25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 x14ac:dyDescent="0.25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 x14ac:dyDescent="0.25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 x14ac:dyDescent="0.25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 x14ac:dyDescent="0.25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 x14ac:dyDescent="0.3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 x14ac:dyDescent="0.3">
      <c r="A527" s="150" t="s">
        <v>241</v>
      </c>
      <c r="B527" s="151"/>
      <c r="C527" s="151"/>
      <c r="D527" s="151"/>
      <c r="E527" s="151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 x14ac:dyDescent="0.25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 x14ac:dyDescent="0.25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 x14ac:dyDescent="0.25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 x14ac:dyDescent="0.25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 x14ac:dyDescent="0.25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 x14ac:dyDescent="0.25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 x14ac:dyDescent="0.25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 x14ac:dyDescent="0.25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 x14ac:dyDescent="0.25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 x14ac:dyDescent="0.25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 x14ac:dyDescent="0.3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 x14ac:dyDescent="0.3">
      <c r="A540" s="150" t="s">
        <v>244</v>
      </c>
      <c r="B540" s="151"/>
      <c r="C540" s="151"/>
      <c r="D540" s="151"/>
      <c r="E540" s="151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 x14ac:dyDescent="0.25">
      <c r="A541" s="152" t="s">
        <v>245</v>
      </c>
      <c r="B541" s="153"/>
      <c r="C541" s="153"/>
      <c r="D541" s="153"/>
      <c r="E541" s="153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 x14ac:dyDescent="0.25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 x14ac:dyDescent="0.25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 x14ac:dyDescent="0.25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 x14ac:dyDescent="0.25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 x14ac:dyDescent="0.25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 x14ac:dyDescent="0.25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 x14ac:dyDescent="0.25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 x14ac:dyDescent="0.25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 x14ac:dyDescent="0.25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 x14ac:dyDescent="0.25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 x14ac:dyDescent="0.3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 x14ac:dyDescent="0.3">
      <c r="A554" s="150" t="s">
        <v>241</v>
      </c>
      <c r="B554" s="151"/>
      <c r="C554" s="151"/>
      <c r="D554" s="151"/>
      <c r="E554" s="151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 x14ac:dyDescent="0.25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 x14ac:dyDescent="0.25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 x14ac:dyDescent="0.25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 x14ac:dyDescent="0.25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 x14ac:dyDescent="0.25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 x14ac:dyDescent="0.25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 x14ac:dyDescent="0.25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 x14ac:dyDescent="0.25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 x14ac:dyDescent="0.25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 x14ac:dyDescent="0.25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 x14ac:dyDescent="0.3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 x14ac:dyDescent="0.3">
      <c r="A567" s="150" t="s">
        <v>244</v>
      </c>
      <c r="B567" s="151"/>
      <c r="C567" s="151"/>
      <c r="D567" s="151"/>
      <c r="E567" s="151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 x14ac:dyDescent="0.25">
      <c r="A568" s="152" t="s">
        <v>245</v>
      </c>
      <c r="B568" s="153"/>
      <c r="C568" s="153"/>
      <c r="D568" s="153"/>
      <c r="E568" s="153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 x14ac:dyDescent="0.25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 x14ac:dyDescent="0.25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 x14ac:dyDescent="0.25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 x14ac:dyDescent="0.25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 x14ac:dyDescent="0.25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 x14ac:dyDescent="0.25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 x14ac:dyDescent="0.25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 x14ac:dyDescent="0.25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 x14ac:dyDescent="0.25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 x14ac:dyDescent="0.25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 x14ac:dyDescent="0.3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 x14ac:dyDescent="0.3">
      <c r="A581" s="150" t="s">
        <v>241</v>
      </c>
      <c r="B581" s="151"/>
      <c r="C581" s="151"/>
      <c r="D581" s="151"/>
      <c r="E581" s="151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 x14ac:dyDescent="0.25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 x14ac:dyDescent="0.25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 x14ac:dyDescent="0.25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 x14ac:dyDescent="0.25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 x14ac:dyDescent="0.25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 x14ac:dyDescent="0.25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 x14ac:dyDescent="0.25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 x14ac:dyDescent="0.25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 x14ac:dyDescent="0.25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 x14ac:dyDescent="0.25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 x14ac:dyDescent="0.3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 x14ac:dyDescent="0.3">
      <c r="A594" s="150" t="s">
        <v>244</v>
      </c>
      <c r="B594" s="151"/>
      <c r="C594" s="151"/>
      <c r="D594" s="151"/>
      <c r="E594" s="151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 x14ac:dyDescent="0.25">
      <c r="A595" s="152" t="s">
        <v>245</v>
      </c>
      <c r="B595" s="153"/>
      <c r="C595" s="153"/>
      <c r="D595" s="153"/>
      <c r="E595" s="153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 x14ac:dyDescent="0.25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 x14ac:dyDescent="0.25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 x14ac:dyDescent="0.25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 x14ac:dyDescent="0.25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 x14ac:dyDescent="0.25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 x14ac:dyDescent="0.25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 x14ac:dyDescent="0.25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 x14ac:dyDescent="0.25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 x14ac:dyDescent="0.25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 x14ac:dyDescent="0.25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 x14ac:dyDescent="0.3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 x14ac:dyDescent="0.3">
      <c r="A608" s="150" t="s">
        <v>241</v>
      </c>
      <c r="B608" s="151"/>
      <c r="C608" s="151"/>
      <c r="D608" s="151"/>
      <c r="E608" s="151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 x14ac:dyDescent="0.25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 x14ac:dyDescent="0.25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 x14ac:dyDescent="0.25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 x14ac:dyDescent="0.25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 x14ac:dyDescent="0.25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 x14ac:dyDescent="0.25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 x14ac:dyDescent="0.25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 x14ac:dyDescent="0.25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 x14ac:dyDescent="0.25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 x14ac:dyDescent="0.25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 x14ac:dyDescent="0.3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 x14ac:dyDescent="0.3">
      <c r="A621" s="150" t="s">
        <v>244</v>
      </c>
      <c r="B621" s="151"/>
      <c r="C621" s="151"/>
      <c r="D621" s="151"/>
      <c r="E621" s="151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 x14ac:dyDescent="0.25">
      <c r="A622" s="152" t="s">
        <v>245</v>
      </c>
      <c r="B622" s="153"/>
      <c r="C622" s="153"/>
      <c r="D622" s="153"/>
      <c r="E622" s="153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 x14ac:dyDescent="0.25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 x14ac:dyDescent="0.25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 x14ac:dyDescent="0.25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 x14ac:dyDescent="0.25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 x14ac:dyDescent="0.25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 x14ac:dyDescent="0.25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 x14ac:dyDescent="0.25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 x14ac:dyDescent="0.25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 x14ac:dyDescent="0.25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 x14ac:dyDescent="0.25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 x14ac:dyDescent="0.3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 x14ac:dyDescent="0.3">
      <c r="A635" s="150" t="s">
        <v>241</v>
      </c>
      <c r="B635" s="151"/>
      <c r="C635" s="151"/>
      <c r="D635" s="151"/>
      <c r="E635" s="151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 x14ac:dyDescent="0.25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 x14ac:dyDescent="0.25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 x14ac:dyDescent="0.25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 x14ac:dyDescent="0.25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 x14ac:dyDescent="0.25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 x14ac:dyDescent="0.25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 x14ac:dyDescent="0.25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 x14ac:dyDescent="0.25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 x14ac:dyDescent="0.25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 x14ac:dyDescent="0.25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 x14ac:dyDescent="0.3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 x14ac:dyDescent="0.3">
      <c r="A648" s="150" t="s">
        <v>244</v>
      </c>
      <c r="B648" s="151"/>
      <c r="C648" s="151"/>
      <c r="D648" s="151"/>
      <c r="E648" s="151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 x14ac:dyDescent="0.25">
      <c r="A649" s="152" t="s">
        <v>245</v>
      </c>
      <c r="B649" s="153"/>
      <c r="C649" s="153"/>
      <c r="D649" s="153"/>
      <c r="E649" s="153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 x14ac:dyDescent="0.25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 x14ac:dyDescent="0.25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 x14ac:dyDescent="0.25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 x14ac:dyDescent="0.25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 x14ac:dyDescent="0.25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 x14ac:dyDescent="0.25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 x14ac:dyDescent="0.25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 x14ac:dyDescent="0.25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 x14ac:dyDescent="0.25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 x14ac:dyDescent="0.25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 x14ac:dyDescent="0.3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 x14ac:dyDescent="0.3">
      <c r="A662" s="150" t="s">
        <v>241</v>
      </c>
      <c r="B662" s="151"/>
      <c r="C662" s="151"/>
      <c r="D662" s="151"/>
      <c r="E662" s="151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 x14ac:dyDescent="0.25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 x14ac:dyDescent="0.25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 x14ac:dyDescent="0.25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 x14ac:dyDescent="0.25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 x14ac:dyDescent="0.25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 x14ac:dyDescent="0.25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 x14ac:dyDescent="0.25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 x14ac:dyDescent="0.25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 x14ac:dyDescent="0.25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 x14ac:dyDescent="0.25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 x14ac:dyDescent="0.3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 x14ac:dyDescent="0.3">
      <c r="A675" s="150" t="s">
        <v>244</v>
      </c>
      <c r="B675" s="151"/>
      <c r="C675" s="151"/>
      <c r="D675" s="151"/>
      <c r="E675" s="151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 x14ac:dyDescent="0.25">
      <c r="A676" s="152" t="s">
        <v>245</v>
      </c>
      <c r="B676" s="153"/>
      <c r="C676" s="153"/>
      <c r="D676" s="153"/>
      <c r="E676" s="153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 x14ac:dyDescent="0.25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 x14ac:dyDescent="0.25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 x14ac:dyDescent="0.25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 x14ac:dyDescent="0.25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 x14ac:dyDescent="0.25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 x14ac:dyDescent="0.25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 x14ac:dyDescent="0.25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 x14ac:dyDescent="0.25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 x14ac:dyDescent="0.25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 x14ac:dyDescent="0.25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 x14ac:dyDescent="0.3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 x14ac:dyDescent="0.3">
      <c r="A689" s="150" t="s">
        <v>241</v>
      </c>
      <c r="B689" s="151"/>
      <c r="C689" s="151"/>
      <c r="D689" s="151"/>
      <c r="E689" s="151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 x14ac:dyDescent="0.25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 x14ac:dyDescent="0.25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 x14ac:dyDescent="0.25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 x14ac:dyDescent="0.25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 x14ac:dyDescent="0.25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 x14ac:dyDescent="0.25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 x14ac:dyDescent="0.25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 x14ac:dyDescent="0.25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 x14ac:dyDescent="0.25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 x14ac:dyDescent="0.25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 x14ac:dyDescent="0.3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 x14ac:dyDescent="0.3">
      <c r="A702" s="150" t="s">
        <v>244</v>
      </c>
      <c r="B702" s="151"/>
      <c r="C702" s="151"/>
      <c r="D702" s="151"/>
      <c r="E702" s="151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 x14ac:dyDescent="0.25">
      <c r="A703" s="152" t="s">
        <v>245</v>
      </c>
      <c r="B703" s="153"/>
      <c r="C703" s="153"/>
      <c r="D703" s="153"/>
      <c r="E703" s="153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 x14ac:dyDescent="0.25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 x14ac:dyDescent="0.25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 x14ac:dyDescent="0.25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 x14ac:dyDescent="0.25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 x14ac:dyDescent="0.25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 x14ac:dyDescent="0.25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 x14ac:dyDescent="0.25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 x14ac:dyDescent="0.25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 x14ac:dyDescent="0.25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 x14ac:dyDescent="0.25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 x14ac:dyDescent="0.3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 x14ac:dyDescent="0.3">
      <c r="A716" s="150" t="s">
        <v>241</v>
      </c>
      <c r="B716" s="151"/>
      <c r="C716" s="151"/>
      <c r="D716" s="151"/>
      <c r="E716" s="151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 x14ac:dyDescent="0.25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 x14ac:dyDescent="0.25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 x14ac:dyDescent="0.25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 x14ac:dyDescent="0.25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 x14ac:dyDescent="0.25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 x14ac:dyDescent="0.25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 x14ac:dyDescent="0.25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 x14ac:dyDescent="0.25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 x14ac:dyDescent="0.25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 x14ac:dyDescent="0.25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 x14ac:dyDescent="0.3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 x14ac:dyDescent="0.3">
      <c r="A729" s="150" t="s">
        <v>244</v>
      </c>
      <c r="B729" s="151"/>
      <c r="C729" s="151"/>
      <c r="D729" s="151"/>
      <c r="E729" s="151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 x14ac:dyDescent="0.25">
      <c r="A730" s="152" t="s">
        <v>245</v>
      </c>
      <c r="B730" s="153"/>
      <c r="C730" s="153"/>
      <c r="D730" s="153"/>
      <c r="E730" s="153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 x14ac:dyDescent="0.25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 x14ac:dyDescent="0.25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 x14ac:dyDescent="0.25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 x14ac:dyDescent="0.25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 x14ac:dyDescent="0.25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 x14ac:dyDescent="0.25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 x14ac:dyDescent="0.25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 x14ac:dyDescent="0.25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 x14ac:dyDescent="0.25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 x14ac:dyDescent="0.25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 x14ac:dyDescent="0.3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 x14ac:dyDescent="0.3">
      <c r="A743" s="150" t="s">
        <v>241</v>
      </c>
      <c r="B743" s="151"/>
      <c r="C743" s="151"/>
      <c r="D743" s="151"/>
      <c r="E743" s="151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 x14ac:dyDescent="0.25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 x14ac:dyDescent="0.25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 x14ac:dyDescent="0.25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 x14ac:dyDescent="0.25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 x14ac:dyDescent="0.25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 x14ac:dyDescent="0.25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 x14ac:dyDescent="0.25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 x14ac:dyDescent="0.25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 x14ac:dyDescent="0.25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 x14ac:dyDescent="0.25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 x14ac:dyDescent="0.3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 x14ac:dyDescent="0.3">
      <c r="A756" s="150" t="s">
        <v>244</v>
      </c>
      <c r="B756" s="151"/>
      <c r="C756" s="151"/>
      <c r="D756" s="151"/>
      <c r="E756" s="151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 x14ac:dyDescent="0.25">
      <c r="A757" s="152" t="s">
        <v>245</v>
      </c>
      <c r="B757" s="153"/>
      <c r="C757" s="153"/>
      <c r="D757" s="153"/>
      <c r="E757" s="153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 x14ac:dyDescent="0.25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 x14ac:dyDescent="0.25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 x14ac:dyDescent="0.25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 x14ac:dyDescent="0.25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 x14ac:dyDescent="0.25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 x14ac:dyDescent="0.25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 x14ac:dyDescent="0.25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 x14ac:dyDescent="0.25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 x14ac:dyDescent="0.25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 x14ac:dyDescent="0.25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 x14ac:dyDescent="0.3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 x14ac:dyDescent="0.3">
      <c r="A770" s="150" t="s">
        <v>241</v>
      </c>
      <c r="B770" s="151"/>
      <c r="C770" s="151"/>
      <c r="D770" s="151"/>
      <c r="E770" s="151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 x14ac:dyDescent="0.25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 x14ac:dyDescent="0.25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 x14ac:dyDescent="0.25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 x14ac:dyDescent="0.25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 x14ac:dyDescent="0.25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 x14ac:dyDescent="0.25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 x14ac:dyDescent="0.25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 x14ac:dyDescent="0.25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 x14ac:dyDescent="0.25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 x14ac:dyDescent="0.25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 x14ac:dyDescent="0.3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 x14ac:dyDescent="0.3">
      <c r="A783" s="150" t="s">
        <v>244</v>
      </c>
      <c r="B783" s="151"/>
      <c r="C783" s="151"/>
      <c r="D783" s="151"/>
      <c r="E783" s="151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 x14ac:dyDescent="0.25">
      <c r="A784" s="152" t="s">
        <v>245</v>
      </c>
      <c r="B784" s="153"/>
      <c r="C784" s="153"/>
      <c r="D784" s="153"/>
      <c r="E784" s="153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 x14ac:dyDescent="0.25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 x14ac:dyDescent="0.25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 x14ac:dyDescent="0.25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 x14ac:dyDescent="0.25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 x14ac:dyDescent="0.25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 x14ac:dyDescent="0.25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 x14ac:dyDescent="0.25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 x14ac:dyDescent="0.25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 x14ac:dyDescent="0.25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 x14ac:dyDescent="0.25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 x14ac:dyDescent="0.3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 x14ac:dyDescent="0.3">
      <c r="A797" s="150" t="s">
        <v>241</v>
      </c>
      <c r="B797" s="151"/>
      <c r="C797" s="151"/>
      <c r="D797" s="151"/>
      <c r="E797" s="151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 x14ac:dyDescent="0.25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 x14ac:dyDescent="0.25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 x14ac:dyDescent="0.25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 x14ac:dyDescent="0.25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 x14ac:dyDescent="0.25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 x14ac:dyDescent="0.25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 x14ac:dyDescent="0.25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 x14ac:dyDescent="0.25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 x14ac:dyDescent="0.25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 x14ac:dyDescent="0.25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 x14ac:dyDescent="0.3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 x14ac:dyDescent="0.3">
      <c r="A810" s="150" t="s">
        <v>244</v>
      </c>
      <c r="B810" s="151"/>
      <c r="C810" s="151"/>
      <c r="D810" s="151"/>
      <c r="E810" s="151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 x14ac:dyDescent="0.25">
      <c r="A811" s="152" t="s">
        <v>245</v>
      </c>
      <c r="B811" s="153"/>
      <c r="C811" s="153"/>
      <c r="D811" s="153"/>
      <c r="E811" s="153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 x14ac:dyDescent="0.25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 x14ac:dyDescent="0.25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 x14ac:dyDescent="0.25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 x14ac:dyDescent="0.25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 x14ac:dyDescent="0.25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 x14ac:dyDescent="0.25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 x14ac:dyDescent="0.25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 x14ac:dyDescent="0.25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 x14ac:dyDescent="0.25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 x14ac:dyDescent="0.25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 x14ac:dyDescent="0.3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 x14ac:dyDescent="0.3">
      <c r="A824" s="150" t="s">
        <v>241</v>
      </c>
      <c r="B824" s="151"/>
      <c r="C824" s="151"/>
      <c r="D824" s="151"/>
      <c r="E824" s="151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 x14ac:dyDescent="0.25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 x14ac:dyDescent="0.25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 x14ac:dyDescent="0.25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 x14ac:dyDescent="0.25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 x14ac:dyDescent="0.25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 x14ac:dyDescent="0.25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 x14ac:dyDescent="0.25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 x14ac:dyDescent="0.25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 x14ac:dyDescent="0.25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 x14ac:dyDescent="0.25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 x14ac:dyDescent="0.3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 x14ac:dyDescent="0.3">
      <c r="A837" s="150" t="s">
        <v>244</v>
      </c>
      <c r="B837" s="151"/>
      <c r="C837" s="151"/>
      <c r="D837" s="151"/>
      <c r="E837" s="151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 x14ac:dyDescent="0.25">
      <c r="A838" s="152" t="s">
        <v>245</v>
      </c>
      <c r="B838" s="153"/>
      <c r="C838" s="153"/>
      <c r="D838" s="153"/>
      <c r="E838" s="153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3" activePane="bottomLeft" state="frozen"/>
      <selection pane="bottomLeft" activeCell="L344" sqref="L344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263</v>
      </c>
      <c r="I1" s="134" t="s">
        <v>18</v>
      </c>
      <c r="J1" s="134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0" t="s">
        <v>241</v>
      </c>
      <c r="B14" s="151"/>
      <c r="C14" s="151"/>
      <c r="D14" s="151"/>
      <c r="E14" s="151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 x14ac:dyDescent="0.25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271</v>
      </c>
      <c r="S17" s="60"/>
    </row>
    <row r="18" spans="1:20" ht="15" customHeight="1" x14ac:dyDescent="0.25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 x14ac:dyDescent="0.25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 x14ac:dyDescent="0.25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 x14ac:dyDescent="0.25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0" t="s">
        <v>244</v>
      </c>
      <c r="B27" s="151"/>
      <c r="C27" s="151"/>
      <c r="D27" s="151"/>
      <c r="E27" s="151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 x14ac:dyDescent="0.25">
      <c r="A28" s="152" t="s">
        <v>245</v>
      </c>
      <c r="B28" s="153"/>
      <c r="C28" s="153"/>
      <c r="D28" s="153"/>
      <c r="E28" s="153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0" t="s">
        <v>241</v>
      </c>
      <c r="B41" s="151"/>
      <c r="C41" s="151"/>
      <c r="D41" s="151"/>
      <c r="E41" s="151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 x14ac:dyDescent="0.25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 x14ac:dyDescent="0.25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0" t="s">
        <v>244</v>
      </c>
      <c r="B54" s="151"/>
      <c r="C54" s="151"/>
      <c r="D54" s="151"/>
      <c r="E54" s="151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 x14ac:dyDescent="0.25">
      <c r="A55" s="152" t="s">
        <v>245</v>
      </c>
      <c r="B55" s="153"/>
      <c r="C55" s="153"/>
      <c r="D55" s="153"/>
      <c r="E55" s="153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 x14ac:dyDescent="0.25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0" t="s">
        <v>241</v>
      </c>
      <c r="B68" s="151"/>
      <c r="C68" s="151"/>
      <c r="D68" s="151"/>
      <c r="E68" s="151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 x14ac:dyDescent="0.25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0" t="s">
        <v>244</v>
      </c>
      <c r="B81" s="151"/>
      <c r="C81" s="151"/>
      <c r="D81" s="151"/>
      <c r="E81" s="151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 x14ac:dyDescent="0.25">
      <c r="A82" s="152" t="s">
        <v>245</v>
      </c>
      <c r="B82" s="153"/>
      <c r="C82" s="153"/>
      <c r="D82" s="153"/>
      <c r="E82" s="153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 x14ac:dyDescent="0.25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0" t="s">
        <v>241</v>
      </c>
      <c r="B95" s="151"/>
      <c r="C95" s="151"/>
      <c r="D95" s="151"/>
      <c r="E95" s="151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0" t="s">
        <v>244</v>
      </c>
      <c r="B108" s="151"/>
      <c r="C108" s="151"/>
      <c r="D108" s="151"/>
      <c r="E108" s="151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 x14ac:dyDescent="0.25">
      <c r="A109" s="152" t="s">
        <v>245</v>
      </c>
      <c r="B109" s="153"/>
      <c r="C109" s="153"/>
      <c r="D109" s="153"/>
      <c r="E109" s="153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0" t="s">
        <v>241</v>
      </c>
      <c r="B122" s="151"/>
      <c r="C122" s="151"/>
      <c r="D122" s="151"/>
      <c r="E122" s="151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274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0" t="s">
        <v>244</v>
      </c>
      <c r="B135" s="151"/>
      <c r="C135" s="151"/>
      <c r="D135" s="151"/>
      <c r="E135" s="151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 x14ac:dyDescent="0.25">
      <c r="A136" s="152" t="s">
        <v>245</v>
      </c>
      <c r="B136" s="153"/>
      <c r="C136" s="153"/>
      <c r="D136" s="153"/>
      <c r="E136" s="153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 x14ac:dyDescent="0.25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 x14ac:dyDescent="0.25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 x14ac:dyDescent="0.25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282</v>
      </c>
      <c r="S146" s="31"/>
    </row>
    <row r="147" spans="1:20" ht="15" customHeight="1" x14ac:dyDescent="0.25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0" t="s">
        <v>244</v>
      </c>
      <c r="B162" s="151"/>
      <c r="C162" s="151"/>
      <c r="D162" s="151"/>
      <c r="E162" s="151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 x14ac:dyDescent="0.25">
      <c r="A163" s="152" t="s">
        <v>245</v>
      </c>
      <c r="B163" s="153"/>
      <c r="C163" s="153"/>
      <c r="D163" s="153"/>
      <c r="E163" s="153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0" t="s">
        <v>241</v>
      </c>
      <c r="B176" s="151"/>
      <c r="C176" s="151"/>
      <c r="D176" s="151"/>
      <c r="E176" s="151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0" t="s">
        <v>244</v>
      </c>
      <c r="B189" s="151"/>
      <c r="C189" s="151"/>
      <c r="D189" s="151"/>
      <c r="E189" s="151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 x14ac:dyDescent="0.25">
      <c r="A190" s="152" t="s">
        <v>245</v>
      </c>
      <c r="B190" s="153"/>
      <c r="C190" s="153"/>
      <c r="D190" s="153"/>
      <c r="E190" s="153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0" t="s">
        <v>241</v>
      </c>
      <c r="B203" s="151"/>
      <c r="C203" s="151"/>
      <c r="D203" s="151"/>
      <c r="E203" s="151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0" t="s">
        <v>244</v>
      </c>
      <c r="B216" s="151"/>
      <c r="C216" s="151"/>
      <c r="D216" s="151"/>
      <c r="E216" s="151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 x14ac:dyDescent="0.25">
      <c r="A217" s="152" t="s">
        <v>245</v>
      </c>
      <c r="B217" s="153"/>
      <c r="C217" s="153"/>
      <c r="D217" s="153"/>
      <c r="E217" s="153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0" t="s">
        <v>241</v>
      </c>
      <c r="B230" s="151"/>
      <c r="C230" s="151"/>
      <c r="D230" s="151"/>
      <c r="E230" s="151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0" t="s">
        <v>244</v>
      </c>
      <c r="B243" s="151"/>
      <c r="C243" s="151"/>
      <c r="D243" s="151"/>
      <c r="E243" s="151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 x14ac:dyDescent="0.25">
      <c r="A244" s="152" t="s">
        <v>245</v>
      </c>
      <c r="B244" s="153"/>
      <c r="C244" s="153"/>
      <c r="D244" s="153"/>
      <c r="E244" s="153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0" t="s">
        <v>241</v>
      </c>
      <c r="B257" s="151"/>
      <c r="C257" s="151"/>
      <c r="D257" s="151"/>
      <c r="E257" s="151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 x14ac:dyDescent="0.25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0" t="s">
        <v>244</v>
      </c>
      <c r="B270" s="151"/>
      <c r="C270" s="151"/>
      <c r="D270" s="151"/>
      <c r="E270" s="151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 x14ac:dyDescent="0.25">
      <c r="A271" s="152" t="s">
        <v>245</v>
      </c>
      <c r="B271" s="153"/>
      <c r="C271" s="153"/>
      <c r="D271" s="153"/>
      <c r="E271" s="153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0" t="s">
        <v>241</v>
      </c>
      <c r="B284" s="151"/>
      <c r="C284" s="151"/>
      <c r="D284" s="151"/>
      <c r="E284" s="151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 x14ac:dyDescent="0.25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0" t="s">
        <v>244</v>
      </c>
      <c r="B297" s="151"/>
      <c r="C297" s="151"/>
      <c r="D297" s="151"/>
      <c r="E297" s="151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 x14ac:dyDescent="0.25">
      <c r="A298" s="152" t="s">
        <v>245</v>
      </c>
      <c r="B298" s="153"/>
      <c r="C298" s="153"/>
      <c r="D298" s="153"/>
      <c r="E298" s="153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 x14ac:dyDescent="0.25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 x14ac:dyDescent="0.25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0" t="s">
        <v>241</v>
      </c>
      <c r="B311" s="151"/>
      <c r="C311" s="151"/>
      <c r="D311" s="151"/>
      <c r="E311" s="151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 x14ac:dyDescent="0.25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 x14ac:dyDescent="0.25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 x14ac:dyDescent="0.25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 x14ac:dyDescent="0.25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0" t="s">
        <v>244</v>
      </c>
      <c r="B324" s="151"/>
      <c r="C324" s="151"/>
      <c r="D324" s="151"/>
      <c r="E324" s="151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 x14ac:dyDescent="0.25">
      <c r="A325" s="152" t="s">
        <v>245</v>
      </c>
      <c r="B325" s="153"/>
      <c r="C325" s="153"/>
      <c r="D325" s="153"/>
      <c r="E325" s="153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 t="s">
        <v>256</v>
      </c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 x14ac:dyDescent="0.25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 t="s">
        <v>256</v>
      </c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 x14ac:dyDescent="0.25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 t="s">
        <v>256</v>
      </c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 x14ac:dyDescent="0.25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 t="s">
        <v>256</v>
      </c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 x14ac:dyDescent="0.25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 t="s">
        <v>256</v>
      </c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 t="s">
        <v>256</v>
      </c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 t="s">
        <v>256</v>
      </c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9">
        <v>46247</v>
      </c>
      <c r="B333" s="32">
        <f t="shared" si="76"/>
        <v>0.62499999999999967</v>
      </c>
      <c r="C333" s="26" t="s">
        <v>34</v>
      </c>
      <c r="D333" s="59" t="s">
        <v>43</v>
      </c>
      <c r="E333" s="109"/>
      <c r="F333" s="135">
        <f>IFERROR(IF($D333="","",VLOOKUP($D333,Cadastro!$C$4:$E$7,3,FALSE)),"")</f>
        <v>0.21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0.55000000000000004</v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0" t="s">
        <v>241</v>
      </c>
      <c r="B338" s="151"/>
      <c r="C338" s="151"/>
      <c r="D338" s="151"/>
      <c r="E338" s="151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 x14ac:dyDescent="0.25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 x14ac:dyDescent="0.25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 x14ac:dyDescent="0.25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 x14ac:dyDescent="0.25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 x14ac:dyDescent="0.25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 x14ac:dyDescent="0.25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 x14ac:dyDescent="0.25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 x14ac:dyDescent="0.25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 x14ac:dyDescent="0.25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 x14ac:dyDescent="0.25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0" t="s">
        <v>244</v>
      </c>
      <c r="B351" s="151"/>
      <c r="C351" s="151"/>
      <c r="D351" s="151"/>
      <c r="E351" s="151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 x14ac:dyDescent="0.25">
      <c r="A352" s="152" t="s">
        <v>245</v>
      </c>
      <c r="B352" s="153"/>
      <c r="C352" s="153"/>
      <c r="D352" s="153"/>
      <c r="E352" s="153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 x14ac:dyDescent="0.25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 x14ac:dyDescent="0.25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 x14ac:dyDescent="0.25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25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25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25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25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 x14ac:dyDescent="0.25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25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25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25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25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25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25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25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0" t="s">
        <v>244</v>
      </c>
      <c r="B378" s="151"/>
      <c r="C378" s="151"/>
      <c r="D378" s="151"/>
      <c r="E378" s="151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 x14ac:dyDescent="0.25">
      <c r="A379" s="152" t="s">
        <v>245</v>
      </c>
      <c r="B379" s="153"/>
      <c r="C379" s="153"/>
      <c r="D379" s="153"/>
      <c r="E379" s="153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 x14ac:dyDescent="0.25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25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0" t="s">
        <v>241</v>
      </c>
      <c r="B392" s="151"/>
      <c r="C392" s="151"/>
      <c r="D392" s="151"/>
      <c r="E392" s="151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 x14ac:dyDescent="0.25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0" t="s">
        <v>244</v>
      </c>
      <c r="B405" s="151"/>
      <c r="C405" s="151"/>
      <c r="D405" s="151"/>
      <c r="E405" s="151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 x14ac:dyDescent="0.25">
      <c r="A406" s="152" t="s">
        <v>245</v>
      </c>
      <c r="B406" s="153"/>
      <c r="C406" s="153"/>
      <c r="D406" s="153"/>
      <c r="E406" s="153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 x14ac:dyDescent="0.25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0" t="s">
        <v>241</v>
      </c>
      <c r="B419" s="151"/>
      <c r="C419" s="151"/>
      <c r="D419" s="151"/>
      <c r="E419" s="151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 x14ac:dyDescent="0.25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0" t="s">
        <v>244</v>
      </c>
      <c r="B432" s="151"/>
      <c r="C432" s="151"/>
      <c r="D432" s="151"/>
      <c r="E432" s="151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 x14ac:dyDescent="0.25">
      <c r="A433" s="152" t="s">
        <v>245</v>
      </c>
      <c r="B433" s="153"/>
      <c r="C433" s="153"/>
      <c r="D433" s="153"/>
      <c r="E433" s="153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 x14ac:dyDescent="0.25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0" t="s">
        <v>241</v>
      </c>
      <c r="B446" s="151"/>
      <c r="C446" s="151"/>
      <c r="D446" s="151"/>
      <c r="E446" s="151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 x14ac:dyDescent="0.25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 x14ac:dyDescent="0.25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0" t="s">
        <v>244</v>
      </c>
      <c r="B459" s="151"/>
      <c r="C459" s="151"/>
      <c r="D459" s="151"/>
      <c r="E459" s="151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 x14ac:dyDescent="0.25">
      <c r="A460" s="152" t="s">
        <v>245</v>
      </c>
      <c r="B460" s="153"/>
      <c r="C460" s="153"/>
      <c r="D460" s="153"/>
      <c r="E460" s="153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 x14ac:dyDescent="0.25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0" t="s">
        <v>241</v>
      </c>
      <c r="B473" s="151"/>
      <c r="C473" s="151"/>
      <c r="D473" s="151"/>
      <c r="E473" s="151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 x14ac:dyDescent="0.25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0" t="s">
        <v>244</v>
      </c>
      <c r="B486" s="151"/>
      <c r="C486" s="151"/>
      <c r="D486" s="151"/>
      <c r="E486" s="151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 x14ac:dyDescent="0.25">
      <c r="A487" s="152" t="s">
        <v>245</v>
      </c>
      <c r="B487" s="153"/>
      <c r="C487" s="153"/>
      <c r="D487" s="153"/>
      <c r="E487" s="153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 x14ac:dyDescent="0.25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0" t="s">
        <v>241</v>
      </c>
      <c r="B500" s="151"/>
      <c r="C500" s="151"/>
      <c r="D500" s="151"/>
      <c r="E500" s="151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 x14ac:dyDescent="0.25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0" t="s">
        <v>244</v>
      </c>
      <c r="B513" s="151"/>
      <c r="C513" s="151"/>
      <c r="D513" s="151"/>
      <c r="E513" s="151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 x14ac:dyDescent="0.25">
      <c r="A514" s="152" t="s">
        <v>245</v>
      </c>
      <c r="B514" s="153"/>
      <c r="C514" s="153"/>
      <c r="D514" s="153"/>
      <c r="E514" s="153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 x14ac:dyDescent="0.25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0" t="s">
        <v>241</v>
      </c>
      <c r="B527" s="151"/>
      <c r="C527" s="151"/>
      <c r="D527" s="151"/>
      <c r="E527" s="151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 x14ac:dyDescent="0.25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0" t="s">
        <v>244</v>
      </c>
      <c r="B540" s="151"/>
      <c r="C540" s="151"/>
      <c r="D540" s="151"/>
      <c r="E540" s="151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 x14ac:dyDescent="0.25">
      <c r="A541" s="152" t="s">
        <v>245</v>
      </c>
      <c r="B541" s="153"/>
      <c r="C541" s="153"/>
      <c r="D541" s="153"/>
      <c r="E541" s="153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 x14ac:dyDescent="0.25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0" t="s">
        <v>241</v>
      </c>
      <c r="B554" s="151"/>
      <c r="C554" s="151"/>
      <c r="D554" s="151"/>
      <c r="E554" s="151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 x14ac:dyDescent="0.25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0" t="s">
        <v>244</v>
      </c>
      <c r="B567" s="151"/>
      <c r="C567" s="151"/>
      <c r="D567" s="151"/>
      <c r="E567" s="151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 x14ac:dyDescent="0.25">
      <c r="A568" s="152" t="s">
        <v>245</v>
      </c>
      <c r="B568" s="153"/>
      <c r="C568" s="153"/>
      <c r="D568" s="153"/>
      <c r="E568" s="153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 x14ac:dyDescent="0.25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0" t="s">
        <v>241</v>
      </c>
      <c r="B581" s="151"/>
      <c r="C581" s="151"/>
      <c r="D581" s="151"/>
      <c r="E581" s="151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 x14ac:dyDescent="0.25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0" t="s">
        <v>244</v>
      </c>
      <c r="B594" s="151"/>
      <c r="C594" s="151"/>
      <c r="D594" s="151"/>
      <c r="E594" s="151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 x14ac:dyDescent="0.25">
      <c r="A595" s="152" t="s">
        <v>245</v>
      </c>
      <c r="B595" s="153"/>
      <c r="C595" s="153"/>
      <c r="D595" s="153"/>
      <c r="E595" s="153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 x14ac:dyDescent="0.25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0" t="s">
        <v>241</v>
      </c>
      <c r="B608" s="151"/>
      <c r="C608" s="151"/>
      <c r="D608" s="151"/>
      <c r="E608" s="151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 x14ac:dyDescent="0.25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0" t="s">
        <v>244</v>
      </c>
      <c r="B621" s="151"/>
      <c r="C621" s="151"/>
      <c r="D621" s="151"/>
      <c r="E621" s="151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 x14ac:dyDescent="0.25">
      <c r="A622" s="152" t="s">
        <v>245</v>
      </c>
      <c r="B622" s="153"/>
      <c r="C622" s="153"/>
      <c r="D622" s="153"/>
      <c r="E622" s="153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 x14ac:dyDescent="0.25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0" t="s">
        <v>241</v>
      </c>
      <c r="B635" s="151"/>
      <c r="C635" s="151"/>
      <c r="D635" s="151"/>
      <c r="E635" s="151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 x14ac:dyDescent="0.25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0" t="s">
        <v>244</v>
      </c>
      <c r="B648" s="151"/>
      <c r="C648" s="151"/>
      <c r="D648" s="151"/>
      <c r="E648" s="151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 x14ac:dyDescent="0.25">
      <c r="A649" s="152" t="s">
        <v>245</v>
      </c>
      <c r="B649" s="153"/>
      <c r="C649" s="153"/>
      <c r="D649" s="153"/>
      <c r="E649" s="153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 x14ac:dyDescent="0.25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0" t="s">
        <v>241</v>
      </c>
      <c r="B662" s="151"/>
      <c r="C662" s="151"/>
      <c r="D662" s="151"/>
      <c r="E662" s="151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 x14ac:dyDescent="0.25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0" t="s">
        <v>244</v>
      </c>
      <c r="B675" s="151"/>
      <c r="C675" s="151"/>
      <c r="D675" s="151"/>
      <c r="E675" s="151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 x14ac:dyDescent="0.25">
      <c r="A676" s="152" t="s">
        <v>245</v>
      </c>
      <c r="B676" s="153"/>
      <c r="C676" s="153"/>
      <c r="D676" s="153"/>
      <c r="E676" s="153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 x14ac:dyDescent="0.25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0" t="s">
        <v>241</v>
      </c>
      <c r="B689" s="151"/>
      <c r="C689" s="151"/>
      <c r="D689" s="151"/>
      <c r="E689" s="151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 x14ac:dyDescent="0.25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0" t="s">
        <v>244</v>
      </c>
      <c r="B702" s="151"/>
      <c r="C702" s="151"/>
      <c r="D702" s="151"/>
      <c r="E702" s="151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 x14ac:dyDescent="0.25">
      <c r="A703" s="152" t="s">
        <v>245</v>
      </c>
      <c r="B703" s="153"/>
      <c r="C703" s="153"/>
      <c r="D703" s="153"/>
      <c r="E703" s="153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 x14ac:dyDescent="0.25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0" t="s">
        <v>241</v>
      </c>
      <c r="B716" s="151"/>
      <c r="C716" s="151"/>
      <c r="D716" s="151"/>
      <c r="E716" s="151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 x14ac:dyDescent="0.25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0" t="s">
        <v>244</v>
      </c>
      <c r="B729" s="151"/>
      <c r="C729" s="151"/>
      <c r="D729" s="151"/>
      <c r="E729" s="151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 x14ac:dyDescent="0.25">
      <c r="A730" s="152" t="s">
        <v>245</v>
      </c>
      <c r="B730" s="153"/>
      <c r="C730" s="153"/>
      <c r="D730" s="153"/>
      <c r="E730" s="153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 x14ac:dyDescent="0.25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0" t="s">
        <v>241</v>
      </c>
      <c r="B743" s="151"/>
      <c r="C743" s="151"/>
      <c r="D743" s="151"/>
      <c r="E743" s="151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 x14ac:dyDescent="0.25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0" t="s">
        <v>244</v>
      </c>
      <c r="B756" s="151"/>
      <c r="C756" s="151"/>
      <c r="D756" s="151"/>
      <c r="E756" s="151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 x14ac:dyDescent="0.25">
      <c r="A757" s="152" t="s">
        <v>245</v>
      </c>
      <c r="B757" s="153"/>
      <c r="C757" s="153"/>
      <c r="D757" s="153"/>
      <c r="E757" s="153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 x14ac:dyDescent="0.25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0" t="s">
        <v>241</v>
      </c>
      <c r="B770" s="151"/>
      <c r="C770" s="151"/>
      <c r="D770" s="151"/>
      <c r="E770" s="151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 x14ac:dyDescent="0.25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0" t="s">
        <v>244</v>
      </c>
      <c r="B783" s="151"/>
      <c r="C783" s="151"/>
      <c r="D783" s="151"/>
      <c r="E783" s="151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 x14ac:dyDescent="0.25">
      <c r="A784" s="152" t="s">
        <v>245</v>
      </c>
      <c r="B784" s="153"/>
      <c r="C784" s="153"/>
      <c r="D784" s="153"/>
      <c r="E784" s="153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 x14ac:dyDescent="0.25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0" t="s">
        <v>241</v>
      </c>
      <c r="B797" s="151"/>
      <c r="C797" s="151"/>
      <c r="D797" s="151"/>
      <c r="E797" s="151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 x14ac:dyDescent="0.25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0" t="s">
        <v>244</v>
      </c>
      <c r="B810" s="151"/>
      <c r="C810" s="151"/>
      <c r="D810" s="151"/>
      <c r="E810" s="151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 x14ac:dyDescent="0.25">
      <c r="A811" s="152" t="s">
        <v>245</v>
      </c>
      <c r="B811" s="153"/>
      <c r="C811" s="153"/>
      <c r="D811" s="153"/>
      <c r="E811" s="153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 x14ac:dyDescent="0.25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0" t="s">
        <v>241</v>
      </c>
      <c r="B824" s="151"/>
      <c r="C824" s="151"/>
      <c r="D824" s="151"/>
      <c r="E824" s="151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 x14ac:dyDescent="0.25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0" t="s">
        <v>244</v>
      </c>
      <c r="B837" s="151"/>
      <c r="C837" s="151"/>
      <c r="D837" s="151"/>
      <c r="E837" s="151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 x14ac:dyDescent="0.25">
      <c r="A838" s="152" t="s">
        <v>245</v>
      </c>
      <c r="B838" s="153"/>
      <c r="C838" s="153"/>
      <c r="D838" s="153"/>
      <c r="E838" s="153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2026-08-13T11:36:39Z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