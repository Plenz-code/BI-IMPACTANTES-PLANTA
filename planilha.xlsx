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002" documentId="8_{AF585B22-221D-4780-BB9C-493D365A6A02}" xr6:coauthVersionLast="47" xr6:coauthVersionMax="47" xr10:uidLastSave="{9EAB659A-230B-4AB3-9B0E-A49E193D58B9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<sst xmlns="http://schemas.openxmlformats.org/spreadsheetml/2006/main" count="2225" uniqueCount="228">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</sst>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177</v>
      </c>
      <c r="L48" s="16"/>
      <c r="M48" s="16"/>
    </row>
    <row r="49" spans="1:13" ht="18" customHeight="1">
      <c r="H49" s="91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180</v>
      </c>
      <c r="L50" s="16"/>
      <c r="M50" s="16"/>
    </row>
    <row r="51" spans="1:13" ht="24" customHeight="1">
      <c r="H51" s="91"/>
      <c r="I51" s="17"/>
      <c r="J51" s="17"/>
      <c r="K51" s="17" t="s">
        <v>181</v>
      </c>
      <c r="L51" s="17"/>
      <c r="M51" s="17"/>
    </row>
    <row r="52" spans="1:13" ht="24" customHeight="1">
      <c r="H52" s="91"/>
      <c r="I52" s="16"/>
      <c r="J52" s="16"/>
      <c r="K52" s="16" t="s">
        <v>182</v>
      </c>
      <c r="L52" s="16"/>
      <c r="M52" s="16"/>
    </row>
    <row r="53" spans="1:13" ht="36" customHeight="1">
      <c r="H53" s="91"/>
      <c r="I53" s="17"/>
      <c r="J53" s="17"/>
      <c r="K53" s="17" t="s">
        <v>183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6" activePane="bottomLeft" state="frozen"/>
      <selection pane="bottomLeft" activeCell="F93" sqref="F9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121</v>
      </c>
      <c r="G95" s="36">
        <f>SUM(G83:G94)</f>
        <v>605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121</v>
      </c>
      <c r="G109" s="40">
        <f>G95+G108</f>
        <v>605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L86" sqref="L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97">
        <v>276360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87</v>
      </c>
      <c r="G95" s="36">
        <f>SUM(G83:G94)</f>
        <v>394.2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87</v>
      </c>
      <c r="G109" s="40">
        <f>G95+G108</f>
        <v>394.2</v>
      </c>
      <c r="H109" s="41"/>
      <c r="I109" s="41"/>
      <c r="J109" s="41"/>
      <c r="K109" s="41"/>
      <c r="L109" s="41"/>
      <c r="M109" s="42">
        <f ca="1">IFERROR(M95+M108,"")</f>
        <v>0.26180555555555557</v>
      </c>
      <c r="N109" s="40" t="s">
        <v>201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72" activePane="bottomLeft" state="frozen"/>
      <selection pane="bottomLeft" activeCell="F93" sqref="F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66</v>
      </c>
      <c r="G95" s="36">
        <f>SUM(G83:G94)</f>
        <v>330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66</v>
      </c>
      <c r="G109" s="40">
        <f>G95+G108</f>
        <v>330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L84" sqref="L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/>
      <c r="M84" s="35">
        <f t="shared" ca="1" si="19"/>
        <v>1.6192013892577961E-2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140</v>
      </c>
      <c r="G95" s="36">
        <f>SUM(G83:G94)</f>
        <v>688</v>
      </c>
      <c r="H95" s="37"/>
      <c r="I95" s="37"/>
      <c r="J95" s="37"/>
      <c r="K95" s="61"/>
      <c r="L95" s="61"/>
      <c r="M95" s="38">
        <f ca="1">IFERROR(SUM(M83:M94),"")</f>
        <v>0.18980312500368907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140</v>
      </c>
      <c r="G109" s="40">
        <f>G95+G108</f>
        <v>688</v>
      </c>
      <c r="H109" s="41"/>
      <c r="I109" s="41"/>
      <c r="J109" s="41"/>
      <c r="K109" s="63"/>
      <c r="L109" s="63"/>
      <c r="M109" s="42">
        <f ca="1">IFERROR(M95+M108,"")</f>
        <v>0.18980312500368907</v>
      </c>
      <c r="N109" s="40" t="s">
        <v>201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2026-07-04T21:57:53Z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