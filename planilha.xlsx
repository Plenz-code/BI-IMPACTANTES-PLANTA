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34" documentId="8_{AF585B22-221D-4780-BB9C-493D365A6A02}" xr6:coauthVersionLast="47" xr6:coauthVersionMax="47" xr10:uidLastSave="{F434E9C5-24A5-4F59-8F9F-9245180EAED6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<sst xmlns="http://schemas.openxmlformats.org/spreadsheetml/2006/main" count="4695" uniqueCount="287">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</sst>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v>625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790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/>
      <c r="I272" s="26"/>
      <c r="J272" s="26"/>
      <c r="K272" s="29">
        <v>0.32222222222222224</v>
      </c>
      <c r="L272" s="29"/>
      <c r="M272" s="30">
        <f t="shared" ref="M272:M283" ca="1" si="61">IFERROR(IF(K272="","",IF(L272="",MOD(NOW()-K272,1),IF(L272&gt;=K272,L272-K272,L272+1-K272))),"")</f>
        <v>9.8250000010011718E-3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</v>
      </c>
      <c r="G284" s="36">
        <f>SUM(G272:G283)</f>
        <v>21</v>
      </c>
      <c r="H284" s="37"/>
      <c r="I284" s="37"/>
      <c r="J284" s="37"/>
      <c r="K284" s="37"/>
      <c r="L284" s="37"/>
      <c r="M284" s="38">
        <f ca="1">IFERROR(SUM(M272:M283),"")</f>
        <v>9.8250000010011718E-3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21</v>
      </c>
      <c r="H298" s="41"/>
      <c r="I298" s="41"/>
      <c r="J298" s="41"/>
      <c r="K298" s="41"/>
      <c r="L298" s="41"/>
      <c r="M298" s="42">
        <f ca="1">IFERROR(M284+M297,"")</f>
        <v>9.8250000010011718E-3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F273" sqref="F27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3" sqref="F27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266</v>
      </c>
      <c r="L58" s="29">
        <v>0.54097222222222219</v>
      </c>
      <c r="M58" s="30" t="str">
        <f t="shared" ca="1" si="13"/>
        <v/>
      </c>
      <c r="N58" s="27" t="s">
        <v>267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8.2741666672518477E-2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0.2820472222280741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0.64940833333918513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</v>
      </c>
      <c r="G284" s="36">
        <f>SUM(G272:G283)</f>
        <v>67.2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</v>
      </c>
      <c r="G298" s="40">
        <f>G284+G297</f>
        <v>67.2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2026-07-11T11:58:19Z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