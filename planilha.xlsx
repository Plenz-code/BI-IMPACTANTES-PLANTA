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646" documentId="8_{C51EB6CB-002B-4D6B-B68F-DDEBDB4460C0}" xr6:coauthVersionLast="47" xr6:coauthVersionMax="47" xr10:uidLastSave="{4122369E-ADB4-45BB-9793-14DA0EED413F}"/>
  <bookViews>
    <workbookView xWindow="-120" yWindow="-120" windowWidth="29040" windowHeight="1572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4" l="1"/>
  <c r="F257" i="5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98" i="4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G284" i="4" s="1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98" i="4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838" i="4" l="1"/>
  <c r="M487" i="3"/>
  <c r="M703" i="6"/>
  <c r="G649" i="3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<sst xmlns="http://schemas.openxmlformats.org/spreadsheetml/2006/main" count="5495" uniqueCount="334">
  <si>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</si>
  <si>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</si>
  <si>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</si>
  <si>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</si>
  <si>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</si>
  <si>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</si>
  <si>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</si>
  <si>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</si>
  <si>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</si>
  <si>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</si>
  <si>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</si>
  <si>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</si>
  <si>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</si>
  <si>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</si>
  <si>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</si>
  <si>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</si>
  <si>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</si>
  <si>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</si>
  <si>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</si>
  <si>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</si>
  <si>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</si>
  <si>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</si>
  <si>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</si>
  <si>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</si>
  <si>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</si>
  <si>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</si>
  <si>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</si>
  <si>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</si>
  <si>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</si>
  <si>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</si>
  <si>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</si>
  <si>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</si>
  <si>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</si>
  <si>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</si>
  <si>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</si>
  <si>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</si>
  <si>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</si>
  <si>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</si>
  <si>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</si>
  <si>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</si>
  <si>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</si>
  <si>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</si>
  <si>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</si>
  <si>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</si>
  <si>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</si>
  <si>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</si>
  <si>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</si>
  <si>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</si>
  <si>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</si>
  <si>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</si>
  <si>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</si>
  <si>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</si>
  <si>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</si>
  <si>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</si>
  <si>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</si>
  <si>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</si>
  <si>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</si>
  <si>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</si>
  <si>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</si>
  <si>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</si>
  <si>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</si>
  <si>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</si>
  <si>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</si>
  <si>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</si>
  <si>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</si>
  <si>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</si>
  <si>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</si>
  <si>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</si>
  <si>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</si>
  <si>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</si>
  <si>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</si>
  <si>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</si>
  <si>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</si>
  <si>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</si>
  <si>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</si>
  <si>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</si>
  <si>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</si>
  <si>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</si>
  <si>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</si>
  <si>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</si>
  <si>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</si>
  <si>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</si>
  <si>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</si>
  <si>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</si>
  <si>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</si>
  <si>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</si>
  <si>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</si>
  <si>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</si>
  <si>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</si>
  <si>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</si>
  <si>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</si>
  <si>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</si>
  <si>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</si>
  <si>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</si>
  <si>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</si>
  <si>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</si>
  <si>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</si>
  <si>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</si>
  <si>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</si>
  <si>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</si>
  <si>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</si>
  <si>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</si>
  <si>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</si>
  <si>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</si>
  <si>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</si>
  <si>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</si>
  <si>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</si>
  <si>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</si>
  <si>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</si>
  <si>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</si>
  <si>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</si>
  <si>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</si>
  <si>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</si>
  <si>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</si>
  <si>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</si>
  <si>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</si>
  <si>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</si>
  <si>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</si>
  <si>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</si>
  <si>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</si>
  <si>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</si>
  <si>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</si>
  <si>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</si>
  <si>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</si>
  <si>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</si>
  <si>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</si>
  <si>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</si>
  <si>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</si>
  <si>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</si>
  <si>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</si>
  <si>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</si>
  <si>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</si>
  <si>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</si>
  <si>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</si>
  <si>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</si>
  <si>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</si>
  <si>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</si>
  <si>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</si>
  <si>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</si>
  <si>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</si>
  <si>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</si>
  <si>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</si>
  <si>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</si>
  <si>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</si>
  <si>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</si>
  <si>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</si>
  <si>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</si>
  <si>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</si>
  <si>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</si>
  <si>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</si>
  <si>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</si>
  <si>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</si>
  <si>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</si>
  <si>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</si>
  <si>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</si>
  <si>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</si>
  <si>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</si>
  <si>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</si>
  <si>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</si>
  <si>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</si>
  <si>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</si>
  <si>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</si>
  <si>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</si>
  <si>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</si>
  <si>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</si>
  <si>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</si>
  <si>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</si>
  <si>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</si>
  <si>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</si>
  <si>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</si>
  <si>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</si>
  <si>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</si>
  <si>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</si>
  <si>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</si>
  <si>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</si>
  <si>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</si>
  <si>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</si>
  <si>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</si>
  <si>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</si>
  <si>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</si>
  <si>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</si>
  <si>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</si>
  <si>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</si>
  <si>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</si>
  <si>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</si>
  <si>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</si>
  <si>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</si>
  <si>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</si>
  <si>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</si>
  <si>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</si>
  <si>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</si>
  <si>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</si>
  <si>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</si>
  <si>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</si>
  <si>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</si>
  <si>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</si>
  <si>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</si>
  <si>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</si>
  <si>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</si>
  <si>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</si>
  <si>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</si>
  <si>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</si>
  <si>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</si>
  <si>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</si>
  <si>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</si>
  <si>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</si>
  <si>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</si>
  <si>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</si>
  <si>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</si>
  <si>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</si>
  <si>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</si>
  <si>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</si>
  <si>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</si>
  <si>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</si>
  <si>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</si>
  <si>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</si>
  <si>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</si>
  <si>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</si>
  <si>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</si>
  <si>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</si>
  <si>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</si>
  <si>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</si>
  <si>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</si>
  <si>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</si>
  <si>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</si>
  <si>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</si>
  <si>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</si>
  <si>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</si>
  <si>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</si>
  <si>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</si>
  <si>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</si>
  <si>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</si>
  <si>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</si>
  <si>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</si>
  <si>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</si>
  <si>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</si>
  <si>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</si>
  <si>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</si>
  <si>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</si>
  <si>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</si>
  <si>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</si>
  <si>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</si>
  <si>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</si>
  <si>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</si>
  <si>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</si>
  <si>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</si>
  <si>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</si>
  <si>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</si>
  <si>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</si>
  <si>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</si>
  <si>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</si>
  <si>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</si>
  <si>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</si>
  <si>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</si>
  <si>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</si>
  <si>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</si>
  <si>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</si>
  <si>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>arrebentou balatas,troca de 3 parafusos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</si>
  <si>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</si>
  <si>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</si>
  <si>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</si>
  <si>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</si>
  <si>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</si>
  <si>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</si>
  <si>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</si>
  <si>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</si>
  <si>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</si>
  <si>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</si>
  <si>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</si>
  <si>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</si>
  <si>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</si>
  <si>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</si>
  <si>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</si>
  <si>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</si>
  <si>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</si>
  <si>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</si>
  <si>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</si>
  <si>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</si>
  <si>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</si>
  <si>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</si>
  <si>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</si>
  <si>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</si>
  <si>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</si>
  <si>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</si>
  <si>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C</t>
  </si>
  <si>
    <t>serviço de solda nas grelhas e no queixo</t>
  </si>
  <si>
    <t>serviço de solda</t>
  </si>
  <si>
    <t>troca de grelhas ,ajuste no queixo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</si>
  <si>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</si>
  <si>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</si>
  <si>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</si>
  <si>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</si>
  <si>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</si>
  <si>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</si>
  <si>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</si>
  <si>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</si>
  <si>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</si>
  <si>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</si>
  <si>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</si>
  <si>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</si>
  <si>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</si>
  <si>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</si>
  <si>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</si>
  <si>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</si>
  <si>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no moinho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</si>
  <si>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</si>
  <si>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</si>
  <si>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</si>
  <si>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</si>
  <si>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</si>
  <si>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</si>
  <si>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</si>
  <si>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</si>
  <si>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</si>
  <si>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</si>
  <si>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</si>
  <si>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</si>
  <si>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</si>
  <si>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</si>
  <si>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</si>
  <si>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</si>
  <si>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</si>
  <si>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</si>
  <si>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</si>
  <si>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</si>
  <si>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</si>
  <si>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</si>
  <si>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</si>
  <si>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</si>
  <si>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</si>
  <si>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</si>
  <si>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</si>
  <si>
    <t>solda nas grelhas</t>
  </si>
  <si>
    <t>reposição de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</si>
</sst>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1583020</v>
      </c>
      <c r="D14" s="8">
        <f>IFERROR('Linha 1'!O298,"")</f>
        <v>571950</v>
      </c>
      <c r="E14" s="8">
        <f>IFERROR('Linha 2'!O298,"")</f>
        <v>373120</v>
      </c>
      <c r="F14" s="8">
        <f>IFERROR('Linha 3'!O298,"")</f>
        <v>762600</v>
      </c>
      <c r="G14" s="9">
        <f t="shared" si="0"/>
        <v>1707670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35714910</v>
      </c>
      <c r="D35" s="13">
        <f>IFERROR(SUM(D4:D34),"")</f>
        <v>11855370</v>
      </c>
      <c r="E35" s="13">
        <f>IFERROR(SUM(E4:E34),"")</f>
        <v>5810400</v>
      </c>
      <c r="F35" s="13">
        <f>IFERROR(SUM(F4:F34),"")</f>
        <v>14648740</v>
      </c>
      <c r="G35" s="13">
        <f>IFERROR(SUM(G4:G34),"")</f>
        <v>32314510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3"/>
      <c r="I58" s="16"/>
      <c r="J58" s="16"/>
      <c r="K58" s="16" t="s">
        <v>208</v>
      </c>
      <c r="L58" s="16"/>
      <c r="M58" s="16"/>
    </row>
    <row r="59" spans="1:13" ht="15" customHeight="1">
      <c r="H59" s="113"/>
      <c r="I59" s="17"/>
      <c r="J59" s="17"/>
      <c r="K59" s="17" t="s">
        <v>209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210</v>
      </c>
      <c r="L61" s="17"/>
      <c r="M61" s="17"/>
    </row>
    <row r="62" spans="1:13" ht="15" customHeight="1">
      <c r="H62" s="113"/>
      <c r="I62" s="16"/>
      <c r="J62" s="16"/>
      <c r="K62" s="16" t="s">
        <v>211</v>
      </c>
      <c r="L62" s="16"/>
      <c r="M62" s="16"/>
    </row>
    <row r="63" spans="1:13" ht="15" customHeight="1">
      <c r="H63" s="113"/>
      <c r="I63" s="17"/>
      <c r="J63" s="17"/>
      <c r="K63" s="17" t="s">
        <v>212</v>
      </c>
      <c r="L63" s="17"/>
      <c r="M63" s="17"/>
    </row>
    <row r="64" spans="1:13" ht="15" customHeight="1">
      <c r="H64" s="113"/>
      <c r="I64" s="16"/>
      <c r="J64" s="16"/>
      <c r="K64" s="16" t="s">
        <v>213</v>
      </c>
      <c r="L64" s="16"/>
      <c r="M64" s="16"/>
    </row>
    <row r="65" spans="8:13" ht="15" customHeight="1">
      <c r="H65" s="113"/>
      <c r="I65" s="17"/>
      <c r="J65" s="17"/>
      <c r="K65" s="17" t="s">
        <v>214</v>
      </c>
      <c r="L65" s="17"/>
      <c r="M65" s="17"/>
    </row>
    <row r="66" spans="8:13" ht="15" customHeight="1">
      <c r="H66" s="113"/>
      <c r="I66" s="16"/>
      <c r="J66" s="16"/>
      <c r="K66" s="16" t="s">
        <v>215</v>
      </c>
      <c r="L66" s="16"/>
      <c r="M66" s="16"/>
    </row>
    <row r="67" spans="8:13" ht="15" customHeight="1">
      <c r="H67" s="113"/>
      <c r="I67" s="17"/>
      <c r="J67" s="17"/>
      <c r="K67" s="17" t="s">
        <v>216</v>
      </c>
      <c r="L67" s="17"/>
      <c r="M67" s="17"/>
    </row>
    <row r="68" spans="8:13" ht="15" customHeight="1">
      <c r="H68" s="113"/>
      <c r="I68" s="16"/>
      <c r="J68" s="16"/>
      <c r="K68" s="16" t="s">
        <v>217</v>
      </c>
      <c r="L68" s="16"/>
      <c r="M68" s="16"/>
    </row>
    <row r="69" spans="8:13" ht="15" customHeight="1">
      <c r="H69" s="113"/>
      <c r="I69" s="17"/>
      <c r="J69" s="17"/>
      <c r="K69" s="17" t="s">
        <v>218</v>
      </c>
      <c r="L69" s="17"/>
      <c r="M69" s="17"/>
    </row>
    <row r="70" spans="8:13" ht="15" customHeight="1">
      <c r="H70" s="113"/>
      <c r="I70" s="16"/>
      <c r="J70" s="16"/>
      <c r="K70" s="16" t="s">
        <v>219</v>
      </c>
      <c r="L70" s="16"/>
      <c r="M70" s="16"/>
    </row>
    <row r="71" spans="8:13" ht="15" customHeight="1">
      <c r="H71" s="113"/>
      <c r="I71" s="17"/>
      <c r="J71" s="17"/>
      <c r="K71" s="17" t="s">
        <v>220</v>
      </c>
      <c r="L71" s="17"/>
      <c r="M71" s="17"/>
    </row>
    <row r="72" spans="8:13" ht="15" customHeight="1">
      <c r="H72" s="113"/>
      <c r="I72" s="16"/>
      <c r="J72" s="16"/>
      <c r="K72" s="16" t="s">
        <v>221</v>
      </c>
      <c r="L72" s="16"/>
      <c r="M72" s="16"/>
    </row>
    <row r="73" spans="8:13" ht="15" customHeight="1">
      <c r="H73" s="113"/>
      <c r="I73" s="17"/>
      <c r="J73" s="17"/>
      <c r="K73" s="17" t="s">
        <v>222</v>
      </c>
      <c r="L73" s="17"/>
      <c r="M73" s="17"/>
    </row>
    <row r="74" spans="8:13" ht="15" customHeight="1">
      <c r="H74" s="113"/>
      <c r="I74" s="16"/>
      <c r="J74" s="16"/>
      <c r="K74" s="16" t="s">
        <v>223</v>
      </c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67" activePane="bottomLeft" state="frozen"/>
      <selection pane="bottomLeft" activeCell="F287" sqref="F287"/>
    </sheetView>
  </sheetViews>
  <sheetFormatPr defaultColWidth="8.5703125" defaultRowHeight="1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>
        <v>31</v>
      </c>
      <c r="G273" s="34">
        <f t="shared" si="60"/>
        <v>155</v>
      </c>
      <c r="H273" s="33" t="s">
        <v>20</v>
      </c>
      <c r="I273" s="33" t="s">
        <v>23</v>
      </c>
      <c r="J273" s="33" t="s">
        <v>134</v>
      </c>
      <c r="K273" s="29">
        <v>0.39861111111111114</v>
      </c>
      <c r="L273" s="29">
        <v>0.44027777777777777</v>
      </c>
      <c r="M273" s="35">
        <f t="shared" ca="1" si="61"/>
        <v>4.166666666666663E-2</v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234</v>
      </c>
      <c r="F274" s="27">
        <v>20</v>
      </c>
      <c r="G274" s="28">
        <f t="shared" si="60"/>
        <v>100</v>
      </c>
      <c r="H274" s="26" t="s">
        <v>19</v>
      </c>
      <c r="I274" s="26" t="s">
        <v>23</v>
      </c>
      <c r="J274" s="26" t="s">
        <v>67</v>
      </c>
      <c r="K274" s="29">
        <v>0.44722222222222224</v>
      </c>
      <c r="L274" s="29">
        <v>0.48194444444444445</v>
      </c>
      <c r="M274" s="30">
        <f t="shared" ca="1" si="61"/>
        <v>3.472222222222221E-2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234</v>
      </c>
      <c r="F275" s="27">
        <v>8</v>
      </c>
      <c r="G275" s="34">
        <f t="shared" si="60"/>
        <v>40</v>
      </c>
      <c r="H275" s="33" t="s">
        <v>20</v>
      </c>
      <c r="I275" s="33" t="s">
        <v>23</v>
      </c>
      <c r="J275" s="33" t="s">
        <v>207</v>
      </c>
      <c r="K275" s="29">
        <v>0.49444444444444446</v>
      </c>
      <c r="L275" s="29">
        <v>0.51388888888888884</v>
      </c>
      <c r="M275" s="35">
        <f t="shared" ca="1" si="61"/>
        <v>1.9444444444444375E-2</v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234</v>
      </c>
      <c r="F276" s="27">
        <v>35</v>
      </c>
      <c r="G276" s="28">
        <f t="shared" si="60"/>
        <v>175</v>
      </c>
      <c r="H276" s="26" t="s">
        <v>19</v>
      </c>
      <c r="I276" s="26" t="s">
        <v>23</v>
      </c>
      <c r="J276" s="26" t="s">
        <v>50</v>
      </c>
      <c r="K276" s="29">
        <v>0.59652777777777777</v>
      </c>
      <c r="L276" s="29">
        <v>0.64027777777777772</v>
      </c>
      <c r="M276" s="30">
        <f t="shared" ca="1" si="61"/>
        <v>4.3749999999999956E-2</v>
      </c>
      <c r="N276" s="46" t="s">
        <v>257</v>
      </c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234</v>
      </c>
      <c r="F277" s="27">
        <v>49</v>
      </c>
      <c r="G277" s="34">
        <f t="shared" si="60"/>
        <v>245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234</v>
      </c>
      <c r="F278" s="27">
        <v>10</v>
      </c>
      <c r="G278" s="28">
        <f t="shared" si="60"/>
        <v>50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234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234</v>
      </c>
      <c r="F280" s="27">
        <v>24</v>
      </c>
      <c r="G280" s="28">
        <f t="shared" si="60"/>
        <v>120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234</v>
      </c>
      <c r="F281" s="27">
        <v>26</v>
      </c>
      <c r="G281" s="34">
        <f t="shared" si="60"/>
        <v>130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23</v>
      </c>
      <c r="G282" s="28">
        <f t="shared" si="60"/>
        <v>115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234</v>
      </c>
      <c r="F283" s="27">
        <v>0</v>
      </c>
      <c r="G283" s="34">
        <f t="shared" si="60"/>
        <v>0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236</v>
      </c>
      <c r="O284" s="39">
        <v>1583020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22</v>
      </c>
      <c r="E285" s="62" t="s">
        <v>250</v>
      </c>
      <c r="F285" s="27">
        <v>20</v>
      </c>
      <c r="G285" s="34">
        <f t="shared" ref="G285:G296" si="63">IF(F285="","",IF(E285="PC 17",F285*4.2,IF(E285="PC 19",F285*5,IF(E285="CB",F285*35,""))))</f>
        <v>84</v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22</v>
      </c>
      <c r="E286" s="62" t="s">
        <v>250</v>
      </c>
      <c r="F286" s="27">
        <v>0</v>
      </c>
      <c r="G286" s="28">
        <f t="shared" si="63"/>
        <v>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250</v>
      </c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250</v>
      </c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250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250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250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250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250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250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20</v>
      </c>
      <c r="G297" s="36">
        <f>SUM(G285:G296)</f>
        <v>84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283</v>
      </c>
      <c r="G298" s="40">
        <f>G284+G297</f>
        <v>1399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240</v>
      </c>
      <c r="O298" s="48">
        <f>IFERROR(O284+O297,"")</f>
        <v>1583020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70" zoomScaleNormal="70" workbookViewId="0">
      <pane ySplit="1" topLeftCell="A260" activePane="bottomLeft" state="frozen"/>
      <selection pane="bottomLeft" activeCell="D296" sqref="D296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258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259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260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261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262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263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264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265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0.7874756944438559</v>
      </c>
      <c r="N53" s="46" t="s">
        <v>266</v>
      </c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0.92636458333274474</v>
      </c>
      <c r="N54" s="36" t="s">
        <v>236</v>
      </c>
      <c r="O54" s="84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1.0110868055549671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258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267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268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269</v>
      </c>
      <c r="M96" s="30" t="str">
        <f t="shared" ref="M96:M107" ca="1" si="22">IFERROR(IF(K96="","",IF(L96="",MOD(NOW()-K96,1),IF(L96&gt;=K96,L96-K96,L96+1-K96))),"")</f>
        <v/>
      </c>
      <c r="N96" s="46" t="s">
        <v>270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271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272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273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8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274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275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276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278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275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279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280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273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267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281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282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283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 t="s">
        <v>284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0">IFERROR(IF(K272="","",IF(L272="",MOD(NOW()-K272,1),IF(L272&gt;=K272,L272-K272,L272+1-K272))),"")</f>
        <v>2.4305555555555525E-2</v>
      </c>
      <c r="N272" s="46" t="s">
        <v>285</v>
      </c>
      <c r="O272" s="47"/>
    </row>
    <row r="273" spans="1:15" ht="15" customHeight="1">
      <c r="A273" s="69">
        <v>46245</v>
      </c>
      <c r="B273" s="32">
        <f t="shared" ref="B273:B283" si="61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6</v>
      </c>
      <c r="G273" s="34">
        <f t="shared" ref="G272:G283" si="62">IF(F273="","",IF(E273="PC 17",F273*4.2,IF(E273="PC 19",F273*5,IF(E273="CB",F273*24,""))))</f>
        <v>25.200000000000003</v>
      </c>
      <c r="H273" s="33" t="s">
        <v>20</v>
      </c>
      <c r="I273" s="33" t="s">
        <v>39</v>
      </c>
      <c r="J273" s="33" t="s">
        <v>56</v>
      </c>
      <c r="K273" s="29">
        <v>0.37152777777777779</v>
      </c>
      <c r="L273" s="29">
        <v>0.3840277777777778</v>
      </c>
      <c r="M273" s="35">
        <f t="shared" ca="1" si="60"/>
        <v>1.2500000000000011E-2</v>
      </c>
      <c r="N273" s="46" t="s">
        <v>286</v>
      </c>
      <c r="O273" s="47"/>
    </row>
    <row r="274" spans="1:15" ht="15" customHeight="1">
      <c r="A274" s="68">
        <v>46245</v>
      </c>
      <c r="B274" s="25">
        <f t="shared" si="61"/>
        <v>0.41666666666666635</v>
      </c>
      <c r="C274" s="26" t="s">
        <v>29</v>
      </c>
      <c r="D274" s="59" t="s">
        <v>22</v>
      </c>
      <c r="E274" s="59" t="s">
        <v>250</v>
      </c>
      <c r="F274" s="27">
        <v>10</v>
      </c>
      <c r="G274" s="28">
        <f t="shared" si="62"/>
        <v>42</v>
      </c>
      <c r="H274" s="26" t="s">
        <v>20</v>
      </c>
      <c r="I274" s="26" t="s">
        <v>39</v>
      </c>
      <c r="J274" s="26" t="s">
        <v>51</v>
      </c>
      <c r="K274" s="29">
        <v>0.46597222222222223</v>
      </c>
      <c r="L274" s="29">
        <v>0.47430555555555554</v>
      </c>
      <c r="M274" s="30">
        <f t="shared" ca="1" si="60"/>
        <v>8.3333333333333037E-3</v>
      </c>
      <c r="N274" s="46"/>
      <c r="O274" s="47"/>
    </row>
    <row r="275" spans="1:15" ht="15" customHeight="1">
      <c r="A275" s="69">
        <v>46245</v>
      </c>
      <c r="B275" s="32">
        <f t="shared" si="61"/>
        <v>0.45833333333333304</v>
      </c>
      <c r="C275" s="26" t="s">
        <v>29</v>
      </c>
      <c r="D275" s="59" t="s">
        <v>22</v>
      </c>
      <c r="E275" s="59" t="s">
        <v>250</v>
      </c>
      <c r="F275" s="27">
        <v>16</v>
      </c>
      <c r="G275" s="34">
        <f t="shared" si="62"/>
        <v>67.2</v>
      </c>
      <c r="H275" s="33" t="s">
        <v>20</v>
      </c>
      <c r="I275" s="33" t="s">
        <v>39</v>
      </c>
      <c r="J275" s="33" t="s">
        <v>56</v>
      </c>
      <c r="K275" s="29">
        <v>0.47916666666666669</v>
      </c>
      <c r="L275" s="29">
        <v>0.49652777777777779</v>
      </c>
      <c r="M275" s="35">
        <f t="shared" ca="1" si="60"/>
        <v>1.7361111111111105E-2</v>
      </c>
      <c r="N275" s="46" t="s">
        <v>287</v>
      </c>
      <c r="O275" s="47"/>
    </row>
    <row r="276" spans="1:15" ht="15" customHeight="1">
      <c r="A276" s="68">
        <v>46245</v>
      </c>
      <c r="B276" s="25">
        <f t="shared" si="61"/>
        <v>0.49999999999999972</v>
      </c>
      <c r="C276" s="26" t="s">
        <v>29</v>
      </c>
      <c r="D276" s="59" t="s">
        <v>22</v>
      </c>
      <c r="E276" s="59" t="s">
        <v>250</v>
      </c>
      <c r="F276" s="27">
        <v>9</v>
      </c>
      <c r="G276" s="28">
        <f t="shared" si="62"/>
        <v>37.800000000000004</v>
      </c>
      <c r="H276" s="26" t="s">
        <v>20</v>
      </c>
      <c r="I276" s="26" t="s">
        <v>39</v>
      </c>
      <c r="J276" s="26" t="s">
        <v>51</v>
      </c>
      <c r="K276" s="29">
        <v>0.50138888888888888</v>
      </c>
      <c r="L276" s="29">
        <v>0.50486111111111109</v>
      </c>
      <c r="M276" s="30">
        <f t="shared" ca="1" si="60"/>
        <v>3.4722222222222099E-3</v>
      </c>
      <c r="N276" s="46"/>
      <c r="O276" s="47"/>
    </row>
    <row r="277" spans="1:15" ht="15" customHeight="1">
      <c r="A277" s="69">
        <v>46245</v>
      </c>
      <c r="B277" s="32">
        <f t="shared" si="61"/>
        <v>0.54166666666666641</v>
      </c>
      <c r="C277" s="26" t="s">
        <v>29</v>
      </c>
      <c r="D277" s="59" t="s">
        <v>22</v>
      </c>
      <c r="E277" s="59" t="s">
        <v>250</v>
      </c>
      <c r="F277" s="27">
        <v>6</v>
      </c>
      <c r="G277" s="34">
        <f t="shared" si="62"/>
        <v>25.200000000000003</v>
      </c>
      <c r="H277" s="33" t="s">
        <v>20</v>
      </c>
      <c r="I277" s="33" t="s">
        <v>39</v>
      </c>
      <c r="J277" s="33" t="s">
        <v>51</v>
      </c>
      <c r="K277" s="29">
        <v>0.50972222222222219</v>
      </c>
      <c r="L277" s="29">
        <v>0.51458333333333328</v>
      </c>
      <c r="M277" s="35">
        <f t="shared" ca="1" si="60"/>
        <v>4.8611111111110938E-3</v>
      </c>
      <c r="N277" s="46"/>
      <c r="O277" s="47"/>
    </row>
    <row r="278" spans="1:15" ht="15" customHeight="1">
      <c r="A278" s="68">
        <v>46245</v>
      </c>
      <c r="B278" s="25">
        <f t="shared" si="61"/>
        <v>0.58333333333333304</v>
      </c>
      <c r="C278" s="26" t="s">
        <v>29</v>
      </c>
      <c r="D278" s="59" t="s">
        <v>22</v>
      </c>
      <c r="E278" s="59" t="s">
        <v>250</v>
      </c>
      <c r="F278" s="27">
        <v>15</v>
      </c>
      <c r="G278" s="28">
        <f t="shared" si="62"/>
        <v>63</v>
      </c>
      <c r="H278" s="26" t="s">
        <v>20</v>
      </c>
      <c r="I278" s="26" t="s">
        <v>39</v>
      </c>
      <c r="J278" s="26" t="s">
        <v>51</v>
      </c>
      <c r="K278" s="29">
        <v>0.52916666666666667</v>
      </c>
      <c r="L278" s="29">
        <v>0.53125</v>
      </c>
      <c r="M278" s="30">
        <f t="shared" ca="1" si="60"/>
        <v>2.0833333333333259E-3</v>
      </c>
      <c r="N278" s="46"/>
      <c r="O278" s="47"/>
    </row>
    <row r="279" spans="1:15" ht="15" customHeight="1">
      <c r="A279" s="69">
        <v>46245</v>
      </c>
      <c r="B279" s="32">
        <f t="shared" si="61"/>
        <v>0.62499999999999967</v>
      </c>
      <c r="C279" s="26" t="s">
        <v>29</v>
      </c>
      <c r="D279" s="59" t="s">
        <v>22</v>
      </c>
      <c r="E279" s="59" t="s">
        <v>250</v>
      </c>
      <c r="F279" s="27">
        <v>6</v>
      </c>
      <c r="G279" s="34">
        <f t="shared" si="62"/>
        <v>25.200000000000003</v>
      </c>
      <c r="H279" s="33" t="s">
        <v>17</v>
      </c>
      <c r="I279" s="33" t="s">
        <v>135</v>
      </c>
      <c r="J279" s="33" t="s">
        <v>49</v>
      </c>
      <c r="K279" s="29">
        <v>0.57291666666666663</v>
      </c>
      <c r="L279" s="29">
        <v>0.58125000000000004</v>
      </c>
      <c r="M279" s="35">
        <f t="shared" ca="1" si="60"/>
        <v>8.3333333333334147E-3</v>
      </c>
      <c r="N279" s="46"/>
      <c r="O279" s="47"/>
    </row>
    <row r="280" spans="1:15" ht="15" customHeight="1">
      <c r="A280" s="68">
        <v>46245</v>
      </c>
      <c r="B280" s="25">
        <f t="shared" si="61"/>
        <v>0.6666666666666663</v>
      </c>
      <c r="C280" s="26" t="s">
        <v>29</v>
      </c>
      <c r="D280" s="59" t="s">
        <v>22</v>
      </c>
      <c r="E280" s="59" t="s">
        <v>250</v>
      </c>
      <c r="F280" s="27">
        <v>7</v>
      </c>
      <c r="G280" s="28">
        <f t="shared" si="62"/>
        <v>29.400000000000002</v>
      </c>
      <c r="H280" s="26" t="s">
        <v>20</v>
      </c>
      <c r="I280" s="26" t="s">
        <v>31</v>
      </c>
      <c r="J280" s="26" t="s">
        <v>28</v>
      </c>
      <c r="K280" s="29">
        <v>0.65486111111111112</v>
      </c>
      <c r="L280" s="29">
        <v>0.6791666666666667</v>
      </c>
      <c r="M280" s="30">
        <f t="shared" ca="1" si="60"/>
        <v>2.430555555555558E-2</v>
      </c>
      <c r="N280" s="46"/>
      <c r="O280" s="47"/>
    </row>
    <row r="281" spans="1:15" ht="15" customHeight="1">
      <c r="A281" s="69">
        <v>46245</v>
      </c>
      <c r="B281" s="32">
        <f t="shared" si="61"/>
        <v>0.70833333333333293</v>
      </c>
      <c r="C281" s="26" t="s">
        <v>29</v>
      </c>
      <c r="D281" s="59" t="s">
        <v>22</v>
      </c>
      <c r="E281" s="59" t="s">
        <v>250</v>
      </c>
      <c r="F281" s="27">
        <v>18</v>
      </c>
      <c r="G281" s="34">
        <f t="shared" si="62"/>
        <v>75.600000000000009</v>
      </c>
      <c r="H281" s="33" t="s">
        <v>19</v>
      </c>
      <c r="I281" s="33" t="s">
        <v>39</v>
      </c>
      <c r="J281" s="33" t="s">
        <v>27</v>
      </c>
      <c r="K281" s="29">
        <v>0.75069444444444444</v>
      </c>
      <c r="L281" s="29">
        <v>0.76597222222222228</v>
      </c>
      <c r="M281" s="35">
        <f t="shared" ca="1" si="60"/>
        <v>1.5277777777777835E-2</v>
      </c>
      <c r="N281" s="46"/>
      <c r="O281" s="47"/>
    </row>
    <row r="282" spans="1:15" ht="15" customHeight="1">
      <c r="A282" s="68">
        <v>46245</v>
      </c>
      <c r="B282" s="25">
        <f t="shared" si="61"/>
        <v>0.74999999999999956</v>
      </c>
      <c r="C282" s="26" t="s">
        <v>29</v>
      </c>
      <c r="D282" s="59" t="s">
        <v>22</v>
      </c>
      <c r="E282" s="59" t="s">
        <v>234</v>
      </c>
      <c r="F282" s="27">
        <v>7</v>
      </c>
      <c r="G282" s="28">
        <f t="shared" si="62"/>
        <v>35</v>
      </c>
      <c r="H282" s="26"/>
      <c r="I282" s="26"/>
      <c r="J282" s="26"/>
      <c r="K282" s="29"/>
      <c r="L282" s="29"/>
      <c r="M282" s="30" t="str">
        <f t="shared" ca="1" si="60"/>
        <v/>
      </c>
      <c r="N282" s="46"/>
      <c r="O282" s="47"/>
    </row>
    <row r="283" spans="1:15" ht="15" customHeight="1">
      <c r="A283" s="69">
        <v>46245</v>
      </c>
      <c r="B283" s="32">
        <f t="shared" si="61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2"/>
        <v>63</v>
      </c>
      <c r="H283" s="33"/>
      <c r="I283" s="33"/>
      <c r="J283" s="33"/>
      <c r="K283" s="29"/>
      <c r="L283" s="29"/>
      <c r="M283" s="35" t="str">
        <f t="shared" ca="1" si="60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122</v>
      </c>
      <c r="G284" s="90">
        <f>SUM(G272:G283)</f>
        <v>488.6</v>
      </c>
      <c r="H284" s="37"/>
      <c r="I284" s="37"/>
      <c r="J284" s="37"/>
      <c r="K284" s="37"/>
      <c r="L284" s="37"/>
      <c r="M284" s="38">
        <f ca="1">IFERROR(SUM(M272:M283),"")</f>
        <v>0.1208333333333334</v>
      </c>
      <c r="N284" s="36" t="s">
        <v>236</v>
      </c>
      <c r="O284" s="77">
        <v>571950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8</v>
      </c>
      <c r="G285" s="34">
        <f t="shared" ref="G285:G296" si="63">IF(F285="","",IF(E285="PC 17",F285*4.2,IF(E285="PC 19",F285*5,IF(E285="CB",F285*24,""))))</f>
        <v>40</v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12</v>
      </c>
      <c r="G286" s="28">
        <f t="shared" si="63"/>
        <v>60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234</v>
      </c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20</v>
      </c>
      <c r="G297" s="36">
        <f>SUM(G285:G296)</f>
        <v>100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77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142</v>
      </c>
      <c r="G298" s="40">
        <f>G284+G297</f>
        <v>588.6</v>
      </c>
      <c r="H298" s="41"/>
      <c r="I298" s="41"/>
      <c r="J298" s="41"/>
      <c r="K298" s="41"/>
      <c r="L298" s="41"/>
      <c r="M298" s="42">
        <f ca="1">IFERROR(M284+M297,"")</f>
        <v>0.1208333333333334</v>
      </c>
      <c r="N298" s="40" t="s">
        <v>240</v>
      </c>
      <c r="O298" s="83">
        <f>IFERROR(O284+O297,"")</f>
        <v>571950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58" zoomScale="68" zoomScaleNormal="68" workbookViewId="0">
      <selection activeCell="F287" sqref="F287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261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290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291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292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295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276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267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297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298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279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279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299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300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301</v>
      </c>
      <c r="M222" s="30" t="str">
        <f t="shared" ca="1" si="49"/>
        <v/>
      </c>
      <c r="N222" s="27" t="s">
        <v>302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303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267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0.71455902777961455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0.77636458333517011</v>
      </c>
      <c r="N270" s="36" t="s">
        <v>236</v>
      </c>
      <c r="O270" s="39">
        <v>327900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0.83747569444628134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4</v>
      </c>
      <c r="G272" s="28">
        <f t="shared" ref="G272:G283" si="60">IF(F272="","",IF(E272="PC 17",F272*4.2,IF(E272="PC 19",F272*5,IF(E272="CB",F272*24,""))))</f>
        <v>16.8</v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5</v>
      </c>
      <c r="G273" s="34">
        <f t="shared" si="60"/>
        <v>21</v>
      </c>
      <c r="H273" s="33" t="s">
        <v>20</v>
      </c>
      <c r="I273" s="33" t="s">
        <v>47</v>
      </c>
      <c r="J273" s="33" t="s">
        <v>183</v>
      </c>
      <c r="K273" s="29">
        <v>0.40277777777777779</v>
      </c>
      <c r="L273" s="29">
        <v>0.42291666666666666</v>
      </c>
      <c r="M273" s="35">
        <f t="shared" ca="1" si="61"/>
        <v>2.0138888888888873E-2</v>
      </c>
      <c r="N273" s="27" t="s">
        <v>304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8</v>
      </c>
      <c r="G274" s="28">
        <f t="shared" si="60"/>
        <v>33.6</v>
      </c>
      <c r="H274" s="26" t="s">
        <v>20</v>
      </c>
      <c r="I274" s="26" t="s">
        <v>47</v>
      </c>
      <c r="J274" s="26" t="s">
        <v>62</v>
      </c>
      <c r="K274" s="29">
        <v>0.45277777777777778</v>
      </c>
      <c r="L274" s="29">
        <v>0.49305555555555558</v>
      </c>
      <c r="M274" s="30">
        <f t="shared" ca="1" si="61"/>
        <v>4.0277777777777801E-2</v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5</v>
      </c>
      <c r="G275" s="34">
        <f t="shared" si="60"/>
        <v>21</v>
      </c>
      <c r="H275" s="33" t="s">
        <v>20</v>
      </c>
      <c r="I275" s="33" t="s">
        <v>47</v>
      </c>
      <c r="J275" s="33" t="s">
        <v>51</v>
      </c>
      <c r="K275" s="29">
        <v>0.50972222222222219</v>
      </c>
      <c r="L275" s="29">
        <v>0.51458333333333328</v>
      </c>
      <c r="M275" s="35">
        <f t="shared" ca="1" si="61"/>
        <v>4.8611111111110938E-3</v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7</v>
      </c>
      <c r="G276" s="28">
        <f t="shared" si="60"/>
        <v>29.400000000000002</v>
      </c>
      <c r="H276" s="26" t="s">
        <v>17</v>
      </c>
      <c r="I276" s="26" t="s">
        <v>135</v>
      </c>
      <c r="J276" s="26" t="s">
        <v>49</v>
      </c>
      <c r="K276" s="29">
        <v>0.57291666666666663</v>
      </c>
      <c r="L276" s="29">
        <v>0.58125000000000004</v>
      </c>
      <c r="M276" s="30">
        <f t="shared" ca="1" si="61"/>
        <v>8.3333333333334147E-3</v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15</v>
      </c>
      <c r="G277" s="34">
        <f t="shared" si="60"/>
        <v>63</v>
      </c>
      <c r="H277" s="33" t="s">
        <v>20</v>
      </c>
      <c r="I277" s="33" t="s">
        <v>47</v>
      </c>
      <c r="J277" s="33" t="s">
        <v>51</v>
      </c>
      <c r="K277" s="29">
        <v>0.64097222222222228</v>
      </c>
      <c r="L277" s="29">
        <v>0.64513888888888893</v>
      </c>
      <c r="M277" s="35">
        <f t="shared" ca="1" si="61"/>
        <v>4.1666666666666519E-3</v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12</v>
      </c>
      <c r="G278" s="28">
        <f t="shared" si="60"/>
        <v>50.400000000000006</v>
      </c>
      <c r="H278" s="26" t="s">
        <v>20</v>
      </c>
      <c r="I278" s="26" t="s">
        <v>47</v>
      </c>
      <c r="J278" s="26" t="s">
        <v>28</v>
      </c>
      <c r="K278" s="29">
        <v>0.66597222222222219</v>
      </c>
      <c r="L278" s="29">
        <v>0.69097222222222221</v>
      </c>
      <c r="M278" s="30">
        <f t="shared" ca="1" si="61"/>
        <v>2.5000000000000022E-2</v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12</v>
      </c>
      <c r="G279" s="34">
        <f t="shared" si="60"/>
        <v>50.400000000000006</v>
      </c>
      <c r="H279" s="33" t="s">
        <v>20</v>
      </c>
      <c r="I279" s="33" t="s">
        <v>47</v>
      </c>
      <c r="J279" s="33" t="s">
        <v>51</v>
      </c>
      <c r="K279" s="29">
        <v>0.70902777777777781</v>
      </c>
      <c r="L279" s="29">
        <v>0.71527777777777779</v>
      </c>
      <c r="M279" s="35">
        <f t="shared" ca="1" si="61"/>
        <v>6.2499999999999778E-3</v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6</v>
      </c>
      <c r="G280" s="28">
        <f t="shared" si="60"/>
        <v>25.200000000000003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10</v>
      </c>
      <c r="G282" s="28">
        <f t="shared" si="60"/>
        <v>50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95</v>
      </c>
      <c r="G284" s="36">
        <f>SUM(G272:G283)</f>
        <v>407</v>
      </c>
      <c r="H284" s="37"/>
      <c r="I284" s="37"/>
      <c r="J284" s="37"/>
      <c r="K284" s="37"/>
      <c r="L284" s="37"/>
      <c r="M284" s="38">
        <f ca="1">IFERROR(SUM(M272:M283),"")</f>
        <v>0.13680555555555557</v>
      </c>
      <c r="N284" s="36" t="s">
        <v>236</v>
      </c>
      <c r="O284" s="39">
        <v>373120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5</v>
      </c>
      <c r="G285" s="34">
        <f t="shared" ref="G285:G296" si="63">IF(F285="","",IF(E285="PC 17",F285*4.2,IF(E285="PC 19",F285*5,IF(E285="CB",F285*24,""))))</f>
        <v>25</v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5</v>
      </c>
      <c r="G286" s="28">
        <f t="shared" si="63"/>
        <v>25</v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234</v>
      </c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38</v>
      </c>
      <c r="E289" s="62" t="s">
        <v>234</v>
      </c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38</v>
      </c>
      <c r="E290" s="62" t="s">
        <v>234</v>
      </c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38</v>
      </c>
      <c r="E291" s="62" t="s">
        <v>234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38</v>
      </c>
      <c r="E292" s="62" t="s">
        <v>234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38</v>
      </c>
      <c r="E293" s="62" t="s">
        <v>234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38</v>
      </c>
      <c r="E294" s="62" t="s">
        <v>234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38</v>
      </c>
      <c r="E295" s="62" t="s">
        <v>234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38</v>
      </c>
      <c r="E296" s="62" t="s">
        <v>234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10</v>
      </c>
      <c r="G297" s="36">
        <f>SUM(G285:G296)</f>
        <v>50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105</v>
      </c>
      <c r="G298" s="40">
        <f>G284+G297</f>
        <v>457</v>
      </c>
      <c r="H298" s="41"/>
      <c r="I298" s="41"/>
      <c r="J298" s="41"/>
      <c r="K298" s="41"/>
      <c r="L298" s="41"/>
      <c r="M298" s="42">
        <f ca="1">IFERROR(M284+M297,"")</f>
        <v>0.13680555555555557</v>
      </c>
      <c r="N298" s="40" t="s">
        <v>240</v>
      </c>
      <c r="O298" s="48">
        <f>IFERROR(O284+O297,"")</f>
        <v>373120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D15:D26 D29:D256 D258:D900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85" zoomScaleNormal="85" workbookViewId="0">
      <pane ySplit="1" topLeftCell="A266" activePane="bottomLeft" state="frozen"/>
      <selection pane="bottomLeft" activeCell="F287" sqref="F287"/>
    </sheetView>
  </sheetViews>
  <sheetFormatPr defaultColWidth="8.5703125" defaultRowHeight="1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305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264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309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310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311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312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313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267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288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314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315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276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316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318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319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320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321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322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323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324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325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326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327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328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329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295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330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331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15</v>
      </c>
      <c r="G273" s="34">
        <f t="shared" si="60"/>
        <v>63</v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5</v>
      </c>
      <c r="G274" s="28">
        <f t="shared" si="60"/>
        <v>21</v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14</v>
      </c>
      <c r="G275" s="34">
        <f t="shared" si="60"/>
        <v>58.800000000000004</v>
      </c>
      <c r="H275" s="33" t="s">
        <v>20</v>
      </c>
      <c r="I275" s="33" t="s">
        <v>57</v>
      </c>
      <c r="J275" s="33" t="s">
        <v>62</v>
      </c>
      <c r="K275" s="29">
        <v>0.37152777777777779</v>
      </c>
      <c r="L275" s="29">
        <v>0.37708333333333333</v>
      </c>
      <c r="M275" s="35">
        <f t="shared" ca="1" si="61"/>
        <v>5.5555555555555358E-3</v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10</v>
      </c>
      <c r="G276" s="28">
        <f t="shared" si="60"/>
        <v>42</v>
      </c>
      <c r="H276" s="26" t="s">
        <v>20</v>
      </c>
      <c r="I276" s="26" t="s">
        <v>52</v>
      </c>
      <c r="J276" s="26" t="s">
        <v>56</v>
      </c>
      <c r="K276" s="29">
        <v>0.39930555555555558</v>
      </c>
      <c r="L276" s="29">
        <v>0.40972222222222221</v>
      </c>
      <c r="M276" s="30">
        <f t="shared" ca="1" si="61"/>
        <v>1.041666666666663E-2</v>
      </c>
      <c r="N276" s="27" t="s">
        <v>332</v>
      </c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9</v>
      </c>
      <c r="G277" s="34">
        <f t="shared" si="60"/>
        <v>37.800000000000004</v>
      </c>
      <c r="H277" s="33" t="s">
        <v>19</v>
      </c>
      <c r="I277" s="33" t="s">
        <v>57</v>
      </c>
      <c r="J277" s="33" t="s">
        <v>27</v>
      </c>
      <c r="K277" s="29">
        <v>0.40972222222222221</v>
      </c>
      <c r="L277" s="29">
        <v>0.43402777777777779</v>
      </c>
      <c r="M277" s="35">
        <f t="shared" ca="1" si="61"/>
        <v>2.430555555555558E-2</v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21</v>
      </c>
      <c r="G278" s="28">
        <f t="shared" si="60"/>
        <v>88.2</v>
      </c>
      <c r="H278" s="26" t="s">
        <v>20</v>
      </c>
      <c r="I278" s="26" t="s">
        <v>57</v>
      </c>
      <c r="J278" s="26" t="s">
        <v>28</v>
      </c>
      <c r="K278" s="29">
        <v>0.46944444444444444</v>
      </c>
      <c r="L278" s="29">
        <v>0.47361111111111109</v>
      </c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14</v>
      </c>
      <c r="G279" s="34">
        <f t="shared" si="60"/>
        <v>58.800000000000004</v>
      </c>
      <c r="H279" s="33" t="s">
        <v>20</v>
      </c>
      <c r="I279" s="33" t="s">
        <v>52</v>
      </c>
      <c r="J279" s="33" t="s">
        <v>56</v>
      </c>
      <c r="K279" s="29">
        <v>0.625</v>
      </c>
      <c r="L279" s="29">
        <v>0.64722222222222225</v>
      </c>
      <c r="M279" s="35">
        <f ca="1">IFERROR(IF(K279="","",IF(L279="",MOD(NOW()-K279,1),IF(L279&gt;=K279,L279-K279,L279+1-K279))),"")</f>
        <v>2.2222222222222254E-2</v>
      </c>
      <c r="N279" s="27" t="s">
        <v>333</v>
      </c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10</v>
      </c>
      <c r="G280" s="28">
        <f t="shared" si="60"/>
        <v>42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20</v>
      </c>
      <c r="G281" s="34">
        <f t="shared" si="60"/>
        <v>84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250</v>
      </c>
      <c r="F282" s="27">
        <v>19</v>
      </c>
      <c r="G282" s="28">
        <f t="shared" si="60"/>
        <v>79.8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0"/>
        <v>63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172</v>
      </c>
      <c r="G284" s="36">
        <f>SUM(G272:G283)</f>
        <v>722.4</v>
      </c>
      <c r="H284" s="37"/>
      <c r="I284" s="37"/>
      <c r="J284" s="37"/>
      <c r="K284" s="61"/>
      <c r="L284" s="61"/>
      <c r="M284" s="38">
        <f ca="1">IFERROR(SUM(M272:M283),"")</f>
        <v>7.2222222222222188E-2</v>
      </c>
      <c r="N284" s="36" t="s">
        <v>236</v>
      </c>
      <c r="O284" s="39">
        <v>762600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10</v>
      </c>
      <c r="G285" s="34">
        <f t="shared" ref="G285:G296" si="63">IF(F285="","",IF(E285="PC 17",F285*4.2,IF(E285="PC 19",F285*5,IF(E285="CB",F285*24,""))))</f>
        <v>50</v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10</v>
      </c>
      <c r="G286" s="28">
        <f t="shared" si="63"/>
        <v>50</v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234</v>
      </c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38</v>
      </c>
      <c r="E289" s="62" t="s">
        <v>234</v>
      </c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38</v>
      </c>
      <c r="E290" s="62" t="s">
        <v>234</v>
      </c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38</v>
      </c>
      <c r="E291" s="62" t="s">
        <v>234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38</v>
      </c>
      <c r="E292" s="62" t="s">
        <v>234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38</v>
      </c>
      <c r="E293" s="62" t="s">
        <v>234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38</v>
      </c>
      <c r="E294" s="62" t="s">
        <v>234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38</v>
      </c>
      <c r="E295" s="62" t="s">
        <v>234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38</v>
      </c>
      <c r="E296" s="62" t="s">
        <v>234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20</v>
      </c>
      <c r="G297" s="36">
        <f>SUM(G285:G296)</f>
        <v>100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192</v>
      </c>
      <c r="G298" s="40">
        <f>G284+G297</f>
        <v>822.4</v>
      </c>
      <c r="H298" s="41"/>
      <c r="I298" s="41"/>
      <c r="J298" s="41"/>
      <c r="K298" s="63"/>
      <c r="L298" s="63"/>
      <c r="M298" s="42">
        <f ca="1">IFERROR(M284+M297,"")</f>
        <v>7.2222222222222188E-2</v>
      </c>
      <c r="N298" s="40" t="s">
        <v>240</v>
      </c>
      <c r="O298" s="48">
        <f>IFERROR(O284+O297,"")</f>
        <v>762600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2026-08-12T01:49:01Z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