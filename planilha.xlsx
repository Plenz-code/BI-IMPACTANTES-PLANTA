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294" documentId="8_{AF585B22-221D-4780-BB9C-493D365A6A02}" xr6:coauthVersionLast="47" xr6:coauthVersionMax="47" xr10:uidLastSave="{85D07D39-B866-463C-BDA9-C7C4CA187362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109" i="3" l="1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<sst xmlns="http://schemas.openxmlformats.org/spreadsheetml/2006/main" count="2492" uniqueCount="234">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</sst>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9976020</v>
      </c>
      <c r="D35" s="13">
        <f>IFERROR(SUM(D4:D34),"")</f>
        <v>4101110</v>
      </c>
      <c r="E35" s="13">
        <f>IFERROR(SUM(E4:E34),"")</f>
        <v>2346210</v>
      </c>
      <c r="F35" s="13">
        <f>IFERROR(SUM(F4:F34),"")</f>
        <v>3972190</v>
      </c>
      <c r="G35" s="13">
        <f>IFERROR(SUM(G4:G34),"")</f>
        <v>10419510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7" zoomScale="85" zoomScaleNormal="85" workbookViewId="0">
      <selection activeCell="K56" sqref="K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/>
    </row>
    <row r="49" spans="1:13" ht="18" customHeight="1">
      <c r="H49" s="96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180</v>
      </c>
      <c r="L50" s="16"/>
      <c r="M50" s="16"/>
    </row>
    <row r="51" spans="1:13" ht="24" customHeight="1">
      <c r="H51" s="96"/>
      <c r="I51" s="17"/>
      <c r="J51" s="17"/>
      <c r="K51" s="17" t="s">
        <v>181</v>
      </c>
      <c r="L51" s="17"/>
      <c r="M51" s="17"/>
    </row>
    <row r="52" spans="1:13" ht="24" customHeight="1">
      <c r="H52" s="96"/>
      <c r="I52" s="16"/>
      <c r="J52" s="16"/>
      <c r="K52" s="16" t="s">
        <v>182</v>
      </c>
      <c r="L52" s="16"/>
      <c r="M52" s="16"/>
    </row>
    <row r="53" spans="1:13" ht="36" customHeight="1">
      <c r="H53" s="96"/>
      <c r="I53" s="17"/>
      <c r="J53" s="17"/>
      <c r="K53" s="17" t="s">
        <v>183</v>
      </c>
      <c r="L53" s="17"/>
      <c r="M53" s="17"/>
    </row>
    <row r="54" spans="1:13" ht="15" customHeight="1">
      <c r="H54" s="96"/>
      <c r="I54" s="16"/>
      <c r="J54" s="16"/>
      <c r="K54" s="16" t="s">
        <v>184</v>
      </c>
      <c r="L54" s="16"/>
      <c r="M54" s="16"/>
    </row>
    <row r="55" spans="1:13" ht="15" customHeight="1">
      <c r="H55" s="96"/>
      <c r="I55" s="17"/>
      <c r="J55" s="17"/>
      <c r="K55" s="17" t="s">
        <v>185</v>
      </c>
      <c r="L55" s="17"/>
      <c r="M55" s="17"/>
    </row>
    <row r="56" spans="1:13" ht="15" customHeight="1">
      <c r="H56" s="96"/>
      <c r="I56" s="16"/>
      <c r="J56" s="16"/>
      <c r="K56" s="16"/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9" activePane="bottomLeft" state="frozen"/>
      <selection pane="bottomLeft" activeCell="F117" sqref="F11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196</v>
      </c>
      <c r="E2" s="59" t="s">
        <v>197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200</v>
      </c>
      <c r="O27" s="39">
        <v>1183060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200</v>
      </c>
      <c r="O54" s="39">
        <v>959290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200</v>
      </c>
      <c r="O81" s="39">
        <v>878050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207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200</v>
      </c>
      <c r="O108" s="39">
        <v>1700000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84</v>
      </c>
      <c r="H110" s="26" t="s">
        <v>18</v>
      </c>
      <c r="I110" s="26" t="s">
        <v>23</v>
      </c>
      <c r="J110" s="26" t="s">
        <v>185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126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168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168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84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126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63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195</v>
      </c>
      <c r="G122" s="36">
        <f>SUM(G110:G121)</f>
        <v>819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195</v>
      </c>
      <c r="G136" s="40">
        <f>G122+G135</f>
        <v>819</v>
      </c>
      <c r="H136" s="41"/>
      <c r="I136" s="41"/>
      <c r="J136" s="41"/>
      <c r="K136" s="41"/>
      <c r="L136" s="41"/>
      <c r="M136" s="42">
        <f ca="1">IFERROR(M122+M135,"")</f>
        <v>1.3888888888888895E-2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4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89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200</v>
      </c>
      <c r="O27" s="78">
        <v>393200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208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85">
        <v>276360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200</v>
      </c>
      <c r="O81" s="54">
        <v>787860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216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200</v>
      </c>
      <c r="O108" s="54">
        <v>1087080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20</v>
      </c>
      <c r="G111" s="34">
        <f t="shared" si="24"/>
        <v>84</v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83</v>
      </c>
      <c r="G122" s="36">
        <f>SUM(G110:G121)</f>
        <v>348.59999999999997</v>
      </c>
      <c r="H122" s="37"/>
      <c r="I122" s="37"/>
      <c r="J122" s="37"/>
      <c r="K122" s="37"/>
      <c r="L122" s="37"/>
      <c r="M122" s="38">
        <f ca="1">IFERROR(SUM(M110:M121),"")</f>
        <v>7.7777777777777779E-2</v>
      </c>
      <c r="N122" s="36" t="s">
        <v>200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54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83</v>
      </c>
      <c r="G136" s="40">
        <f>G122+G135</f>
        <v>348.59999999999997</v>
      </c>
      <c r="H136" s="41"/>
      <c r="I136" s="41"/>
      <c r="J136" s="41"/>
      <c r="K136" s="41"/>
      <c r="L136" s="41"/>
      <c r="M136" s="42">
        <f ca="1">IFERROR(M122+M135,"")</f>
        <v>7.7777777777777779E-2</v>
      </c>
      <c r="N136" s="40" t="s">
        <v>203</v>
      </c>
      <c r="O136" s="8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54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78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78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78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78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78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78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78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78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78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78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78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78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78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78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78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78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78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78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78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78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78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5" activePane="bottomLeft" state="frozen"/>
      <selection pane="bottomLeft" activeCell="F117" sqref="F1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200</v>
      </c>
      <c r="O27" s="39">
        <v>308500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200</v>
      </c>
      <c r="O54" s="39">
        <v>124290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221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200</v>
      </c>
      <c r="O81" s="39">
        <v>396340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222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200</v>
      </c>
      <c r="O108" s="39">
        <v>41230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0.29833182870788733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0.29833182870788733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0.29833182870788733</v>
      </c>
      <c r="N136" s="40" t="s">
        <v>203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200</v>
      </c>
      <c r="O216" s="39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200</v>
      </c>
      <c r="O432" s="39"/>
    </row>
    <row r="433" spans="1:15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H117" sqref="H117:H1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186</v>
      </c>
      <c r="C1" s="23" t="s">
        <v>12</v>
      </c>
      <c r="D1" s="22" t="s">
        <v>13</v>
      </c>
      <c r="E1" s="22" t="s">
        <v>187</v>
      </c>
      <c r="F1" s="23" t="s">
        <v>188</v>
      </c>
      <c r="G1" s="23" t="s">
        <v>189</v>
      </c>
      <c r="H1" s="23" t="s">
        <v>14</v>
      </c>
      <c r="I1" s="23" t="s">
        <v>15</v>
      </c>
      <c r="J1" s="23" t="s">
        <v>190</v>
      </c>
      <c r="K1" s="23" t="s">
        <v>191</v>
      </c>
      <c r="L1" s="23" t="s">
        <v>192</v>
      </c>
      <c r="M1" s="24" t="s">
        <v>193</v>
      </c>
      <c r="N1" s="23" t="s">
        <v>194</v>
      </c>
      <c r="O1" s="23" t="s">
        <v>195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223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221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9" t="s">
        <v>199</v>
      </c>
      <c r="B14" s="90"/>
      <c r="C14" s="90"/>
      <c r="D14" s="90"/>
      <c r="E14" s="9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224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9" t="s">
        <v>201</v>
      </c>
      <c r="B27" s="90"/>
      <c r="C27" s="90"/>
      <c r="D27" s="90"/>
      <c r="E27" s="9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200</v>
      </c>
      <c r="O27" s="39">
        <v>202230</v>
      </c>
    </row>
    <row r="28" spans="1:15" ht="18" customHeight="1">
      <c r="A28" s="86" t="s">
        <v>202</v>
      </c>
      <c r="B28" s="87"/>
      <c r="C28" s="87"/>
      <c r="D28" s="87"/>
      <c r="E28" s="8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225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9" t="s">
        <v>199</v>
      </c>
      <c r="B41" s="90"/>
      <c r="C41" s="90"/>
      <c r="D41" s="90"/>
      <c r="E41" s="9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9" t="s">
        <v>201</v>
      </c>
      <c r="B54" s="90"/>
      <c r="C54" s="90"/>
      <c r="D54" s="90"/>
      <c r="E54" s="9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200</v>
      </c>
      <c r="O54" s="39">
        <v>473910</v>
      </c>
    </row>
    <row r="55" spans="1:15" ht="18" customHeight="1">
      <c r="A55" s="86" t="s">
        <v>202</v>
      </c>
      <c r="B55" s="87"/>
      <c r="C55" s="87"/>
      <c r="D55" s="87"/>
      <c r="E55" s="8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227</v>
      </c>
      <c r="L58" s="29">
        <v>0.54097222222222219</v>
      </c>
      <c r="M58" s="30" t="str">
        <f t="shared" ca="1" si="13"/>
        <v/>
      </c>
      <c r="N58" s="27" t="s">
        <v>228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9" t="s">
        <v>199</v>
      </c>
      <c r="B68" s="90"/>
      <c r="C68" s="90"/>
      <c r="D68" s="90"/>
      <c r="E68" s="9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231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232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9" t="s">
        <v>201</v>
      </c>
      <c r="B81" s="90"/>
      <c r="C81" s="90"/>
      <c r="D81" s="90"/>
      <c r="E81" s="9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200</v>
      </c>
      <c r="O81" s="39">
        <v>565120</v>
      </c>
    </row>
    <row r="82" spans="1:15" ht="18" customHeight="1">
      <c r="A82" s="86" t="s">
        <v>202</v>
      </c>
      <c r="B82" s="87"/>
      <c r="C82" s="87"/>
      <c r="D82" s="87"/>
      <c r="E82" s="8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233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9" t="s">
        <v>199</v>
      </c>
      <c r="B95" s="90"/>
      <c r="C95" s="90"/>
      <c r="D95" s="90"/>
      <c r="E95" s="9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208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208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208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208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208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208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208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208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208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208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208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208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9" t="s">
        <v>201</v>
      </c>
      <c r="B108" s="90"/>
      <c r="C108" s="90"/>
      <c r="D108" s="90"/>
      <c r="E108" s="9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200</v>
      </c>
      <c r="O108" s="39">
        <v>558590</v>
      </c>
    </row>
    <row r="109" spans="1:15" ht="18" customHeight="1">
      <c r="A109" s="86" t="s">
        <v>202</v>
      </c>
      <c r="B109" s="87"/>
      <c r="C109" s="87"/>
      <c r="D109" s="87"/>
      <c r="E109" s="8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 t="s">
        <v>18</v>
      </c>
      <c r="I110" s="26" t="s">
        <v>75</v>
      </c>
      <c r="J110" s="26" t="s">
        <v>184</v>
      </c>
      <c r="K110" s="29">
        <v>0.29166666666666669</v>
      </c>
      <c r="L110" s="29"/>
      <c r="M110" s="30">
        <f t="shared" ref="M110:M121" ca="1" si="25">IFERROR(IF(K110="","",IF(L110="",MOD(NOW()-K110,1),IF(L110&gt;=K110,L110-K110,L110+1-K110))),"")</f>
        <v>0.29833182870788733</v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9" t="s">
        <v>199</v>
      </c>
      <c r="B122" s="90"/>
      <c r="C122" s="90"/>
      <c r="D122" s="90"/>
      <c r="E122" s="9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0.29833182870788733</v>
      </c>
      <c r="N122" s="36" t="s">
        <v>200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9" t="s">
        <v>201</v>
      </c>
      <c r="B135" s="90"/>
      <c r="C135" s="90"/>
      <c r="D135" s="90"/>
      <c r="E135" s="9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200</v>
      </c>
      <c r="O135" s="39"/>
    </row>
    <row r="136" spans="1:15" ht="18" customHeight="1">
      <c r="A136" s="86" t="s">
        <v>202</v>
      </c>
      <c r="B136" s="87"/>
      <c r="C136" s="87"/>
      <c r="D136" s="87"/>
      <c r="E136" s="88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0.29833182870788733</v>
      </c>
      <c r="N136" s="40" t="s">
        <v>203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9" t="s">
        <v>199</v>
      </c>
      <c r="B149" s="90"/>
      <c r="C149" s="90"/>
      <c r="D149" s="90"/>
      <c r="E149" s="9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9" t="s">
        <v>201</v>
      </c>
      <c r="B162" s="90"/>
      <c r="C162" s="90"/>
      <c r="D162" s="90"/>
      <c r="E162" s="9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200</v>
      </c>
      <c r="O162" s="39"/>
    </row>
    <row r="163" spans="1:15" ht="18" customHeight="1">
      <c r="A163" s="86" t="s">
        <v>202</v>
      </c>
      <c r="B163" s="87"/>
      <c r="C163" s="87"/>
      <c r="D163" s="87"/>
      <c r="E163" s="88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9" t="s">
        <v>199</v>
      </c>
      <c r="B176" s="90"/>
      <c r="C176" s="90"/>
      <c r="D176" s="90"/>
      <c r="E176" s="9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9" t="s">
        <v>201</v>
      </c>
      <c r="B189" s="90"/>
      <c r="C189" s="90"/>
      <c r="D189" s="90"/>
      <c r="E189" s="9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200</v>
      </c>
      <c r="O189" s="39"/>
    </row>
    <row r="190" spans="1:15" ht="18" customHeight="1">
      <c r="A190" s="86" t="s">
        <v>202</v>
      </c>
      <c r="B190" s="87"/>
      <c r="C190" s="87"/>
      <c r="D190" s="87"/>
      <c r="E190" s="8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9" t="s">
        <v>199</v>
      </c>
      <c r="B203" s="90"/>
      <c r="C203" s="90"/>
      <c r="D203" s="90"/>
      <c r="E203" s="9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9" t="s">
        <v>201</v>
      </c>
      <c r="B216" s="90"/>
      <c r="C216" s="90"/>
      <c r="D216" s="90"/>
      <c r="E216" s="9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200</v>
      </c>
      <c r="O216" s="45"/>
    </row>
    <row r="217" spans="1:15" ht="18" customHeight="1">
      <c r="A217" s="86" t="s">
        <v>202</v>
      </c>
      <c r="B217" s="87"/>
      <c r="C217" s="87"/>
      <c r="D217" s="87"/>
      <c r="E217" s="88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9" t="s">
        <v>199</v>
      </c>
      <c r="B230" s="90"/>
      <c r="C230" s="90"/>
      <c r="D230" s="90"/>
      <c r="E230" s="9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9" t="s">
        <v>201</v>
      </c>
      <c r="B243" s="90"/>
      <c r="C243" s="90"/>
      <c r="D243" s="90"/>
      <c r="E243" s="9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200</v>
      </c>
      <c r="O243" s="39"/>
    </row>
    <row r="244" spans="1:15" ht="18" customHeight="1">
      <c r="A244" s="86" t="s">
        <v>202</v>
      </c>
      <c r="B244" s="87"/>
      <c r="C244" s="87"/>
      <c r="D244" s="87"/>
      <c r="E244" s="88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9" t="s">
        <v>199</v>
      </c>
      <c r="B257" s="90"/>
      <c r="C257" s="90"/>
      <c r="D257" s="90"/>
      <c r="E257" s="9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9" t="s">
        <v>201</v>
      </c>
      <c r="B270" s="90"/>
      <c r="C270" s="90"/>
      <c r="D270" s="90"/>
      <c r="E270" s="9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200</v>
      </c>
      <c r="O270" s="39"/>
    </row>
    <row r="271" spans="1:15" ht="18" customHeight="1">
      <c r="A271" s="86" t="s">
        <v>202</v>
      </c>
      <c r="B271" s="87"/>
      <c r="C271" s="87"/>
      <c r="D271" s="87"/>
      <c r="E271" s="88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9" t="s">
        <v>199</v>
      </c>
      <c r="B284" s="90"/>
      <c r="C284" s="90"/>
      <c r="D284" s="90"/>
      <c r="E284" s="9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9" t="s">
        <v>201</v>
      </c>
      <c r="B297" s="90"/>
      <c r="C297" s="90"/>
      <c r="D297" s="90"/>
      <c r="E297" s="9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200</v>
      </c>
      <c r="O297" s="39"/>
    </row>
    <row r="298" spans="1:15" ht="18" customHeight="1">
      <c r="A298" s="86" t="s">
        <v>202</v>
      </c>
      <c r="B298" s="87"/>
      <c r="C298" s="87"/>
      <c r="D298" s="87"/>
      <c r="E298" s="8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9" t="s">
        <v>199</v>
      </c>
      <c r="B311" s="90"/>
      <c r="C311" s="90"/>
      <c r="D311" s="90"/>
      <c r="E311" s="9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9" t="s">
        <v>201</v>
      </c>
      <c r="B324" s="90"/>
      <c r="C324" s="90"/>
      <c r="D324" s="90"/>
      <c r="E324" s="9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200</v>
      </c>
      <c r="O324" s="39"/>
    </row>
    <row r="325" spans="1:15" ht="18" customHeight="1">
      <c r="A325" s="86" t="s">
        <v>202</v>
      </c>
      <c r="B325" s="87"/>
      <c r="C325" s="87"/>
      <c r="D325" s="87"/>
      <c r="E325" s="8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9" t="s">
        <v>199</v>
      </c>
      <c r="B338" s="90"/>
      <c r="C338" s="90"/>
      <c r="D338" s="90"/>
      <c r="E338" s="9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9" t="s">
        <v>201</v>
      </c>
      <c r="B351" s="90"/>
      <c r="C351" s="90"/>
      <c r="D351" s="90"/>
      <c r="E351" s="9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200</v>
      </c>
      <c r="O351" s="39"/>
    </row>
    <row r="352" spans="1:15" ht="18" customHeight="1">
      <c r="A352" s="86" t="s">
        <v>202</v>
      </c>
      <c r="B352" s="87"/>
      <c r="C352" s="87"/>
      <c r="D352" s="87"/>
      <c r="E352" s="8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9" t="s">
        <v>199</v>
      </c>
      <c r="B365" s="90"/>
      <c r="C365" s="90"/>
      <c r="D365" s="90"/>
      <c r="E365" s="9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9" t="s">
        <v>201</v>
      </c>
      <c r="B378" s="90"/>
      <c r="C378" s="90"/>
      <c r="D378" s="90"/>
      <c r="E378" s="9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200</v>
      </c>
      <c r="O378" s="39"/>
    </row>
    <row r="379" spans="1:15" ht="18" customHeight="1">
      <c r="A379" s="86" t="s">
        <v>202</v>
      </c>
      <c r="B379" s="87"/>
      <c r="C379" s="87"/>
      <c r="D379" s="87"/>
      <c r="E379" s="8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9" t="s">
        <v>199</v>
      </c>
      <c r="B392" s="90"/>
      <c r="C392" s="90"/>
      <c r="D392" s="90"/>
      <c r="E392" s="9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9" t="s">
        <v>201</v>
      </c>
      <c r="B405" s="90"/>
      <c r="C405" s="90"/>
      <c r="D405" s="90"/>
      <c r="E405" s="9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200</v>
      </c>
      <c r="O405" s="39"/>
    </row>
    <row r="406" spans="1:15" ht="18" customHeight="1">
      <c r="A406" s="86" t="s">
        <v>202</v>
      </c>
      <c r="B406" s="87"/>
      <c r="C406" s="87"/>
      <c r="D406" s="87"/>
      <c r="E406" s="8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9" t="s">
        <v>199</v>
      </c>
      <c r="B419" s="90"/>
      <c r="C419" s="90"/>
      <c r="D419" s="90"/>
      <c r="E419" s="9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9" t="s">
        <v>201</v>
      </c>
      <c r="B432" s="90"/>
      <c r="C432" s="90"/>
      <c r="D432" s="90"/>
      <c r="E432" s="9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200</v>
      </c>
      <c r="O432" s="39"/>
    </row>
    <row r="433" spans="1:17" ht="18" customHeight="1">
      <c r="A433" s="86" t="s">
        <v>202</v>
      </c>
      <c r="B433" s="87"/>
      <c r="C433" s="87"/>
      <c r="D433" s="87"/>
      <c r="E433" s="8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9" t="s">
        <v>199</v>
      </c>
      <c r="B446" s="90"/>
      <c r="C446" s="90"/>
      <c r="D446" s="90"/>
      <c r="E446" s="9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9" t="s">
        <v>201</v>
      </c>
      <c r="B459" s="90"/>
      <c r="C459" s="90"/>
      <c r="D459" s="90"/>
      <c r="E459" s="9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200</v>
      </c>
      <c r="O459" s="39"/>
    </row>
    <row r="460" spans="1:15" ht="18" customHeight="1">
      <c r="A460" s="86" t="s">
        <v>202</v>
      </c>
      <c r="B460" s="87"/>
      <c r="C460" s="87"/>
      <c r="D460" s="87"/>
      <c r="E460" s="8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9" t="s">
        <v>199</v>
      </c>
      <c r="B473" s="90"/>
      <c r="C473" s="90"/>
      <c r="D473" s="90"/>
      <c r="E473" s="9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9" t="s">
        <v>201</v>
      </c>
      <c r="B486" s="90"/>
      <c r="C486" s="90"/>
      <c r="D486" s="90"/>
      <c r="E486" s="9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200</v>
      </c>
      <c r="O486" s="39"/>
    </row>
    <row r="487" spans="1:15" ht="18" customHeight="1">
      <c r="A487" s="86" t="s">
        <v>202</v>
      </c>
      <c r="B487" s="87"/>
      <c r="C487" s="87"/>
      <c r="D487" s="87"/>
      <c r="E487" s="8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9" t="s">
        <v>199</v>
      </c>
      <c r="B500" s="90"/>
      <c r="C500" s="90"/>
      <c r="D500" s="90"/>
      <c r="E500" s="9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9" t="s">
        <v>201</v>
      </c>
      <c r="B513" s="90"/>
      <c r="C513" s="90"/>
      <c r="D513" s="90"/>
      <c r="E513" s="9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200</v>
      </c>
      <c r="O513" s="39"/>
    </row>
    <row r="514" spans="1:15" ht="18" customHeight="1">
      <c r="A514" s="86" t="s">
        <v>202</v>
      </c>
      <c r="B514" s="87"/>
      <c r="C514" s="87"/>
      <c r="D514" s="87"/>
      <c r="E514" s="8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9" t="s">
        <v>199</v>
      </c>
      <c r="B527" s="90"/>
      <c r="C527" s="90"/>
      <c r="D527" s="90"/>
      <c r="E527" s="9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9" t="s">
        <v>201</v>
      </c>
      <c r="B540" s="90"/>
      <c r="C540" s="90"/>
      <c r="D540" s="90"/>
      <c r="E540" s="9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200</v>
      </c>
      <c r="O540" s="39"/>
    </row>
    <row r="541" spans="1:15" ht="18" customHeight="1">
      <c r="A541" s="86" t="s">
        <v>202</v>
      </c>
      <c r="B541" s="87"/>
      <c r="C541" s="87"/>
      <c r="D541" s="87"/>
      <c r="E541" s="8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9" t="s">
        <v>199</v>
      </c>
      <c r="B554" s="90"/>
      <c r="C554" s="90"/>
      <c r="D554" s="90"/>
      <c r="E554" s="9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9" t="s">
        <v>201</v>
      </c>
      <c r="B567" s="90"/>
      <c r="C567" s="90"/>
      <c r="D567" s="90"/>
      <c r="E567" s="9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200</v>
      </c>
      <c r="O567" s="39"/>
    </row>
    <row r="568" spans="1:15" ht="18" customHeight="1">
      <c r="A568" s="86" t="s">
        <v>202</v>
      </c>
      <c r="B568" s="87"/>
      <c r="C568" s="87"/>
      <c r="D568" s="87"/>
      <c r="E568" s="8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9" t="s">
        <v>199</v>
      </c>
      <c r="B581" s="90"/>
      <c r="C581" s="90"/>
      <c r="D581" s="90"/>
      <c r="E581" s="9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9" t="s">
        <v>201</v>
      </c>
      <c r="B594" s="90"/>
      <c r="C594" s="90"/>
      <c r="D594" s="90"/>
      <c r="E594" s="9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200</v>
      </c>
      <c r="O594" s="39"/>
    </row>
    <row r="595" spans="1:15" ht="18" customHeight="1">
      <c r="A595" s="86" t="s">
        <v>202</v>
      </c>
      <c r="B595" s="87"/>
      <c r="C595" s="87"/>
      <c r="D595" s="87"/>
      <c r="E595" s="8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9" t="s">
        <v>199</v>
      </c>
      <c r="B608" s="90"/>
      <c r="C608" s="90"/>
      <c r="D608" s="90"/>
      <c r="E608" s="9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9" t="s">
        <v>201</v>
      </c>
      <c r="B621" s="90"/>
      <c r="C621" s="90"/>
      <c r="D621" s="90"/>
      <c r="E621" s="9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200</v>
      </c>
      <c r="O621" s="39"/>
    </row>
    <row r="622" spans="1:15" ht="18" customHeight="1">
      <c r="A622" s="86" t="s">
        <v>202</v>
      </c>
      <c r="B622" s="87"/>
      <c r="C622" s="87"/>
      <c r="D622" s="87"/>
      <c r="E622" s="8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9" t="s">
        <v>199</v>
      </c>
      <c r="B635" s="90"/>
      <c r="C635" s="90"/>
      <c r="D635" s="90"/>
      <c r="E635" s="9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9" t="s">
        <v>201</v>
      </c>
      <c r="B648" s="90"/>
      <c r="C648" s="90"/>
      <c r="D648" s="90"/>
      <c r="E648" s="9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200</v>
      </c>
      <c r="O648" s="39"/>
    </row>
    <row r="649" spans="1:15" ht="18" customHeight="1">
      <c r="A649" s="86" t="s">
        <v>202</v>
      </c>
      <c r="B649" s="87"/>
      <c r="C649" s="87"/>
      <c r="D649" s="87"/>
      <c r="E649" s="8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9" t="s">
        <v>199</v>
      </c>
      <c r="B662" s="90"/>
      <c r="C662" s="90"/>
      <c r="D662" s="90"/>
      <c r="E662" s="9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9" t="s">
        <v>201</v>
      </c>
      <c r="B675" s="90"/>
      <c r="C675" s="90"/>
      <c r="D675" s="90"/>
      <c r="E675" s="9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200</v>
      </c>
      <c r="O675" s="39"/>
    </row>
    <row r="676" spans="1:15" ht="18" customHeight="1">
      <c r="A676" s="86" t="s">
        <v>202</v>
      </c>
      <c r="B676" s="87"/>
      <c r="C676" s="87"/>
      <c r="D676" s="87"/>
      <c r="E676" s="8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9" t="s">
        <v>199</v>
      </c>
      <c r="B689" s="90"/>
      <c r="C689" s="90"/>
      <c r="D689" s="90"/>
      <c r="E689" s="9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9" t="s">
        <v>201</v>
      </c>
      <c r="B702" s="90"/>
      <c r="C702" s="90"/>
      <c r="D702" s="90"/>
      <c r="E702" s="9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200</v>
      </c>
      <c r="O702" s="39"/>
    </row>
    <row r="703" spans="1:15" ht="18" customHeight="1">
      <c r="A703" s="86" t="s">
        <v>202</v>
      </c>
      <c r="B703" s="87"/>
      <c r="C703" s="87"/>
      <c r="D703" s="87"/>
      <c r="E703" s="8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9" t="s">
        <v>199</v>
      </c>
      <c r="B716" s="90"/>
      <c r="C716" s="90"/>
      <c r="D716" s="90"/>
      <c r="E716" s="9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9" t="s">
        <v>201</v>
      </c>
      <c r="B729" s="90"/>
      <c r="C729" s="90"/>
      <c r="D729" s="90"/>
      <c r="E729" s="9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200</v>
      </c>
      <c r="O729" s="39"/>
    </row>
    <row r="730" spans="1:15" ht="18" customHeight="1">
      <c r="A730" s="86" t="s">
        <v>202</v>
      </c>
      <c r="B730" s="87"/>
      <c r="C730" s="87"/>
      <c r="D730" s="87"/>
      <c r="E730" s="8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9" t="s">
        <v>199</v>
      </c>
      <c r="B743" s="90"/>
      <c r="C743" s="90"/>
      <c r="D743" s="90"/>
      <c r="E743" s="9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9" t="s">
        <v>201</v>
      </c>
      <c r="B756" s="90"/>
      <c r="C756" s="90"/>
      <c r="D756" s="90"/>
      <c r="E756" s="9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200</v>
      </c>
      <c r="O756" s="39"/>
    </row>
    <row r="757" spans="1:15" ht="18" customHeight="1">
      <c r="A757" s="86" t="s">
        <v>202</v>
      </c>
      <c r="B757" s="87"/>
      <c r="C757" s="87"/>
      <c r="D757" s="87"/>
      <c r="E757" s="8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9" t="s">
        <v>199</v>
      </c>
      <c r="B770" s="90"/>
      <c r="C770" s="90"/>
      <c r="D770" s="90"/>
      <c r="E770" s="9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9" t="s">
        <v>201</v>
      </c>
      <c r="B783" s="90"/>
      <c r="C783" s="90"/>
      <c r="D783" s="90"/>
      <c r="E783" s="9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200</v>
      </c>
      <c r="O783" s="39"/>
    </row>
    <row r="784" spans="1:15" ht="18" customHeight="1">
      <c r="A784" s="86" t="s">
        <v>202</v>
      </c>
      <c r="B784" s="87"/>
      <c r="C784" s="87"/>
      <c r="D784" s="87"/>
      <c r="E784" s="8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9" t="s">
        <v>199</v>
      </c>
      <c r="B797" s="90"/>
      <c r="C797" s="90"/>
      <c r="D797" s="90"/>
      <c r="E797" s="9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9" t="s">
        <v>201</v>
      </c>
      <c r="B810" s="90"/>
      <c r="C810" s="90"/>
      <c r="D810" s="90"/>
      <c r="E810" s="9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200</v>
      </c>
      <c r="O810" s="39"/>
    </row>
    <row r="811" spans="1:15" ht="18" customHeight="1">
      <c r="A811" s="86" t="s">
        <v>202</v>
      </c>
      <c r="B811" s="87"/>
      <c r="C811" s="87"/>
      <c r="D811" s="87"/>
      <c r="E811" s="8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203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2026-07-05T18:09:57Z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