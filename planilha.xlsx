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17" documentId="8_{AF585B22-221D-4780-BB9C-493D365A6A02}" xr6:coauthVersionLast="47" xr6:coauthVersionMax="47" xr10:uidLastSave="{884CDD91-50AC-4D18-8F23-C64F28E309B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<sst xmlns="http://schemas.openxmlformats.org/spreadsheetml/2006/main" count="7997" uniqueCount="354">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</sst>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2" sqref="F5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17</v>
      </c>
      <c r="G513" s="36">
        <f>SUM(G501:G512)</f>
        <v>85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248</v>
      </c>
      <c r="G514" s="40">
        <f>G500+G513</f>
        <v>1167.2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2" sqref="F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0.6012386574075208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0.75887754629640969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0.86859976851863185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0.57971087963233003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0.75054421296566343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0.89568310185455235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20</v>
      </c>
      <c r="G513" s="36">
        <f>SUM(G501:G512)</f>
        <v>84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150</v>
      </c>
      <c r="G514" s="40">
        <f>G500+G513</f>
        <v>674.8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2" sqref="F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14</v>
      </c>
      <c r="G513" s="36">
        <f>SUM(G501:G512)</f>
        <v>58.800000000000004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68</v>
      </c>
      <c r="G514" s="40">
        <f>G500+G513</f>
        <v>307.20000000000005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75" activePane="bottomLeft" state="frozen"/>
      <selection pane="bottomLeft" activeCell="J501" sqref="J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0.59151643518998753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0.79082199074554316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1.1581831018566542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52</v>
      </c>
      <c r="J501" s="33" t="s">
        <v>27</v>
      </c>
      <c r="K501" s="29">
        <v>0.83333333333333337</v>
      </c>
      <c r="L501" s="29"/>
      <c r="M501" s="35">
        <f t="shared" ref="M501:M512" ca="1" si="112">IFERROR(IF(K501="","",IF(L501="",MOD(NOW()-K501,1),IF(L501&gt;=K501,L501-K501,L501+1-K501))),"")</f>
        <v>7.4886574075208046E-3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22</v>
      </c>
      <c r="G513" s="36">
        <f>SUM(G501:G512)</f>
        <v>92.4</v>
      </c>
      <c r="H513" s="37"/>
      <c r="I513" s="37"/>
      <c r="J513" s="37"/>
      <c r="K513" s="61"/>
      <c r="L513" s="61"/>
      <c r="M513" s="38">
        <f ca="1">IFERROR(SUM(M501:M512),"")</f>
        <v>7.4886574075208046E-3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177</v>
      </c>
      <c r="G514" s="40">
        <f>G500+G513</f>
        <v>806.60000000000014</v>
      </c>
      <c r="H514" s="41"/>
      <c r="I514" s="41"/>
      <c r="J514" s="41"/>
      <c r="K514" s="63"/>
      <c r="L514" s="63"/>
      <c r="M514" s="42">
        <f ca="1">IFERROR(M500+M513,"")</f>
        <v>5.679421296307624E-2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2026-07-20T00:11:12Z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