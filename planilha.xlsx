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16" documentId="8_{AF585B22-221D-4780-BB9C-493D365A6A02}" xr6:coauthVersionLast="47" xr6:coauthVersionMax="47" xr10:uidLastSave="{4F593AA0-5EB0-4313-87F6-E265E0C3A8AF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<sst xmlns="http://schemas.openxmlformats.org/spreadsheetml/2006/main" count="4518" uniqueCount="287">
  <si>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</si>
  <si>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</si>
  <si>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</si>
  <si>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</si>
  <si>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</si>
  <si>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</si>
  <si>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</si>
  <si>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</si>
  <si>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</si>
  <si>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</si>
  <si>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</si>
  <si>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</si>
  <si>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</si>
  <si>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</si>
  <si>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</si>
  <si>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</si>
  <si>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</si>
  <si>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</si>
  <si>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</si>
  <si>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</si>
  <si>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</si>
  <si>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</si>
  <si>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</si>
  <si>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</si>
  <si>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</si>
  <si>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</si>
  <si>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</si>
  <si>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</si>
  <si>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</si>
  <si>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</si>
  <si>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</si>
  <si>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</si>
  <si>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</si>
  <si>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</si>
  <si>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</si>
  <si>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</si>
  <si>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</si>
  <si>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</si>
  <si>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</si>
  <si>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</si>
  <si>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</si>
  <si>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</si>
  <si>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</si>
  <si>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</si>
  <si>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</si>
  <si>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</si>
  <si>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</si>
  <si>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</si>
  <si>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</si>
  <si>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</si>
  <si>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</si>
  <si>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</si>
  <si>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</si>
  <si>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</si>
  <si>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</si>
  <si>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</si>
  <si>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</si>
  <si>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</si>
  <si>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</si>
  <si>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</si>
  <si>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</si>
  <si>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</si>
  <si>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</si>
  <si>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</si>
  <si>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</si>
  <si>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</si>
  <si>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</si>
  <si>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</si>
  <si>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</si>
  <si>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</si>
  <si>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</si>
  <si>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</si>
  <si>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</si>
  <si>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</si>
  <si>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</si>
  <si>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</si>
  <si>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</si>
  <si>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</si>
  <si>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</si>
  <si>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</si>
  <si>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</si>
  <si>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</si>
  <si>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</si>
  <si>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</si>
  <si>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</si>
  <si>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</si>
  <si>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</si>
  <si>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</si>
  <si>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</si>
  <si>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</si>
  <si>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</si>
  <si>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</si>
  <si>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</si>
  <si>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</si>
  <si>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</si>
  <si>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</si>
  <si>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</si>
  <si>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</si>
  <si>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</si>
  <si>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</si>
  <si>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</si>
  <si>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</si>
  <si>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</si>
  <si>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</si>
  <si>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</si>
  <si>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</si>
  <si>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</si>
  <si>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</si>
  <si>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</si>
  <si>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</si>
  <si>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</si>
  <si>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</si>
  <si>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</si>
  <si>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</si>
  <si>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</si>
  <si>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</si>
  <si>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</si>
  <si>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</si>
  <si>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</si>
  <si>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</si>
  <si>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</si>
  <si>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</si>
  <si>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</si>
  <si>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</si>
  <si>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</si>
  <si>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</si>
  <si>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</si>
  <si>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</si>
  <si>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</si>
  <si>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</si>
  <si>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</si>
  <si>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</si>
  <si>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</si>
  <si>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</si>
  <si>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</si>
  <si>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</si>
  <si>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</si>
  <si>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</si>
  <si>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</si>
  <si>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</si>
  <si>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</si>
  <si>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</si>
  <si>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</si>
  <si>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</si>
  <si>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</si>
  <si>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</si>
  <si>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</si>
  <si>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</si>
  <si>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</si>
  <si>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</si>
  <si>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</si>
  <si>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</si>
  <si>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</si>
  <si>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</si>
  <si>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</si>
  <si>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</si>
  <si>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</si>
  <si>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</si>
  <si>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</si>
  <si>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</si>
  <si>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</si>
  <si>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</si>
  <si>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</si>
  <si>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</si>
  <si>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</si>
  <si>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</si>
  <si>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</si>
  <si>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</si>
  <si>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</si>
  <si>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</si>
  <si>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</si>
  <si>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</si>
  <si>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</si>
  <si>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</si>
  <si>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</si>
  <si>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</si>
  <si>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</si>
  <si>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</si>
  <si>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</si>
  <si>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</si>
  <si>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</si>
  <si>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</si>
  <si>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</si>
  <si>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</si>
  <si>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</si>
  <si>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</si>
  <si>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</si>
  <si>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</si>
  <si>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</si>
  <si>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</si>
  <si>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</si>
  <si>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</si>
  <si>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</si>
  <si>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</si>
  <si>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</si>
  <si>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</si>
  <si>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</si>
  <si>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</si>
  <si>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</si>
  <si>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</si>
  <si>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</si>
  <si>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</si>
  <si>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</si>
  <si>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</si>
  <si>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</si>
  <si>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</si>
  <si>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</si>
  <si>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</si>
  <si>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</si>
  <si>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</si>
  <si>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</si>
  <si>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</si>
  <si>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</si>
  <si>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</si>
  <si>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</si>
  <si>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</si>
  <si>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</si>
  <si>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</si>
  <si>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</si>
  <si>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</si>
  <si>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</si>
  <si>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</si>
  <si>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</si>
  <si>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</si>
  <si>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</si>
  <si>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</si>
  <si>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29</t>
  </si>
  <si>
    <t>PC 30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</si>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</sst>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9" activePane="bottomLeft" state="frozen"/>
      <selection pane="bottomLeft" activeCell="E267" sqref="E2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3" activePane="bottomLeft" state="frozen"/>
      <selection pane="bottomLeft" activeCell="L259" sqref="L2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/>
      <c r="G258" s="34" t="str">
        <f t="shared" ref="G258:G269" si="57">IF(F258="","",IF(E258="PC 17",F258*4.2,IF(E258="PC 19",F258*5,"")))</f>
        <v/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2.0833333333333259E-2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9.3055555555555503E-2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1" zoomScale="50" zoomScaleNormal="50" workbookViewId="0">
      <selection activeCell="J259" sqref="J2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/>
      <c r="G259" s="28" t="str">
        <f t="shared" si="57"/>
        <v/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1" activePane="bottomLeft" state="frozen"/>
      <selection pane="bottomLeft" activeCell="E269" sqref="E26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0.57706597222568234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0.77637152778123797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1.143732638892349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137</v>
      </c>
      <c r="J258" s="26" t="s">
        <v>74</v>
      </c>
      <c r="K258" s="29">
        <v>0.80208333333333337</v>
      </c>
      <c r="L258" s="29"/>
      <c r="M258" s="35">
        <f t="shared" ref="M258:M269" ca="1" si="58">IFERROR(IF(K258="","",IF(L258="",MOD(NOW()-K258,1),IF(L258&gt;=K258,L258-K258,L258+1-K258))),"")</f>
        <v>2.4288194443215616E-2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2.4288194443215616E-2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0.14164930555432675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2026-07-10T23:50:02Z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