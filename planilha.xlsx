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57" documentId="13_ncr:1_{A6DBCFB4-28D9-4249-9038-216934055CA6}" xr6:coauthVersionLast="47" xr6:coauthVersionMax="47" xr10:uidLastSave="{3A4544BE-0884-4E12-9AD3-9513EE422996}"/>
  <bookViews>
    <workbookView xWindow="-1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26" i="1" l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7" i="1"/>
  <c r="J29" i="1"/>
  <c r="J30" i="1"/>
  <c r="J31" i="1"/>
  <c r="J32" i="1"/>
  <c r="J33" i="1"/>
  <c r="J3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J650" i="6" s="1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I695" i="5"/>
  <c r="H695" i="5"/>
  <c r="J695" i="5" s="1"/>
  <c r="F695" i="5"/>
  <c r="Q694" i="5"/>
  <c r="K694" i="5"/>
  <c r="I694" i="5"/>
  <c r="H694" i="5"/>
  <c r="J694" i="5" s="1"/>
  <c r="F694" i="5"/>
  <c r="Q693" i="5"/>
  <c r="K693" i="5"/>
  <c r="I693" i="5"/>
  <c r="H693" i="5"/>
  <c r="J693" i="5" s="1"/>
  <c r="F693" i="5"/>
  <c r="Q692" i="5"/>
  <c r="K692" i="5"/>
  <c r="I692" i="5"/>
  <c r="H692" i="5"/>
  <c r="J692" i="5" s="1"/>
  <c r="F692" i="5"/>
  <c r="Q691" i="5"/>
  <c r="K691" i="5"/>
  <c r="I691" i="5"/>
  <c r="H691" i="5"/>
  <c r="J691" i="5" s="1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H690" i="5"/>
  <c r="F690" i="5"/>
  <c r="G689" i="5"/>
  <c r="G703" i="5" s="1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H625" i="5" s="1"/>
  <c r="J625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F631" i="5"/>
  <c r="Q630" i="5"/>
  <c r="K630" i="5"/>
  <c r="I630" i="5"/>
  <c r="H630" i="5"/>
  <c r="J630" i="5" s="1"/>
  <c r="F630" i="5"/>
  <c r="Q629" i="5"/>
  <c r="K629" i="5"/>
  <c r="I629" i="5"/>
  <c r="F629" i="5"/>
  <c r="Q628" i="5"/>
  <c r="K628" i="5"/>
  <c r="I628" i="5"/>
  <c r="F628" i="5"/>
  <c r="Q627" i="5"/>
  <c r="K627" i="5"/>
  <c r="I627" i="5"/>
  <c r="H627" i="5"/>
  <c r="J627" i="5" s="1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G702" i="3" s="1"/>
  <c r="F689" i="3"/>
  <c r="F703" i="3" s="1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G689" i="3" s="1"/>
  <c r="G703" i="3" s="1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F676" i="3" s="1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G662" i="3" s="1"/>
  <c r="G676" i="3" s="1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G648" i="3" s="1"/>
  <c r="F635" i="3"/>
  <c r="F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E29" i="1"/>
  <c r="C29" i="1"/>
  <c r="F28" i="1"/>
  <c r="E28" i="1"/>
  <c r="C28" i="1"/>
  <c r="F27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C35" i="1" s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H699" i="4"/>
  <c r="J699" i="4" s="1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H696" i="4"/>
  <c r="J696" i="4" s="1"/>
  <c r="F696" i="4"/>
  <c r="Q695" i="4"/>
  <c r="K695" i="4"/>
  <c r="I695" i="4"/>
  <c r="H695" i="4"/>
  <c r="J695" i="4" s="1"/>
  <c r="F695" i="4"/>
  <c r="Q694" i="4"/>
  <c r="K694" i="4"/>
  <c r="I694" i="4"/>
  <c r="H694" i="4"/>
  <c r="J694" i="4" s="1"/>
  <c r="F694" i="4"/>
  <c r="Q693" i="4"/>
  <c r="K693" i="4"/>
  <c r="I693" i="4"/>
  <c r="H693" i="4"/>
  <c r="J693" i="4" s="1"/>
  <c r="F693" i="4"/>
  <c r="Q692" i="4"/>
  <c r="K692" i="4"/>
  <c r="I692" i="4"/>
  <c r="H692" i="4"/>
  <c r="J692" i="4" s="1"/>
  <c r="F692" i="4"/>
  <c r="Q691" i="4"/>
  <c r="K691" i="4"/>
  <c r="I691" i="4"/>
  <c r="H691" i="4"/>
  <c r="J691" i="4" s="1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K702" i="4" s="1"/>
  <c r="I690" i="4"/>
  <c r="H690" i="4"/>
  <c r="F690" i="4"/>
  <c r="G689" i="4"/>
  <c r="G703" i="4" s="1"/>
  <c r="Q688" i="4"/>
  <c r="K688" i="4"/>
  <c r="I688" i="4"/>
  <c r="H688" i="4"/>
  <c r="J688" i="4" s="1"/>
  <c r="F688" i="4"/>
  <c r="Q687" i="4"/>
  <c r="K687" i="4"/>
  <c r="I687" i="4"/>
  <c r="H687" i="4"/>
  <c r="J687" i="4" s="1"/>
  <c r="F687" i="4"/>
  <c r="Q686" i="4"/>
  <c r="K686" i="4"/>
  <c r="I686" i="4"/>
  <c r="H686" i="4"/>
  <c r="J686" i="4" s="1"/>
  <c r="F686" i="4"/>
  <c r="Q685" i="4"/>
  <c r="K685" i="4"/>
  <c r="I685" i="4"/>
  <c r="H685" i="4"/>
  <c r="J685" i="4" s="1"/>
  <c r="F685" i="4"/>
  <c r="Q684" i="4"/>
  <c r="K684" i="4"/>
  <c r="I684" i="4"/>
  <c r="H684" i="4"/>
  <c r="J684" i="4" s="1"/>
  <c r="F684" i="4"/>
  <c r="Q683" i="4"/>
  <c r="K683" i="4"/>
  <c r="I683" i="4"/>
  <c r="H683" i="4"/>
  <c r="J683" i="4" s="1"/>
  <c r="F683" i="4"/>
  <c r="Q682" i="4"/>
  <c r="K682" i="4"/>
  <c r="I682" i="4"/>
  <c r="H682" i="4"/>
  <c r="J682" i="4" s="1"/>
  <c r="F682" i="4"/>
  <c r="Q681" i="4"/>
  <c r="K681" i="4"/>
  <c r="I681" i="4"/>
  <c r="H681" i="4"/>
  <c r="J681" i="4" s="1"/>
  <c r="F681" i="4"/>
  <c r="Q680" i="4"/>
  <c r="K680" i="4"/>
  <c r="I680" i="4"/>
  <c r="H680" i="4"/>
  <c r="J680" i="4" s="1"/>
  <c r="F680" i="4"/>
  <c r="Q679" i="4"/>
  <c r="K679" i="4"/>
  <c r="I679" i="4"/>
  <c r="H679" i="4"/>
  <c r="J679" i="4" s="1"/>
  <c r="F679" i="4"/>
  <c r="Q678" i="4"/>
  <c r="K678" i="4"/>
  <c r="I678" i="4"/>
  <c r="H678" i="4"/>
  <c r="J678" i="4" s="1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K689" i="4" s="1"/>
  <c r="K703" i="4" s="1"/>
  <c r="I677" i="4"/>
  <c r="H677" i="4"/>
  <c r="F677" i="4"/>
  <c r="S676" i="4"/>
  <c r="D28" i="1" s="1"/>
  <c r="G28" i="1" s="1"/>
  <c r="G675" i="4"/>
  <c r="Q674" i="4"/>
  <c r="K674" i="4"/>
  <c r="I674" i="4"/>
  <c r="H674" i="4"/>
  <c r="J674" i="4" s="1"/>
  <c r="F674" i="4"/>
  <c r="Q673" i="4"/>
  <c r="K673" i="4"/>
  <c r="I673" i="4"/>
  <c r="H673" i="4"/>
  <c r="J673" i="4" s="1"/>
  <c r="F673" i="4"/>
  <c r="Q672" i="4"/>
  <c r="K672" i="4"/>
  <c r="I672" i="4"/>
  <c r="H672" i="4"/>
  <c r="J672" i="4" s="1"/>
  <c r="F672" i="4"/>
  <c r="Q671" i="4"/>
  <c r="K671" i="4"/>
  <c r="I671" i="4"/>
  <c r="H671" i="4"/>
  <c r="J671" i="4" s="1"/>
  <c r="F671" i="4"/>
  <c r="Q670" i="4"/>
  <c r="K670" i="4"/>
  <c r="I670" i="4"/>
  <c r="H670" i="4"/>
  <c r="J670" i="4" s="1"/>
  <c r="F670" i="4"/>
  <c r="Q669" i="4"/>
  <c r="K669" i="4"/>
  <c r="I669" i="4"/>
  <c r="H669" i="4"/>
  <c r="J669" i="4" s="1"/>
  <c r="F669" i="4"/>
  <c r="Q668" i="4"/>
  <c r="K668" i="4"/>
  <c r="I668" i="4"/>
  <c r="H668" i="4"/>
  <c r="J668" i="4" s="1"/>
  <c r="F668" i="4"/>
  <c r="Q667" i="4"/>
  <c r="K667" i="4"/>
  <c r="I667" i="4"/>
  <c r="H667" i="4"/>
  <c r="J667" i="4" s="1"/>
  <c r="F667" i="4"/>
  <c r="Q666" i="4"/>
  <c r="K666" i="4"/>
  <c r="I666" i="4"/>
  <c r="H666" i="4"/>
  <c r="J666" i="4" s="1"/>
  <c r="F666" i="4"/>
  <c r="Q665" i="4"/>
  <c r="K665" i="4"/>
  <c r="I665" i="4"/>
  <c r="H665" i="4"/>
  <c r="J665" i="4" s="1"/>
  <c r="F665" i="4"/>
  <c r="Q664" i="4"/>
  <c r="K664" i="4"/>
  <c r="I664" i="4"/>
  <c r="H664" i="4"/>
  <c r="J664" i="4" s="1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K675" i="4" s="1"/>
  <c r="I663" i="4"/>
  <c r="H663" i="4"/>
  <c r="F663" i="4"/>
  <c r="G662" i="4"/>
  <c r="G676" i="4" s="1"/>
  <c r="Q661" i="4"/>
  <c r="K661" i="4"/>
  <c r="I661" i="4"/>
  <c r="H661" i="4"/>
  <c r="J661" i="4" s="1"/>
  <c r="F661" i="4"/>
  <c r="Q660" i="4"/>
  <c r="K660" i="4"/>
  <c r="I660" i="4"/>
  <c r="H660" i="4"/>
  <c r="J660" i="4" s="1"/>
  <c r="F660" i="4"/>
  <c r="Q659" i="4"/>
  <c r="K659" i="4"/>
  <c r="I659" i="4"/>
  <c r="H659" i="4"/>
  <c r="J659" i="4" s="1"/>
  <c r="F659" i="4"/>
  <c r="Q658" i="4"/>
  <c r="K658" i="4"/>
  <c r="I658" i="4"/>
  <c r="H658" i="4"/>
  <c r="J658" i="4" s="1"/>
  <c r="F658" i="4"/>
  <c r="Q657" i="4"/>
  <c r="K657" i="4"/>
  <c r="I657" i="4"/>
  <c r="H657" i="4"/>
  <c r="J657" i="4" s="1"/>
  <c r="F657" i="4"/>
  <c r="Q656" i="4"/>
  <c r="K656" i="4"/>
  <c r="I656" i="4"/>
  <c r="H656" i="4"/>
  <c r="J656" i="4" s="1"/>
  <c r="F656" i="4"/>
  <c r="Q655" i="4"/>
  <c r="K655" i="4"/>
  <c r="I655" i="4"/>
  <c r="H655" i="4"/>
  <c r="J655" i="4" s="1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H652" i="4"/>
  <c r="J652" i="4" s="1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K662" i="4" s="1"/>
  <c r="K676" i="4" s="1"/>
  <c r="I650" i="4"/>
  <c r="H650" i="4"/>
  <c r="F650" i="4"/>
  <c r="S649" i="4"/>
  <c r="D27" i="1" s="1"/>
  <c r="G648" i="4"/>
  <c r="Q647" i="4"/>
  <c r="K647" i="4"/>
  <c r="I647" i="4"/>
  <c r="H647" i="4"/>
  <c r="J647" i="4" s="1"/>
  <c r="F647" i="4"/>
  <c r="Q646" i="4"/>
  <c r="K646" i="4"/>
  <c r="I646" i="4"/>
  <c r="H646" i="4"/>
  <c r="J646" i="4" s="1"/>
  <c r="F646" i="4"/>
  <c r="Q645" i="4"/>
  <c r="K645" i="4"/>
  <c r="I645" i="4"/>
  <c r="H645" i="4"/>
  <c r="J645" i="4" s="1"/>
  <c r="F645" i="4"/>
  <c r="Q644" i="4"/>
  <c r="K644" i="4"/>
  <c r="I644" i="4"/>
  <c r="H644" i="4"/>
  <c r="J644" i="4" s="1"/>
  <c r="F644" i="4"/>
  <c r="Q643" i="4"/>
  <c r="K643" i="4"/>
  <c r="I643" i="4"/>
  <c r="H643" i="4"/>
  <c r="J643" i="4" s="1"/>
  <c r="F643" i="4"/>
  <c r="Q642" i="4"/>
  <c r="K642" i="4"/>
  <c r="I642" i="4"/>
  <c r="H642" i="4"/>
  <c r="J642" i="4" s="1"/>
  <c r="F642" i="4"/>
  <c r="Q641" i="4"/>
  <c r="K641" i="4"/>
  <c r="I641" i="4"/>
  <c r="H641" i="4"/>
  <c r="J641" i="4" s="1"/>
  <c r="F641" i="4"/>
  <c r="Q640" i="4"/>
  <c r="K640" i="4"/>
  <c r="I640" i="4"/>
  <c r="H640" i="4"/>
  <c r="J640" i="4" s="1"/>
  <c r="F640" i="4"/>
  <c r="Q639" i="4"/>
  <c r="K639" i="4"/>
  <c r="I639" i="4"/>
  <c r="H639" i="4"/>
  <c r="J639" i="4" s="1"/>
  <c r="F639" i="4"/>
  <c r="Q638" i="4"/>
  <c r="K638" i="4"/>
  <c r="I638" i="4"/>
  <c r="H638" i="4"/>
  <c r="J638" i="4" s="1"/>
  <c r="F638" i="4"/>
  <c r="Q637" i="4"/>
  <c r="K637" i="4"/>
  <c r="I637" i="4"/>
  <c r="H637" i="4"/>
  <c r="J637" i="4" s="1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K648" i="4" s="1"/>
  <c r="I636" i="4"/>
  <c r="H636" i="4"/>
  <c r="F636" i="4"/>
  <c r="G635" i="4"/>
  <c r="G649" i="4" s="1"/>
  <c r="Q634" i="4"/>
  <c r="K634" i="4"/>
  <c r="I634" i="4"/>
  <c r="H634" i="4"/>
  <c r="J634" i="4" s="1"/>
  <c r="F634" i="4"/>
  <c r="Q633" i="4"/>
  <c r="K633" i="4"/>
  <c r="I633" i="4"/>
  <c r="H633" i="4"/>
  <c r="J633" i="4" s="1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G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31" i="5" l="1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K649" i="6" s="1"/>
  <c r="G635" i="3"/>
  <c r="G649" i="3" s="1"/>
  <c r="K635" i="4"/>
  <c r="K649" i="4" s="1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676" i="5" s="1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03" i="5" s="1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649" i="5" s="1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676" i="6" s="1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90" i="6"/>
  <c r="J702" i="6" s="1"/>
  <c r="T702" i="6" s="1"/>
  <c r="H702" i="6"/>
  <c r="J677" i="6"/>
  <c r="J689" i="6" s="1"/>
  <c r="H689" i="6"/>
  <c r="H703" i="6" s="1"/>
  <c r="J663" i="6"/>
  <c r="J675" i="6" s="1"/>
  <c r="T675" i="6" s="1"/>
  <c r="H675" i="6"/>
  <c r="J657" i="6"/>
  <c r="J662" i="6" s="1"/>
  <c r="T662" i="6" s="1"/>
  <c r="H662" i="6"/>
  <c r="H676" i="6" s="1"/>
  <c r="J676" i="6"/>
  <c r="T676" i="6" s="1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90" i="5"/>
  <c r="J702" i="5" s="1"/>
  <c r="T702" i="5" s="1"/>
  <c r="H702" i="5"/>
  <c r="H689" i="5"/>
  <c r="J677" i="5"/>
  <c r="J689" i="5" s="1"/>
  <c r="H675" i="5"/>
  <c r="J663" i="5"/>
  <c r="J675" i="5" s="1"/>
  <c r="T675" i="5" s="1"/>
  <c r="H662" i="5"/>
  <c r="H676" i="5" s="1"/>
  <c r="J650" i="5"/>
  <c r="J662" i="5" s="1"/>
  <c r="H648" i="5"/>
  <c r="J636" i="5"/>
  <c r="J648" i="5" s="1"/>
  <c r="T648" i="5" s="1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H702" i="4"/>
  <c r="J690" i="4"/>
  <c r="J702" i="4" s="1"/>
  <c r="T702" i="4" s="1"/>
  <c r="H689" i="4"/>
  <c r="H703" i="4" s="1"/>
  <c r="J677" i="4"/>
  <c r="J689" i="4" s="1"/>
  <c r="H675" i="4"/>
  <c r="J663" i="4"/>
  <c r="J675" i="4" s="1"/>
  <c r="T675" i="4" s="1"/>
  <c r="J650" i="4"/>
  <c r="J662" i="4" s="1"/>
  <c r="H662" i="4"/>
  <c r="H676" i="4" s="1"/>
  <c r="H648" i="4"/>
  <c r="J636" i="4"/>
  <c r="J648" i="4" s="1"/>
  <c r="T648" i="4" s="1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K595" i="5" l="1"/>
  <c r="K622" i="4"/>
  <c r="G622" i="3"/>
  <c r="J608" i="6"/>
  <c r="J594" i="6"/>
  <c r="T594" i="6" s="1"/>
  <c r="H635" i="6"/>
  <c r="H649" i="6" s="1"/>
  <c r="J635" i="5"/>
  <c r="J649" i="5" s="1"/>
  <c r="T649" i="5" s="1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H703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J703" i="6"/>
  <c r="T703" i="6" s="1"/>
  <c r="T689" i="6"/>
  <c r="J649" i="6"/>
  <c r="T649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T662" i="5"/>
  <c r="J676" i="5"/>
  <c r="T676" i="5" s="1"/>
  <c r="T635" i="5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J676" i="4"/>
  <c r="T676" i="4" s="1"/>
  <c r="H28" i="1" s="1"/>
  <c r="J28" i="1" s="1"/>
  <c r="J649" i="4"/>
  <c r="T649" i="4" s="1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325" i="5" l="1"/>
  <c r="T325" i="5" s="1"/>
  <c r="T338" i="5"/>
  <c r="H24" i="1"/>
  <c r="J541" i="5"/>
  <c r="T541" i="5" s="1"/>
  <c r="J622" i="6"/>
  <c r="T622" i="6" s="1"/>
  <c r="H26" i="1" s="1"/>
  <c r="H33" i="1"/>
  <c r="H31" i="1"/>
  <c r="H30" i="1"/>
  <c r="H25" i="1"/>
  <c r="H23" i="1"/>
  <c r="H22" i="1"/>
  <c r="H20" i="1"/>
  <c r="H18" i="1"/>
  <c r="H16" i="1"/>
  <c r="H34" i="1"/>
  <c r="H32" i="1"/>
  <c r="H29" i="1"/>
  <c r="H27" i="1"/>
  <c r="H21" i="1"/>
  <c r="H19" i="1"/>
  <c r="H17" i="1"/>
  <c r="H15" i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<sst xmlns="http://schemas.openxmlformats.org/spreadsheetml/2006/main" count="10861" uniqueCount="443">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</sst>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</fonts>
  <fills count="18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G4" sqref="G4:G27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customWidth="1"/>
    <col min="9" max="9" width="18.5703125" customWidth="1"/>
    <col min="10" max="10" width="13.140625" customWidth="1"/>
    <col min="11" max="11" width="22.140625" customWidth="1"/>
    <col min="12" max="14" width="8.5703125" customWidth="1"/>
  </cols>
  <sheetData>
    <row r="1" spans="1:12" ht="31.5" customHeight="1">
      <c r="A1" s="160" t="s">
        <v>0</v>
      </c>
      <c r="B1" s="160"/>
      <c r="C1" s="160"/>
      <c r="D1" s="160"/>
      <c r="E1" s="160"/>
      <c r="F1" s="160"/>
      <c r="G1" s="160"/>
      <c r="H1" s="160"/>
      <c r="I1" s="160"/>
      <c r="J1" s="160"/>
      <c r="K1" s="160"/>
      <c r="L1" s="160"/>
    </row>
    <row r="2" spans="1:12" ht="30" customHeight="1">
      <c r="A2" s="161"/>
      <c r="B2" s="16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>
      <c r="A35" s="162" t="s">
        <v>16</v>
      </c>
      <c r="B35" s="162"/>
      <c r="C35" s="30">
        <f t="shared" ref="C35:I35" si="1">IFERROR(SUM(C4:C34),"")</f>
        <v>88225050</v>
      </c>
      <c r="D35" s="30">
        <f t="shared" si="1"/>
        <v>27924670</v>
      </c>
      <c r="E35" s="30">
        <f t="shared" si="1"/>
        <v>15888570</v>
      </c>
      <c r="F35" s="30">
        <f t="shared" si="1"/>
        <v>37613570</v>
      </c>
      <c r="G35" s="30">
        <f t="shared" si="1"/>
        <v>81426810</v>
      </c>
      <c r="H35" s="31">
        <f t="shared" si="1"/>
        <v>8678.4145946384142</v>
      </c>
      <c r="I35" s="31">
        <f t="shared" si="1"/>
        <v>9156.869999999999</v>
      </c>
      <c r="J35" s="32">
        <f>IFERROR(IF(H35&gt;I35,MAX(0,2-H35/I35),H35/I35),"")</f>
        <v>0.94774902282531204</v>
      </c>
      <c r="K35" s="170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r3XIo71h0/l39sS9U5Ji6OyAkkljO6Xc89dheQfNXAJ7ZWvgaiVsmf/cxxO0PPMSrf7cCW/vu4RjHJoK+2mC1g==" saltValue="Rbm/NLSQOx0VbKKqbXZYE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B25" zoomScale="85" zoomScaleNormal="85" workbookViewId="0">
      <selection activeCell="R61" sqref="R61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3" t="s">
        <v>17</v>
      </c>
      <c r="B1" s="163"/>
      <c r="C1" s="163"/>
      <c r="D1" s="163"/>
      <c r="E1" s="163"/>
      <c r="F1" s="163"/>
      <c r="G1" s="163"/>
      <c r="H1" s="163"/>
      <c r="I1" s="163"/>
      <c r="J1" s="163"/>
      <c r="K1" s="163"/>
      <c r="L1" s="163"/>
      <c r="M1" s="164"/>
      <c r="N1" s="165" t="s">
        <v>18</v>
      </c>
      <c r="O1" s="165"/>
      <c r="P1" s="165"/>
      <c r="Q1" s="165"/>
      <c r="R1" s="165"/>
    </row>
    <row r="2" spans="1:18" ht="4.5" customHeight="1">
      <c r="M2" s="16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4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4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4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4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4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4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4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4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4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>
      <c r="A12" s="36"/>
      <c r="C12" s="36"/>
      <c r="J12" s="36"/>
      <c r="L12" s="36" t="s">
        <v>84</v>
      </c>
      <c r="M12" s="164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>
      <c r="A13" s="39"/>
      <c r="C13" s="39"/>
      <c r="J13" s="39"/>
      <c r="L13" s="39" t="s">
        <v>89</v>
      </c>
      <c r="M13" s="164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>
      <c r="A14" s="36"/>
      <c r="C14" s="36"/>
      <c r="J14" s="36"/>
      <c r="L14" s="36" t="s">
        <v>94</v>
      </c>
      <c r="M14" s="164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>
      <c r="A15" s="39"/>
      <c r="C15" s="39"/>
      <c r="J15" s="39"/>
      <c r="L15" s="39" t="s">
        <v>100</v>
      </c>
      <c r="M15" s="164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>
      <c r="A16" s="36"/>
      <c r="C16" s="36"/>
      <c r="J16" s="36"/>
      <c r="L16" s="36" t="s">
        <v>106</v>
      </c>
      <c r="M16" s="164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>
      <c r="A17" s="39"/>
      <c r="C17" s="39"/>
      <c r="J17" s="39"/>
      <c r="L17" s="39" t="s">
        <v>112</v>
      </c>
      <c r="M17" s="164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>
      <c r="A18" s="36"/>
      <c r="C18" s="36"/>
      <c r="J18" s="36"/>
      <c r="L18" s="36" t="s">
        <v>118</v>
      </c>
      <c r="M18" s="164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>
      <c r="A19" s="39"/>
      <c r="C19" s="39"/>
      <c r="J19" s="39"/>
      <c r="L19" s="39" t="s">
        <v>124</v>
      </c>
      <c r="M19" s="164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>
      <c r="A20" s="36"/>
      <c r="C20" s="36"/>
      <c r="J20" s="36"/>
      <c r="L20" s="36" t="s">
        <v>129</v>
      </c>
      <c r="M20" s="164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>
      <c r="A21" s="39"/>
      <c r="C21" s="39"/>
      <c r="J21" s="39"/>
      <c r="L21" s="39" t="s">
        <v>133</v>
      </c>
      <c r="M21" s="164"/>
      <c r="N21" s="39"/>
      <c r="O21" s="39" t="s">
        <v>134</v>
      </c>
      <c r="P21" s="39" t="s">
        <v>135</v>
      </c>
      <c r="Q21" s="39"/>
      <c r="R21" s="39" t="s">
        <v>136</v>
      </c>
    </row>
    <row r="22" spans="1:18" ht="15.75" customHeight="1">
      <c r="A22" s="36"/>
      <c r="C22" s="36"/>
      <c r="J22" s="36"/>
      <c r="L22" s="36" t="s">
        <v>137</v>
      </c>
      <c r="M22" s="164"/>
      <c r="N22" s="36"/>
      <c r="O22" s="36"/>
      <c r="P22" s="36" t="s">
        <v>138</v>
      </c>
      <c r="Q22" s="36"/>
      <c r="R22" s="36" t="s">
        <v>139</v>
      </c>
    </row>
    <row r="23" spans="1:18" ht="15.75" customHeight="1">
      <c r="A23" s="39"/>
      <c r="C23" s="39"/>
      <c r="J23" s="39"/>
      <c r="L23" s="39" t="s">
        <v>140</v>
      </c>
      <c r="M23" s="164"/>
      <c r="N23" s="39"/>
      <c r="O23" s="39"/>
      <c r="P23" s="39" t="s">
        <v>141</v>
      </c>
      <c r="Q23" s="39"/>
      <c r="R23" s="39" t="s">
        <v>142</v>
      </c>
    </row>
    <row r="24" spans="1:18" ht="15.75" customHeight="1">
      <c r="A24" s="36"/>
      <c r="C24" s="36"/>
      <c r="J24" s="36"/>
      <c r="L24" s="36" t="s">
        <v>143</v>
      </c>
      <c r="M24" s="164"/>
      <c r="N24" s="36"/>
      <c r="O24" s="36"/>
      <c r="P24" s="36" t="s">
        <v>144</v>
      </c>
      <c r="Q24" s="36"/>
      <c r="R24" s="36" t="s">
        <v>145</v>
      </c>
    </row>
    <row r="25" spans="1:18" ht="15.75" customHeight="1">
      <c r="A25" s="39"/>
      <c r="C25" s="39"/>
      <c r="J25" s="39"/>
      <c r="L25" s="39" t="s">
        <v>146</v>
      </c>
      <c r="M25" s="164"/>
      <c r="N25" s="39"/>
      <c r="O25" s="39"/>
      <c r="P25" s="39" t="s">
        <v>147</v>
      </c>
      <c r="Q25" s="39"/>
      <c r="R25" s="39" t="s">
        <v>148</v>
      </c>
    </row>
    <row r="26" spans="1:18" ht="15.75" customHeight="1">
      <c r="A26" s="36"/>
      <c r="C26" s="36"/>
      <c r="J26" s="36"/>
      <c r="L26" s="36" t="s">
        <v>149</v>
      </c>
      <c r="M26" s="164"/>
      <c r="N26" s="36"/>
      <c r="O26" s="36"/>
      <c r="P26" s="36" t="s">
        <v>150</v>
      </c>
      <c r="Q26" s="36"/>
      <c r="R26" s="36"/>
    </row>
    <row r="27" spans="1:18" ht="15.75" customHeight="1">
      <c r="A27" s="39"/>
      <c r="C27" s="39"/>
      <c r="J27" s="39"/>
      <c r="L27" s="39" t="s">
        <v>151</v>
      </c>
      <c r="M27" s="164"/>
      <c r="N27" s="39"/>
      <c r="O27" s="39"/>
      <c r="P27" s="39" t="s">
        <v>142</v>
      </c>
      <c r="Q27" s="39"/>
      <c r="R27" s="39" t="s">
        <v>71</v>
      </c>
    </row>
    <row r="28" spans="1:18" ht="15.75" customHeight="1">
      <c r="A28" s="36"/>
      <c r="C28" s="36"/>
      <c r="J28" s="36"/>
      <c r="L28" s="36" t="s">
        <v>152</v>
      </c>
      <c r="M28" s="164"/>
      <c r="N28" s="36"/>
      <c r="O28" s="36"/>
      <c r="P28" s="36" t="s">
        <v>121</v>
      </c>
      <c r="Q28" s="36"/>
      <c r="R28" s="36" t="s">
        <v>153</v>
      </c>
    </row>
    <row r="29" spans="1:18" ht="15.75" customHeight="1">
      <c r="A29" s="39"/>
      <c r="C29" s="39"/>
      <c r="J29" s="39"/>
      <c r="L29" s="39" t="s">
        <v>154</v>
      </c>
      <c r="M29" s="164"/>
      <c r="N29" s="39"/>
      <c r="O29" s="39"/>
      <c r="P29" s="39" t="s">
        <v>155</v>
      </c>
      <c r="Q29" s="39"/>
      <c r="R29" s="39" t="s">
        <v>156</v>
      </c>
    </row>
    <row r="30" spans="1:18" ht="15.75" customHeight="1">
      <c r="A30" s="36"/>
      <c r="C30" s="36"/>
      <c r="J30" s="36"/>
      <c r="L30" s="36" t="s">
        <v>157</v>
      </c>
      <c r="M30" s="164"/>
      <c r="N30" s="36"/>
      <c r="O30" s="36"/>
      <c r="P30" s="36" t="s">
        <v>158</v>
      </c>
      <c r="Q30" s="36"/>
      <c r="R30" s="36" t="s">
        <v>159</v>
      </c>
    </row>
    <row r="31" spans="1:18" ht="15.75" customHeight="1">
      <c r="A31" s="39"/>
      <c r="C31" s="39"/>
      <c r="J31" s="39"/>
      <c r="L31" s="39" t="s">
        <v>160</v>
      </c>
      <c r="M31" s="164"/>
      <c r="N31" s="39"/>
      <c r="O31" s="39"/>
      <c r="P31" s="39" t="s">
        <v>161</v>
      </c>
      <c r="Q31" s="39"/>
      <c r="R31" s="39" t="s">
        <v>162</v>
      </c>
    </row>
    <row r="32" spans="1:18" ht="15.75" customHeight="1">
      <c r="A32" s="36"/>
      <c r="C32" s="36"/>
      <c r="J32" s="36"/>
      <c r="L32" s="36" t="s">
        <v>163</v>
      </c>
      <c r="M32" s="164"/>
      <c r="N32" s="36"/>
      <c r="O32" s="36"/>
      <c r="P32" s="36" t="s">
        <v>164</v>
      </c>
      <c r="Q32" s="36"/>
      <c r="R32" t="s">
        <v>165</v>
      </c>
    </row>
    <row r="33" spans="1:18" ht="15.75" customHeight="1">
      <c r="A33" s="39"/>
      <c r="C33" s="49" t="s">
        <v>166</v>
      </c>
      <c r="E33" s="50">
        <v>1000</v>
      </c>
      <c r="J33" s="39"/>
      <c r="L33" s="39" t="s">
        <v>167</v>
      </c>
      <c r="M33" s="164"/>
      <c r="N33" s="39"/>
      <c r="O33" s="39"/>
      <c r="P33" s="39" t="s">
        <v>168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169</v>
      </c>
      <c r="M34" s="164"/>
      <c r="N34" s="36"/>
      <c r="O34" s="36"/>
      <c r="P34" s="36" t="s">
        <v>88</v>
      </c>
      <c r="Q34" s="36"/>
      <c r="R34" s="36" t="s">
        <v>170</v>
      </c>
    </row>
    <row r="35" spans="1:18" ht="15.75" customHeight="1">
      <c r="A35" s="39"/>
      <c r="C35" s="39"/>
      <c r="J35" s="39"/>
      <c r="L35" s="39" t="s">
        <v>171</v>
      </c>
      <c r="M35" s="164"/>
      <c r="N35" s="39"/>
      <c r="O35" s="39"/>
      <c r="P35" s="39" t="s">
        <v>172</v>
      </c>
      <c r="Q35" s="39"/>
      <c r="R35" s="39" t="s">
        <v>173</v>
      </c>
    </row>
    <row r="36" spans="1:18" ht="15.75" customHeight="1">
      <c r="A36" s="36"/>
      <c r="C36" s="36"/>
      <c r="J36" s="36"/>
      <c r="L36" s="36" t="s">
        <v>174</v>
      </c>
      <c r="M36" s="164"/>
      <c r="N36" s="36"/>
      <c r="O36" s="36"/>
      <c r="P36" s="36" t="s">
        <v>175</v>
      </c>
      <c r="Q36" s="36"/>
      <c r="R36" s="36" t="s">
        <v>176</v>
      </c>
    </row>
    <row r="37" spans="1:18" ht="15.75" customHeight="1">
      <c r="A37" s="39"/>
      <c r="C37" s="39"/>
      <c r="J37" s="39"/>
      <c r="L37" s="39" t="s">
        <v>177</v>
      </c>
      <c r="M37" s="164"/>
      <c r="N37" s="39"/>
      <c r="O37" s="39"/>
      <c r="P37" s="39" t="s">
        <v>178</v>
      </c>
      <c r="Q37" s="39"/>
      <c r="R37" s="39" t="s">
        <v>179</v>
      </c>
    </row>
    <row r="38" spans="1:18" ht="15.75" customHeight="1">
      <c r="A38" s="36"/>
      <c r="C38" s="36"/>
      <c r="J38" s="36"/>
      <c r="L38" s="36" t="s">
        <v>180</v>
      </c>
      <c r="M38" s="164"/>
      <c r="N38" s="36"/>
      <c r="O38" s="36"/>
      <c r="P38" s="36" t="s">
        <v>181</v>
      </c>
      <c r="Q38" s="36"/>
      <c r="R38" s="36" t="s">
        <v>182</v>
      </c>
    </row>
    <row r="39" spans="1:18" ht="15.75" customHeight="1">
      <c r="A39" s="39"/>
      <c r="C39" s="39"/>
      <c r="J39" s="39"/>
      <c r="L39" s="39" t="s">
        <v>183</v>
      </c>
      <c r="M39" s="164"/>
      <c r="N39" s="39"/>
      <c r="O39" s="39"/>
      <c r="P39" s="39" t="s">
        <v>184</v>
      </c>
      <c r="Q39" s="39"/>
      <c r="R39" s="39" t="s">
        <v>185</v>
      </c>
    </row>
    <row r="40" spans="1:18" ht="15.75" customHeight="1">
      <c r="A40" s="36"/>
      <c r="C40" s="36"/>
      <c r="J40" s="36"/>
      <c r="L40" s="36"/>
      <c r="M40" s="164"/>
      <c r="N40" s="36"/>
      <c r="O40" s="36"/>
      <c r="P40" s="36" t="s">
        <v>186</v>
      </c>
      <c r="Q40" s="36"/>
      <c r="R40" s="36" t="s">
        <v>187</v>
      </c>
    </row>
    <row r="41" spans="1:18" ht="15.75" customHeight="1">
      <c r="A41" s="39"/>
      <c r="C41" s="39"/>
      <c r="J41" s="39"/>
      <c r="L41" s="39"/>
      <c r="M41" s="164"/>
      <c r="N41" s="39"/>
      <c r="O41" s="39"/>
      <c r="P41" s="39" t="s">
        <v>188</v>
      </c>
      <c r="Q41" s="39"/>
      <c r="R41" s="39" t="s">
        <v>189</v>
      </c>
    </row>
    <row r="42" spans="1:18" ht="15.75" customHeight="1">
      <c r="A42" s="36"/>
      <c r="C42" s="36"/>
      <c r="J42" s="36"/>
      <c r="L42" s="36"/>
      <c r="M42" s="164"/>
      <c r="N42" s="36"/>
      <c r="O42" s="36"/>
      <c r="P42" s="36" t="s">
        <v>190</v>
      </c>
      <c r="Q42" s="36"/>
      <c r="R42" s="36" t="s">
        <v>191</v>
      </c>
    </row>
    <row r="43" spans="1:18" ht="15.75" customHeight="1">
      <c r="A43" s="39"/>
      <c r="C43" s="39"/>
      <c r="J43" s="39"/>
      <c r="L43" s="39"/>
      <c r="M43" s="164"/>
      <c r="N43" s="39"/>
      <c r="O43" s="39"/>
      <c r="P43" s="39" t="s">
        <v>192</v>
      </c>
      <c r="Q43" s="39"/>
      <c r="R43" s="39" t="s">
        <v>193</v>
      </c>
    </row>
    <row r="44" spans="1:18" ht="15.75" customHeight="1">
      <c r="A44" s="36"/>
      <c r="C44" s="36"/>
      <c r="J44" s="36"/>
      <c r="L44" s="36"/>
      <c r="M44" s="164"/>
      <c r="N44" s="36"/>
      <c r="O44" s="36"/>
      <c r="P44" s="36" t="s">
        <v>194</v>
      </c>
      <c r="Q44" s="36"/>
      <c r="R44" s="36" t="s">
        <v>195</v>
      </c>
    </row>
    <row r="45" spans="1:18" ht="15.75" customHeight="1">
      <c r="A45" s="39"/>
      <c r="C45" s="39"/>
      <c r="J45" s="39"/>
      <c r="L45" s="39"/>
      <c r="M45" s="164"/>
      <c r="N45" s="39"/>
      <c r="O45" s="39"/>
      <c r="P45" s="39" t="s">
        <v>196</v>
      </c>
      <c r="Q45" s="39"/>
      <c r="R45" s="39" t="s">
        <v>197</v>
      </c>
    </row>
    <row r="46" spans="1:18" ht="15.75" customHeight="1">
      <c r="A46" s="36"/>
      <c r="C46" s="36"/>
      <c r="J46" s="36"/>
      <c r="L46" s="36"/>
      <c r="M46" s="164"/>
      <c r="N46" s="36"/>
      <c r="O46" s="36"/>
      <c r="P46" s="36" t="s">
        <v>198</v>
      </c>
      <c r="Q46" s="36"/>
      <c r="R46" s="36" t="s">
        <v>199</v>
      </c>
    </row>
    <row r="47" spans="1:18" ht="15.75" customHeight="1">
      <c r="A47" s="39"/>
      <c r="C47" s="39"/>
      <c r="J47" s="39"/>
      <c r="L47" s="39"/>
      <c r="M47" s="164"/>
      <c r="N47" s="39"/>
      <c r="O47" s="39"/>
      <c r="P47" s="39" t="s">
        <v>200</v>
      </c>
      <c r="Q47" s="39"/>
      <c r="R47" s="39" t="s">
        <v>201</v>
      </c>
    </row>
    <row r="48" spans="1:18" ht="15.75" customHeight="1">
      <c r="A48" s="36"/>
      <c r="C48" s="36"/>
      <c r="J48" s="36"/>
      <c r="L48" s="36"/>
      <c r="M48" s="164"/>
      <c r="N48" s="36"/>
      <c r="O48" s="36"/>
      <c r="P48" s="36" t="s">
        <v>202</v>
      </c>
      <c r="Q48" s="36"/>
      <c r="R48" s="36" t="s">
        <v>203</v>
      </c>
    </row>
    <row r="49" spans="1:18" ht="18" customHeight="1">
      <c r="M49" s="164"/>
      <c r="N49" s="39"/>
      <c r="O49" s="39"/>
      <c r="P49" s="39" t="s">
        <v>204</v>
      </c>
      <c r="Q49" s="39"/>
      <c r="R49" s="39" t="s">
        <v>205</v>
      </c>
    </row>
    <row r="50" spans="1:18" ht="21" customHeight="1">
      <c r="A50" s="51" t="s">
        <v>206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4"/>
      <c r="N50" s="36"/>
      <c r="O50" s="36"/>
      <c r="P50" s="36" t="s">
        <v>207</v>
      </c>
      <c r="Q50" s="36"/>
      <c r="R50" s="36" t="s">
        <v>208</v>
      </c>
    </row>
    <row r="51" spans="1:18" ht="24" customHeight="1">
      <c r="M51" s="164"/>
      <c r="N51" s="39"/>
      <c r="O51" s="39"/>
      <c r="P51" s="39" t="s">
        <v>209</v>
      </c>
      <c r="Q51" s="39"/>
      <c r="R51" s="39" t="s">
        <v>210</v>
      </c>
    </row>
    <row r="52" spans="1:18" ht="24" customHeight="1">
      <c r="M52" s="164"/>
      <c r="N52" s="36"/>
      <c r="O52" s="36"/>
      <c r="P52" s="36" t="s">
        <v>211</v>
      </c>
      <c r="Q52" s="36"/>
      <c r="R52" s="36" t="s">
        <v>212</v>
      </c>
    </row>
    <row r="53" spans="1:18" ht="36" customHeight="1">
      <c r="M53" s="164"/>
      <c r="N53" s="39"/>
      <c r="O53" s="39"/>
      <c r="P53" s="39" t="s">
        <v>213</v>
      </c>
      <c r="Q53" s="39"/>
      <c r="R53" s="39" t="s">
        <v>214</v>
      </c>
    </row>
    <row r="54" spans="1:18" ht="15" customHeight="1">
      <c r="M54" s="164"/>
      <c r="N54" s="36"/>
      <c r="O54" s="36"/>
      <c r="P54" s="36" t="s">
        <v>215</v>
      </c>
      <c r="Q54" s="36"/>
      <c r="R54" s="36" t="s">
        <v>216</v>
      </c>
    </row>
    <row r="55" spans="1:18" ht="15" customHeight="1">
      <c r="M55" s="164"/>
      <c r="N55" s="39"/>
      <c r="O55" s="39"/>
      <c r="P55" s="39" t="s">
        <v>217</v>
      </c>
      <c r="Q55" s="39"/>
      <c r="R55" s="39" t="s">
        <v>218</v>
      </c>
    </row>
    <row r="56" spans="1:18" ht="15" customHeight="1">
      <c r="M56" s="164"/>
      <c r="N56" s="36"/>
      <c r="O56" s="36"/>
      <c r="P56" s="36" t="s">
        <v>219</v>
      </c>
      <c r="Q56" s="36"/>
      <c r="R56" s="36" t="s">
        <v>220</v>
      </c>
    </row>
    <row r="57" spans="1:18" ht="15" customHeight="1">
      <c r="M57" s="164"/>
      <c r="N57" s="39"/>
      <c r="O57" s="39"/>
      <c r="P57" s="39" t="s">
        <v>59</v>
      </c>
      <c r="Q57" s="39"/>
      <c r="R57" s="39" t="s">
        <v>221</v>
      </c>
    </row>
    <row r="58" spans="1:18" ht="15" customHeight="1">
      <c r="M58" s="164"/>
      <c r="N58" s="36"/>
      <c r="O58" s="36"/>
      <c r="P58" s="36" t="s">
        <v>222</v>
      </c>
      <c r="Q58" s="36"/>
      <c r="R58" s="36" t="s">
        <v>223</v>
      </c>
    </row>
    <row r="59" spans="1:18" ht="15" customHeight="1">
      <c r="M59" s="164"/>
      <c r="N59" s="39"/>
      <c r="O59" s="39"/>
      <c r="P59" s="39" t="s">
        <v>224</v>
      </c>
      <c r="Q59" s="39"/>
      <c r="R59" s="39" t="s">
        <v>225</v>
      </c>
    </row>
    <row r="60" spans="1:18" ht="15" customHeight="1">
      <c r="M60" s="164"/>
      <c r="N60" s="36"/>
      <c r="O60" s="36"/>
      <c r="P60" s="52" t="s">
        <v>114</v>
      </c>
      <c r="Q60" s="36"/>
      <c r="R60" s="36" t="s">
        <v>226</v>
      </c>
    </row>
    <row r="61" spans="1:18" ht="15" customHeight="1">
      <c r="M61" s="164"/>
      <c r="N61" s="39"/>
      <c r="O61" s="39"/>
      <c r="P61" s="39" t="s">
        <v>227</v>
      </c>
      <c r="Q61" s="39"/>
      <c r="R61" s="39"/>
    </row>
    <row r="62" spans="1:18" ht="15" customHeight="1">
      <c r="M62" s="164"/>
      <c r="N62" s="36"/>
      <c r="O62" s="36"/>
      <c r="P62" s="36" t="s">
        <v>228</v>
      </c>
      <c r="Q62" s="36"/>
      <c r="R62" s="36"/>
    </row>
    <row r="63" spans="1:18" ht="15" customHeight="1">
      <c r="M63" s="164"/>
      <c r="N63" s="39"/>
      <c r="O63" s="39"/>
      <c r="P63" s="39" t="s">
        <v>229</v>
      </c>
      <c r="Q63" s="39"/>
      <c r="R63" s="39"/>
    </row>
    <row r="64" spans="1:18" ht="15" customHeight="1">
      <c r="M64" s="164"/>
      <c r="N64" s="36"/>
      <c r="O64" s="36"/>
      <c r="P64" s="36" t="s">
        <v>230</v>
      </c>
      <c r="Q64" s="36"/>
      <c r="R64" s="36"/>
    </row>
    <row r="65" spans="13:18" ht="15" customHeight="1">
      <c r="M65" s="164"/>
      <c r="N65" s="39"/>
      <c r="O65" s="39"/>
      <c r="P65" s="39" t="s">
        <v>231</v>
      </c>
      <c r="Q65" s="39"/>
      <c r="R65" s="39"/>
    </row>
    <row r="66" spans="13:18" ht="15" customHeight="1">
      <c r="M66" s="164"/>
      <c r="N66" s="36"/>
      <c r="O66" s="36"/>
      <c r="P66" s="36" t="s">
        <v>232</v>
      </c>
      <c r="Q66" s="36"/>
      <c r="R66" s="36"/>
    </row>
    <row r="67" spans="13:18" ht="15" customHeight="1">
      <c r="M67" s="164"/>
      <c r="N67" s="39"/>
      <c r="O67" s="39"/>
      <c r="P67" s="39" t="s">
        <v>233</v>
      </c>
      <c r="Q67" s="39"/>
      <c r="R67" s="39"/>
    </row>
    <row r="68" spans="13:18" ht="15" customHeight="1">
      <c r="M68" s="164"/>
      <c r="N68" s="36"/>
      <c r="O68" s="36"/>
      <c r="P68" s="36" t="s">
        <v>234</v>
      </c>
      <c r="Q68" s="36"/>
      <c r="R68" s="36"/>
    </row>
    <row r="69" spans="13:18" ht="15" customHeight="1">
      <c r="M69" s="164"/>
      <c r="N69" s="39"/>
      <c r="O69" s="39"/>
      <c r="P69" s="39" t="s">
        <v>235</v>
      </c>
      <c r="Q69" s="39"/>
      <c r="R69" s="39"/>
    </row>
    <row r="70" spans="13:18" ht="15" customHeight="1">
      <c r="M70" s="164"/>
      <c r="N70" s="36"/>
      <c r="O70" s="36"/>
      <c r="P70" s="36" t="s">
        <v>236</v>
      </c>
      <c r="Q70" s="36"/>
      <c r="R70" s="36"/>
    </row>
    <row r="71" spans="13:18" ht="15" customHeight="1">
      <c r="M71" s="164"/>
      <c r="N71" s="39"/>
      <c r="O71" s="39"/>
      <c r="P71" s="39" t="s">
        <v>237</v>
      </c>
      <c r="Q71" s="39"/>
      <c r="R71" s="39"/>
    </row>
    <row r="72" spans="13:18" ht="15" customHeight="1">
      <c r="M72" s="164"/>
      <c r="N72" s="36"/>
      <c r="O72" s="36"/>
      <c r="P72" s="36" t="s">
        <v>238</v>
      </c>
      <c r="Q72" s="36"/>
      <c r="R72" s="36"/>
    </row>
    <row r="73" spans="13:18" ht="15" customHeight="1">
      <c r="M73" s="164"/>
      <c r="N73" s="39"/>
      <c r="O73" s="39"/>
      <c r="P73" s="39" t="s">
        <v>239</v>
      </c>
      <c r="Q73" s="39"/>
      <c r="R73" s="39"/>
    </row>
    <row r="74" spans="13:18" ht="15" customHeight="1">
      <c r="M74" s="164"/>
      <c r="N74" s="36"/>
      <c r="O74" s="36"/>
      <c r="P74" s="36" t="s">
        <v>240</v>
      </c>
      <c r="Q74" s="36"/>
      <c r="R74" s="36"/>
    </row>
    <row r="75" spans="13:18" ht="15" customHeight="1">
      <c r="M75" s="164"/>
      <c r="N75" s="39"/>
      <c r="O75" s="39"/>
      <c r="P75" s="39" t="s">
        <v>241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242</v>
      </c>
      <c r="C1" s="137" t="s">
        <v>243</v>
      </c>
      <c r="D1" s="137" t="s">
        <v>19</v>
      </c>
      <c r="E1" s="137" t="s">
        <v>244</v>
      </c>
      <c r="F1" s="137" t="s">
        <v>245</v>
      </c>
      <c r="G1" s="137" t="s">
        <v>246</v>
      </c>
      <c r="H1" s="137" t="s">
        <v>247</v>
      </c>
      <c r="I1" s="137" t="s">
        <v>248</v>
      </c>
      <c r="J1" s="137" t="s">
        <v>249</v>
      </c>
      <c r="K1" s="137" t="s">
        <v>250</v>
      </c>
    </row>
    <row r="2" spans="1:11" ht="15.75" customHeight="1">
      <c r="A2" s="138">
        <v>46235</v>
      </c>
      <c r="B2" s="139" t="s">
        <v>251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252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66" t="s">
        <v>253</v>
      </c>
      <c r="B4" s="166"/>
      <c r="C4" s="166"/>
      <c r="D4" s="166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251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252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66" t="s">
        <v>253</v>
      </c>
      <c r="B7" s="166"/>
      <c r="C7" s="166"/>
      <c r="D7" s="166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251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252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66" t="s">
        <v>253</v>
      </c>
      <c r="B10" s="166"/>
      <c r="C10" s="166"/>
      <c r="D10" s="166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251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252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66" t="s">
        <v>253</v>
      </c>
      <c r="B13" s="166"/>
      <c r="C13" s="166"/>
      <c r="D13" s="166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251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252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66" t="s">
        <v>253</v>
      </c>
      <c r="B16" s="166"/>
      <c r="C16" s="166"/>
      <c r="D16" s="166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251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252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66" t="s">
        <v>253</v>
      </c>
      <c r="B19" s="166"/>
      <c r="C19" s="166"/>
      <c r="D19" s="166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251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252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66" t="s">
        <v>253</v>
      </c>
      <c r="B22" s="166"/>
      <c r="C22" s="166"/>
      <c r="D22" s="166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251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252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66" t="s">
        <v>253</v>
      </c>
      <c r="B25" s="166"/>
      <c r="C25" s="166"/>
      <c r="D25" s="166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251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252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66" t="s">
        <v>253</v>
      </c>
      <c r="B28" s="166"/>
      <c r="C28" s="166"/>
      <c r="D28" s="166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251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252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66" t="s">
        <v>253</v>
      </c>
      <c r="B31" s="166"/>
      <c r="C31" s="166"/>
      <c r="D31" s="166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251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252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66" t="s">
        <v>253</v>
      </c>
      <c r="B34" s="166"/>
      <c r="C34" s="166"/>
      <c r="D34" s="166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251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252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66" t="s">
        <v>253</v>
      </c>
      <c r="B37" s="166"/>
      <c r="C37" s="166"/>
      <c r="D37" s="166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251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252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66" t="s">
        <v>253</v>
      </c>
      <c r="B40" s="166"/>
      <c r="C40" s="166"/>
      <c r="D40" s="166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251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252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66" t="s">
        <v>253</v>
      </c>
      <c r="B43" s="166"/>
      <c r="C43" s="166"/>
      <c r="D43" s="166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251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252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66" t="s">
        <v>253</v>
      </c>
      <c r="B46" s="166"/>
      <c r="C46" s="166"/>
      <c r="D46" s="166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251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252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66" t="s">
        <v>253</v>
      </c>
      <c r="B49" s="166"/>
      <c r="C49" s="166"/>
      <c r="D49" s="166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251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252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66" t="s">
        <v>253</v>
      </c>
      <c r="B52" s="166"/>
      <c r="C52" s="166"/>
      <c r="D52" s="166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251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252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66" t="s">
        <v>253</v>
      </c>
      <c r="B55" s="166"/>
      <c r="C55" s="166"/>
      <c r="D55" s="166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251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252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66" t="s">
        <v>253</v>
      </c>
      <c r="B58" s="166"/>
      <c r="C58" s="166"/>
      <c r="D58" s="166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251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252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66" t="s">
        <v>253</v>
      </c>
      <c r="B61" s="166"/>
      <c r="C61" s="166"/>
      <c r="D61" s="166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251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252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66" t="s">
        <v>253</v>
      </c>
      <c r="B64" s="166"/>
      <c r="C64" s="166"/>
      <c r="D64" s="166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251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252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66" t="s">
        <v>253</v>
      </c>
      <c r="B67" s="166"/>
      <c r="C67" s="166"/>
      <c r="D67" s="166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251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252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66" t="s">
        <v>253</v>
      </c>
      <c r="B70" s="166"/>
      <c r="C70" s="166"/>
      <c r="D70" s="166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251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252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66" t="s">
        <v>253</v>
      </c>
      <c r="B73" s="166"/>
      <c r="C73" s="166"/>
      <c r="D73" s="166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251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252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66" t="s">
        <v>253</v>
      </c>
      <c r="B76" s="166"/>
      <c r="C76" s="166"/>
      <c r="D76" s="166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251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252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66" t="s">
        <v>253</v>
      </c>
      <c r="B79" s="166"/>
      <c r="C79" s="166"/>
      <c r="D79" s="166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251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252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66" t="s">
        <v>253</v>
      </c>
      <c r="B82" s="166"/>
      <c r="C82" s="166"/>
      <c r="D82" s="166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251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252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66" t="s">
        <v>253</v>
      </c>
      <c r="B85" s="166"/>
      <c r="C85" s="166"/>
      <c r="D85" s="166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251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252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66" t="s">
        <v>253</v>
      </c>
      <c r="B88" s="166"/>
      <c r="C88" s="166"/>
      <c r="D88" s="166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251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252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66" t="s">
        <v>253</v>
      </c>
      <c r="B91" s="166"/>
      <c r="C91" s="166"/>
      <c r="D91" s="166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251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252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66" t="s">
        <v>253</v>
      </c>
      <c r="B94" s="166"/>
      <c r="C94" s="166"/>
      <c r="D94" s="166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42" activePane="bottomLeft" state="frozen"/>
      <selection pane="bottomLeft" activeCell="F661" sqref="F661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56" t="s">
        <v>256</v>
      </c>
      <c r="G1" s="56" t="s">
        <v>257</v>
      </c>
      <c r="H1" s="56" t="s">
        <v>23</v>
      </c>
      <c r="I1" s="56" t="s">
        <v>24</v>
      </c>
      <c r="J1" s="56" t="s">
        <v>258</v>
      </c>
      <c r="K1" s="56" t="s">
        <v>259</v>
      </c>
      <c r="L1" s="56" t="s">
        <v>260</v>
      </c>
      <c r="M1" s="57" t="s">
        <v>261</v>
      </c>
      <c r="N1" s="56" t="s">
        <v>250</v>
      </c>
      <c r="O1" s="56" t="s">
        <v>262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263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263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263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263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263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263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263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263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263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263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263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263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67" t="s">
        <v>264</v>
      </c>
      <c r="B14" s="167"/>
      <c r="C14" s="167"/>
      <c r="D14" s="167"/>
      <c r="E14" s="167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265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263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142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263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263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266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263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263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263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263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263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263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263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263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263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67" t="s">
        <v>267</v>
      </c>
      <c r="B27" s="167"/>
      <c r="C27" s="167"/>
      <c r="D27" s="167"/>
      <c r="E27" s="167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265</v>
      </c>
      <c r="O27" s="73">
        <v>997910</v>
      </c>
    </row>
    <row r="28" spans="1:15" ht="18" customHeight="1">
      <c r="A28" s="168" t="s">
        <v>253</v>
      </c>
      <c r="B28" s="168"/>
      <c r="C28" s="168"/>
      <c r="D28" s="168"/>
      <c r="E28" s="168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268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263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168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263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141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269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263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266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263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263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263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263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263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263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263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263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263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67" t="s">
        <v>264</v>
      </c>
      <c r="B41" s="167"/>
      <c r="C41" s="167"/>
      <c r="D41" s="167"/>
      <c r="E41" s="167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265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263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270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263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263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263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263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263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263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263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263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263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263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67" t="s">
        <v>267</v>
      </c>
      <c r="B54" s="167"/>
      <c r="C54" s="167"/>
      <c r="D54" s="167"/>
      <c r="E54" s="167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265</v>
      </c>
      <c r="O54" s="73">
        <v>981310</v>
      </c>
    </row>
    <row r="55" spans="1:15" ht="18" customHeight="1">
      <c r="A55" s="168" t="s">
        <v>253</v>
      </c>
      <c r="B55" s="168"/>
      <c r="C55" s="168"/>
      <c r="D55" s="168"/>
      <c r="E55" s="168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268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263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168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263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145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263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263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263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263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263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263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263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263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263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263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67" t="s">
        <v>264</v>
      </c>
      <c r="B68" s="167"/>
      <c r="C68" s="167"/>
      <c r="D68" s="167"/>
      <c r="E68" s="167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265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263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263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271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263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263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263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263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263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263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263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263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263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263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67" t="s">
        <v>267</v>
      </c>
      <c r="B81" s="167"/>
      <c r="C81" s="167"/>
      <c r="D81" s="167"/>
      <c r="E81" s="167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265</v>
      </c>
      <c r="O81" s="73">
        <v>1547910</v>
      </c>
    </row>
    <row r="82" spans="1:15" ht="18" customHeight="1">
      <c r="A82" s="168" t="s">
        <v>253</v>
      </c>
      <c r="B82" s="168"/>
      <c r="C82" s="168"/>
      <c r="D82" s="168"/>
      <c r="E82" s="168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268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263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263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145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263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156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272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263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263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263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263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263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263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263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263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263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67" t="s">
        <v>264</v>
      </c>
      <c r="B95" s="167"/>
      <c r="C95" s="167"/>
      <c r="D95" s="167"/>
      <c r="E95" s="167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265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263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263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263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263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263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263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273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263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263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263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263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263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263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67" t="s">
        <v>267</v>
      </c>
      <c r="B108" s="167"/>
      <c r="C108" s="167"/>
      <c r="D108" s="167"/>
      <c r="E108" s="167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265</v>
      </c>
      <c r="O108" s="73">
        <v>3156240</v>
      </c>
    </row>
    <row r="109" spans="1:15" ht="18" customHeight="1">
      <c r="A109" s="168" t="s">
        <v>253</v>
      </c>
      <c r="B109" s="168"/>
      <c r="C109" s="168"/>
      <c r="D109" s="168"/>
      <c r="E109" s="168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268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263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263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263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263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263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263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263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263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263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263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263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263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67" t="s">
        <v>264</v>
      </c>
      <c r="B122" s="167"/>
      <c r="C122" s="167"/>
      <c r="D122" s="167"/>
      <c r="E122" s="167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265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263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263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263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263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263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263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263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263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263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263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263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263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67" t="s">
        <v>267</v>
      </c>
      <c r="B135" s="167"/>
      <c r="C135" s="167"/>
      <c r="D135" s="167"/>
      <c r="E135" s="167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265</v>
      </c>
      <c r="O135" s="73">
        <v>2875180</v>
      </c>
    </row>
    <row r="136" spans="1:15" ht="18" customHeight="1">
      <c r="A136" s="168" t="s">
        <v>253</v>
      </c>
      <c r="B136" s="168"/>
      <c r="C136" s="168"/>
      <c r="D136" s="168"/>
      <c r="E136" s="168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268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263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274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263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263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263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263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263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263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263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263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263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263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263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67" t="s">
        <v>264</v>
      </c>
      <c r="B149" s="167"/>
      <c r="C149" s="167"/>
      <c r="D149" s="167"/>
      <c r="E149" s="167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265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263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145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263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275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263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145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263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263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156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263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263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263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263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263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263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263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67" t="s">
        <v>267</v>
      </c>
      <c r="B162" s="167"/>
      <c r="C162" s="167"/>
      <c r="D162" s="167"/>
      <c r="E162" s="167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265</v>
      </c>
      <c r="O162" s="78">
        <v>842000</v>
      </c>
    </row>
    <row r="163" spans="1:15" ht="18" customHeight="1">
      <c r="A163" s="168" t="s">
        <v>253</v>
      </c>
      <c r="B163" s="168"/>
      <c r="C163" s="168"/>
      <c r="D163" s="168"/>
      <c r="E163" s="168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268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263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240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276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263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263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263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263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263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263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263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263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263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263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263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67" t="s">
        <v>264</v>
      </c>
      <c r="B176" s="167"/>
      <c r="C176" s="167"/>
      <c r="D176" s="167"/>
      <c r="E176" s="167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265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263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277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263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263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263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263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263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263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263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278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263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263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263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67" t="s">
        <v>267</v>
      </c>
      <c r="B189" s="167"/>
      <c r="C189" s="167"/>
      <c r="D189" s="167"/>
      <c r="E189" s="167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265</v>
      </c>
      <c r="O189" s="73">
        <v>1901630</v>
      </c>
    </row>
    <row r="190" spans="1:15" ht="18" customHeight="1">
      <c r="A190" s="168" t="s">
        <v>253</v>
      </c>
      <c r="B190" s="168"/>
      <c r="C190" s="168"/>
      <c r="D190" s="168"/>
      <c r="E190" s="168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268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263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263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263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279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263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263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263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263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263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263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263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263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263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67" t="s">
        <v>264</v>
      </c>
      <c r="B203" s="167"/>
      <c r="C203" s="167"/>
      <c r="D203" s="167"/>
      <c r="E203" s="167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265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263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263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263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263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263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263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263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263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263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263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263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263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67" t="s">
        <v>267</v>
      </c>
      <c r="B216" s="167"/>
      <c r="C216" s="167"/>
      <c r="D216" s="167"/>
      <c r="E216" s="167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265</v>
      </c>
      <c r="O216" s="73">
        <v>1852295</v>
      </c>
    </row>
    <row r="217" spans="1:15" ht="18" customHeight="1">
      <c r="A217" s="168" t="s">
        <v>253</v>
      </c>
      <c r="B217" s="168"/>
      <c r="C217" s="168"/>
      <c r="D217" s="168"/>
      <c r="E217" s="168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268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263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178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263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263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216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280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263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263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263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263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263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263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263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263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263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67" t="s">
        <v>264</v>
      </c>
      <c r="B230" s="167"/>
      <c r="C230" s="167"/>
      <c r="D230" s="167"/>
      <c r="E230" s="167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265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263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216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263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156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263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156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281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281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281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281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281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281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281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281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281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67" t="s">
        <v>267</v>
      </c>
      <c r="B243" s="167"/>
      <c r="C243" s="167"/>
      <c r="D243" s="167"/>
      <c r="E243" s="167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265</v>
      </c>
      <c r="O243" s="73">
        <v>991010</v>
      </c>
    </row>
    <row r="244" spans="1:15" ht="18" customHeight="1">
      <c r="A244" s="168" t="s">
        <v>253</v>
      </c>
      <c r="B244" s="168"/>
      <c r="C244" s="168"/>
      <c r="D244" s="168"/>
      <c r="E244" s="168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268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263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221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263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263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263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263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282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263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263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263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263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263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263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263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67" t="s">
        <v>264</v>
      </c>
      <c r="B257" s="167"/>
      <c r="C257" s="167"/>
      <c r="D257" s="167"/>
      <c r="E257" s="167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265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283</v>
      </c>
      <c r="E258" s="74" t="s">
        <v>263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283</v>
      </c>
      <c r="E259" s="74" t="s">
        <v>263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145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283</v>
      </c>
      <c r="E260" s="74" t="s">
        <v>263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283</v>
      </c>
      <c r="E261" s="74" t="s">
        <v>263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283</v>
      </c>
      <c r="E262" s="74" t="s">
        <v>263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283</v>
      </c>
      <c r="E263" s="74" t="s">
        <v>263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283</v>
      </c>
      <c r="E264" s="74" t="s">
        <v>263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283</v>
      </c>
      <c r="E265" s="74" t="s">
        <v>263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283</v>
      </c>
      <c r="E266" s="74" t="s">
        <v>263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283</v>
      </c>
      <c r="E267" s="74" t="s">
        <v>263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283</v>
      </c>
      <c r="E268" s="74" t="s">
        <v>263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283</v>
      </c>
      <c r="E269" s="74" t="s">
        <v>263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67" t="s">
        <v>267</v>
      </c>
      <c r="B270" s="167"/>
      <c r="C270" s="167"/>
      <c r="D270" s="167"/>
      <c r="E270" s="167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265</v>
      </c>
      <c r="O270" s="73">
        <v>1544700</v>
      </c>
    </row>
    <row r="271" spans="1:15" ht="18" customHeight="1">
      <c r="A271" s="168" t="s">
        <v>253</v>
      </c>
      <c r="B271" s="168"/>
      <c r="C271" s="168"/>
      <c r="D271" s="168"/>
      <c r="E271" s="168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268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283</v>
      </c>
      <c r="E272" s="61" t="s">
        <v>263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178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283</v>
      </c>
      <c r="E273" s="61" t="s">
        <v>263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145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283</v>
      </c>
      <c r="E274" s="61" t="s">
        <v>263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283</v>
      </c>
      <c r="E275" s="61" t="s">
        <v>263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221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283</v>
      </c>
      <c r="E276" s="61" t="s">
        <v>263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283</v>
      </c>
      <c r="E277" s="61" t="s">
        <v>263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284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283</v>
      </c>
      <c r="E278" s="61" t="s">
        <v>263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283</v>
      </c>
      <c r="E279" s="61" t="s">
        <v>263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283</v>
      </c>
      <c r="E280" s="61" t="s">
        <v>263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283</v>
      </c>
      <c r="E281" s="61" t="s">
        <v>263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283</v>
      </c>
      <c r="E282" s="61" t="s">
        <v>263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283</v>
      </c>
      <c r="E283" s="61" t="s">
        <v>263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67" t="s">
        <v>264</v>
      </c>
      <c r="B284" s="167"/>
      <c r="C284" s="167"/>
      <c r="D284" s="167"/>
      <c r="E284" s="167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265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283</v>
      </c>
      <c r="E285" s="74" t="s">
        <v>278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283</v>
      </c>
      <c r="E286" s="74" t="s">
        <v>278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283</v>
      </c>
      <c r="E287" s="74" t="s">
        <v>278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283</v>
      </c>
      <c r="E288" s="74" t="s">
        <v>278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283</v>
      </c>
      <c r="E289" s="74" t="s">
        <v>278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283</v>
      </c>
      <c r="E290" s="74" t="s">
        <v>278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283</v>
      </c>
      <c r="E291" s="74" t="s">
        <v>278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283</v>
      </c>
      <c r="E292" s="74" t="s">
        <v>278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283</v>
      </c>
      <c r="E293" s="74" t="s">
        <v>278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283</v>
      </c>
      <c r="E294" s="74" t="s">
        <v>278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283</v>
      </c>
      <c r="E295" s="74" t="s">
        <v>278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283</v>
      </c>
      <c r="E296" s="74" t="s">
        <v>278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67" t="s">
        <v>267</v>
      </c>
      <c r="B297" s="167"/>
      <c r="C297" s="167"/>
      <c r="D297" s="167"/>
      <c r="E297" s="167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265</v>
      </c>
      <c r="O297" s="73">
        <v>1715230</v>
      </c>
    </row>
    <row r="298" spans="1:15" ht="18" customHeight="1">
      <c r="A298" s="168" t="s">
        <v>253</v>
      </c>
      <c r="B298" s="168"/>
      <c r="C298" s="168"/>
      <c r="D298" s="168"/>
      <c r="E298" s="168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268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263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240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263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145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263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263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285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263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263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263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263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263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263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263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263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67" t="s">
        <v>264</v>
      </c>
      <c r="B311" s="167"/>
      <c r="C311" s="167"/>
      <c r="D311" s="167"/>
      <c r="E311" s="167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265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263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263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263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263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263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263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263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263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263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263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263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263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67" t="s">
        <v>267</v>
      </c>
      <c r="B324" s="167"/>
      <c r="C324" s="167"/>
      <c r="D324" s="167"/>
      <c r="E324" s="167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265</v>
      </c>
      <c r="O324" s="73">
        <v>2216340</v>
      </c>
    </row>
    <row r="325" spans="1:15" ht="18" customHeight="1">
      <c r="A325" s="168" t="s">
        <v>253</v>
      </c>
      <c r="B325" s="168"/>
      <c r="C325" s="168"/>
      <c r="D325" s="168"/>
      <c r="E325" s="168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268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145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216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286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263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263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263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287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263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263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263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263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67" t="s">
        <v>264</v>
      </c>
      <c r="B338" s="167"/>
      <c r="C338" s="167"/>
      <c r="D338" s="167"/>
      <c r="E338" s="167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265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263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263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263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263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263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263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263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263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263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263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263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263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67" t="s">
        <v>267</v>
      </c>
      <c r="B351" s="167"/>
      <c r="C351" s="167"/>
      <c r="D351" s="167"/>
      <c r="E351" s="167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265</v>
      </c>
      <c r="O351" s="73">
        <v>2154990</v>
      </c>
    </row>
    <row r="352" spans="1:15" ht="18" customHeight="1">
      <c r="A352" s="168" t="s">
        <v>253</v>
      </c>
      <c r="B352" s="168"/>
      <c r="C352" s="168"/>
      <c r="D352" s="168"/>
      <c r="E352" s="168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268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263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263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145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263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263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263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263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278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263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263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263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263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263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67" t="s">
        <v>264</v>
      </c>
      <c r="B365" s="167"/>
      <c r="C365" s="167"/>
      <c r="D365" s="167"/>
      <c r="E365" s="167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265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263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263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263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263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263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263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263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263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263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263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263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263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67" t="s">
        <v>267</v>
      </c>
      <c r="B378" s="167"/>
      <c r="C378" s="167"/>
      <c r="D378" s="167"/>
      <c r="E378" s="167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265</v>
      </c>
      <c r="O378" s="73">
        <v>2614830</v>
      </c>
    </row>
    <row r="379" spans="1:15" ht="18" customHeight="1">
      <c r="A379" s="168" t="s">
        <v>253</v>
      </c>
      <c r="B379" s="168"/>
      <c r="C379" s="168"/>
      <c r="D379" s="168"/>
      <c r="E379" s="168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268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263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263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263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263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263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263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263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263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263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263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263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263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67" t="s">
        <v>264</v>
      </c>
      <c r="B392" s="167"/>
      <c r="C392" s="167"/>
      <c r="D392" s="167"/>
      <c r="E392" s="167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265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263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168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288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263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263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263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263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263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263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263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263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263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263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263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67" t="s">
        <v>267</v>
      </c>
      <c r="B405" s="167"/>
      <c r="C405" s="167"/>
      <c r="D405" s="167"/>
      <c r="E405" s="167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265</v>
      </c>
      <c r="O405" s="73">
        <v>2612000</v>
      </c>
    </row>
    <row r="406" spans="1:15" ht="18" customHeight="1">
      <c r="A406" s="168" t="s">
        <v>253</v>
      </c>
      <c r="B406" s="168"/>
      <c r="C406" s="168"/>
      <c r="D406" s="168"/>
      <c r="E406" s="168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268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263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263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263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263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263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263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263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263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263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263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263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263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67" t="s">
        <v>264</v>
      </c>
      <c r="B419" s="167"/>
      <c r="C419" s="167"/>
      <c r="D419" s="167"/>
      <c r="E419" s="167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265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263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234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263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145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289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263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145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289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263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263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263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263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263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263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263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263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263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67" t="s">
        <v>267</v>
      </c>
      <c r="B432" s="167"/>
      <c r="C432" s="167"/>
      <c r="D432" s="167"/>
      <c r="E432" s="167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265</v>
      </c>
      <c r="O432" s="73">
        <v>2266710</v>
      </c>
    </row>
    <row r="433" spans="1:15" ht="18" customHeight="1">
      <c r="A433" s="168" t="s">
        <v>253</v>
      </c>
      <c r="B433" s="168"/>
      <c r="C433" s="168"/>
      <c r="D433" s="168"/>
      <c r="E433" s="168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268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263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168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263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263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263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263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263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263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263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263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263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263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263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67" t="s">
        <v>264</v>
      </c>
      <c r="B446" s="167"/>
      <c r="C446" s="167"/>
      <c r="D446" s="167"/>
      <c r="E446" s="167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265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263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145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290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263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291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263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263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263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263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292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263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293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263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294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263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263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263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263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67" t="s">
        <v>267</v>
      </c>
      <c r="B459" s="167"/>
      <c r="C459" s="167"/>
      <c r="D459" s="167"/>
      <c r="E459" s="167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265</v>
      </c>
      <c r="O459" s="73">
        <v>2361680</v>
      </c>
    </row>
    <row r="460" spans="1:15" ht="18" customHeight="1">
      <c r="A460" s="168" t="s">
        <v>253</v>
      </c>
      <c r="B460" s="168"/>
      <c r="C460" s="168"/>
      <c r="D460" s="168"/>
      <c r="E460" s="168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268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263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295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263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263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263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263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263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263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263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263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263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263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263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67" t="s">
        <v>264</v>
      </c>
      <c r="B473" s="167"/>
      <c r="C473" s="167"/>
      <c r="D473" s="167"/>
      <c r="E473" s="167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265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263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263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263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145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296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263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263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263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263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263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263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263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263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263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67" t="s">
        <v>267</v>
      </c>
      <c r="B486" s="167"/>
      <c r="C486" s="167"/>
      <c r="D486" s="167"/>
      <c r="E486" s="167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265</v>
      </c>
      <c r="O486" s="73">
        <v>1798670</v>
      </c>
    </row>
    <row r="487" spans="1:15" ht="18" customHeight="1">
      <c r="A487" s="168" t="s">
        <v>253</v>
      </c>
      <c r="B487" s="168"/>
      <c r="C487" s="168"/>
      <c r="D487" s="168"/>
      <c r="E487" s="168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268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263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141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263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297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263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263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263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263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263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263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263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263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263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263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67" t="s">
        <v>264</v>
      </c>
      <c r="B500" s="167"/>
      <c r="C500" s="167"/>
      <c r="D500" s="167"/>
      <c r="E500" s="167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265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263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263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168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298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263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263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263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263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263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263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263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263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263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278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67" t="s">
        <v>267</v>
      </c>
      <c r="B513" s="167"/>
      <c r="C513" s="167"/>
      <c r="D513" s="167"/>
      <c r="E513" s="167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265</v>
      </c>
      <c r="O513" s="73">
        <v>2435830</v>
      </c>
    </row>
    <row r="514" spans="1:15" ht="18" customHeight="1">
      <c r="A514" s="168" t="s">
        <v>253</v>
      </c>
      <c r="B514" s="168"/>
      <c r="C514" s="168"/>
      <c r="D514" s="168"/>
      <c r="E514" s="168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268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263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263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263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263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263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278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278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278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278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278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278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278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67" t="s">
        <v>264</v>
      </c>
      <c r="B527" s="167"/>
      <c r="C527" s="167"/>
      <c r="D527" s="167"/>
      <c r="E527" s="167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265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263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299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263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263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178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263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263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263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263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263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263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263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263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263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67" t="s">
        <v>267</v>
      </c>
      <c r="B540" s="167"/>
      <c r="C540" s="167"/>
      <c r="D540" s="167"/>
      <c r="E540" s="167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265</v>
      </c>
      <c r="O540" s="73">
        <v>667100</v>
      </c>
    </row>
    <row r="541" spans="1:15" ht="18" customHeight="1">
      <c r="A541" s="168" t="s">
        <v>253</v>
      </c>
      <c r="B541" s="168"/>
      <c r="C541" s="168"/>
      <c r="D541" s="168"/>
      <c r="E541" s="168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268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300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67" t="s">
        <v>264</v>
      </c>
      <c r="B554" s="167"/>
      <c r="C554" s="167"/>
      <c r="D554" s="167"/>
      <c r="E554" s="167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265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263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300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263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168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266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263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301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263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178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263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302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263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263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303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263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263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263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263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263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67" t="s">
        <v>267</v>
      </c>
      <c r="B567" s="167"/>
      <c r="C567" s="167"/>
      <c r="D567" s="167"/>
      <c r="E567" s="167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265</v>
      </c>
      <c r="O567" s="73">
        <v>1031030</v>
      </c>
    </row>
    <row r="568" spans="1:15" ht="18" customHeight="1">
      <c r="A568" s="168" t="s">
        <v>253</v>
      </c>
      <c r="B568" s="168"/>
      <c r="C568" s="168"/>
      <c r="D568" s="168"/>
      <c r="E568" s="168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268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263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178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263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178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263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217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304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263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263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263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263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263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263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263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263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263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67" t="s">
        <v>264</v>
      </c>
      <c r="B581" s="167"/>
      <c r="C581" s="167"/>
      <c r="D581" s="167"/>
      <c r="E581" s="167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265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263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145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305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263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306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263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263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263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263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263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263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263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263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263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263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67" t="s">
        <v>267</v>
      </c>
      <c r="B594" s="167"/>
      <c r="C594" s="167"/>
      <c r="D594" s="167"/>
      <c r="E594" s="167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265</v>
      </c>
      <c r="O594" s="73">
        <v>2100270</v>
      </c>
    </row>
    <row r="595" spans="1:15" ht="18" customHeight="1">
      <c r="A595" s="168" t="s">
        <v>253</v>
      </c>
      <c r="B595" s="168"/>
      <c r="C595" s="168"/>
      <c r="D595" s="168"/>
      <c r="E595" s="168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268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263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263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263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263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263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263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263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263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263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263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263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263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67" t="s">
        <v>264</v>
      </c>
      <c r="B608" s="167"/>
      <c r="C608" s="167"/>
      <c r="D608" s="167"/>
      <c r="E608" s="167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265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263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187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263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307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263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263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263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263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263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263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263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263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263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263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67" t="s">
        <v>267</v>
      </c>
      <c r="B621" s="167"/>
      <c r="C621" s="167"/>
      <c r="D621" s="167"/>
      <c r="E621" s="167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265</v>
      </c>
      <c r="O621" s="73">
        <v>2354670</v>
      </c>
    </row>
    <row r="622" spans="1:15" ht="18" customHeight="1">
      <c r="A622" s="168" t="s">
        <v>253</v>
      </c>
      <c r="B622" s="168"/>
      <c r="C622" s="168"/>
      <c r="D622" s="168"/>
      <c r="E622" s="168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268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263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183</v>
      </c>
      <c r="J623" s="69" t="s">
        <v>147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263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263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263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263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263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263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263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263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263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263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263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67" t="s">
        <v>264</v>
      </c>
      <c r="B635" s="167"/>
      <c r="C635" s="167"/>
      <c r="D635" s="167"/>
      <c r="E635" s="167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265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263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145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308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263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263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263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263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263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263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263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263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263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263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263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67" t="s">
        <v>267</v>
      </c>
      <c r="B648" s="167"/>
      <c r="C648" s="167"/>
      <c r="D648" s="167"/>
      <c r="E648" s="167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265</v>
      </c>
      <c r="O648" s="73">
        <v>2128400</v>
      </c>
    </row>
    <row r="649" spans="1:15" ht="18" customHeight="1">
      <c r="A649" s="168" t="s">
        <v>253</v>
      </c>
      <c r="B649" s="168"/>
      <c r="C649" s="168"/>
      <c r="D649" s="168"/>
      <c r="E649" s="168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268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263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145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/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263</v>
      </c>
      <c r="F651" s="62">
        <v>37</v>
      </c>
      <c r="G651" s="68">
        <f t="shared" si="140"/>
        <v>185</v>
      </c>
      <c r="H651" s="69"/>
      <c r="I651" s="69"/>
      <c r="J651" s="69"/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263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263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263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263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263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263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263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263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263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263</v>
      </c>
      <c r="F661" s="62"/>
      <c r="G661" s="68" t="str">
        <f t="shared" si="140"/>
        <v/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67" t="s">
        <v>264</v>
      </c>
      <c r="B662" s="167"/>
      <c r="C662" s="167"/>
      <c r="D662" s="167"/>
      <c r="E662" s="167"/>
      <c r="F662" s="2">
        <f>SUM(F650:F661)</f>
        <v>301</v>
      </c>
      <c r="G662" s="2">
        <f>SUM(G650:G661)</f>
        <v>1505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265</v>
      </c>
      <c r="O662" s="73"/>
    </row>
    <row r="663" spans="1:15" ht="15" customHeight="1">
      <c r="A663" s="18">
        <v>46259</v>
      </c>
      <c r="B663" s="67">
        <v>0.83333333333333304</v>
      </c>
      <c r="C663" s="69"/>
      <c r="D663" s="74"/>
      <c r="E663" s="74"/>
      <c r="F663" s="62"/>
      <c r="G663" s="68" t="str">
        <f t="shared" ref="G663:G674" si="143">IF(F663="","",IF(E663="PC 17",F663*4.2,IF(E663="PC 19",F663*5,IF(E663="CB",F663*35,""))))</f>
        <v/>
      </c>
      <c r="H663" s="69"/>
      <c r="I663" s="69"/>
      <c r="J663" s="69"/>
      <c r="K663" s="64"/>
      <c r="L663" s="64"/>
      <c r="M663" s="70" t="str">
        <f t="shared" ref="M663:M674" ca="1" si="144">IFERROR(IF(K663="","",IF(L663="",MOD(NOW()-K663,1),IF(L663&gt;=K663,L663-K663,L663+1-K663))),"")</f>
        <v/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/>
      <c r="D664" s="74"/>
      <c r="E664" s="74"/>
      <c r="F664" s="62"/>
      <c r="G664" s="63" t="str">
        <f t="shared" si="143"/>
        <v/>
      </c>
      <c r="H664" s="60"/>
      <c r="I664" s="60"/>
      <c r="J664" s="60"/>
      <c r="K664" s="64"/>
      <c r="L664" s="64"/>
      <c r="M664" s="65" t="str">
        <f t="shared" ca="1" si="144"/>
        <v/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/>
      <c r="D665" s="74"/>
      <c r="E665" s="74"/>
      <c r="F665" s="62"/>
      <c r="G665" s="68" t="str">
        <f t="shared" si="143"/>
        <v/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/>
      <c r="D666" s="74"/>
      <c r="E666" s="74"/>
      <c r="F666" s="62"/>
      <c r="G666" s="63" t="str">
        <f t="shared" si="143"/>
        <v/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/>
      <c r="D667" s="74"/>
      <c r="E667" s="74"/>
      <c r="F667" s="62"/>
      <c r="G667" s="68" t="str">
        <f t="shared" si="143"/>
        <v/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/>
      <c r="D668" s="74"/>
      <c r="E668" s="74"/>
      <c r="F668" s="62"/>
      <c r="G668" s="63" t="str">
        <f t="shared" si="143"/>
        <v/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/>
      <c r="D669" s="74"/>
      <c r="E669" s="74"/>
      <c r="F669" s="62"/>
      <c r="G669" s="68" t="str">
        <f t="shared" si="143"/>
        <v/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/>
      <c r="D670" s="74"/>
      <c r="E670" s="74"/>
      <c r="F670" s="62"/>
      <c r="G670" s="63" t="str">
        <f t="shared" si="143"/>
        <v/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/>
      <c r="D671" s="74"/>
      <c r="E671" s="74"/>
      <c r="F671" s="62"/>
      <c r="G671" s="68" t="str">
        <f t="shared" si="143"/>
        <v/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/>
      <c r="D672" s="74"/>
      <c r="E672" s="74"/>
      <c r="F672" s="62"/>
      <c r="G672" s="63" t="str">
        <f t="shared" si="143"/>
        <v/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/>
      <c r="D673" s="74"/>
      <c r="E673" s="74"/>
      <c r="F673" s="62"/>
      <c r="G673" s="68" t="str">
        <f t="shared" si="143"/>
        <v/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60"/>
      <c r="D674" s="61"/>
      <c r="E674" s="61"/>
      <c r="F674" s="62"/>
      <c r="G674" s="63" t="str">
        <f t="shared" si="143"/>
        <v/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67" t="s">
        <v>267</v>
      </c>
      <c r="B675" s="167"/>
      <c r="C675" s="167"/>
      <c r="D675" s="167"/>
      <c r="E675" s="167"/>
      <c r="F675" s="2">
        <f>SUM(F663:F674)</f>
        <v>0</v>
      </c>
      <c r="G675" s="2">
        <f>SUM(G663:G674)</f>
        <v>0</v>
      </c>
      <c r="H675" s="71"/>
      <c r="I675" s="71"/>
      <c r="J675" s="71"/>
      <c r="K675" s="71"/>
      <c r="L675" s="71"/>
      <c r="M675" s="72">
        <f ca="1">IFERROR(SUM(M663:M674),"")</f>
        <v>0</v>
      </c>
      <c r="N675" s="2" t="s">
        <v>265</v>
      </c>
      <c r="O675" s="73"/>
    </row>
    <row r="676" spans="1:15" ht="18" customHeight="1">
      <c r="A676" s="168" t="s">
        <v>253</v>
      </c>
      <c r="B676" s="168"/>
      <c r="C676" s="168"/>
      <c r="D676" s="168"/>
      <c r="E676" s="168"/>
      <c r="F676" s="1">
        <f>F662+F675</f>
        <v>301</v>
      </c>
      <c r="G676" s="1">
        <f>G662+G675</f>
        <v>1505</v>
      </c>
      <c r="H676" s="75"/>
      <c r="I676" s="75"/>
      <c r="J676" s="75"/>
      <c r="K676" s="75"/>
      <c r="L676" s="75"/>
      <c r="M676" s="76">
        <f ca="1">IFERROR(M662+M675,"")</f>
        <v>0.13541666666666663</v>
      </c>
      <c r="N676" s="1" t="s">
        <v>268</v>
      </c>
      <c r="O676" s="81">
        <f>IFERROR(O662+O675,"")</f>
        <v>0</v>
      </c>
    </row>
    <row r="677" spans="1:15" ht="15" customHeight="1">
      <c r="A677" s="18">
        <v>46260</v>
      </c>
      <c r="B677" s="67">
        <v>0.33333333333333298</v>
      </c>
      <c r="C677" s="69"/>
      <c r="D677" s="74"/>
      <c r="E677" s="74"/>
      <c r="F677" s="62"/>
      <c r="G677" s="68" t="str">
        <f t="shared" ref="G677:G688" si="146">IF(F677="","",IF(E677="PC 17",F677*4.2,IF(E677="PC 19",F677*5,IF(E677="CB",F677*35,""))))</f>
        <v/>
      </c>
      <c r="H677" s="69"/>
      <c r="I677" s="69"/>
      <c r="J677" s="69"/>
      <c r="K677" s="64"/>
      <c r="L677" s="64"/>
      <c r="M677" s="70" t="str">
        <f t="shared" ref="M677:M688" ca="1" si="147">IFERROR(IF(K677="","",IF(L677="",MOD(NOW()-K677,1),IF(L677&gt;=K677,L677-K677,L677+1-K677))),"")</f>
        <v/>
      </c>
      <c r="N677" s="79"/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/>
      <c r="D678" s="74"/>
      <c r="E678" s="74"/>
      <c r="F678" s="62"/>
      <c r="G678" s="63" t="str">
        <f t="shared" si="146"/>
        <v/>
      </c>
      <c r="H678" s="60"/>
      <c r="I678" s="60"/>
      <c r="J678" s="60"/>
      <c r="K678" s="64"/>
      <c r="L678" s="64"/>
      <c r="M678" s="65" t="str">
        <f t="shared" ca="1" si="147"/>
        <v/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/>
      <c r="D679" s="74"/>
      <c r="E679" s="74"/>
      <c r="F679" s="62"/>
      <c r="G679" s="68" t="str">
        <f t="shared" si="146"/>
        <v/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/>
      <c r="D680" s="74"/>
      <c r="E680" s="74"/>
      <c r="F680" s="62"/>
      <c r="G680" s="63" t="str">
        <f t="shared" si="146"/>
        <v/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/>
      <c r="D681" s="74"/>
      <c r="E681" s="74"/>
      <c r="F681" s="62"/>
      <c r="G681" s="68" t="str">
        <f t="shared" si="146"/>
        <v/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/>
      <c r="D682" s="74"/>
      <c r="E682" s="74"/>
      <c r="F682" s="62"/>
      <c r="G682" s="63" t="str">
        <f t="shared" si="146"/>
        <v/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/>
      <c r="D683" s="74"/>
      <c r="E683" s="74"/>
      <c r="F683" s="62"/>
      <c r="G683" s="68" t="str">
        <f t="shared" si="146"/>
        <v/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/>
      <c r="D684" s="74"/>
      <c r="E684" s="74"/>
      <c r="F684" s="62"/>
      <c r="G684" s="63" t="str">
        <f t="shared" si="146"/>
        <v/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/>
      <c r="D685" s="74"/>
      <c r="E685" s="74"/>
      <c r="F685" s="62"/>
      <c r="G685" s="68" t="str">
        <f t="shared" si="146"/>
        <v/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/>
      <c r="D686" s="74"/>
      <c r="E686" s="74"/>
      <c r="F686" s="62"/>
      <c r="G686" s="63" t="str">
        <f t="shared" si="146"/>
        <v/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/>
      <c r="D687" s="74"/>
      <c r="E687" s="74"/>
      <c r="F687" s="62"/>
      <c r="G687" s="68" t="str">
        <f t="shared" si="146"/>
        <v/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/>
      <c r="D688" s="74"/>
      <c r="E688" s="74"/>
      <c r="F688" s="62"/>
      <c r="G688" s="63" t="str">
        <f t="shared" si="146"/>
        <v/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67" t="s">
        <v>264</v>
      </c>
      <c r="B689" s="167"/>
      <c r="C689" s="167"/>
      <c r="D689" s="167"/>
      <c r="E689" s="167"/>
      <c r="F689" s="2">
        <f>SUM(F677:F688)</f>
        <v>0</v>
      </c>
      <c r="G689" s="2">
        <f>SUM(G677:G688)</f>
        <v>0</v>
      </c>
      <c r="H689" s="71"/>
      <c r="I689" s="71"/>
      <c r="J689" s="71"/>
      <c r="K689" s="71"/>
      <c r="L689" s="71"/>
      <c r="M689" s="72">
        <f ca="1">IFERROR(SUM(M677:M688),"")</f>
        <v>0</v>
      </c>
      <c r="N689" s="2" t="s">
        <v>265</v>
      </c>
      <c r="O689" s="73"/>
    </row>
    <row r="690" spans="1:15" ht="15" customHeight="1">
      <c r="A690" s="58">
        <v>46260</v>
      </c>
      <c r="B690" s="59">
        <v>0.83333333333333304</v>
      </c>
      <c r="C690" s="60"/>
      <c r="D690" s="61"/>
      <c r="E690" s="61"/>
      <c r="F690" s="62"/>
      <c r="G690" s="63" t="str">
        <f t="shared" ref="G690:G701" si="149">IF(F690="","",IF(E690="PC 17",F690*4.2,IF(E690="PC 19",F690*5,IF(E690="CB",F690*35,""))))</f>
        <v/>
      </c>
      <c r="H690" s="60"/>
      <c r="I690" s="60"/>
      <c r="J690" s="60"/>
      <c r="K690" s="64"/>
      <c r="L690" s="64"/>
      <c r="M690" s="65" t="str">
        <f t="shared" ref="M690:M701" ca="1" si="150">IFERROR(IF(K690="","",IF(L690="",MOD(NOW()-K690,1),IF(L690&gt;=K690,L690-K690,L690+1-K690))),"")</f>
        <v/>
      </c>
      <c r="N690" s="79"/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/>
      <c r="D691" s="61"/>
      <c r="E691" s="61"/>
      <c r="F691" s="62"/>
      <c r="G691" s="68" t="str">
        <f t="shared" si="149"/>
        <v/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/>
      <c r="D692" s="61"/>
      <c r="E692" s="61"/>
      <c r="F692" s="62"/>
      <c r="G692" s="63" t="str">
        <f t="shared" si="149"/>
        <v/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/>
      <c r="D693" s="61"/>
      <c r="E693" s="61"/>
      <c r="F693" s="62"/>
      <c r="G693" s="68" t="str">
        <f t="shared" si="149"/>
        <v/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/>
      <c r="D694" s="61"/>
      <c r="E694" s="61"/>
      <c r="F694" s="62"/>
      <c r="G694" s="63" t="str">
        <f t="shared" si="149"/>
        <v/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/>
      <c r="D695" s="61"/>
      <c r="E695" s="61"/>
      <c r="F695" s="62"/>
      <c r="G695" s="68" t="str">
        <f t="shared" si="149"/>
        <v/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/>
      <c r="D696" s="61"/>
      <c r="E696" s="61"/>
      <c r="F696" s="62"/>
      <c r="G696" s="63" t="str">
        <f t="shared" si="149"/>
        <v/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/>
      <c r="D697" s="61"/>
      <c r="E697" s="61"/>
      <c r="F697" s="62"/>
      <c r="G697" s="68" t="str">
        <f t="shared" si="149"/>
        <v/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/>
      <c r="D698" s="61"/>
      <c r="E698" s="61"/>
      <c r="F698" s="62"/>
      <c r="G698" s="63" t="str">
        <f t="shared" si="149"/>
        <v/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/>
      <c r="D699" s="61"/>
      <c r="E699" s="61"/>
      <c r="F699" s="62"/>
      <c r="G699" s="68" t="str">
        <f t="shared" si="149"/>
        <v/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/>
      <c r="D700" s="61"/>
      <c r="E700" s="61"/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/>
      <c r="D701" s="61"/>
      <c r="E701" s="61"/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67" t="s">
        <v>267</v>
      </c>
      <c r="B702" s="167"/>
      <c r="C702" s="167"/>
      <c r="D702" s="167"/>
      <c r="E702" s="167"/>
      <c r="F702" s="2">
        <f>SUM(F690:F701)</f>
        <v>0</v>
      </c>
      <c r="G702" s="2">
        <f>SUM(G690:G701)</f>
        <v>0</v>
      </c>
      <c r="H702" s="71"/>
      <c r="I702" s="71"/>
      <c r="J702" s="71"/>
      <c r="K702" s="71"/>
      <c r="L702" s="71"/>
      <c r="M702" s="72">
        <f ca="1">IFERROR(SUM(M690:M701),"")</f>
        <v>0</v>
      </c>
      <c r="N702" s="2" t="s">
        <v>265</v>
      </c>
      <c r="O702" s="73"/>
    </row>
    <row r="703" spans="1:15" ht="18" customHeight="1">
      <c r="A703" s="168" t="s">
        <v>253</v>
      </c>
      <c r="B703" s="168"/>
      <c r="C703" s="168"/>
      <c r="D703" s="168"/>
      <c r="E703" s="168"/>
      <c r="F703" s="1">
        <f>F689+F702</f>
        <v>0</v>
      </c>
      <c r="G703" s="1">
        <f>G689+G702</f>
        <v>0</v>
      </c>
      <c r="H703" s="75"/>
      <c r="I703" s="75"/>
      <c r="J703" s="75"/>
      <c r="K703" s="75"/>
      <c r="L703" s="75"/>
      <c r="M703" s="76">
        <f ca="1">IFERROR(M689+M702,"")</f>
        <v>0</v>
      </c>
      <c r="N703" s="1" t="s">
        <v>268</v>
      </c>
      <c r="O703" s="81">
        <f>IFERROR(O689+O702,"")</f>
        <v>0</v>
      </c>
    </row>
    <row r="704" spans="1:15" ht="15" customHeight="1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67" t="s">
        <v>264</v>
      </c>
      <c r="B716" s="167"/>
      <c r="C716" s="167"/>
      <c r="D716" s="167"/>
      <c r="E716" s="167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265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67" t="s">
        <v>267</v>
      </c>
      <c r="B729" s="167"/>
      <c r="C729" s="167"/>
      <c r="D729" s="167"/>
      <c r="E729" s="167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265</v>
      </c>
      <c r="O729" s="73"/>
    </row>
    <row r="730" spans="1:15" ht="18" customHeight="1">
      <c r="A730" s="168" t="s">
        <v>253</v>
      </c>
      <c r="B730" s="168"/>
      <c r="C730" s="168"/>
      <c r="D730" s="168"/>
      <c r="E730" s="168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268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67" t="s">
        <v>264</v>
      </c>
      <c r="B743" s="167"/>
      <c r="C743" s="167"/>
      <c r="D743" s="167"/>
      <c r="E743" s="167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265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67" t="s">
        <v>267</v>
      </c>
      <c r="B756" s="167"/>
      <c r="C756" s="167"/>
      <c r="D756" s="167"/>
      <c r="E756" s="167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265</v>
      </c>
      <c r="O756" s="73"/>
    </row>
    <row r="757" spans="1:15" ht="18" customHeight="1">
      <c r="A757" s="168" t="s">
        <v>253</v>
      </c>
      <c r="B757" s="168"/>
      <c r="C757" s="168"/>
      <c r="D757" s="168"/>
      <c r="E757" s="168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268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67" t="s">
        <v>264</v>
      </c>
      <c r="B770" s="167"/>
      <c r="C770" s="167"/>
      <c r="D770" s="167"/>
      <c r="E770" s="167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265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67" t="s">
        <v>267</v>
      </c>
      <c r="B783" s="167"/>
      <c r="C783" s="167"/>
      <c r="D783" s="167"/>
      <c r="E783" s="167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265</v>
      </c>
      <c r="O783" s="73"/>
    </row>
    <row r="784" spans="1:15" ht="18" customHeight="1">
      <c r="A784" s="168" t="s">
        <v>253</v>
      </c>
      <c r="B784" s="168"/>
      <c r="C784" s="168"/>
      <c r="D784" s="168"/>
      <c r="E784" s="168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268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67" t="s">
        <v>264</v>
      </c>
      <c r="B797" s="167"/>
      <c r="C797" s="167"/>
      <c r="D797" s="167"/>
      <c r="E797" s="167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265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67" t="s">
        <v>267</v>
      </c>
      <c r="B810" s="167"/>
      <c r="C810" s="167"/>
      <c r="D810" s="167"/>
      <c r="E810" s="167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265</v>
      </c>
      <c r="O810" s="73"/>
    </row>
    <row r="811" spans="1:15" ht="18" customHeight="1">
      <c r="A811" s="168" t="s">
        <v>253</v>
      </c>
      <c r="B811" s="168"/>
      <c r="C811" s="168"/>
      <c r="D811" s="168"/>
      <c r="E811" s="168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268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67" t="s">
        <v>264</v>
      </c>
      <c r="B824" s="167"/>
      <c r="C824" s="167"/>
      <c r="D824" s="167"/>
      <c r="E824" s="167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265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67" t="s">
        <v>267</v>
      </c>
      <c r="B837" s="167"/>
      <c r="C837" s="167"/>
      <c r="D837" s="167"/>
      <c r="E837" s="167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265</v>
      </c>
      <c r="O837" s="73"/>
    </row>
    <row r="838" spans="1:15" ht="18" customHeight="1">
      <c r="A838" s="168" t="s">
        <v>253</v>
      </c>
      <c r="B838" s="168"/>
      <c r="C838" s="168"/>
      <c r="D838" s="168"/>
      <c r="E838" s="168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268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27" activePane="bottomLeft" state="frozen"/>
      <selection pane="bottomLeft" activeCell="G661" sqref="G661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171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311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141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312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313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142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142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265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278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278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146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278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169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278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146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314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278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315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278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278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278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278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278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278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265</v>
      </c>
      <c r="S27" s="73">
        <v>549860</v>
      </c>
      <c r="T27" s="98"/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268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169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265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171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171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316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317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141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318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141</v>
      </c>
      <c r="O53" s="64">
        <v>0.121527777777778</v>
      </c>
      <c r="P53" s="64"/>
      <c r="Q53" s="65">
        <f t="shared" ca="1" si="10"/>
        <v>0.63804016203357605</v>
      </c>
      <c r="R53" s="79" t="s">
        <v>319</v>
      </c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0.77692905092246378</v>
      </c>
      <c r="R54" s="2" t="s">
        <v>265</v>
      </c>
      <c r="S54" s="112">
        <v>352430</v>
      </c>
      <c r="T54" s="113"/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0.86165127314468659</v>
      </c>
      <c r="R55" s="1" t="s">
        <v>268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311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265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160</v>
      </c>
      <c r="N69" s="60" t="s">
        <v>199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146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169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169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214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320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278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278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265</v>
      </c>
      <c r="S81" s="114">
        <v>634210</v>
      </c>
      <c r="T81" s="115"/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268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278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149</v>
      </c>
      <c r="N83" s="69" t="s">
        <v>227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149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265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152</v>
      </c>
      <c r="N96" s="60" t="s">
        <v>127</v>
      </c>
      <c r="O96" s="64">
        <v>0.79166666666666696</v>
      </c>
      <c r="P96" s="64" t="s">
        <v>321</v>
      </c>
      <c r="Q96" s="65" t="str">
        <f t="shared" ref="Q96:Q107" ca="1" si="22">IFERROR(IF(O96="","",IF(P96="",MOD(NOW()-O96,1),IF(P96&gt;=O96,P96-O96,P96+1-O96))),"")</f>
        <v/>
      </c>
      <c r="R96" s="79" t="s">
        <v>322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266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323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197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324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266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265</v>
      </c>
      <c r="S108" s="114">
        <v>456830</v>
      </c>
      <c r="T108" s="115"/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268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168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325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168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265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171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168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146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146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265</v>
      </c>
      <c r="S135" s="114">
        <v>756720</v>
      </c>
      <c r="T135" s="115"/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268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326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327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171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328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265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329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265</v>
      </c>
      <c r="S162" s="114">
        <v>501750</v>
      </c>
      <c r="T162" s="115"/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268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278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278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278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169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169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278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278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278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278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278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278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278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265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278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278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160</v>
      </c>
      <c r="N180" s="60" t="s">
        <v>145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330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278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327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331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278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265</v>
      </c>
      <c r="S189" s="73">
        <v>362530</v>
      </c>
      <c r="T189" s="98"/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268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332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160</v>
      </c>
      <c r="N192" s="60" t="s">
        <v>195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160</v>
      </c>
      <c r="N193" s="60" t="s">
        <v>195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325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178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265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171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171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265</v>
      </c>
      <c r="S216" s="73">
        <v>609740</v>
      </c>
      <c r="T216" s="98"/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268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184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320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266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333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146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334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146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335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265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266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171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171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265</v>
      </c>
      <c r="S243" s="73">
        <v>825930</v>
      </c>
      <c r="T243" s="98"/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268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178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265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278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278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278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278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278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278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278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278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278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278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278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278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732130</v>
      </c>
      <c r="T270" s="98"/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268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278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278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278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278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263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278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263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263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278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278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263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263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263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263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263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990260</v>
      </c>
      <c r="T297" s="98"/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278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146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278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278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278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278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278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278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278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278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278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278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278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265</v>
      </c>
      <c r="S311" s="73">
        <v>754870</v>
      </c>
      <c r="T311" s="98">
        <f>IFERROR(J311,"")</f>
        <v>129.92697372781066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278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171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278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278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168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171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278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149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278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278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278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146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278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278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278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265</v>
      </c>
      <c r="S324" s="73">
        <v>725030</v>
      </c>
      <c r="T324" s="98">
        <f>IFERROR(J324,"")</f>
        <v>104.40432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268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141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336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149</v>
      </c>
      <c r="N328" s="60" t="s">
        <v>141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337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149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338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137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149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339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184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340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265</v>
      </c>
      <c r="S338" s="73">
        <v>186890</v>
      </c>
      <c r="T338" s="98">
        <f>IFERROR(J338,"")</f>
        <v>39.246899999999989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332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178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210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327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168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168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146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146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265</v>
      </c>
      <c r="S351" s="73">
        <v>712170</v>
      </c>
      <c r="T351" s="98">
        <f>IFERROR(J351,"")</f>
        <v>149.5557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268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320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171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265</v>
      </c>
      <c r="S365" s="73">
        <v>622270</v>
      </c>
      <c r="T365" s="98">
        <f>IFERROR(J365,"")</f>
        <v>130.67669999999998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149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341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171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171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265</v>
      </c>
      <c r="S378" s="73">
        <v>806300</v>
      </c>
      <c r="T378" s="98">
        <f>IFERROR(J378,"")</f>
        <v>169.32299999999998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268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278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278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171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154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342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265</v>
      </c>
      <c r="S392" s="73">
        <v>820320</v>
      </c>
      <c r="T392" s="98">
        <f>IFERROR(J392,"")</f>
        <v>162.80881156626504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168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171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171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343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169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179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169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265</v>
      </c>
      <c r="S405" s="73">
        <v>774540</v>
      </c>
      <c r="T405" s="98">
        <f>IFERROR(J405,"")</f>
        <v>156.22852721311477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268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265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344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168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171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267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265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253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268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345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149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278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265</v>
      </c>
      <c r="S446" s="73">
        <v>449020</v>
      </c>
      <c r="T446" s="98">
        <f>IFERROR(J446,"")</f>
        <v>91.118987142857137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223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263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171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346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347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265</v>
      </c>
      <c r="S459" s="73">
        <v>738730</v>
      </c>
      <c r="T459" s="98">
        <f>IFERROR(J459,"")</f>
        <v>144.10511642857142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268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348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265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349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137</v>
      </c>
      <c r="N478" s="60" t="s">
        <v>196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350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220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265</v>
      </c>
      <c r="S486" s="73">
        <v>617620</v>
      </c>
      <c r="T486" s="98">
        <f>IFERROR(J486,"")</f>
        <v>88.937280000000001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268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185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327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171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295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265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171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137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220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267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265</v>
      </c>
      <c r="S513" s="73">
        <v>534790</v>
      </c>
      <c r="T513" s="98">
        <f>IFERROR(J513,"")</f>
        <v>91.764703770491792</v>
      </c>
    </row>
    <row r="514" spans="1:20" ht="18" customHeight="1">
      <c r="A514" s="121" t="s">
        <v>253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268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171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265</v>
      </c>
      <c r="S527" s="73">
        <v>742390</v>
      </c>
      <c r="T527" s="98">
        <f>IFERROR(J527,"")</f>
        <v>155.90189999999996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171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169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141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351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352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265</v>
      </c>
      <c r="S540" s="73">
        <v>399600</v>
      </c>
      <c r="T540" s="98">
        <f>IFERROR(J540,"")</f>
        <v>64.532992771084338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268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178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265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353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278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265</v>
      </c>
      <c r="S567" s="73">
        <v>0</v>
      </c>
      <c r="T567" s="98">
        <f>IFERROR(J567,"")</f>
        <v>0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268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278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265</v>
      </c>
      <c r="S581" s="73">
        <v>175540</v>
      </c>
      <c r="T581" s="98">
        <f>IFERROR(J581,"")</f>
        <v>36.863399999999999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171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354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137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171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263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265</v>
      </c>
      <c r="S594" s="73">
        <v>551160</v>
      </c>
      <c r="T594" s="98">
        <f>IFERROR(J594,"")</f>
        <v>115.74359999999999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268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210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265</v>
      </c>
      <c r="S608" s="73">
        <f>981900-413630+137530</f>
        <v>705800</v>
      </c>
      <c r="T608" s="98">
        <f>IFERROR(J608,"")</f>
        <v>148.21799999999999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355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169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171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168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278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265</v>
      </c>
      <c r="S621" s="73">
        <v>508500</v>
      </c>
      <c r="T621" s="98">
        <f>IFERROR(J621,"")</f>
        <v>106.785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268</v>
      </c>
      <c r="S622" s="81">
        <f>S608+S621</f>
        <v>1214300</v>
      </c>
      <c r="T622" s="117">
        <f>IFERROR(J622,"")</f>
        <v>255.00299999999999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327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171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169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265</v>
      </c>
      <c r="S635" s="73">
        <v>631780</v>
      </c>
      <c r="T635" s="98">
        <f>IFERROR(J635,"")</f>
        <v>132.6738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171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356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226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265</v>
      </c>
      <c r="S648" s="73">
        <v>692440</v>
      </c>
      <c r="T648" s="98">
        <f>IFERROR(J648,"")</f>
        <v>145.41239999999996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268</v>
      </c>
      <c r="S649" s="81">
        <f>S635+S648</f>
        <v>1324220</v>
      </c>
      <c r="T649" s="117">
        <f>IFERROR(J649,"")</f>
        <v>278.08619999999996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357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46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193.20000000000002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79"/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79"/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46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193.20000000000002</v>
      </c>
      <c r="L676" s="75"/>
      <c r="M676" s="75"/>
      <c r="N676" s="75"/>
      <c r="O676" s="75"/>
      <c r="P676" s="75"/>
      <c r="Q676" s="76">
        <f ca="1">IFERROR(Q662+Q675,"")</f>
        <v>0.36458333333333331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70" t="str">
        <f t="shared" ca="1" si="180"/>
        <v/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70" t="str">
        <f t="shared" ca="1" si="180"/>
        <v/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79"/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79"/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112"/>
      <c r="T837" s="113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47" activePane="bottomLeft" state="frozen"/>
      <selection pane="bottomLeft" activeCell="P651" sqref="P651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265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278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358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146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169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146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314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173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359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278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278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265</v>
      </c>
      <c r="S27" s="73">
        <v>358000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268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278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278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278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278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278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278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278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278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278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278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278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265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179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320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358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358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169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145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265</v>
      </c>
      <c r="S54" s="73">
        <v>279980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268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278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278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278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278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278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141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360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278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278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278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278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278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265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361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160</v>
      </c>
      <c r="N70" s="60" t="s">
        <v>199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169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169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169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265</v>
      </c>
      <c r="S81" s="73">
        <v>185920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268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362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149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363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265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149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149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364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169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265</v>
      </c>
      <c r="S108" s="73">
        <v>434370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268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265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169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169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365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146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142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212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265</v>
      </c>
      <c r="S135" s="73">
        <v>416350</v>
      </c>
      <c r="T135" s="98">
        <f>IFERROR(J135,"")</f>
        <v>0</v>
      </c>
    </row>
    <row r="136" spans="1:20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268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366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218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149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328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59" t="s">
        <v>264</v>
      </c>
      <c r="B149" s="159"/>
      <c r="C149" s="159"/>
      <c r="D149" s="159"/>
      <c r="E149" s="159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265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149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320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265</v>
      </c>
      <c r="S162" s="73">
        <v>169760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268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367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169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169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265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160</v>
      </c>
      <c r="N178" s="60" t="s">
        <v>145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368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160</v>
      </c>
      <c r="N181" s="69" t="s">
        <v>145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331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331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265</v>
      </c>
      <c r="S189" s="73">
        <v>72220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268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160</v>
      </c>
      <c r="N191" s="69" t="s">
        <v>195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160</v>
      </c>
      <c r="N194" s="60" t="s">
        <v>195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160</v>
      </c>
      <c r="N195" s="60" t="s">
        <v>195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265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369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265</v>
      </c>
      <c r="S216" s="73">
        <v>148720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268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146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169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146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370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146</v>
      </c>
      <c r="N222" s="60" t="s">
        <v>70</v>
      </c>
      <c r="O222" s="64">
        <v>0.69930555555555596</v>
      </c>
      <c r="P222" s="64" t="s">
        <v>371</v>
      </c>
      <c r="Q222" s="65" t="str">
        <f t="shared" ca="1" si="49"/>
        <v/>
      </c>
      <c r="R222" s="62" t="s">
        <v>372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265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265</v>
      </c>
      <c r="S243" s="73">
        <v>352720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268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373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263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263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265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278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278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278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278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278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278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278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278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278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278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278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278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265</v>
      </c>
      <c r="S270" s="73">
        <v>327900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268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263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265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265</v>
      </c>
      <c r="S297" s="73">
        <v>462190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268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212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212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197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265</v>
      </c>
      <c r="S311" s="73">
        <v>567440</v>
      </c>
      <c r="T311" s="98">
        <f>IFERROR(J311,"")</f>
        <v>96.630879999999991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149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146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146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265</v>
      </c>
      <c r="S324" s="73">
        <v>289490</v>
      </c>
      <c r="T324" s="98">
        <f>IFERROR(J324,"")</f>
        <v>41.68656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268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149</v>
      </c>
      <c r="N326" s="60" t="s">
        <v>141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338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149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374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137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149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339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263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278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265</v>
      </c>
      <c r="S338" s="73">
        <v>387310</v>
      </c>
      <c r="T338" s="98">
        <f>IFERROR(J338,"")</f>
        <v>81.335099999999983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146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146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265</v>
      </c>
      <c r="S351" s="73">
        <v>256170</v>
      </c>
      <c r="T351" s="98">
        <f>IFERROR(J351,"")</f>
        <v>53.795699999999997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268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320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169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137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146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59" t="s">
        <v>264</v>
      </c>
      <c r="B365" s="159"/>
      <c r="C365" s="159"/>
      <c r="D365" s="159"/>
      <c r="E365" s="159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265</v>
      </c>
      <c r="S365" s="73">
        <v>332130</v>
      </c>
      <c r="T365" s="98">
        <f>IFERROR(J365,"")</f>
        <v>69.747299999999981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146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146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218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265</v>
      </c>
      <c r="S378" s="73">
        <v>360560</v>
      </c>
      <c r="T378" s="98">
        <f>IFERROR(J378,"")</f>
        <v>75.71759999999999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268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375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342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265</v>
      </c>
      <c r="S392" s="73">
        <v>479620</v>
      </c>
      <c r="T392" s="98">
        <f>IFERROR(J392,"")</f>
        <v>100.72019999999998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169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169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265</v>
      </c>
      <c r="S405" s="73">
        <v>489360</v>
      </c>
      <c r="T405" s="98">
        <f>IFERROR(J405,"")</f>
        <v>99.305125714285708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268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376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265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377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169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169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265</v>
      </c>
      <c r="S432" s="73">
        <v>180150</v>
      </c>
      <c r="T432" s="98">
        <f>IFERROR(J432,"")</f>
        <v>25.941599999999998</v>
      </c>
    </row>
    <row r="433" spans="1:20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268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278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378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378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265</v>
      </c>
      <c r="S446" s="73">
        <v>389280</v>
      </c>
      <c r="T446" s="98">
        <f>IFERROR(J446,"")</f>
        <v>74.494452705882338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137</v>
      </c>
      <c r="N447" s="69" t="s">
        <v>223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212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379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265</v>
      </c>
      <c r="S459" s="73">
        <v>471910</v>
      </c>
      <c r="T459" s="98">
        <f>IFERROR(J459,"")</f>
        <v>92.928007027027007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268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265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320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137</v>
      </c>
      <c r="N475" s="69" t="s">
        <v>196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169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141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380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265</v>
      </c>
      <c r="S486" s="73">
        <v>261400</v>
      </c>
      <c r="T486" s="98">
        <f>IFERROR(J486,"")</f>
        <v>37.641599999999997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268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278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365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265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381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137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212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168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382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278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265</v>
      </c>
      <c r="S513" s="73">
        <v>357140</v>
      </c>
      <c r="T513" s="98">
        <f>IFERROR(J513,"")</f>
        <v>61.810729999999992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268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383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265</v>
      </c>
      <c r="S527" s="73">
        <v>393130</v>
      </c>
      <c r="T527" s="98">
        <f>IFERROR(J527,"")</f>
        <v>82.557299999999998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278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263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169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137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320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169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384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265</v>
      </c>
      <c r="S540" s="73">
        <v>270460</v>
      </c>
      <c r="T540" s="98">
        <f>IFERROR(J540,"")</f>
        <v>46.847219016393439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268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385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225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265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137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212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212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220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320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210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212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386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263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358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263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265</v>
      </c>
      <c r="S567" s="73">
        <v>524080</v>
      </c>
      <c r="T567" s="98">
        <f>IFERROR(J567,"")</f>
        <v>75.467519999999979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268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141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320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178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160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265</v>
      </c>
      <c r="S581" s="73">
        <v>631330</v>
      </c>
      <c r="T581" s="98">
        <f>IFERROR(J581,"")</f>
        <v>132.57929999999996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137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381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137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263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265</v>
      </c>
      <c r="S594" s="73">
        <v>456490</v>
      </c>
      <c r="T594" s="98">
        <f>IFERROR(J594,"")</f>
        <v>95.862899999999996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268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320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265</v>
      </c>
      <c r="S608" s="73">
        <f>736040-425430+31060</f>
        <v>341670</v>
      </c>
      <c r="T608" s="98">
        <f>IFERROR(J608,"")</f>
        <v>71.750699999999995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378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178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387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387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387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265</v>
      </c>
      <c r="S621" s="73">
        <v>399510</v>
      </c>
      <c r="T621" s="98">
        <f>IFERROR(J621,"")</f>
        <v>83.897099999999995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268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149</v>
      </c>
      <c r="N623" s="69" t="s">
        <v>229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363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212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212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265</v>
      </c>
      <c r="S635" s="73">
        <v>290880</v>
      </c>
      <c r="T635" s="98">
        <f>IFERROR(J635,"")</f>
        <v>61.084799999999987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388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210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226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265</v>
      </c>
      <c r="S648" s="73">
        <v>273070</v>
      </c>
      <c r="T648" s="98">
        <f>IFERROR(J648,"")</f>
        <v>57.344699999999989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268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 t="str">
        <f>IFERROR(IF($G650="","",$G650*$S$662/$G$662/Cadastro!$E$33),"")</f>
        <v/>
      </c>
      <c r="I650" s="101">
        <f>IFERROR(IF($D650="","",VLOOKUP($D650,Cadastro!$C$4:$G$7,5,FALSE())),"")</f>
        <v>0.6</v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 t="str">
        <f>IFERROR(IF($G651="","",$G651*$S$662/$G$662/Cadastro!$E$33),"")</f>
        <v/>
      </c>
      <c r="I651" s="89">
        <f>IFERROR(IF($D651="","",VLOOKUP($D651,Cadastro!$C$4:$G$7,5,FALSE())),"")</f>
        <v>0.6</v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 t="str">
        <f>IFERROR(IF($G652="","",$G652*$S$662/$G$662/Cadastro!$E$33),"")</f>
        <v/>
      </c>
      <c r="I652" s="89">
        <f>IFERROR(IF($D652="","",VLOOKUP($D652,Cadastro!$C$4:$G$7,5,FALSE())),"")</f>
        <v>0.6</v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 t="str">
        <f>IFERROR(IF($G653="","",$G653*$S$662/$G$662/Cadastro!$E$33),"")</f>
        <v/>
      </c>
      <c r="I653" s="89">
        <f>IFERROR(IF($D653="","",VLOOKUP($D653,Cadastro!$C$4:$G$7,5,FALSE())),"")</f>
        <v>0.6</v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 t="str">
        <f>IFERROR(IF($G654="","",$G654*$S$662/$G$662/Cadastro!$E$33),"")</f>
        <v/>
      </c>
      <c r="I654" s="89">
        <f>IFERROR(IF($D654="","",VLOOKUP($D654,Cadastro!$C$4:$G$7,5,FALSE())),"")</f>
        <v>0.6</v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0</v>
      </c>
      <c r="H655" s="87" t="str">
        <f>IFERROR(IF($G655="","",$G655*$S$662/$G$662/Cadastro!$E$33),"")</f>
        <v/>
      </c>
      <c r="I655" s="89">
        <f>IFERROR(IF($D655="","",VLOOKUP($D655,Cadastro!$C$4:$G$7,5,FALSE())),"")</f>
        <v>0.6</v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278</v>
      </c>
      <c r="F656" s="87">
        <f>IFERROR(IF($D656="","",VLOOKUP($D656,Cadastro!$C$4:$E$7,3,FALSE())),"")</f>
        <v>0.35</v>
      </c>
      <c r="G656" s="88">
        <v>0</v>
      </c>
      <c r="H656" s="87" t="str">
        <f>IFERROR(IF($G656="","",$G656*$S$662/$G$662/Cadastro!$E$33),"")</f>
        <v/>
      </c>
      <c r="I656" s="89">
        <f>IFERROR(IF($D656="","",VLOOKUP($D656,Cadastro!$C$4:$G$7,5,FALSE())),"")</f>
        <v>0.6</v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0</v>
      </c>
      <c r="H657" s="87" t="str">
        <f>IFERROR(IF($G657="","",$G657*$S$662/$G$662/Cadastro!$E$33),"")</f>
        <v/>
      </c>
      <c r="I657" s="89">
        <f>IFERROR(IF($D657="","",VLOOKUP($D657,Cadastro!$C$4:$G$7,5,FALSE())),"")</f>
        <v>0.6</v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0</v>
      </c>
      <c r="H658" s="87" t="str">
        <f>IFERROR(IF($G658="","",$G658*$S$662/$G$662/Cadastro!$E$33),"")</f>
        <v/>
      </c>
      <c r="I658" s="89">
        <f>IFERROR(IF($D658="","",VLOOKUP($D658,Cadastro!$C$4:$G$7,5,FALSE())),"")</f>
        <v>0.6</v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/>
      <c r="H659" s="87" t="str">
        <f>IFERROR(IF($G659="","",$G659*$S$662/$G$662/Cadastro!$E$33),"")</f>
        <v/>
      </c>
      <c r="I659" s="89">
        <f>IFERROR(IF($D659="","",VLOOKUP($D659,Cadastro!$C$4:$G$7,5,FALSE())),"")</f>
        <v>0.6</v>
      </c>
      <c r="J659" s="90" t="str">
        <f t="shared" si="167"/>
        <v/>
      </c>
      <c r="K659" s="68" t="str">
        <f t="shared" si="168"/>
        <v/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/>
      <c r="H660" s="87" t="str">
        <f>IFERROR(IF($G660="","",$G660*$S$662/$G$662/Cadastro!$E$33),"")</f>
        <v/>
      </c>
      <c r="I660" s="89">
        <f>IFERROR(IF($D660="","",VLOOKUP($D660,Cadastro!$C$4:$G$7,5,FALSE())),"")</f>
        <v>0.6</v>
      </c>
      <c r="J660" s="90" t="str">
        <f t="shared" si="167"/>
        <v/>
      </c>
      <c r="K660" s="63" t="str">
        <f t="shared" si="168"/>
        <v/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67"/>
        <v/>
      </c>
      <c r="K661" s="68" t="str">
        <f t="shared" si="168"/>
        <v/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0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0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 t="str">
        <f t="shared" ref="K663:K674" si="172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3">IFERROR(IF(O663="","",IF(P663="",MOD(NOW()-O663,1),IF(P663&gt;=O663,P663-O663,P663+1-O663))),"")</f>
        <v/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1"/>
        <v/>
      </c>
      <c r="K664" s="63" t="str">
        <f t="shared" si="172"/>
        <v/>
      </c>
      <c r="L664" s="60"/>
      <c r="M664" s="60"/>
      <c r="N664" s="60"/>
      <c r="O664" s="64"/>
      <c r="P664" s="64"/>
      <c r="Q664" s="65" t="str">
        <f t="shared" ca="1" si="173"/>
        <v/>
      </c>
      <c r="R664" s="62"/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1"/>
        <v/>
      </c>
      <c r="K665" s="68" t="str">
        <f t="shared" si="172"/>
        <v/>
      </c>
      <c r="L665" s="69"/>
      <c r="M665" s="69"/>
      <c r="N665" s="69"/>
      <c r="O665" s="64"/>
      <c r="P665" s="64"/>
      <c r="Q665" s="70" t="str">
        <f t="shared" ca="1" si="173"/>
        <v/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1"/>
        <v/>
      </c>
      <c r="K666" s="63" t="str">
        <f t="shared" si="172"/>
        <v/>
      </c>
      <c r="L666" s="60"/>
      <c r="M666" s="60"/>
      <c r="N666" s="60"/>
      <c r="O666" s="64"/>
      <c r="P666" s="64"/>
      <c r="Q666" s="65" t="str">
        <f t="shared" ca="1" si="173"/>
        <v/>
      </c>
      <c r="R666" s="62"/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1"/>
        <v/>
      </c>
      <c r="K667" s="68" t="str">
        <f t="shared" si="172"/>
        <v/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1"/>
        <v/>
      </c>
      <c r="K668" s="63" t="str">
        <f t="shared" si="172"/>
        <v/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1"/>
        <v/>
      </c>
      <c r="K669" s="68" t="str">
        <f t="shared" si="172"/>
        <v/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1"/>
        <v/>
      </c>
      <c r="K670" s="63" t="str">
        <f t="shared" si="172"/>
        <v/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1"/>
        <v/>
      </c>
      <c r="K671" s="68" t="str">
        <f t="shared" si="172"/>
        <v/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1"/>
        <v/>
      </c>
      <c r="K672" s="63" t="str">
        <f t="shared" si="172"/>
        <v/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1"/>
        <v/>
      </c>
      <c r="K673" s="68" t="str">
        <f t="shared" si="172"/>
        <v/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1"/>
        <v/>
      </c>
      <c r="K674" s="63" t="str">
        <f t="shared" si="172"/>
        <v/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71"/>
      <c r="P675" s="71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0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0</v>
      </c>
      <c r="L676" s="75"/>
      <c r="M676" s="75"/>
      <c r="N676" s="75"/>
      <c r="O676" s="75"/>
      <c r="P676" s="75"/>
      <c r="Q676" s="76">
        <f ca="1">IFERROR(Q662+Q675,"")</f>
        <v>0.45555555555555555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 t="str">
        <f t="shared" ref="K677:K688" si="176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77">IFERROR(IF(O677="","",IF(P677="",MOD(NOW()-O677,1),IF(P677&gt;=O677,P677-O677,P677+1-O677))),"")</f>
        <v/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5"/>
        <v/>
      </c>
      <c r="K678" s="63" t="str">
        <f t="shared" si="176"/>
        <v/>
      </c>
      <c r="L678" s="60"/>
      <c r="M678" s="60"/>
      <c r="N678" s="60"/>
      <c r="O678" s="64"/>
      <c r="P678" s="64"/>
      <c r="Q678" s="65" t="str">
        <f t="shared" ca="1" si="177"/>
        <v/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5"/>
        <v/>
      </c>
      <c r="K679" s="68" t="str">
        <f t="shared" si="176"/>
        <v/>
      </c>
      <c r="L679" s="69"/>
      <c r="M679" s="69"/>
      <c r="N679" s="69"/>
      <c r="O679" s="64"/>
      <c r="P679" s="64"/>
      <c r="Q679" s="70" t="str">
        <f t="shared" ca="1" si="177"/>
        <v/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5"/>
        <v/>
      </c>
      <c r="K680" s="63" t="str">
        <f t="shared" si="176"/>
        <v/>
      </c>
      <c r="L680" s="60"/>
      <c r="M680" s="60"/>
      <c r="N680" s="60"/>
      <c r="O680" s="64"/>
      <c r="P680" s="64"/>
      <c r="Q680" s="65" t="str">
        <f t="shared" ca="1" si="177"/>
        <v/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5"/>
        <v/>
      </c>
      <c r="K681" s="68" t="str">
        <f t="shared" si="176"/>
        <v/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5"/>
        <v/>
      </c>
      <c r="K682" s="63" t="str">
        <f t="shared" si="176"/>
        <v/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5"/>
        <v/>
      </c>
      <c r="K683" s="68" t="str">
        <f t="shared" si="176"/>
        <v/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5"/>
        <v/>
      </c>
      <c r="K684" s="63" t="str">
        <f t="shared" si="176"/>
        <v/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5"/>
        <v/>
      </c>
      <c r="K685" s="68" t="str">
        <f t="shared" si="176"/>
        <v/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5"/>
        <v/>
      </c>
      <c r="K686" s="63" t="str">
        <f t="shared" si="176"/>
        <v/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5"/>
        <v/>
      </c>
      <c r="K687" s="68" t="str">
        <f t="shared" si="176"/>
        <v/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5"/>
        <v/>
      </c>
      <c r="K688" s="63" t="str">
        <f t="shared" si="176"/>
        <v/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71"/>
      <c r="P689" s="71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79">IFERROR(IF($H690="","",$H690*$F690*$I690),"")</f>
        <v/>
      </c>
      <c r="K690" s="63" t="str">
        <f t="shared" ref="K690:K701" si="180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1">IFERROR(IF(O690="","",IF(P690="",MOD(NOW()-O690,1),IF(P690&gt;=O690,P690-O690,P690+1-O690))),"")</f>
        <v/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79"/>
        <v/>
      </c>
      <c r="K691" s="68" t="str">
        <f t="shared" si="180"/>
        <v/>
      </c>
      <c r="L691" s="69"/>
      <c r="M691" s="69"/>
      <c r="N691" s="69"/>
      <c r="O691" s="64"/>
      <c r="P691" s="64"/>
      <c r="Q691" s="70" t="str">
        <f t="shared" ca="1" si="181"/>
        <v/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79"/>
        <v/>
      </c>
      <c r="K692" s="63" t="str">
        <f t="shared" si="180"/>
        <v/>
      </c>
      <c r="L692" s="60"/>
      <c r="M692" s="60"/>
      <c r="N692" s="60"/>
      <c r="O692" s="64"/>
      <c r="P692" s="64"/>
      <c r="Q692" s="65" t="str">
        <f t="shared" ca="1" si="181"/>
        <v/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79"/>
        <v/>
      </c>
      <c r="K693" s="68" t="str">
        <f t="shared" si="180"/>
        <v/>
      </c>
      <c r="L693" s="69"/>
      <c r="M693" s="69"/>
      <c r="N693" s="69"/>
      <c r="O693" s="64"/>
      <c r="P693" s="64"/>
      <c r="Q693" s="70" t="str">
        <f t="shared" ca="1" si="181"/>
        <v/>
      </c>
      <c r="R693" s="62"/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79"/>
        <v/>
      </c>
      <c r="K694" s="63" t="str">
        <f t="shared" si="180"/>
        <v/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79"/>
        <v/>
      </c>
      <c r="K695" s="68" t="str">
        <f t="shared" si="180"/>
        <v/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79"/>
        <v/>
      </c>
      <c r="K696" s="63" t="str">
        <f t="shared" si="180"/>
        <v/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79"/>
        <v/>
      </c>
      <c r="K697" s="68" t="str">
        <f t="shared" si="180"/>
        <v/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79"/>
        <v/>
      </c>
      <c r="K698" s="63" t="str">
        <f t="shared" si="180"/>
        <v/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79"/>
        <v/>
      </c>
      <c r="K699" s="68" t="str">
        <f t="shared" si="180"/>
        <v/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79"/>
        <v/>
      </c>
      <c r="K700" s="63" t="str">
        <f t="shared" si="180"/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71"/>
      <c r="P702" s="71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75"/>
      <c r="P703" s="75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268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1" zoomScaleNormal="81" workbookViewId="0">
      <pane ySplit="1" topLeftCell="A631" activePane="bottomLeft" state="frozen"/>
      <selection pane="bottomLeft" activeCell="M654" sqref="M654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254</v>
      </c>
      <c r="C1" s="56" t="s">
        <v>19</v>
      </c>
      <c r="D1" s="55" t="s">
        <v>20</v>
      </c>
      <c r="E1" s="55" t="s">
        <v>255</v>
      </c>
      <c r="F1" s="85" t="s">
        <v>21</v>
      </c>
      <c r="G1" s="56" t="s">
        <v>256</v>
      </c>
      <c r="H1" s="85" t="s">
        <v>309</v>
      </c>
      <c r="I1" s="85" t="s">
        <v>22</v>
      </c>
      <c r="J1" s="85" t="s">
        <v>310</v>
      </c>
      <c r="K1" s="56" t="s">
        <v>257</v>
      </c>
      <c r="L1" s="56" t="s">
        <v>23</v>
      </c>
      <c r="M1" s="56" t="s">
        <v>24</v>
      </c>
      <c r="N1" s="56" t="s">
        <v>258</v>
      </c>
      <c r="O1" s="56" t="s">
        <v>259</v>
      </c>
      <c r="P1" s="56" t="s">
        <v>260</v>
      </c>
      <c r="Q1" s="57" t="s">
        <v>261</v>
      </c>
      <c r="R1" s="56" t="s">
        <v>250</v>
      </c>
      <c r="S1" s="56" t="s">
        <v>262</v>
      </c>
      <c r="T1" s="56" t="s">
        <v>310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278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278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278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278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278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278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278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278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278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278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278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278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59" t="s">
        <v>264</v>
      </c>
      <c r="B14" s="159"/>
      <c r="C14" s="159"/>
      <c r="D14" s="159"/>
      <c r="E14" s="159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265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278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278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389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278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317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278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141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358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278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141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390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278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278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278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173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391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278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278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278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278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59" t="s">
        <v>267</v>
      </c>
      <c r="B27" s="159"/>
      <c r="C27" s="159"/>
      <c r="D27" s="159"/>
      <c r="E27" s="159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265</v>
      </c>
      <c r="S27" s="73">
        <v>491520</v>
      </c>
      <c r="T27" s="98">
        <f>IFERROR(J27,"")</f>
        <v>0</v>
      </c>
    </row>
    <row r="28" spans="1:20" ht="18" customHeight="1">
      <c r="A28" s="158" t="s">
        <v>253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268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278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278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278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278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278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278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278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278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278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278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278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278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59" t="s">
        <v>264</v>
      </c>
      <c r="B41" s="159"/>
      <c r="C41" s="159"/>
      <c r="D41" s="159"/>
      <c r="E41" s="159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265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278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278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278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278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392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278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278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278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278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278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278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278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278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59" t="s">
        <v>267</v>
      </c>
      <c r="B54" s="159"/>
      <c r="C54" s="159"/>
      <c r="D54" s="159"/>
      <c r="E54" s="159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265</v>
      </c>
      <c r="S54" s="73">
        <v>352430</v>
      </c>
      <c r="T54" s="98">
        <f>IFERROR(J54,"")</f>
        <v>0</v>
      </c>
    </row>
    <row r="55" spans="1:20" ht="18" customHeight="1">
      <c r="A55" s="158" t="s">
        <v>253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268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278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278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278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220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278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393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278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141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394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278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278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278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278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278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278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278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59" t="s">
        <v>264</v>
      </c>
      <c r="B68" s="159"/>
      <c r="C68" s="159"/>
      <c r="D68" s="159"/>
      <c r="E68" s="159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265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278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234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395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278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278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278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141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358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278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278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220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278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278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278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278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278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59" t="s">
        <v>267</v>
      </c>
      <c r="B81" s="159"/>
      <c r="C81" s="159"/>
      <c r="D81" s="159"/>
      <c r="E81" s="159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265</v>
      </c>
      <c r="S81" s="73">
        <v>612410</v>
      </c>
      <c r="T81" s="98">
        <f>IFERROR(J81,"")</f>
        <v>0</v>
      </c>
    </row>
    <row r="82" spans="1:20" ht="18" customHeight="1">
      <c r="A82" s="158" t="s">
        <v>253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268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278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174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278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278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278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278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278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278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278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278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278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278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278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59" t="s">
        <v>264</v>
      </c>
      <c r="B95" s="159"/>
      <c r="C95" s="159"/>
      <c r="D95" s="159"/>
      <c r="E95" s="159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265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278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174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278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141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358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278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278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278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278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278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278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278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278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278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278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59" t="s">
        <v>267</v>
      </c>
      <c r="B108" s="159"/>
      <c r="C108" s="159"/>
      <c r="D108" s="159"/>
      <c r="E108" s="159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265</v>
      </c>
      <c r="S108" s="73">
        <v>956070</v>
      </c>
      <c r="T108" s="98">
        <f>IFERROR(J108,"")</f>
        <v>0</v>
      </c>
    </row>
    <row r="109" spans="1:20" ht="18" customHeight="1">
      <c r="A109" s="158" t="s">
        <v>253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268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278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174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278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234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278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239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278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239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278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174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396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278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278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278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278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278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278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278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59" t="s">
        <v>264</v>
      </c>
      <c r="B122" s="159"/>
      <c r="C122" s="159"/>
      <c r="D122" s="159"/>
      <c r="E122" s="159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265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278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220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278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397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278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278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278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320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278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278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141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358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278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278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278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278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278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59" t="s">
        <v>267</v>
      </c>
      <c r="B135" s="159"/>
      <c r="C135" s="159"/>
      <c r="D135" s="159"/>
      <c r="E135" s="159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265</v>
      </c>
      <c r="S135" s="73">
        <v>912240</v>
      </c>
      <c r="T135" s="98">
        <f>IFERROR(J135,"")</f>
        <v>0</v>
      </c>
    </row>
    <row r="136" spans="1:22" ht="18" customHeight="1">
      <c r="A136" s="158" t="s">
        <v>253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268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278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278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174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398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278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399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278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278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152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278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278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174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278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278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278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328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278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278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264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265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278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174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400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278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151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401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278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278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278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278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278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278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278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278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278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278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59" t="s">
        <v>267</v>
      </c>
      <c r="B162" s="159"/>
      <c r="C162" s="159"/>
      <c r="D162" s="159"/>
      <c r="E162" s="159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265</v>
      </c>
      <c r="S162" s="73">
        <v>573230</v>
      </c>
      <c r="T162" s="98">
        <f>IFERROR(J162,"")</f>
        <v>0</v>
      </c>
    </row>
    <row r="163" spans="1:20" ht="18" customHeight="1">
      <c r="A163" s="158" t="s">
        <v>253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268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278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151</v>
      </c>
      <c r="N164" s="60" t="s">
        <v>145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278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174</v>
      </c>
      <c r="N165" s="69" t="s">
        <v>197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278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174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278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278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168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278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152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278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174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402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278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152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278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278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278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278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59" t="s">
        <v>264</v>
      </c>
      <c r="B176" s="159"/>
      <c r="C176" s="159"/>
      <c r="D176" s="159"/>
      <c r="E176" s="159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265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278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403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278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152</v>
      </c>
      <c r="N178" s="60" t="s">
        <v>141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278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174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278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278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278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278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278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278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278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278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278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59" t="s">
        <v>267</v>
      </c>
      <c r="B189" s="159"/>
      <c r="C189" s="159"/>
      <c r="D189" s="159"/>
      <c r="E189" s="159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265</v>
      </c>
      <c r="S189" s="73">
        <v>692750</v>
      </c>
      <c r="T189" s="98">
        <f>IFERROR(J189,"")</f>
        <v>0</v>
      </c>
    </row>
    <row r="190" spans="1:20" ht="18" customHeight="1">
      <c r="A190" s="158" t="s">
        <v>253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268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278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174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278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168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404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278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278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169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278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278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278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278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278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278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278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278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59" t="s">
        <v>264</v>
      </c>
      <c r="B203" s="159"/>
      <c r="C203" s="159"/>
      <c r="D203" s="159"/>
      <c r="E203" s="159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265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278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405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278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406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278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407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278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278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278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278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278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278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278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278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278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59" t="s">
        <v>267</v>
      </c>
      <c r="B216" s="159"/>
      <c r="C216" s="159"/>
      <c r="D216" s="159"/>
      <c r="E216" s="159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265</v>
      </c>
      <c r="S216" s="73">
        <v>607180</v>
      </c>
      <c r="T216" s="98">
        <f>IFERROR(J216,"")</f>
        <v>0</v>
      </c>
    </row>
    <row r="217" spans="1:20" ht="18" customHeight="1">
      <c r="A217" s="158" t="s">
        <v>253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268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278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278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278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408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278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409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263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278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278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278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278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278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278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278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59" t="s">
        <v>264</v>
      </c>
      <c r="B230" s="159"/>
      <c r="C230" s="159"/>
      <c r="D230" s="159"/>
      <c r="E230" s="159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265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278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410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263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411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278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163</v>
      </c>
      <c r="N233" s="69" t="s">
        <v>141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263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263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263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263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263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263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263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263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263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59" t="s">
        <v>267</v>
      </c>
      <c r="B243" s="159"/>
      <c r="C243" s="159"/>
      <c r="D243" s="159"/>
      <c r="E243" s="159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265</v>
      </c>
      <c r="S243" s="73">
        <v>795250</v>
      </c>
      <c r="T243" s="98">
        <f>IFERROR(J243,"")</f>
        <v>0</v>
      </c>
    </row>
    <row r="244" spans="1:20" ht="18" customHeight="1">
      <c r="A244" s="158" t="s">
        <v>253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268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263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178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263</v>
      </c>
      <c r="F246" s="87"/>
      <c r="G246" s="62" t="s">
        <v>288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263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263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278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163</v>
      </c>
      <c r="N249" s="69" t="s">
        <v>141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412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278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278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278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278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278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278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278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59" t="s">
        <v>264</v>
      </c>
      <c r="B257" s="159"/>
      <c r="C257" s="159"/>
      <c r="D257" s="159"/>
      <c r="E257" s="159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265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278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278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278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278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278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278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278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278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278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278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278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278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59" t="s">
        <v>267</v>
      </c>
      <c r="B270" s="159"/>
      <c r="C270" s="159"/>
      <c r="D270" s="159"/>
      <c r="E270" s="159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265</v>
      </c>
      <c r="S270" s="73">
        <v>683360</v>
      </c>
      <c r="T270" s="98">
        <f>IFERROR(J270,"")</f>
        <v>0</v>
      </c>
    </row>
    <row r="271" spans="1:20" ht="18" customHeight="1">
      <c r="A271" s="158" t="s">
        <v>253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268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278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278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278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278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278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278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278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278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278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278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278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278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59" t="s">
        <v>264</v>
      </c>
      <c r="B284" s="159"/>
      <c r="C284" s="159"/>
      <c r="D284" s="159"/>
      <c r="E284" s="159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265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263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263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278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263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263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263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263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263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263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263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263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263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59" t="s">
        <v>267</v>
      </c>
      <c r="B297" s="159"/>
      <c r="C297" s="159"/>
      <c r="D297" s="159"/>
      <c r="E297" s="159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265</v>
      </c>
      <c r="S297" s="73">
        <v>904710</v>
      </c>
      <c r="T297" s="98">
        <f>IFERROR(J297,"")</f>
        <v>0</v>
      </c>
    </row>
    <row r="298" spans="1:20" ht="18" customHeight="1">
      <c r="A298" s="158" t="s">
        <v>253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268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278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197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278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278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278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278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278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278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278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278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278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278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278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59" t="s">
        <v>264</v>
      </c>
      <c r="B311" s="159"/>
      <c r="C311" s="159"/>
      <c r="D311" s="159"/>
      <c r="E311" s="159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265</v>
      </c>
      <c r="S311" s="73">
        <v>948950</v>
      </c>
      <c r="T311" s="98">
        <f>IFERROR(J311,"")</f>
        <v>159.15670781249997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278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169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278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174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278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278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278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278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278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278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278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278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278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278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59" t="s">
        <v>267</v>
      </c>
      <c r="B324" s="159"/>
      <c r="C324" s="159"/>
      <c r="D324" s="159"/>
      <c r="E324" s="159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265</v>
      </c>
      <c r="S324" s="73">
        <v>1049720</v>
      </c>
      <c r="T324" s="98">
        <f>IFERROR(J324,"")</f>
        <v>151.15967999999998</v>
      </c>
    </row>
    <row r="325" spans="1:20" ht="18" customHeight="1">
      <c r="A325" s="158" t="s">
        <v>253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268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263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174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263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263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263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278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263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278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278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278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278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278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278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59" t="s">
        <v>264</v>
      </c>
      <c r="B338" s="159"/>
      <c r="C338" s="159"/>
      <c r="D338" s="159"/>
      <c r="E338" s="159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265</v>
      </c>
      <c r="S338" s="73">
        <v>1211360</v>
      </c>
      <c r="T338" s="98">
        <f>IFERROR(J338,"")</f>
        <v>254.38559999999993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278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174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278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278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278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174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278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278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278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278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174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413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278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414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278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278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278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59" t="s">
        <v>267</v>
      </c>
      <c r="B351" s="159"/>
      <c r="C351" s="159"/>
      <c r="D351" s="159"/>
      <c r="E351" s="159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265</v>
      </c>
      <c r="S351" s="73">
        <v>1058130</v>
      </c>
      <c r="T351" s="98">
        <f>IFERROR(J351,"")</f>
        <v>222.20729999999995</v>
      </c>
    </row>
    <row r="352" spans="1:20" ht="18" customHeight="1">
      <c r="A352" s="158" t="s">
        <v>253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268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278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278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152</v>
      </c>
      <c r="N354" s="69" t="s">
        <v>141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278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278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415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278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278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416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278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278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278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278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278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278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264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265</v>
      </c>
      <c r="S365" s="73">
        <v>885120</v>
      </c>
      <c r="T365" s="98">
        <f>IFERROR(J365,"")</f>
        <v>185.87519999999998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278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278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143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278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174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278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278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278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168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278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417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278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178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278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278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278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278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59" t="s">
        <v>267</v>
      </c>
      <c r="B378" s="159"/>
      <c r="C378" s="159"/>
      <c r="D378" s="159"/>
      <c r="E378" s="159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265</v>
      </c>
      <c r="S378" s="73">
        <v>1137080</v>
      </c>
      <c r="T378" s="98">
        <f>IFERROR(J378,"")</f>
        <v>238.78679999999994</v>
      </c>
    </row>
    <row r="379" spans="1:20" ht="18" customHeight="1">
      <c r="A379" s="158" t="s">
        <v>253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268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278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143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278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140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278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278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174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278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154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342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278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418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278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278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278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278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278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278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59" t="s">
        <v>264</v>
      </c>
      <c r="B392" s="159"/>
      <c r="C392" s="159"/>
      <c r="D392" s="159"/>
      <c r="E392" s="159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265</v>
      </c>
      <c r="S392" s="73">
        <v>675670</v>
      </c>
      <c r="T392" s="98">
        <f>IFERROR(J392,"")</f>
        <v>141.89069999999998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278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234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278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174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419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278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278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278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278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278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278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278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278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278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278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59" t="s">
        <v>267</v>
      </c>
      <c r="B405" s="159"/>
      <c r="C405" s="159"/>
      <c r="D405" s="159"/>
      <c r="E405" s="159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265</v>
      </c>
      <c r="S405" s="73">
        <v>989450</v>
      </c>
      <c r="T405" s="98">
        <f>IFERROR(J405,"")</f>
        <v>195.72390675675675</v>
      </c>
    </row>
    <row r="406" spans="1:20" ht="18" customHeight="1">
      <c r="A406" s="158" t="s">
        <v>253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268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278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241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420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278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174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278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278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278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174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278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141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278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278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278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278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278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278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59" t="s">
        <v>264</v>
      </c>
      <c r="B419" s="159"/>
      <c r="C419" s="159"/>
      <c r="D419" s="159"/>
      <c r="E419" s="159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265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278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278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278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278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174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421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278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278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140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278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278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174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278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278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278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278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59" t="s">
        <v>267</v>
      </c>
      <c r="B432" s="159"/>
      <c r="C432" s="159"/>
      <c r="D432" s="159"/>
      <c r="E432" s="159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265</v>
      </c>
      <c r="S432" s="73">
        <v>766030</v>
      </c>
      <c r="T432" s="98">
        <f>IFERROR(J432,"")</f>
        <v>110.30832000000001</v>
      </c>
    </row>
    <row r="433" spans="1:21" ht="18" customHeight="1">
      <c r="A433" s="158" t="s">
        <v>253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268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278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174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278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168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278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278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278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278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278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278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278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278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278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278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59" t="s">
        <v>264</v>
      </c>
      <c r="B446" s="159"/>
      <c r="C446" s="159"/>
      <c r="D446" s="159"/>
      <c r="E446" s="159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265</v>
      </c>
      <c r="S446" s="73">
        <v>833920</v>
      </c>
      <c r="T446" s="98">
        <f>IFERROR(J446,"")</f>
        <v>161.58908852459015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278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174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422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278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178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278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278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278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214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416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278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278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278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278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278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278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278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59" t="s">
        <v>267</v>
      </c>
      <c r="B459" s="159"/>
      <c r="C459" s="159"/>
      <c r="D459" s="159"/>
      <c r="E459" s="159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265</v>
      </c>
      <c r="S459" s="73">
        <v>1024280</v>
      </c>
      <c r="T459" s="98">
        <f>IFERROR(J459,"")</f>
        <v>202.88866044052861</v>
      </c>
    </row>
    <row r="460" spans="1:20" ht="18" customHeight="1">
      <c r="A460" s="158" t="s">
        <v>253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268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278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278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278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278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140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278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140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278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278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278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278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278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278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278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59" t="s">
        <v>264</v>
      </c>
      <c r="B473" s="159"/>
      <c r="C473" s="159"/>
      <c r="D473" s="159"/>
      <c r="E473" s="159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265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278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174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278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169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278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140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423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278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278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174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278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141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380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278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278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278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278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278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278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59" t="s">
        <v>267</v>
      </c>
      <c r="B486" s="159"/>
      <c r="C486" s="159"/>
      <c r="D486" s="159"/>
      <c r="E486" s="159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265</v>
      </c>
      <c r="S486" s="73">
        <v>616050</v>
      </c>
      <c r="T486" s="98">
        <f>IFERROR(J486,"")</f>
        <v>88.711199999999977</v>
      </c>
    </row>
    <row r="487" spans="1:20" ht="18" customHeight="1">
      <c r="A487" s="158" t="s">
        <v>253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268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278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278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174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278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278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263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278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278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278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278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278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278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278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59" t="s">
        <v>264</v>
      </c>
      <c r="B500" s="159"/>
      <c r="C500" s="159"/>
      <c r="D500" s="159"/>
      <c r="E500" s="159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265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278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174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278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140</v>
      </c>
      <c r="N502" s="60" t="s">
        <v>211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278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174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278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424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278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278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278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278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278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278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278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278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59" t="s">
        <v>267</v>
      </c>
      <c r="B513" s="159"/>
      <c r="C513" s="159"/>
      <c r="D513" s="159"/>
      <c r="E513" s="159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265</v>
      </c>
      <c r="S513" s="73">
        <v>727700</v>
      </c>
      <c r="T513" s="98">
        <f>IFERROR(J513,"")</f>
        <v>123.69990375</v>
      </c>
    </row>
    <row r="514" spans="1:20" ht="18" customHeight="1">
      <c r="A514" s="158" t="s">
        <v>253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268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278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278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278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174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278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278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278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263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263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263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263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263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263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59" t="s">
        <v>264</v>
      </c>
      <c r="B527" s="159"/>
      <c r="C527" s="159"/>
      <c r="D527" s="159"/>
      <c r="E527" s="159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265</v>
      </c>
      <c r="S527" s="73">
        <v>963090</v>
      </c>
      <c r="T527" s="98">
        <f>IFERROR(J527,"")</f>
        <v>202.24889999999996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278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263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174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278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278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278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278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278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174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278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278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278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278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278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59" t="s">
        <v>267</v>
      </c>
      <c r="B540" s="159"/>
      <c r="C540" s="159"/>
      <c r="D540" s="159"/>
      <c r="E540" s="159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265</v>
      </c>
      <c r="S540" s="73">
        <v>746110</v>
      </c>
      <c r="T540" s="98">
        <f>IFERROR(J540,"")</f>
        <v>126.60637832335328</v>
      </c>
    </row>
    <row r="541" spans="1:20" ht="18" customHeight="1">
      <c r="A541" s="158" t="s">
        <v>253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268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278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278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278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278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278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169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278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179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425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278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278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278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278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278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426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278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59" t="s">
        <v>264</v>
      </c>
      <c r="B554" s="159"/>
      <c r="C554" s="159"/>
      <c r="D554" s="159"/>
      <c r="E554" s="159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265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278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427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263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174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428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278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278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278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278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174</v>
      </c>
      <c r="N560" s="60" t="s">
        <v>212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429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278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430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278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431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278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278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174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432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278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415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278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135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59" t="s">
        <v>267</v>
      </c>
      <c r="B567" s="159"/>
      <c r="C567" s="159"/>
      <c r="D567" s="159"/>
      <c r="E567" s="159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265</v>
      </c>
      <c r="S567" s="73">
        <v>486090</v>
      </c>
      <c r="T567" s="98">
        <f>IFERROR(J567,"")</f>
        <v>69.996959999999987</v>
      </c>
    </row>
    <row r="568" spans="1:20" ht="18" customHeight="1">
      <c r="A568" s="158" t="s">
        <v>253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268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278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169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278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278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168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416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278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169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263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433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278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169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278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278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169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278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278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278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278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59" t="s">
        <v>264</v>
      </c>
      <c r="B581" s="159"/>
      <c r="C581" s="159"/>
      <c r="D581" s="159"/>
      <c r="E581" s="159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265</v>
      </c>
      <c r="S581" s="73">
        <v>759800</v>
      </c>
      <c r="T581" s="98">
        <f>IFERROR(J581,"")</f>
        <v>159.55799999999996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278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278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174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434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278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435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278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278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278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380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278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143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278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278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278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278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278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59" t="s">
        <v>267</v>
      </c>
      <c r="B594" s="159"/>
      <c r="C594" s="159"/>
      <c r="D594" s="159"/>
      <c r="E594" s="159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265</v>
      </c>
      <c r="S594" s="73">
        <v>985680</v>
      </c>
      <c r="T594" s="98">
        <f>IFERROR(J594,"")</f>
        <v>206.99279999999996</v>
      </c>
    </row>
    <row r="595" spans="1:20" ht="18" customHeight="1">
      <c r="A595" s="158" t="s">
        <v>253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268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278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174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436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278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278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278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278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278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278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278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278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278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278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278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59" t="s">
        <v>264</v>
      </c>
      <c r="B608" s="159"/>
      <c r="C608" s="159"/>
      <c r="D608" s="159"/>
      <c r="E608" s="159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265</v>
      </c>
      <c r="S608" s="73">
        <f>1545300-910510+75170</f>
        <v>709960</v>
      </c>
      <c r="T608" s="98">
        <f>IFERROR(J608,"")</f>
        <v>149.09159999999997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278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380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278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415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278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278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141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437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278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432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278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174</v>
      </c>
      <c r="N614" s="60" t="s">
        <v>197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278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278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278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278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278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263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59" t="s">
        <v>267</v>
      </c>
      <c r="B621" s="159"/>
      <c r="C621" s="159"/>
      <c r="D621" s="159"/>
      <c r="E621" s="159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265</v>
      </c>
      <c r="S621" s="73">
        <v>715660</v>
      </c>
      <c r="T621" s="98">
        <f>IFERROR(J621,"")</f>
        <v>143.63866194690266</v>
      </c>
    </row>
    <row r="622" spans="1:20" ht="18" customHeight="1">
      <c r="A622" s="158" t="s">
        <v>253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268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278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174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278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168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438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278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278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278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278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278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278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278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278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278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278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59" t="s">
        <v>264</v>
      </c>
      <c r="B635" s="159"/>
      <c r="C635" s="159"/>
      <c r="D635" s="159"/>
      <c r="E635" s="159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265</v>
      </c>
      <c r="S635" s="73">
        <v>1044100</v>
      </c>
      <c r="T635" s="98">
        <f>IFERROR(J635,"")</f>
        <v>219.26100000000002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278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174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263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240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439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278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174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440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278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174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278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441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278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226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278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278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278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278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278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278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59" t="s">
        <v>267</v>
      </c>
      <c r="B648" s="159"/>
      <c r="C648" s="159"/>
      <c r="D648" s="159"/>
      <c r="E648" s="159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265</v>
      </c>
      <c r="S648" s="73">
        <v>729520</v>
      </c>
      <c r="T648" s="98">
        <f>IFERROR(J648,"")</f>
        <v>153.19919999999999</v>
      </c>
    </row>
    <row r="649" spans="1:20" ht="18" customHeight="1">
      <c r="A649" s="158" t="s">
        <v>253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268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278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226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278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169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278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169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278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278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174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278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100.80000000000001</v>
      </c>
      <c r="L655" s="69"/>
      <c r="M655" s="69"/>
      <c r="N655" s="69"/>
      <c r="O655" s="64"/>
      <c r="P655" s="64"/>
      <c r="Q655" s="70" t="str">
        <f t="shared" ca="1" si="172"/>
        <v/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263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65</v>
      </c>
      <c r="L656" s="60"/>
      <c r="M656" s="60"/>
      <c r="N656" s="60"/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278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278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70"/>
        <v>0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278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70"/>
        <v>0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278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70"/>
        <v>0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278</v>
      </c>
      <c r="F661" s="91">
        <f>IFERROR(IF($D661="","",VLOOKUP($D661,Cadastro!$C$4:$E$7,3,FALSE())),"")</f>
        <v>0.35</v>
      </c>
      <c r="G661" s="88"/>
      <c r="H661" s="91" t="str">
        <f>IFERROR(IF($G661="","",$G661*$S$662/$G$662/Cadastro!$E$33),"")</f>
        <v/>
      </c>
      <c r="I661" s="92">
        <f>IFERROR(IF($D661="","",VLOOKUP($D661,Cadastro!$C$4:$G$7,5,FALSE())),"")</f>
        <v>0.6</v>
      </c>
      <c r="J661" s="93" t="str">
        <f t="shared" si="170"/>
        <v/>
      </c>
      <c r="K661" s="68" t="str">
        <f t="shared" si="171"/>
        <v/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59" t="s">
        <v>264</v>
      </c>
      <c r="B662" s="159"/>
      <c r="C662" s="159"/>
      <c r="D662" s="159"/>
      <c r="E662" s="159"/>
      <c r="F662" s="94"/>
      <c r="G662" s="95">
        <f>SUM(G650:G661)</f>
        <v>118</v>
      </c>
      <c r="H662" s="94">
        <f>IFERROR(SUM(H650:H661),"")</f>
        <v>0</v>
      </c>
      <c r="I662" s="96"/>
      <c r="J662" s="97">
        <f>IFERROR(SUM(J650:J661),"")</f>
        <v>0</v>
      </c>
      <c r="K662" s="2">
        <f>SUM(K650:K661)</f>
        <v>506</v>
      </c>
      <c r="L662" s="71"/>
      <c r="M662" s="71"/>
      <c r="N662" s="71"/>
      <c r="O662" s="133"/>
      <c r="P662" s="133"/>
      <c r="Q662" s="72">
        <f ca="1">IFERROR(SUM(Q650:Q661),"")</f>
        <v>0.25833333333333325</v>
      </c>
      <c r="R662" s="2" t="s">
        <v>265</v>
      </c>
      <c r="S662" s="73"/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/>
      <c r="D663" s="74"/>
      <c r="E663" s="99"/>
      <c r="F663" s="100" t="str">
        <f>IFERROR(IF($D663="","",VLOOKUP($D663,Cadastro!$C$4:$E$7,3,FALSE())),"")</f>
        <v/>
      </c>
      <c r="G663" s="88"/>
      <c r="H663" s="100" t="str">
        <f>IFERROR(IF($G663="","",$G663*$S$675/$G$675/Cadastro!$E$33),"")</f>
        <v/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 t="str">
        <f t="shared" ref="K663:K674" si="175">IF(G663="","",IF(E663="PC 17",G663*4.2,IF(E663="PC 19",G663*5,IF(E663="CB",G663*24,""))))</f>
        <v/>
      </c>
      <c r="L663" s="69"/>
      <c r="M663" s="69"/>
      <c r="N663" s="69"/>
      <c r="O663" s="64"/>
      <c r="P663" s="64"/>
      <c r="Q663" s="70" t="str">
        <f t="shared" ref="Q663:Q674" ca="1" si="176">IFERROR(IF(O663="","",IF(P663="",MOD(NOW()-O663,1),IF(P663&gt;=O663,P663-O663,P663+1-O663))),"")</f>
        <v/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/>
      <c r="D664" s="74"/>
      <c r="E664" s="99"/>
      <c r="F664" s="87" t="str">
        <f>IFERROR(IF($D664="","",VLOOKUP($D664,Cadastro!$C$4:$E$7,3,FALSE())),"")</f>
        <v/>
      </c>
      <c r="G664" s="88"/>
      <c r="H664" s="87" t="str">
        <f>IFERROR(IF($G664="","",$G664*$S$675/$G$675/Cadastro!$E$33),"")</f>
        <v/>
      </c>
      <c r="I664" s="89" t="str">
        <f>IFERROR(IF($D664="","",VLOOKUP($D664,Cadastro!$C$4:$G$7,5,FALSE())),"")</f>
        <v/>
      </c>
      <c r="J664" s="90" t="str">
        <f t="shared" si="174"/>
        <v/>
      </c>
      <c r="K664" s="63" t="str">
        <f t="shared" si="175"/>
        <v/>
      </c>
      <c r="L664" s="60"/>
      <c r="M664" s="60"/>
      <c r="N664" s="60"/>
      <c r="O664" s="64"/>
      <c r="P664" s="64"/>
      <c r="Q664" s="65" t="str">
        <f t="shared" ca="1" si="176"/>
        <v/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/>
      <c r="D665" s="74"/>
      <c r="E665" s="99"/>
      <c r="F665" s="87" t="str">
        <f>IFERROR(IF($D665="","",VLOOKUP($D665,Cadastro!$C$4:$E$7,3,FALSE())),"")</f>
        <v/>
      </c>
      <c r="G665" s="88"/>
      <c r="H665" s="87" t="str">
        <f>IFERROR(IF($G665="","",$G665*$S$675/$G$675/Cadastro!$E$33),"")</f>
        <v/>
      </c>
      <c r="I665" s="89" t="str">
        <f>IFERROR(IF($D665="","",VLOOKUP($D665,Cadastro!$C$4:$G$7,5,FALSE())),"")</f>
        <v/>
      </c>
      <c r="J665" s="90" t="str">
        <f t="shared" si="174"/>
        <v/>
      </c>
      <c r="K665" s="68" t="str">
        <f t="shared" si="175"/>
        <v/>
      </c>
      <c r="L665" s="69"/>
      <c r="M665" s="69"/>
      <c r="N665" s="69"/>
      <c r="O665" s="64"/>
      <c r="P665" s="64"/>
      <c r="Q665" s="70" t="str">
        <f t="shared" ca="1" si="176"/>
        <v/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/>
      <c r="D666" s="74"/>
      <c r="E666" s="99"/>
      <c r="F666" s="87" t="str">
        <f>IFERROR(IF($D666="","",VLOOKUP($D666,Cadastro!$C$4:$E$7,3,FALSE())),"")</f>
        <v/>
      </c>
      <c r="G666" s="88"/>
      <c r="H666" s="87" t="str">
        <f>IFERROR(IF($G666="","",$G666*$S$675/$G$675/Cadastro!$E$33),"")</f>
        <v/>
      </c>
      <c r="I666" s="89" t="str">
        <f>IFERROR(IF($D666="","",VLOOKUP($D666,Cadastro!$C$4:$G$7,5,FALSE())),"")</f>
        <v/>
      </c>
      <c r="J666" s="90" t="str">
        <f t="shared" si="174"/>
        <v/>
      </c>
      <c r="K666" s="63" t="str">
        <f t="shared" si="175"/>
        <v/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/>
      <c r="D667" s="74"/>
      <c r="E667" s="99"/>
      <c r="F667" s="87" t="str">
        <f>IFERROR(IF($D667="","",VLOOKUP($D667,Cadastro!$C$4:$E$7,3,FALSE())),"")</f>
        <v/>
      </c>
      <c r="G667" s="88"/>
      <c r="H667" s="87" t="str">
        <f>IFERROR(IF($G667="","",$G667*$S$675/$G$675/Cadastro!$E$33),"")</f>
        <v/>
      </c>
      <c r="I667" s="89" t="str">
        <f>IFERROR(IF($D667="","",VLOOKUP($D667,Cadastro!$C$4:$G$7,5,FALSE())),"")</f>
        <v/>
      </c>
      <c r="J667" s="90" t="str">
        <f t="shared" si="174"/>
        <v/>
      </c>
      <c r="K667" s="68" t="str">
        <f t="shared" si="175"/>
        <v/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/>
      <c r="D668" s="74"/>
      <c r="E668" s="99"/>
      <c r="F668" s="87" t="str">
        <f>IFERROR(IF($D668="","",VLOOKUP($D668,Cadastro!$C$4:$E$7,3,FALSE())),"")</f>
        <v/>
      </c>
      <c r="G668" s="88"/>
      <c r="H668" s="87" t="str">
        <f>IFERROR(IF($G668="","",$G668*$S$675/$G$675/Cadastro!$E$33),"")</f>
        <v/>
      </c>
      <c r="I668" s="89" t="str">
        <f>IFERROR(IF($D668="","",VLOOKUP($D668,Cadastro!$C$4:$G$7,5,FALSE())),"")</f>
        <v/>
      </c>
      <c r="J668" s="90" t="str">
        <f t="shared" si="174"/>
        <v/>
      </c>
      <c r="K668" s="63" t="str">
        <f t="shared" si="175"/>
        <v/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/>
      <c r="D669" s="74"/>
      <c r="E669" s="99"/>
      <c r="F669" s="87" t="str">
        <f>IFERROR(IF($D669="","",VLOOKUP($D669,Cadastro!$C$4:$E$7,3,FALSE())),"")</f>
        <v/>
      </c>
      <c r="G669" s="88"/>
      <c r="H669" s="87" t="str">
        <f>IFERROR(IF($G669="","",$G669*$S$675/$G$675/Cadastro!$E$33),"")</f>
        <v/>
      </c>
      <c r="I669" s="89" t="str">
        <f>IFERROR(IF($D669="","",VLOOKUP($D669,Cadastro!$C$4:$G$7,5,FALSE())),"")</f>
        <v/>
      </c>
      <c r="J669" s="90" t="str">
        <f t="shared" si="174"/>
        <v/>
      </c>
      <c r="K669" s="68" t="str">
        <f t="shared" si="175"/>
        <v/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/>
      <c r="D670" s="74"/>
      <c r="E670" s="99"/>
      <c r="F670" s="87" t="str">
        <f>IFERROR(IF($D670="","",VLOOKUP($D670,Cadastro!$C$4:$E$7,3,FALSE())),"")</f>
        <v/>
      </c>
      <c r="G670" s="88"/>
      <c r="H670" s="87" t="str">
        <f>IFERROR(IF($G670="","",$G670*$S$675/$G$675/Cadastro!$E$33),"")</f>
        <v/>
      </c>
      <c r="I670" s="89" t="str">
        <f>IFERROR(IF($D670="","",VLOOKUP($D670,Cadastro!$C$4:$G$7,5,FALSE())),"")</f>
        <v/>
      </c>
      <c r="J670" s="90" t="str">
        <f t="shared" si="174"/>
        <v/>
      </c>
      <c r="K670" s="63" t="str">
        <f t="shared" si="175"/>
        <v/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/>
      <c r="D671" s="74"/>
      <c r="E671" s="99"/>
      <c r="F671" s="87" t="str">
        <f>IFERROR(IF($D671="","",VLOOKUP($D671,Cadastro!$C$4:$E$7,3,FALSE())),"")</f>
        <v/>
      </c>
      <c r="G671" s="88"/>
      <c r="H671" s="87" t="str">
        <f>IFERROR(IF($G671="","",$G671*$S$675/$G$675/Cadastro!$E$33),"")</f>
        <v/>
      </c>
      <c r="I671" s="89" t="str">
        <f>IFERROR(IF($D671="","",VLOOKUP($D671,Cadastro!$C$4:$G$7,5,FALSE())),"")</f>
        <v/>
      </c>
      <c r="J671" s="90" t="str">
        <f t="shared" si="174"/>
        <v/>
      </c>
      <c r="K671" s="68" t="str">
        <f t="shared" si="175"/>
        <v/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/>
      <c r="D672" s="74"/>
      <c r="E672" s="99"/>
      <c r="F672" s="87" t="str">
        <f>IFERROR(IF($D672="","",VLOOKUP($D672,Cadastro!$C$4:$E$7,3,FALSE())),"")</f>
        <v/>
      </c>
      <c r="G672" s="88"/>
      <c r="H672" s="87" t="str">
        <f>IFERROR(IF($G672="","",$G672*$S$675/$G$675/Cadastro!$E$33),"")</f>
        <v/>
      </c>
      <c r="I672" s="89" t="str">
        <f>IFERROR(IF($D672="","",VLOOKUP($D672,Cadastro!$C$4:$G$7,5,FALSE())),"")</f>
        <v/>
      </c>
      <c r="J672" s="90" t="str">
        <f t="shared" si="174"/>
        <v/>
      </c>
      <c r="K672" s="63" t="str">
        <f t="shared" si="175"/>
        <v/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/>
      <c r="D673" s="74"/>
      <c r="E673" s="99"/>
      <c r="F673" s="87" t="str">
        <f>IFERROR(IF($D673="","",VLOOKUP($D673,Cadastro!$C$4:$E$7,3,FALSE())),"")</f>
        <v/>
      </c>
      <c r="G673" s="88"/>
      <c r="H673" s="87" t="str">
        <f>IFERROR(IF($G673="","",$G673*$S$675/$G$675/Cadastro!$E$33),"")</f>
        <v/>
      </c>
      <c r="I673" s="89" t="str">
        <f>IFERROR(IF($D673="","",VLOOKUP($D673,Cadastro!$C$4:$G$7,5,FALSE())),"")</f>
        <v/>
      </c>
      <c r="J673" s="90" t="str">
        <f t="shared" si="174"/>
        <v/>
      </c>
      <c r="K673" s="68" t="str">
        <f t="shared" si="175"/>
        <v/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/>
      <c r="D674" s="61"/>
      <c r="E674" s="86"/>
      <c r="F674" s="91" t="str">
        <f>IFERROR(IF($D674="","",VLOOKUP($D674,Cadastro!$C$4:$E$7,3,FALSE())),"")</f>
        <v/>
      </c>
      <c r="G674" s="88"/>
      <c r="H674" s="91" t="str">
        <f>IFERROR(IF($G674="","",$G674*$S$675/$G$675/Cadastro!$E$33),"")</f>
        <v/>
      </c>
      <c r="I674" s="92" t="str">
        <f>IFERROR(IF($D674="","",VLOOKUP($D674,Cadastro!$C$4:$G$7,5,FALSE())),"")</f>
        <v/>
      </c>
      <c r="J674" s="93" t="str">
        <f t="shared" si="174"/>
        <v/>
      </c>
      <c r="K674" s="63" t="str">
        <f t="shared" si="175"/>
        <v/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59" t="s">
        <v>267</v>
      </c>
      <c r="B675" s="159"/>
      <c r="C675" s="159"/>
      <c r="D675" s="159"/>
      <c r="E675" s="159"/>
      <c r="F675" s="104"/>
      <c r="G675" s="95">
        <f>SUM(G663:G674)</f>
        <v>0</v>
      </c>
      <c r="H675" s="104">
        <f>IFERROR(SUM(H663:H674),"")</f>
        <v>0</v>
      </c>
      <c r="I675" s="105"/>
      <c r="J675" s="106">
        <f>IFERROR(SUM(J663:J674),"")</f>
        <v>0</v>
      </c>
      <c r="K675" s="2">
        <f>SUM(K663:K674)</f>
        <v>0</v>
      </c>
      <c r="L675" s="71"/>
      <c r="M675" s="71"/>
      <c r="N675" s="71"/>
      <c r="O675" s="133"/>
      <c r="P675" s="133"/>
      <c r="Q675" s="72">
        <f ca="1">IFERROR(SUM(Q663:Q674),"")</f>
        <v>0</v>
      </c>
      <c r="R675" s="2" t="s">
        <v>265</v>
      </c>
      <c r="S675" s="73"/>
      <c r="T675" s="98">
        <f>IFERROR(J675,"")</f>
        <v>0</v>
      </c>
    </row>
    <row r="676" spans="1:20" ht="18" customHeight="1">
      <c r="A676" s="158" t="s">
        <v>253</v>
      </c>
      <c r="B676" s="158"/>
      <c r="C676" s="158"/>
      <c r="D676" s="158"/>
      <c r="E676" s="158"/>
      <c r="F676" s="107"/>
      <c r="G676" s="108">
        <f>G662+G675</f>
        <v>118</v>
      </c>
      <c r="H676" s="107">
        <f>IFERROR(H662+H675,"")</f>
        <v>0</v>
      </c>
      <c r="I676" s="109"/>
      <c r="J676" s="110">
        <f>IFERROR(J662+J675,"")</f>
        <v>0</v>
      </c>
      <c r="K676" s="1">
        <f>K662+K675</f>
        <v>506</v>
      </c>
      <c r="L676" s="75"/>
      <c r="M676" s="75"/>
      <c r="N676" s="75"/>
      <c r="O676" s="134"/>
      <c r="P676" s="134"/>
      <c r="Q676" s="76">
        <f ca="1">IFERROR(Q662+Q675,"")</f>
        <v>0.25833333333333325</v>
      </c>
      <c r="R676" s="1" t="s">
        <v>268</v>
      </c>
      <c r="S676" s="81">
        <f>IFERROR(S662+S675,"")</f>
        <v>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/>
      <c r="D677" s="74"/>
      <c r="E677" s="99"/>
      <c r="F677" s="100" t="str">
        <f>IFERROR(IF($D677="","",VLOOKUP($D677,Cadastro!$C$4:$E$7,3,FALSE())),"")</f>
        <v/>
      </c>
      <c r="G677" s="88"/>
      <c r="H677" s="100" t="str">
        <f>IFERROR(IF($G677="","",$G677*$S$689/$G$689/Cadastro!$E$33),"")</f>
        <v/>
      </c>
      <c r="I677" s="101" t="str">
        <f>IFERROR(IF($D677="","",VLOOKUP($D677,Cadastro!$C$4:$G$7,5,FALSE())),"")</f>
        <v/>
      </c>
      <c r="J677" s="102" t="str">
        <f t="shared" ref="J677:J688" si="178">IFERROR(IF($H677="","",$H677*$F677*$I677),"")</f>
        <v/>
      </c>
      <c r="K677" s="68" t="str">
        <f t="shared" ref="K677:K688" si="179">IF(G677="","",IF(E677="PC 17",G677*4.2,IF(E677="PC 19",G677*5,IF(E677="CB",G677*24,""))))</f>
        <v/>
      </c>
      <c r="L677" s="69"/>
      <c r="M677" s="69"/>
      <c r="N677" s="69"/>
      <c r="O677" s="64"/>
      <c r="P677" s="64"/>
      <c r="Q677" s="70" t="str">
        <f t="shared" ref="Q677:Q688" ca="1" si="180">IFERROR(IF(O677="","",IF(P677="",MOD(NOW()-O677,1),IF(P677&gt;=O677,P677-O677,P677+1-O677))),"")</f>
        <v/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/>
      <c r="D678" s="74"/>
      <c r="E678" s="99"/>
      <c r="F678" s="87" t="str">
        <f>IFERROR(IF($D678="","",VLOOKUP($D678,Cadastro!$C$4:$E$7,3,FALSE())),"")</f>
        <v/>
      </c>
      <c r="G678" s="88"/>
      <c r="H678" s="87" t="str">
        <f>IFERROR(IF($G678="","",$G678*$S$689/$G$689/Cadastro!$E$33),"")</f>
        <v/>
      </c>
      <c r="I678" s="89" t="str">
        <f>IFERROR(IF($D678="","",VLOOKUP($D678,Cadastro!$C$4:$G$7,5,FALSE())),"")</f>
        <v/>
      </c>
      <c r="J678" s="90" t="str">
        <f t="shared" si="178"/>
        <v/>
      </c>
      <c r="K678" s="63" t="str">
        <f t="shared" si="179"/>
        <v/>
      </c>
      <c r="L678" s="60"/>
      <c r="M678" s="60"/>
      <c r="N678" s="60"/>
      <c r="O678" s="64"/>
      <c r="P678" s="64"/>
      <c r="Q678" s="65" t="str">
        <f t="shared" ca="1" si="180"/>
        <v/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/>
      <c r="D679" s="74"/>
      <c r="E679" s="99"/>
      <c r="F679" s="87" t="str">
        <f>IFERROR(IF($D679="","",VLOOKUP($D679,Cadastro!$C$4:$E$7,3,FALSE())),"")</f>
        <v/>
      </c>
      <c r="G679" s="88"/>
      <c r="H679" s="87" t="str">
        <f>IFERROR(IF($G679="","",$G679*$S$689/$G$689/Cadastro!$E$33),"")</f>
        <v/>
      </c>
      <c r="I679" s="89" t="str">
        <f>IFERROR(IF($D679="","",VLOOKUP($D679,Cadastro!$C$4:$G$7,5,FALSE())),"")</f>
        <v/>
      </c>
      <c r="J679" s="90" t="str">
        <f t="shared" si="178"/>
        <v/>
      </c>
      <c r="K679" s="68" t="str">
        <f t="shared" si="179"/>
        <v/>
      </c>
      <c r="L679" s="69"/>
      <c r="M679" s="69"/>
      <c r="N679" s="69"/>
      <c r="O679" s="64"/>
      <c r="P679" s="64"/>
      <c r="Q679" s="70" t="str">
        <f t="shared" ca="1" si="180"/>
        <v/>
      </c>
      <c r="R679" s="62"/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/>
      <c r="D680" s="74"/>
      <c r="E680" s="99"/>
      <c r="F680" s="87" t="str">
        <f>IFERROR(IF($D680="","",VLOOKUP($D680,Cadastro!$C$4:$E$7,3,FALSE())),"")</f>
        <v/>
      </c>
      <c r="G680" s="88"/>
      <c r="H680" s="87" t="str">
        <f>IFERROR(IF($G680="","",$G680*$S$689/$G$689/Cadastro!$E$33),"")</f>
        <v/>
      </c>
      <c r="I680" s="89" t="str">
        <f>IFERROR(IF($D680="","",VLOOKUP($D680,Cadastro!$C$4:$G$7,5,FALSE())),"")</f>
        <v/>
      </c>
      <c r="J680" s="90" t="str">
        <f t="shared" si="178"/>
        <v/>
      </c>
      <c r="K680" s="63" t="str">
        <f t="shared" si="179"/>
        <v/>
      </c>
      <c r="L680" s="60"/>
      <c r="M680" s="60"/>
      <c r="N680" s="60"/>
      <c r="O680" s="64"/>
      <c r="P680" s="64"/>
      <c r="Q680" s="65" t="str">
        <f t="shared" ca="1" si="180"/>
        <v/>
      </c>
      <c r="R680" s="62"/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/>
      <c r="D681" s="74"/>
      <c r="E681" s="99"/>
      <c r="F681" s="87" t="str">
        <f>IFERROR(IF($D681="","",VLOOKUP($D681,Cadastro!$C$4:$E$7,3,FALSE())),"")</f>
        <v/>
      </c>
      <c r="G681" s="88"/>
      <c r="H681" s="87" t="str">
        <f>IFERROR(IF($G681="","",$G681*$S$689/$G$689/Cadastro!$E$33),"")</f>
        <v/>
      </c>
      <c r="I681" s="89" t="str">
        <f>IFERROR(IF($D681="","",VLOOKUP($D681,Cadastro!$C$4:$G$7,5,FALSE())),"")</f>
        <v/>
      </c>
      <c r="J681" s="90" t="str">
        <f t="shared" si="178"/>
        <v/>
      </c>
      <c r="K681" s="68" t="str">
        <f t="shared" si="179"/>
        <v/>
      </c>
      <c r="L681" s="69"/>
      <c r="M681" s="69"/>
      <c r="N681" s="69"/>
      <c r="O681" s="64"/>
      <c r="P681" s="64"/>
      <c r="Q681" s="70" t="str">
        <f t="shared" ca="1" si="180"/>
        <v/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/>
      <c r="D682" s="74"/>
      <c r="E682" s="99"/>
      <c r="F682" s="87" t="str">
        <f>IFERROR(IF($D682="","",VLOOKUP($D682,Cadastro!$C$4:$E$7,3,FALSE())),"")</f>
        <v/>
      </c>
      <c r="G682" s="88"/>
      <c r="H682" s="87" t="str">
        <f>IFERROR(IF($G682="","",$G682*$S$689/$G$689/Cadastro!$E$33),"")</f>
        <v/>
      </c>
      <c r="I682" s="89" t="str">
        <f>IFERROR(IF($D682="","",VLOOKUP($D682,Cadastro!$C$4:$G$7,5,FALSE())),"")</f>
        <v/>
      </c>
      <c r="J682" s="90" t="str">
        <f t="shared" si="178"/>
        <v/>
      </c>
      <c r="K682" s="63" t="str">
        <f t="shared" si="179"/>
        <v/>
      </c>
      <c r="L682" s="60"/>
      <c r="M682" s="60"/>
      <c r="N682" s="60"/>
      <c r="O682" s="64"/>
      <c r="P682" s="64"/>
      <c r="Q682" s="65" t="str">
        <f t="shared" ca="1" si="180"/>
        <v/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/>
      <c r="D683" s="74"/>
      <c r="E683" s="99"/>
      <c r="F683" s="87" t="str">
        <f>IFERROR(IF($D683="","",VLOOKUP($D683,Cadastro!$C$4:$E$7,3,FALSE())),"")</f>
        <v/>
      </c>
      <c r="G683" s="88"/>
      <c r="H683" s="87" t="str">
        <f>IFERROR(IF($G683="","",$G683*$S$689/$G$689/Cadastro!$E$33),"")</f>
        <v/>
      </c>
      <c r="I683" s="89" t="str">
        <f>IFERROR(IF($D683="","",VLOOKUP($D683,Cadastro!$C$4:$G$7,5,FALSE())),"")</f>
        <v/>
      </c>
      <c r="J683" s="90" t="str">
        <f t="shared" si="178"/>
        <v/>
      </c>
      <c r="K683" s="68" t="str">
        <f t="shared" si="179"/>
        <v/>
      </c>
      <c r="L683" s="69"/>
      <c r="M683" s="69"/>
      <c r="N683" s="69"/>
      <c r="O683" s="64"/>
      <c r="P683" s="64"/>
      <c r="Q683" s="70" t="str">
        <f t="shared" ca="1" si="180"/>
        <v/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/>
      <c r="D684" s="74"/>
      <c r="E684" s="99"/>
      <c r="F684" s="87" t="str">
        <f>IFERROR(IF($D684="","",VLOOKUP($D684,Cadastro!$C$4:$E$7,3,FALSE())),"")</f>
        <v/>
      </c>
      <c r="G684" s="88"/>
      <c r="H684" s="87" t="str">
        <f>IFERROR(IF($G684="","",$G684*$S$689/$G$689/Cadastro!$E$33),"")</f>
        <v/>
      </c>
      <c r="I684" s="89" t="str">
        <f>IFERROR(IF($D684="","",VLOOKUP($D684,Cadastro!$C$4:$G$7,5,FALSE())),"")</f>
        <v/>
      </c>
      <c r="J684" s="90" t="str">
        <f t="shared" si="178"/>
        <v/>
      </c>
      <c r="K684" s="63" t="str">
        <f t="shared" si="179"/>
        <v/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/>
      <c r="D685" s="74"/>
      <c r="E685" s="99"/>
      <c r="F685" s="87" t="str">
        <f>IFERROR(IF($D685="","",VLOOKUP($D685,Cadastro!$C$4:$E$7,3,FALSE())),"")</f>
        <v/>
      </c>
      <c r="G685" s="88"/>
      <c r="H685" s="87" t="str">
        <f>IFERROR(IF($G685="","",$G685*$S$689/$G$689/Cadastro!$E$33),"")</f>
        <v/>
      </c>
      <c r="I685" s="89" t="str">
        <f>IFERROR(IF($D685="","",VLOOKUP($D685,Cadastro!$C$4:$G$7,5,FALSE())),"")</f>
        <v/>
      </c>
      <c r="J685" s="90" t="str">
        <f t="shared" si="178"/>
        <v/>
      </c>
      <c r="K685" s="68" t="str">
        <f t="shared" si="179"/>
        <v/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/>
      <c r="D686" s="74"/>
      <c r="E686" s="99"/>
      <c r="F686" s="87" t="str">
        <f>IFERROR(IF($D686="","",VLOOKUP($D686,Cadastro!$C$4:$E$7,3,FALSE())),"")</f>
        <v/>
      </c>
      <c r="G686" s="88"/>
      <c r="H686" s="87" t="str">
        <f>IFERROR(IF($G686="","",$G686*$S$689/$G$689/Cadastro!$E$33),"")</f>
        <v/>
      </c>
      <c r="I686" s="89" t="str">
        <f>IFERROR(IF($D686="","",VLOOKUP($D686,Cadastro!$C$4:$G$7,5,FALSE())),"")</f>
        <v/>
      </c>
      <c r="J686" s="90" t="str">
        <f t="shared" si="178"/>
        <v/>
      </c>
      <c r="K686" s="63" t="str">
        <f t="shared" si="179"/>
        <v/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/>
      <c r="D687" s="74"/>
      <c r="E687" s="99"/>
      <c r="F687" s="87" t="str">
        <f>IFERROR(IF($D687="","",VLOOKUP($D687,Cadastro!$C$4:$E$7,3,FALSE())),"")</f>
        <v/>
      </c>
      <c r="G687" s="88"/>
      <c r="H687" s="87" t="str">
        <f>IFERROR(IF($G687="","",$G687*$S$689/$G$689/Cadastro!$E$33),"")</f>
        <v/>
      </c>
      <c r="I687" s="89" t="str">
        <f>IFERROR(IF($D687="","",VLOOKUP($D687,Cadastro!$C$4:$G$7,5,FALSE())),"")</f>
        <v/>
      </c>
      <c r="J687" s="90" t="str">
        <f t="shared" si="178"/>
        <v/>
      </c>
      <c r="K687" s="68" t="str">
        <f t="shared" si="179"/>
        <v/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/>
      <c r="D688" s="74"/>
      <c r="E688" s="99"/>
      <c r="F688" s="91" t="str">
        <f>IFERROR(IF($D688="","",VLOOKUP($D688,Cadastro!$C$4:$E$7,3,FALSE())),"")</f>
        <v/>
      </c>
      <c r="G688" s="88"/>
      <c r="H688" s="91" t="str">
        <f>IFERROR(IF($G688="","",$G688*$S$689/$G$689/Cadastro!$E$33),"")</f>
        <v/>
      </c>
      <c r="I688" s="92" t="str">
        <f>IFERROR(IF($D688="","",VLOOKUP($D688,Cadastro!$C$4:$G$7,5,FALSE())),"")</f>
        <v/>
      </c>
      <c r="J688" s="93" t="str">
        <f t="shared" si="178"/>
        <v/>
      </c>
      <c r="K688" s="63" t="str">
        <f t="shared" si="179"/>
        <v/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59" t="s">
        <v>264</v>
      </c>
      <c r="B689" s="159"/>
      <c r="C689" s="159"/>
      <c r="D689" s="159"/>
      <c r="E689" s="159"/>
      <c r="F689" s="94"/>
      <c r="G689" s="95">
        <f>SUM(G677:G688)</f>
        <v>0</v>
      </c>
      <c r="H689" s="94">
        <f>IFERROR(SUM(H677:H688),"")</f>
        <v>0</v>
      </c>
      <c r="I689" s="96"/>
      <c r="J689" s="97">
        <f>IFERROR(SUM(J677:J688),"")</f>
        <v>0</v>
      </c>
      <c r="K689" s="2">
        <f>SUM(K677:K688)</f>
        <v>0</v>
      </c>
      <c r="L689" s="71"/>
      <c r="M689" s="71"/>
      <c r="N689" s="71"/>
      <c r="O689" s="133"/>
      <c r="P689" s="133"/>
      <c r="Q689" s="72">
        <f ca="1">IFERROR(SUM(Q677:Q688),"")</f>
        <v>0</v>
      </c>
      <c r="R689" s="2" t="s">
        <v>265</v>
      </c>
      <c r="S689" s="73"/>
      <c r="T689" s="98">
        <f>IFERROR(J689,"")</f>
        <v>0</v>
      </c>
    </row>
    <row r="690" spans="1:20" ht="15" customHeight="1">
      <c r="A690" s="58">
        <v>46260</v>
      </c>
      <c r="B690" s="59">
        <v>0.83333333333333304</v>
      </c>
      <c r="C690" s="60"/>
      <c r="D690" s="61"/>
      <c r="E690" s="86"/>
      <c r="F690" s="100" t="str">
        <f>IFERROR(IF($D690="","",VLOOKUP($D690,Cadastro!$C$4:$E$7,3,FALSE())),"")</f>
        <v/>
      </c>
      <c r="G690" s="88"/>
      <c r="H690" s="100" t="str">
        <f>IFERROR(IF($G690="","",$G690*$S$702/$G$702/Cadastro!$E$33),"")</f>
        <v/>
      </c>
      <c r="I690" s="101" t="str">
        <f>IFERROR(IF($D690="","",VLOOKUP($D690,Cadastro!$C$4:$G$7,5,FALSE())),"")</f>
        <v/>
      </c>
      <c r="J690" s="102" t="str">
        <f t="shared" ref="J690:J701" si="182">IFERROR(IF($H690="","",$H690*$F690*$I690),"")</f>
        <v/>
      </c>
      <c r="K690" s="63" t="str">
        <f t="shared" ref="K690:K701" si="183">IF(G690="","",IF(E690="PC 17",G690*4.2,IF(E690="PC 19",G690*5,IF(E690="CB",G690*24,""))))</f>
        <v/>
      </c>
      <c r="L690" s="60"/>
      <c r="M690" s="60"/>
      <c r="N690" s="60"/>
      <c r="O690" s="64"/>
      <c r="P690" s="64"/>
      <c r="Q690" s="65" t="str">
        <f t="shared" ref="Q690:Q701" ca="1" si="184">IFERROR(IF(O690="","",IF(P690="",MOD(NOW()-O690,1),IF(P690&gt;=O690,P690-O690,P690+1-O690))),"")</f>
        <v/>
      </c>
      <c r="R690" s="62"/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/>
      <c r="D691" s="61"/>
      <c r="E691" s="86"/>
      <c r="F691" s="87" t="str">
        <f>IFERROR(IF($D691="","",VLOOKUP($D691,Cadastro!$C$4:$E$7,3,FALSE())),"")</f>
        <v/>
      </c>
      <c r="G691" s="88"/>
      <c r="H691" s="87" t="str">
        <f>IFERROR(IF($G691="","",$G691*$S$702/$G$702/Cadastro!$E$33),"")</f>
        <v/>
      </c>
      <c r="I691" s="89" t="str">
        <f>IFERROR(IF($D691="","",VLOOKUP($D691,Cadastro!$C$4:$G$7,5,FALSE())),"")</f>
        <v/>
      </c>
      <c r="J691" s="90" t="str">
        <f t="shared" si="182"/>
        <v/>
      </c>
      <c r="K691" s="68" t="str">
        <f t="shared" si="183"/>
        <v/>
      </c>
      <c r="L691" s="69"/>
      <c r="M691" s="69"/>
      <c r="N691" s="69"/>
      <c r="O691" s="64"/>
      <c r="P691" s="64"/>
      <c r="Q691" s="70" t="str">
        <f t="shared" ca="1" si="184"/>
        <v/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/>
      <c r="D692" s="61"/>
      <c r="E692" s="86"/>
      <c r="F692" s="87" t="str">
        <f>IFERROR(IF($D692="","",VLOOKUP($D692,Cadastro!$C$4:$E$7,3,FALSE())),"")</f>
        <v/>
      </c>
      <c r="G692" s="88"/>
      <c r="H692" s="87" t="str">
        <f>IFERROR(IF($G692="","",$G692*$S$702/$G$702/Cadastro!$E$33),"")</f>
        <v/>
      </c>
      <c r="I692" s="89" t="str">
        <f>IFERROR(IF($D692="","",VLOOKUP($D692,Cadastro!$C$4:$G$7,5,FALSE())),"")</f>
        <v/>
      </c>
      <c r="J692" s="90" t="str">
        <f t="shared" si="182"/>
        <v/>
      </c>
      <c r="K692" s="63" t="str">
        <f t="shared" si="183"/>
        <v/>
      </c>
      <c r="L692" s="60"/>
      <c r="M692" s="60"/>
      <c r="N692" s="60"/>
      <c r="O692" s="64"/>
      <c r="P692" s="64"/>
      <c r="Q692" s="65" t="str">
        <f t="shared" ca="1" si="184"/>
        <v/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/>
      <c r="D693" s="61"/>
      <c r="E693" s="86"/>
      <c r="F693" s="87" t="str">
        <f>IFERROR(IF($D693="","",VLOOKUP($D693,Cadastro!$C$4:$E$7,3,FALSE())),"")</f>
        <v/>
      </c>
      <c r="G693" s="88"/>
      <c r="H693" s="87" t="str">
        <f>IFERROR(IF($G693="","",$G693*$S$702/$G$702/Cadastro!$E$33),"")</f>
        <v/>
      </c>
      <c r="I693" s="89" t="str">
        <f>IFERROR(IF($D693="","",VLOOKUP($D693,Cadastro!$C$4:$G$7,5,FALSE())),"")</f>
        <v/>
      </c>
      <c r="J693" s="90" t="str">
        <f t="shared" si="182"/>
        <v/>
      </c>
      <c r="K693" s="68" t="str">
        <f t="shared" si="183"/>
        <v/>
      </c>
      <c r="L693" s="69"/>
      <c r="M693" s="69"/>
      <c r="N693" s="69"/>
      <c r="O693" s="64"/>
      <c r="P693" s="64"/>
      <c r="Q693" s="70" t="str">
        <f t="shared" ca="1" si="184"/>
        <v/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/>
      <c r="D694" s="61"/>
      <c r="E694" s="86"/>
      <c r="F694" s="87" t="str">
        <f>IFERROR(IF($D694="","",VLOOKUP($D694,Cadastro!$C$4:$E$7,3,FALSE())),"")</f>
        <v/>
      </c>
      <c r="G694" s="88"/>
      <c r="H694" s="87" t="str">
        <f>IFERROR(IF($G694="","",$G694*$S$702/$G$702/Cadastro!$E$33),"")</f>
        <v/>
      </c>
      <c r="I694" s="89" t="str">
        <f>IFERROR(IF($D694="","",VLOOKUP($D694,Cadastro!$C$4:$G$7,5,FALSE())),"")</f>
        <v/>
      </c>
      <c r="J694" s="90" t="str">
        <f t="shared" si="182"/>
        <v/>
      </c>
      <c r="K694" s="63" t="str">
        <f t="shared" si="183"/>
        <v/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/>
      <c r="D695" s="61"/>
      <c r="E695" s="86"/>
      <c r="F695" s="87" t="str">
        <f>IFERROR(IF($D695="","",VLOOKUP($D695,Cadastro!$C$4:$E$7,3,FALSE())),"")</f>
        <v/>
      </c>
      <c r="G695" s="88"/>
      <c r="H695" s="87" t="str">
        <f>IFERROR(IF($G695="","",$G695*$S$702/$G$702/Cadastro!$E$33),"")</f>
        <v/>
      </c>
      <c r="I695" s="89" t="str">
        <f>IFERROR(IF($D695="","",VLOOKUP($D695,Cadastro!$C$4:$G$7,5,FALSE())),"")</f>
        <v/>
      </c>
      <c r="J695" s="90" t="str">
        <f t="shared" si="182"/>
        <v/>
      </c>
      <c r="K695" s="68" t="str">
        <f t="shared" si="183"/>
        <v/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/>
      <c r="D696" s="61"/>
      <c r="E696" s="86"/>
      <c r="F696" s="87" t="str">
        <f>IFERROR(IF($D696="","",VLOOKUP($D696,Cadastro!$C$4:$E$7,3,FALSE())),"")</f>
        <v/>
      </c>
      <c r="G696" s="88"/>
      <c r="H696" s="87" t="str">
        <f>IFERROR(IF($G696="","",$G696*$S$702/$G$702/Cadastro!$E$33),"")</f>
        <v/>
      </c>
      <c r="I696" s="89" t="str">
        <f>IFERROR(IF($D696="","",VLOOKUP($D696,Cadastro!$C$4:$G$7,5,FALSE())),"")</f>
        <v/>
      </c>
      <c r="J696" s="90" t="str">
        <f t="shared" si="182"/>
        <v/>
      </c>
      <c r="K696" s="63" t="str">
        <f t="shared" si="183"/>
        <v/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/>
      <c r="D697" s="61"/>
      <c r="E697" s="86"/>
      <c r="F697" s="87" t="str">
        <f>IFERROR(IF($D697="","",VLOOKUP($D697,Cadastro!$C$4:$E$7,3,FALSE())),"")</f>
        <v/>
      </c>
      <c r="G697" s="88"/>
      <c r="H697" s="87" t="str">
        <f>IFERROR(IF($G697="","",$G697*$S$702/$G$702/Cadastro!$E$33),"")</f>
        <v/>
      </c>
      <c r="I697" s="89" t="str">
        <f>IFERROR(IF($D697="","",VLOOKUP($D697,Cadastro!$C$4:$G$7,5,FALSE())),"")</f>
        <v/>
      </c>
      <c r="J697" s="90" t="str">
        <f t="shared" si="182"/>
        <v/>
      </c>
      <c r="K697" s="68" t="str">
        <f t="shared" si="183"/>
        <v/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/>
      <c r="D698" s="61"/>
      <c r="E698" s="86"/>
      <c r="F698" s="87" t="str">
        <f>IFERROR(IF($D698="","",VLOOKUP($D698,Cadastro!$C$4:$E$7,3,FALSE())),"")</f>
        <v/>
      </c>
      <c r="G698" s="88"/>
      <c r="H698" s="87" t="str">
        <f>IFERROR(IF($G698="","",$G698*$S$702/$G$702/Cadastro!$E$33),"")</f>
        <v/>
      </c>
      <c r="I698" s="89" t="str">
        <f>IFERROR(IF($D698="","",VLOOKUP($D698,Cadastro!$C$4:$G$7,5,FALSE())),"")</f>
        <v/>
      </c>
      <c r="J698" s="90" t="str">
        <f t="shared" si="182"/>
        <v/>
      </c>
      <c r="K698" s="63" t="str">
        <f t="shared" si="183"/>
        <v/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/>
      <c r="D699" s="61"/>
      <c r="E699" s="86"/>
      <c r="F699" s="87" t="str">
        <f>IFERROR(IF($D699="","",VLOOKUP($D699,Cadastro!$C$4:$E$7,3,FALSE())),"")</f>
        <v/>
      </c>
      <c r="G699" s="88"/>
      <c r="H699" s="87" t="str">
        <f>IFERROR(IF($G699="","",$G699*$S$702/$G$702/Cadastro!$E$33),"")</f>
        <v/>
      </c>
      <c r="I699" s="89" t="str">
        <f>IFERROR(IF($D699="","",VLOOKUP($D699,Cadastro!$C$4:$G$7,5,FALSE())),"")</f>
        <v/>
      </c>
      <c r="J699" s="90" t="str">
        <f t="shared" si="182"/>
        <v/>
      </c>
      <c r="K699" s="68" t="str">
        <f t="shared" si="183"/>
        <v/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/>
      <c r="D700" s="61"/>
      <c r="E700" s="86"/>
      <c r="F700" s="87" t="str">
        <f>IFERROR(IF($D700="","",VLOOKUP($D700,Cadastro!$C$4:$E$7,3,FALSE())),"")</f>
        <v/>
      </c>
      <c r="G700" s="88"/>
      <c r="H700" s="87" t="str">
        <f>IFERROR(IF($G700="","",$G700*$S$702/$G$702/Cadastro!$E$33),"")</f>
        <v/>
      </c>
      <c r="I700" s="89" t="str">
        <f>IFERROR(IF($D700="","",VLOOKUP($D700,Cadastro!$C$4:$G$7,5,FALSE())),"")</f>
        <v/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/>
      <c r="D701" s="61"/>
      <c r="E701" s="86"/>
      <c r="F701" s="91" t="str">
        <f>IFERROR(IF($D701="","",VLOOKUP($D701,Cadastro!$C$4:$E$7,3,FALSE())),"")</f>
        <v/>
      </c>
      <c r="G701" s="88"/>
      <c r="H701" s="91" t="str">
        <f>IFERROR(IF($G701="","",$G701*$S$702/$G$702/Cadastro!$E$33),"")</f>
        <v/>
      </c>
      <c r="I701" s="92" t="str">
        <f>IFERROR(IF($D701="","",VLOOKUP($D701,Cadastro!$C$4:$G$7,5,FALSE())),"")</f>
        <v/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59" t="s">
        <v>267</v>
      </c>
      <c r="B702" s="159"/>
      <c r="C702" s="159"/>
      <c r="D702" s="159"/>
      <c r="E702" s="159"/>
      <c r="F702" s="104"/>
      <c r="G702" s="95">
        <f>SUM(G690:G701)</f>
        <v>0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0</v>
      </c>
      <c r="L702" s="71"/>
      <c r="M702" s="71"/>
      <c r="N702" s="71"/>
      <c r="O702" s="133"/>
      <c r="P702" s="133"/>
      <c r="Q702" s="72">
        <f ca="1">IFERROR(SUM(Q690:Q701),"")</f>
        <v>0</v>
      </c>
      <c r="R702" s="2" t="s">
        <v>265</v>
      </c>
      <c r="S702" s="73"/>
      <c r="T702" s="98">
        <f>IFERROR(J702,"")</f>
        <v>0</v>
      </c>
    </row>
    <row r="703" spans="1:20" ht="18" customHeight="1">
      <c r="A703" s="158" t="s">
        <v>253</v>
      </c>
      <c r="B703" s="158"/>
      <c r="C703" s="158"/>
      <c r="D703" s="158"/>
      <c r="E703" s="158"/>
      <c r="F703" s="107"/>
      <c r="G703" s="108">
        <f>G689+G702</f>
        <v>0</v>
      </c>
      <c r="H703" s="107">
        <f>IFERROR(H689+H702,"")</f>
        <v>0</v>
      </c>
      <c r="I703" s="109"/>
      <c r="J703" s="110">
        <f>IFERROR(J689+J702,"")</f>
        <v>0</v>
      </c>
      <c r="K703" s="1">
        <f>K689+K702</f>
        <v>0</v>
      </c>
      <c r="L703" s="75"/>
      <c r="M703" s="75"/>
      <c r="N703" s="75"/>
      <c r="O703" s="134"/>
      <c r="P703" s="134"/>
      <c r="Q703" s="76">
        <f ca="1">IFERROR(Q689+Q702,"")</f>
        <v>0</v>
      </c>
      <c r="R703" s="1" t="s">
        <v>268</v>
      </c>
      <c r="S703" s="81">
        <f>IFERROR(S689+S702,"")</f>
        <v>0</v>
      </c>
      <c r="T703" s="117">
        <f>IFERROR(J703,"")</f>
        <v>0</v>
      </c>
    </row>
    <row r="704" spans="1:20" ht="15" customHeight="1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59" t="s">
        <v>264</v>
      </c>
      <c r="B716" s="159"/>
      <c r="C716" s="159"/>
      <c r="D716" s="159"/>
      <c r="E716" s="159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265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59" t="s">
        <v>267</v>
      </c>
      <c r="B729" s="159"/>
      <c r="C729" s="159"/>
      <c r="D729" s="159"/>
      <c r="E729" s="159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265</v>
      </c>
      <c r="S729" s="73"/>
      <c r="T729" s="98">
        <f>IFERROR(J729,"")</f>
        <v>0</v>
      </c>
    </row>
    <row r="730" spans="1:20" ht="18" customHeight="1">
      <c r="A730" s="158" t="s">
        <v>253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268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59" t="s">
        <v>264</v>
      </c>
      <c r="B743" s="159"/>
      <c r="C743" s="159"/>
      <c r="D743" s="159"/>
      <c r="E743" s="159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265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59" t="s">
        <v>267</v>
      </c>
      <c r="B756" s="159"/>
      <c r="C756" s="159"/>
      <c r="D756" s="159"/>
      <c r="E756" s="159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265</v>
      </c>
      <c r="S756" s="73"/>
      <c r="T756" s="98">
        <f>IFERROR(J756,"")</f>
        <v>0</v>
      </c>
    </row>
    <row r="757" spans="1:20" ht="18" customHeight="1">
      <c r="A757" s="158" t="s">
        <v>253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268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59" t="s">
        <v>264</v>
      </c>
      <c r="B770" s="159"/>
      <c r="C770" s="159"/>
      <c r="D770" s="159"/>
      <c r="E770" s="159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265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59" t="s">
        <v>267</v>
      </c>
      <c r="B783" s="159"/>
      <c r="C783" s="159"/>
      <c r="D783" s="159"/>
      <c r="E783" s="159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265</v>
      </c>
      <c r="S783" s="73"/>
      <c r="T783" s="98">
        <f>IFERROR(J783,"")</f>
        <v>0</v>
      </c>
    </row>
    <row r="784" spans="1:20" ht="18" customHeight="1">
      <c r="A784" s="158" t="s">
        <v>253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268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59" t="s">
        <v>264</v>
      </c>
      <c r="B797" s="159"/>
      <c r="C797" s="159"/>
      <c r="D797" s="159"/>
      <c r="E797" s="159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265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59" t="s">
        <v>267</v>
      </c>
      <c r="B810" s="159"/>
      <c r="C810" s="159"/>
      <c r="D810" s="159"/>
      <c r="E810" s="159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265</v>
      </c>
      <c r="S810" s="73"/>
      <c r="T810" s="98">
        <f>IFERROR(J810,"")</f>
        <v>0</v>
      </c>
    </row>
    <row r="811" spans="1:20" ht="18" customHeight="1">
      <c r="A811" s="158" t="s">
        <v>253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268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59" t="s">
        <v>264</v>
      </c>
      <c r="B824" s="159"/>
      <c r="C824" s="159"/>
      <c r="D824" s="159"/>
      <c r="E824" s="159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265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59" t="s">
        <v>267</v>
      </c>
      <c r="B837" s="159"/>
      <c r="C837" s="159"/>
      <c r="D837" s="159"/>
      <c r="E837" s="159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265</v>
      </c>
      <c r="S837" s="73"/>
      <c r="T837" s="98">
        <f>IFERROR(J837,"")</f>
        <v>0</v>
      </c>
    </row>
    <row r="838" spans="1:20" ht="18" customHeight="1">
      <c r="A838" s="158" t="s">
        <v>253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268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2026-08-25T22:15:49Z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