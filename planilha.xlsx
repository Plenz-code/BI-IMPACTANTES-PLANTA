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045" documentId="8_{AF585B22-221D-4780-BB9C-493D365A6A02}" xr6:coauthVersionLast="47" xr6:coauthVersionMax="47" xr10:uidLastSave="{0336522C-AB2F-4642-AE02-692D01418E33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<sst xmlns="http://schemas.openxmlformats.org/spreadsheetml/2006/main" count="11125" uniqueCount="412">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</sst>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35" sqref="E7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119</v>
      </c>
      <c r="G743" s="36">
        <f>SUM(G731:G742)</f>
        <v>595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119</v>
      </c>
      <c r="G757" s="40">
        <f>G743+G756</f>
        <v>595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3" activePane="bottomLeft" state="frozen"/>
      <selection pane="bottomLeft" activeCell="K732" sqref="K7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0.27997615740605397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0.43761504629494286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0.54733726851716502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0.2584483796308632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0.42928171296419659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0.57442060185308552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/>
      <c r="I731" s="33"/>
      <c r="J731" s="33"/>
      <c r="K731" s="29">
        <v>0.51944444444444449</v>
      </c>
      <c r="L731" s="29"/>
      <c r="M731" s="35">
        <f t="shared" ref="M731:M742" ca="1" si="163">IFERROR(IF(K731="","",IF(L731="",MOD(NOW()-K731,1),IF(L731&gt;=K731,L731-K731,L731+1-K731))),"")</f>
        <v>1.150462994701229E-4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66</v>
      </c>
      <c r="G743" s="36">
        <f>SUM(G731:G742)</f>
        <v>277.20000000000005</v>
      </c>
      <c r="H743" s="37"/>
      <c r="I743" s="37"/>
      <c r="J743" s="37"/>
      <c r="K743" s="37"/>
      <c r="L743" s="37"/>
      <c r="M743" s="38">
        <f ca="1">IFERROR(SUM(M731:M742),"")</f>
        <v>1.150462994701229E-4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66</v>
      </c>
      <c r="G757" s="40">
        <f>G743+G756</f>
        <v>277.20000000000005</v>
      </c>
      <c r="H757" s="41"/>
      <c r="I757" s="41"/>
      <c r="J757" s="41"/>
      <c r="K757" s="41"/>
      <c r="L757" s="41"/>
      <c r="M757" s="42">
        <f ca="1">IFERROR(M743+M756,"")</f>
        <v>1.150462994701229E-4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E732" sqref="E7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>
        <v>13</v>
      </c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>
        <v>6</v>
      </c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>
        <v>0</v>
      </c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30</v>
      </c>
      <c r="G743" s="36">
        <f>SUM(G731:G742)</f>
        <v>4.2</v>
      </c>
      <c r="H743" s="37"/>
      <c r="I743" s="37"/>
      <c r="J743" s="37"/>
      <c r="K743" s="37"/>
      <c r="L743" s="37"/>
      <c r="M743" s="38">
        <f ca="1">IFERROR(SUM(M731:M742),"")</f>
        <v>4.0972222222222243E-2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30</v>
      </c>
      <c r="G757" s="40">
        <f>G743+G756</f>
        <v>4.2</v>
      </c>
      <c r="H757" s="41"/>
      <c r="I757" s="41"/>
      <c r="J757" s="41"/>
      <c r="K757" s="41"/>
      <c r="L757" s="41"/>
      <c r="M757" s="42">
        <f ca="1">IFERROR(M743+M756,"")</f>
        <v>4.0972222222222243E-2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15" activePane="bottomLeft" state="frozen"/>
      <selection pane="bottomLeft" activeCell="F736" sqref="F7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0.2702539351885207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0.46955949074407632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0.83692060185518735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61</v>
      </c>
      <c r="G743" s="36">
        <f>SUM(G731:G742)</f>
        <v>256.2</v>
      </c>
      <c r="H743" s="37"/>
      <c r="I743" s="37"/>
      <c r="J743" s="37"/>
      <c r="K743" s="61"/>
      <c r="L743" s="61"/>
      <c r="M743" s="38">
        <f ca="1">IFERROR(SUM(M731:M742),"")</f>
        <v>8.6805555555555525E-2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61</v>
      </c>
      <c r="G757" s="40">
        <f>G743+G756</f>
        <v>256.2</v>
      </c>
      <c r="H757" s="41"/>
      <c r="I757" s="41"/>
      <c r="J757" s="41"/>
      <c r="K757" s="63"/>
      <c r="L757" s="63"/>
      <c r="M757" s="42">
        <f ca="1">IFERROR(M743+M756,"")</f>
        <v>8.6805555555555525E-2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2026-07-28T16:28:41Z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