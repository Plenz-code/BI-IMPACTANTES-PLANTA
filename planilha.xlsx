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279" documentId="8_{C51EB6CB-002B-4D6B-B68F-DDEBDB4460C0}" xr6:coauthVersionLast="47" xr6:coauthVersionMax="47" xr10:uidLastSave="{F75AE904-77AD-4022-A30C-0E3801B8302B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<sst xmlns="http://schemas.openxmlformats.org/spreadsheetml/2006/main" count="2039" uniqueCount="259">
  <si>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</si>
  <si>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</si>
  <si>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</si>
  <si>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</si>
  <si>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</si>
  <si>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</si>
  <si>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</si>
  <si>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</si>
  <si>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</si>
  <si>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</si>
  <si>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</si>
  <si>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</si>
  <si>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</si>
  <si>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</si>
  <si>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</si>
  <si>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</si>
  <si>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</si>
  <si>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</si>
  <si>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</si>
  <si>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</si>
  <si>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</si>
  <si>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</si>
  <si>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</si>
  <si>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</si>
  <si>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</si>
  <si>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</si>
  <si>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</si>
  <si>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</si>
  <si>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</si>
  <si>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</si>
  <si>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</si>
  <si>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</si>
  <si>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</si>
  <si>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</si>
  <si>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</si>
  <si>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</si>
  <si>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</si>
  <si>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</si>
  <si>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</si>
  <si>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</si>
  <si>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</si>
  <si>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</si>
  <si>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</si>
  <si>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</si>
  <si>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</si>
  <si>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</si>
  <si>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</si>
  <si>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</si>
  <si>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</si>
  <si>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</si>
  <si>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</si>
  <si>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</si>
  <si>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</si>
  <si>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</si>
  <si>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</si>
  <si>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</si>
  <si>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</si>
  <si>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</si>
  <si>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</si>
  <si>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</si>
  <si>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</si>
  <si>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</si>
  <si>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</si>
  <si>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</si>
  <si>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</si>
  <si>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</si>
  <si>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</si>
  <si>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</si>
  <si>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</si>
  <si>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</si>
  <si>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</si>
  <si>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</si>
  <si>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</si>
  <si>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</si>
  <si>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</si>
  <si>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</si>
  <si>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</si>
  <si>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</si>
  <si>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</si>
  <si>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</si>
  <si>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</si>
  <si>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</si>
  <si>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</si>
  <si>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</si>
  <si>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</si>
  <si>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</si>
  <si>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</si>
  <si>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</si>
  <si>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</si>
  <si>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</si>
  <si>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</si>
  <si>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</si>
  <si>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</si>
  <si>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</si>
  <si>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</si>
  <si>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</si>
  <si>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</si>
  <si>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</si>
  <si>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</si>
  <si>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</si>
  <si>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</si>
  <si>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</si>
  <si>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</si>
  <si>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</si>
  <si>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</si>
  <si>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</si>
  <si>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</si>
  <si>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</si>
  <si>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</si>
  <si>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</si>
  <si>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</si>
  <si>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</si>
  <si>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</si>
  <si>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</si>
  <si>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</si>
  <si>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</si>
  <si>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</si>
  <si>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</si>
  <si>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</si>
  <si>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</si>
  <si>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</si>
  <si>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</si>
  <si>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</si>
  <si>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</si>
  <si>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</si>
  <si>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</si>
  <si>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</si>
  <si>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</si>
  <si>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</si>
  <si>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</si>
  <si>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</si>
  <si>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</si>
  <si>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</si>
  <si>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</si>
  <si>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</si>
  <si>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</si>
  <si>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</si>
  <si>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</si>
  <si>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</si>
  <si>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</si>
  <si>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</si>
  <si>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</si>
  <si>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</si>
  <si>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</si>
  <si>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</si>
  <si>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</si>
  <si>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</si>
  <si>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</si>
  <si>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</si>
  <si>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</si>
  <si>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</si>
  <si>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</si>
  <si>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</si>
  <si>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</si>
  <si>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</si>
  <si>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</si>
  <si>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</si>
  <si>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</si>
  <si>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</si>
  <si>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</si>
  <si>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</si>
  <si>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</si>
  <si>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</si>
  <si>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</si>
  <si>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</si>
  <si>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</si>
  <si>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</si>
  <si>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</si>
  <si>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</si>
  <si>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</si>
  <si>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</si>
  <si>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</si>
  <si>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</si>
  <si>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</si>
  <si>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</si>
  <si>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</si>
  <si>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</si>
  <si>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</si>
  <si>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</si>
  <si>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</si>
  <si>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</si>
  <si>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</si>
  <si>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</si>
  <si>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</si>
  <si>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</si>
  <si>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</si>
  <si>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</si>
  <si>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</si>
  <si>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</si>
  <si>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</si>
  <si>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</si>
  <si>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</si>
  <si>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</si>
  <si>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</si>
  <si>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</si>
  <si>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</si>
  <si>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</si>
  <si>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</si>
  <si>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</si>
  <si>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</si>
  <si>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</si>
  <si>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</si>
  <si>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</si>
  <si>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</si>
  <si>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</si>
  <si>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</si>
  <si>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</si>
  <si>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</si>
  <si>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</si>
  <si>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</si>
  <si>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</si>
  <si>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</si>
  <si>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</si>
  <si>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</si>
  <si>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</si>
  <si>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</si>
  <si>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</si>
  <si>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</si>
  <si>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</si>
  <si>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</si>
  <si>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</si>
  <si>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</si>
  <si>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</si>
  <si>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</si>
  <si>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</si>
  <si>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</si>
  <si>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</si>
  <si>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</si>
  <si>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</si>
  <si>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</si>
  <si>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</si>
  <si>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</si>
  <si>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</si>
  <si>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</si>
  <si>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</si>
  <si>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</si>
  <si>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</si>
  <si>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</si>
  <si>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</si>
  <si>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</si>
  <si>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</si>
  <si>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</si>
  <si>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</si>
  <si>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</si>
  <si>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</si>
  <si>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</si>
  <si>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</si>
  <si>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</si>
  <si>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</si>
  <si>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</si>
  <si>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</si>
  <si>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</si>
  <si>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solda no queixo</t>
  </si>
  <si>
    <t>sem material no estoque</t>
  </si>
  <si>
    <t>troca de martelo</t>
  </si>
  <si>
    <t>colocar chapa na bica</t>
  </si>
  <si>
    <t>solda no queixo ,revestimento gasto</t>
  </si>
  <si>
    <t>troca de martelo mm 4\5</t>
  </si>
  <si>
    <t>processando blend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</si>
</sst>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4128545</v>
      </c>
      <c r="D35" s="13">
        <f>IFERROR(SUM(D4:D34),"")</f>
        <v>1694640</v>
      </c>
      <c r="E35" s="13">
        <f>IFERROR(SUM(E4:E34),"")</f>
        <v>1201580</v>
      </c>
      <c r="F35" s="13">
        <f>IFERROR(SUM(F4:F34),"")</f>
        <v>2172170</v>
      </c>
      <c r="G35" s="13">
        <f>IFERROR(SUM(G4:G34),"")</f>
        <v>5068390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/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203</v>
      </c>
      <c r="L58" s="16"/>
      <c r="M58" s="16"/>
    </row>
    <row r="59" spans="1:13" ht="15" customHeight="1">
      <c r="H59" s="110"/>
      <c r="I59" s="17"/>
      <c r="J59" s="17"/>
      <c r="K59" s="17" t="s">
        <v>204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205</v>
      </c>
      <c r="L61" s="17"/>
      <c r="M61" s="17"/>
    </row>
    <row r="62" spans="1:13" ht="15" customHeight="1">
      <c r="H62" s="110"/>
      <c r="I62" s="16"/>
      <c r="J62" s="16"/>
      <c r="K62" s="16" t="s">
        <v>206</v>
      </c>
      <c r="L62" s="16"/>
      <c r="M62" s="16"/>
    </row>
    <row r="63" spans="1:13" ht="15" customHeight="1">
      <c r="H63" s="110"/>
      <c r="I63" s="17"/>
      <c r="J63" s="17"/>
      <c r="K63" s="17" t="s">
        <v>207</v>
      </c>
      <c r="L63" s="17"/>
      <c r="M63" s="17"/>
    </row>
    <row r="64" spans="1:13" ht="15" customHeight="1">
      <c r="H64" s="110"/>
      <c r="I64" s="16"/>
      <c r="J64" s="16"/>
      <c r="K64" s="16" t="s">
        <v>208</v>
      </c>
      <c r="L64" s="16"/>
      <c r="M64" s="16"/>
    </row>
    <row r="65" spans="8:13" ht="15" customHeight="1">
      <c r="H65" s="110"/>
      <c r="I65" s="17"/>
      <c r="J65" s="17"/>
      <c r="K65" s="17" t="s">
        <v>209</v>
      </c>
      <c r="L65" s="17"/>
      <c r="M65" s="17"/>
    </row>
    <row r="66" spans="8:13" ht="15" customHeight="1">
      <c r="H66" s="110"/>
      <c r="I66" s="16"/>
      <c r="J66" s="16"/>
      <c r="K66" s="16" t="s">
        <v>210</v>
      </c>
      <c r="L66" s="16"/>
      <c r="M66" s="16"/>
    </row>
    <row r="67" spans="8:13" ht="15" customHeight="1">
      <c r="H67" s="110"/>
      <c r="I67" s="17"/>
      <c r="J67" s="17"/>
      <c r="K67" s="17" t="s">
        <v>211</v>
      </c>
      <c r="L67" s="17"/>
      <c r="M67" s="17"/>
    </row>
    <row r="68" spans="8:13" ht="15" customHeight="1">
      <c r="H68" s="110"/>
      <c r="I68" s="16"/>
      <c r="J68" s="16"/>
      <c r="K68" s="16" t="s">
        <v>212</v>
      </c>
      <c r="L68" s="16"/>
      <c r="M68" s="16"/>
    </row>
    <row r="69" spans="8:13" ht="15" customHeight="1">
      <c r="H69" s="110"/>
      <c r="I69" s="17"/>
      <c r="J69" s="17"/>
      <c r="K69" s="17" t="s">
        <v>213</v>
      </c>
      <c r="L69" s="17"/>
      <c r="M69" s="17"/>
    </row>
    <row r="70" spans="8:13" ht="15" customHeight="1">
      <c r="H70" s="110"/>
      <c r="I70" s="16"/>
      <c r="J70" s="16"/>
      <c r="K70" s="16" t="s">
        <v>214</v>
      </c>
      <c r="L70" s="16"/>
      <c r="M70" s="16"/>
    </row>
    <row r="71" spans="8:13" ht="15" customHeight="1">
      <c r="H71" s="110"/>
      <c r="I71" s="17"/>
      <c r="J71" s="17"/>
      <c r="K71" s="17" t="s">
        <v>215</v>
      </c>
      <c r="L71" s="17"/>
      <c r="M71" s="17"/>
    </row>
    <row r="72" spans="8:13" ht="15" customHeight="1">
      <c r="H72" s="110"/>
      <c r="I72" s="16"/>
      <c r="J72" s="16"/>
      <c r="K72" s="16" t="s">
        <v>216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34" activePane="bottomLeft" state="frozen"/>
      <selection pane="bottomLeft" activeCell="L57" sqref="L5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227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227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227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227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227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227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227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229</v>
      </c>
      <c r="O54" s="39">
        <v>981310</v>
      </c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1555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233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227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227</v>
      </c>
      <c r="F57" s="27">
        <v>16</v>
      </c>
      <c r="G57" s="34">
        <f t="shared" si="12"/>
        <v>80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227</v>
      </c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227</v>
      </c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227</v>
      </c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227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227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227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227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227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227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227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46</v>
      </c>
      <c r="G68" s="36">
        <f>SUM(G56:G67)</f>
        <v>230</v>
      </c>
      <c r="H68" s="37"/>
      <c r="I68" s="37"/>
      <c r="J68" s="37"/>
      <c r="K68" s="37"/>
      <c r="L68" s="37"/>
      <c r="M68" s="38">
        <f ca="1">IFERROR(SUM(M56:M67),"")</f>
        <v>2.777777777777779E-2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46</v>
      </c>
      <c r="G82" s="40">
        <f>G68+G81</f>
        <v>230</v>
      </c>
      <c r="H82" s="41"/>
      <c r="I82" s="41"/>
      <c r="J82" s="41"/>
      <c r="K82" s="41"/>
      <c r="L82" s="41"/>
      <c r="M82" s="42">
        <f ca="1">IFERROR(M68+M81,"")</f>
        <v>2.777777777777779E-2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2" t="s">
        <v>232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47" activePane="bottomLeft" state="frozen"/>
      <selection pane="bottomLeft" activeCell="L59" sqref="L5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242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242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242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242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242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242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242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242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242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242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242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242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242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242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248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242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249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242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242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250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242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0.28904027777753072</v>
      </c>
      <c r="N53" s="46" t="s">
        <v>251</v>
      </c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0.42792916666641961</v>
      </c>
      <c r="N54" s="36" t="s">
        <v>229</v>
      </c>
      <c r="O54" s="84">
        <v>352430</v>
      </c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0.51265138888864192</v>
      </c>
      <c r="N55" s="40" t="s">
        <v>233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242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242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242</v>
      </c>
      <c r="F58" s="27"/>
      <c r="G58" s="28" t="str">
        <f t="shared" si="12"/>
        <v/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242</v>
      </c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242</v>
      </c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242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242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242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242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242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242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242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29</v>
      </c>
      <c r="G68" s="36">
        <f>SUM(G56:G67)</f>
        <v>121.80000000000001</v>
      </c>
      <c r="H68" s="37"/>
      <c r="I68" s="37"/>
      <c r="J68" s="37"/>
      <c r="K68" s="37"/>
      <c r="L68" s="37"/>
      <c r="M68" s="38">
        <f ca="1">IFERROR(SUM(M56:M67),"")</f>
        <v>3.0555555555555565E-2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29</v>
      </c>
      <c r="G82" s="40">
        <f>G68+G81</f>
        <v>121.80000000000001</v>
      </c>
      <c r="H82" s="41"/>
      <c r="I82" s="41"/>
      <c r="J82" s="41"/>
      <c r="K82" s="41"/>
      <c r="L82" s="41"/>
      <c r="M82" s="42">
        <f ca="1">IFERROR(M68+M81,"")</f>
        <v>3.0555555555555565E-2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228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3">
    <dataValidation type="list" allowBlank="1" showErrorMessage="1" errorTitle="Valor inválido" error="Selecione PC 17 ou PC 19 da lista." sqref="E2:E13 E15:E26 E515:E838 E434:E512 E29:E431" xr:uid="{2227B2AC-9B51-4D92-B575-77146BD9FF6F}">
      <formula1>"PC 17,PC 19,CB"</formula1>
      <formula2>0</formula2>
    </dataValidation>
    <dataValidation type="list" showErrorMessage="1" errorTitle="Atenção" error="Selecione primeiro o Tipo de Parada (col G) e depois escolha a Descrição da lista." sqref="J34:J900 J2:J31" xr:uid="{0BA40B9C-5AAF-42E8-A8BA-306603CB5155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B81D8E9D-BA29-40F2-8329-92ABBE9A48D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B7268D3-6231-4722-BDC7-42279D69997D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C998DA28-BE6E-4743-9983-837BCFB02979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467F7869-8B5B-4B9F-8082-E8288D61AEE3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8ABCC6A-B021-4296-95C0-E54844E2D0F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42" zoomScale="50" zoomScaleNormal="50" workbookViewId="0">
      <selection activeCell="F58" sqref="F5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252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242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242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242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253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242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242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242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242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242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242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254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252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252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229</v>
      </c>
      <c r="O54" s="39">
        <v>279980</v>
      </c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233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242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242</v>
      </c>
      <c r="F57" s="27">
        <v>4</v>
      </c>
      <c r="G57" s="34">
        <f t="shared" si="12"/>
        <v>16.8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242</v>
      </c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242</v>
      </c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242</v>
      </c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242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242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242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242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242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242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242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11</v>
      </c>
      <c r="G68" s="36">
        <f>SUM(G56:G67)</f>
        <v>46.2</v>
      </c>
      <c r="H68" s="37"/>
      <c r="I68" s="37"/>
      <c r="J68" s="37"/>
      <c r="K68" s="37"/>
      <c r="L68" s="37"/>
      <c r="M68" s="38">
        <f ca="1">IFERROR(SUM(M56:M67),"")</f>
        <v>5.5555555555555358E-3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11</v>
      </c>
      <c r="G82" s="40">
        <f>G68+G81</f>
        <v>46.2</v>
      </c>
      <c r="H82" s="41"/>
      <c r="I82" s="41"/>
      <c r="J82" s="41"/>
      <c r="K82" s="41"/>
      <c r="L82" s="41"/>
      <c r="M82" s="42">
        <f ca="1">IFERROR(M68+M81,"")</f>
        <v>5.5555555555555358E-3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6" activePane="bottomLeft" state="frozen"/>
      <selection pane="bottomLeft" activeCell="F58" sqref="F5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242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249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242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252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242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242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242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242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242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242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242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242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242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242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242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242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242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242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242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242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258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229</v>
      </c>
      <c r="O54" s="39">
        <v>352430</v>
      </c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233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242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/>
      <c r="I56" s="26"/>
      <c r="J56" s="33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242</v>
      </c>
      <c r="F57" s="27">
        <v>12</v>
      </c>
      <c r="G57" s="34">
        <f t="shared" si="12"/>
        <v>50.400000000000006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242</v>
      </c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242</v>
      </c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242</v>
      </c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242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242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242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242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242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242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242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30</v>
      </c>
      <c r="G68" s="36">
        <f>SUM(G56:G67)</f>
        <v>126.00000000000001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30</v>
      </c>
      <c r="G82" s="40">
        <f>G68+G81</f>
        <v>126.00000000000001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2026-08-03T13:53:46Z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