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745" documentId="8_{C51EB6CB-002B-4D6B-B68F-DDEBDB4460C0}" xr6:coauthVersionLast="47" xr6:coauthVersionMax="47" xr10:uidLastSave="{32E263A8-7A8C-4481-A622-9078780C6081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<sst xmlns="http://schemas.openxmlformats.org/spreadsheetml/2006/main" count="4064" uniqueCount="298">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</sst>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0" sqref="G1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24036285</v>
      </c>
      <c r="D35" s="13">
        <f>IFERROR(SUM(D4:D34),"")</f>
        <v>7112730</v>
      </c>
      <c r="E35" s="13">
        <f>IFERROR(SUM(E4:E34),"")</f>
        <v>3636350</v>
      </c>
      <c r="F35" s="13">
        <f>IFERROR(SUM(F4:F34),"")</f>
        <v>9451500</v>
      </c>
      <c r="G35" s="13">
        <f>IFERROR(SUM(G4:G34),"")</f>
        <v>20200580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72" activePane="bottomLeft" state="frozen"/>
      <selection pane="bottomLeft" activeCell="E202" sqref="E20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73" activePane="bottomLeft" state="frozen"/>
      <selection pane="bottomLeft" activeCell="K192" sqref="K19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250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251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252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253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254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255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256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257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0.2059146990723093</v>
      </c>
      <c r="N53" s="46" t="s">
        <v>258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0.3448035879611982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0.42952581018342051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250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259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260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261</v>
      </c>
      <c r="M96" s="30" t="str">
        <f t="shared" ref="M96:M107" ca="1" si="22">IFERROR(IF(K96="","",IF(L96="",MOD(NOW()-K96,1),IF(L96&gt;=K96,L96-K96,L96+1-K96))),"")</f>
        <v/>
      </c>
      <c r="N96" s="46" t="s">
        <v>262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263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264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265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266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267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268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269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270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267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271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>
        <v>0.29166666666666669</v>
      </c>
      <c r="L191" s="29"/>
      <c r="M191" s="35">
        <f t="shared" ref="M191:M202" ca="1" si="43">IFERROR(IF(K191="","",IF(L191="",MOD(NOW()-K191,1),IF(L191&gt;=K191,L191-K191,L191+1-K191))),"")</f>
        <v>3.5775810189079493E-2</v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3.5775810189079493E-2</v>
      </c>
      <c r="N203" s="36" t="s">
        <v>235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77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3.5775810189079493E-2</v>
      </c>
      <c r="N217" s="40" t="s">
        <v>239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176" zoomScale="50" zoomScaleNormal="50" workbookViewId="0">
      <selection activeCell="K192" sqref="K19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272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253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273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272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272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274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275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276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277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278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279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280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268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259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281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282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271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271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>
        <v>0.29166666666666669</v>
      </c>
      <c r="L191" s="29"/>
      <c r="M191" s="35">
        <f t="shared" ref="M191:M202" ca="1" si="43">IFERROR(IF(K191="","",IF(L191="",MOD(NOW()-K191,1),IF(L191&gt;=K191,L191-K191,L191+1-K191))),"")</f>
        <v>3.5775810189079493E-2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3.5775810189079493E-2</v>
      </c>
      <c r="N203" s="36" t="s">
        <v>235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39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3.5775810189079493E-2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73" activePane="bottomLeft" state="frozen"/>
      <selection pane="bottomLeft" activeCell="J191" sqref="J19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283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256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272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286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287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288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289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272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272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290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291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259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272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292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293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268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294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296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/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297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162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/>
      <c r="G191" s="34" t="str">
        <f t="shared" ref="G191:G202" si="42">IF(F191="","",IF(E191="PC 17",F191*4.2,IF(E191="PC 19",F191*5,IF(E191="CB",F191*24,""))))</f>
        <v/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1.9444444444444431E-2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1.9444444444444431E-2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2026-08-08T11:51:43Z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