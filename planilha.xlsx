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270" documentId="13_ncr:1_{0A10D8D4-8450-4366-8075-B53B08E6B7EA}" xr6:coauthVersionLast="47" xr6:coauthVersionMax="47" xr10:uidLastSave="{E80A23E9-6E42-4FF4-8769-E1AE645E2670}"/>
  <bookViews>
    <workbookView xWindow="-28920" yWindow="-6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8" i="6"/>
  <c r="J368" i="6" s="1"/>
  <c r="H369" i="6"/>
  <c r="J369" i="6" s="1"/>
  <c r="H370" i="6"/>
  <c r="J370" i="6" s="1"/>
  <c r="H371" i="6"/>
  <c r="J371" i="6" s="1"/>
  <c r="H372" i="6"/>
  <c r="J372" i="6" s="1"/>
  <c r="H373" i="6"/>
  <c r="J373" i="6" s="1"/>
  <c r="H374" i="6"/>
  <c r="J374" i="6" s="1"/>
  <c r="H375" i="6"/>
  <c r="J375" i="6" s="1"/>
  <c r="H376" i="6"/>
  <c r="J376" i="6" s="1"/>
  <c r="H377" i="6"/>
  <c r="J37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8" i="5"/>
  <c r="J368" i="5" s="1"/>
  <c r="H369" i="5"/>
  <c r="J369" i="5" s="1"/>
  <c r="H370" i="5"/>
  <c r="J370" i="5" s="1"/>
  <c r="H371" i="5"/>
  <c r="J371" i="5" s="1"/>
  <c r="H372" i="5"/>
  <c r="J372" i="5" s="1"/>
  <c r="H373" i="5"/>
  <c r="J373" i="5" s="1"/>
  <c r="H374" i="5"/>
  <c r="J374" i="5" s="1"/>
  <c r="H375" i="5"/>
  <c r="J375" i="5" s="1"/>
  <c r="H376" i="5"/>
  <c r="J376" i="5" s="1"/>
  <c r="H377" i="5"/>
  <c r="J37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8" i="4"/>
  <c r="J368" i="4" s="1"/>
  <c r="H369" i="4"/>
  <c r="J369" i="4" s="1"/>
  <c r="H370" i="4"/>
  <c r="J370" i="4" s="1"/>
  <c r="H371" i="4"/>
  <c r="J371" i="4" s="1"/>
  <c r="H372" i="4"/>
  <c r="J372" i="4" s="1"/>
  <c r="H373" i="4"/>
  <c r="J373" i="4" s="1"/>
  <c r="H374" i="4"/>
  <c r="J374" i="4" s="1"/>
  <c r="H375" i="4"/>
  <c r="J375" i="4" s="1"/>
  <c r="H376" i="4"/>
  <c r="J376" i="4" s="1"/>
  <c r="H377" i="4"/>
  <c r="J37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66" i="5" l="1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<sst xmlns="http://schemas.openxmlformats.org/spreadsheetml/2006/main" count="6526" uniqueCount="348">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</sst>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2315280</v>
      </c>
      <c r="D17" s="11">
        <f>IFERROR('Linha 1'!S379,"")</f>
        <v>622270</v>
      </c>
      <c r="E17" s="11">
        <f>IFERROR('Linha 2'!S379,"")</f>
        <v>332130</v>
      </c>
      <c r="F17" s="11">
        <f>IFERROR('Linha 3'!S379,"")</f>
        <v>885120</v>
      </c>
      <c r="G17" s="12">
        <f t="shared" si="0"/>
        <v>1839520</v>
      </c>
      <c r="H17" s="96">
        <f>IFERROR('Linha 1'!T379+'Linha 2'!T379+'Linha 3'!T379,0)</f>
        <v>386.29919999999993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48674070</v>
      </c>
      <c r="D35" s="13">
        <f t="shared" si="2"/>
        <v>15846860</v>
      </c>
      <c r="E35" s="13">
        <f t="shared" si="2"/>
        <v>8105130</v>
      </c>
      <c r="F35" s="13">
        <f t="shared" si="2"/>
        <v>20706730</v>
      </c>
      <c r="G35" s="13">
        <f t="shared" si="2"/>
        <v>44658720</v>
      </c>
      <c r="H35" s="97">
        <f t="shared" si="2"/>
        <v>1373.4490685373516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47" activePane="bottomLeft" state="frozen"/>
      <selection pane="bottomLeft" activeCell="K367" sqref="K36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/>
      <c r="I366" s="26"/>
      <c r="J366" s="26"/>
      <c r="K366" s="29">
        <v>0.90625</v>
      </c>
      <c r="L366" s="29"/>
      <c r="M366" s="30">
        <f t="shared" ref="M366:M377" ca="1" si="77">IFERROR(IF(K366="","",IF(L366="",MOD(NOW()-K366,1),IF(L366&gt;=K366,L366-K366,L366+1-K366))),"")</f>
        <v>1.2449421294149943E-2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85</v>
      </c>
      <c r="G378" s="36">
        <f>SUM(G366:G377)</f>
        <v>425</v>
      </c>
      <c r="H378" s="37"/>
      <c r="I378" s="37"/>
      <c r="J378" s="37"/>
      <c r="K378" s="37"/>
      <c r="L378" s="37"/>
      <c r="M378" s="38">
        <f ca="1">IFERROR(SUM(M366:M377),"")</f>
        <v>1.2449421294149943E-2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485</v>
      </c>
      <c r="G379" s="40">
        <f>G365+G378</f>
        <v>2391.4</v>
      </c>
      <c r="H379" s="41"/>
      <c r="I379" s="41"/>
      <c r="J379" s="41"/>
      <c r="K379" s="41"/>
      <c r="L379" s="41"/>
      <c r="M379" s="42">
        <f ca="1">IFERROR(M365+M378,"")</f>
        <v>5.9671643516372108E-2</v>
      </c>
      <c r="N379" s="40" t="s">
        <v>249</v>
      </c>
      <c r="O379" s="48">
        <f>IFERROR(O365+O378,"")</f>
        <v>2315280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49" activePane="bottomLeft" state="frozen"/>
      <selection pane="bottomLeft" activeCell="P368" sqref="P36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0.79717164351313841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0.93606053240202725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1.0207827546242496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63</v>
      </c>
      <c r="L367" s="33" t="s">
        <v>27</v>
      </c>
      <c r="M367" s="33" t="s">
        <v>146</v>
      </c>
      <c r="N367" s="33" t="s">
        <v>82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/>
      <c r="H368" s="134" t="str">
        <f>IFERROR(IF($G368="","",$G368*$S$378/$G$378/Cadastro!$E$33),"")</f>
        <v/>
      </c>
      <c r="I368" s="135">
        <f>IFERROR(IF($D368="","",VLOOKUP($D368,Cadastro!$C$4:$G$7,5,FALSE)),"")</f>
        <v>0.6</v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16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67.2</v>
      </c>
      <c r="L378" s="37"/>
      <c r="M378" s="37"/>
      <c r="N378" s="37"/>
      <c r="O378" s="37"/>
      <c r="P378" s="37"/>
      <c r="Q378" s="38">
        <f ca="1">IFERROR(SUM(Q366:Q377),"")</f>
        <v>5.4861111111111249E-2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124</v>
      </c>
      <c r="H379" s="112">
        <f>IFERROR(H365+H378,"")</f>
        <v>622.2700000000001</v>
      </c>
      <c r="I379" s="116"/>
      <c r="J379" s="125">
        <f>IFERROR(J365+J378,"")</f>
        <v>130.67669999999998</v>
      </c>
      <c r="K379" s="40">
        <f>K365+K378</f>
        <v>520.80000000000007</v>
      </c>
      <c r="L379" s="41"/>
      <c r="M379" s="41"/>
      <c r="N379" s="41"/>
      <c r="O379" s="41"/>
      <c r="P379" s="41"/>
      <c r="Q379" s="42">
        <f ca="1">IFERROR(Q365+Q378,"")</f>
        <v>0.13819444444444451</v>
      </c>
      <c r="R379" s="40" t="s">
        <v>249</v>
      </c>
      <c r="S379" s="143">
        <f>IFERROR(S365+S378,"")</f>
        <v>622270</v>
      </c>
      <c r="T379" s="144">
        <f>IFERROR(J379,"")</f>
        <v>130.67669999999998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N368" sqref="N36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315</v>
      </c>
      <c r="Q222" s="30" t="str">
        <f t="shared" ca="1" si="49"/>
        <v/>
      </c>
      <c r="R222" s="27" t="s">
        <v>316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126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/>
      <c r="H368" s="134" t="str">
        <f>IFERROR(IF($G368="","",$G368*$S$378/$G$378/Cadastro!$E$33),"")</f>
        <v/>
      </c>
      <c r="I368" s="135">
        <f>IFERROR(IF($D368="","",VLOOKUP($D368,Cadastro!$C$4:$G$7,5,FALSE)),"")</f>
        <v>0.6</v>
      </c>
      <c r="J368" s="136" t="str">
        <f t="shared" si="84"/>
        <v/>
      </c>
      <c r="K368" s="28" t="str">
        <f t="shared" si="85"/>
        <v/>
      </c>
      <c r="L368" s="26" t="s">
        <v>27</v>
      </c>
      <c r="M368" s="26" t="s">
        <v>55</v>
      </c>
      <c r="N368" s="26" t="s">
        <v>213</v>
      </c>
      <c r="O368" s="29">
        <v>0.91666666666666663</v>
      </c>
      <c r="P368" s="29"/>
      <c r="Q368" s="30">
        <f t="shared" ca="1" si="86"/>
        <v>2.0327546299085952E-3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4.2</v>
      </c>
      <c r="L378" s="37"/>
      <c r="M378" s="37"/>
      <c r="N378" s="37"/>
      <c r="O378" s="37"/>
      <c r="P378" s="37"/>
      <c r="Q378" s="38">
        <f ca="1">IFERROR(SUM(Q366:Q377),"")</f>
        <v>9.1616087963241943E-2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91</v>
      </c>
      <c r="H379" s="112">
        <f>IFERROR(H365+H378,"")</f>
        <v>332.12999999999994</v>
      </c>
      <c r="I379" s="116"/>
      <c r="J379" s="125">
        <f>IFERROR(J365+J378,"")</f>
        <v>69.747299999999981</v>
      </c>
      <c r="K379" s="40">
        <f>K365+K378</f>
        <v>382.2000000000001</v>
      </c>
      <c r="L379" s="41"/>
      <c r="M379" s="41"/>
      <c r="N379" s="41"/>
      <c r="O379" s="41"/>
      <c r="P379" s="41"/>
      <c r="Q379" s="42">
        <f ca="1">IFERROR(Q365+Q378,"")</f>
        <v>0.28675497685213075</v>
      </c>
      <c r="R379" s="40" t="s">
        <v>249</v>
      </c>
      <c r="S379" s="48">
        <f>IFERROR(S365+S378,"")</f>
        <v>332130</v>
      </c>
      <c r="T379" s="121">
        <f>IFERROR(J379,"")</f>
        <v>69.747299999999981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41" activePane="bottomLeft" state="frozen"/>
      <selection pane="bottomLeft" activeCell="O368" sqref="O368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336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88.2</v>
      </c>
      <c r="L367" s="33"/>
      <c r="M367" s="33"/>
      <c r="N367" s="33"/>
      <c r="O367" s="29">
        <v>0.9145833333333333</v>
      </c>
      <c r="P367" s="29"/>
      <c r="Q367" s="35">
        <f t="shared" ca="1" si="88"/>
        <v>4.1160879627568647E-3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/>
      <c r="H368" s="134" t="str">
        <f>IFERROR(IF($G368="","",$G368*$S$378/$G$378/Cadastro!$E$33),"")</f>
        <v/>
      </c>
      <c r="I368" s="135">
        <f>IFERROR(IF($D368="","",VLOOKUP($D368,Cadastro!$C$4:$G$7,5,FALSE)),"")</f>
        <v>0.6</v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40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168</v>
      </c>
      <c r="L378" s="37"/>
      <c r="M378" s="37"/>
      <c r="N378" s="37"/>
      <c r="O378" s="61"/>
      <c r="P378" s="61"/>
      <c r="Q378" s="38">
        <f ca="1">IFERROR(SUM(Q366:Q377),"")</f>
        <v>3.7449421296090191E-2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236</v>
      </c>
      <c r="H379" s="112">
        <f>IFERROR(H365+H378,"")</f>
        <v>885.12000000000012</v>
      </c>
      <c r="I379" s="116"/>
      <c r="J379" s="125">
        <f>IFERROR(J365+J378,"")</f>
        <v>185.87519999999998</v>
      </c>
      <c r="K379" s="40">
        <f>K365+K378</f>
        <v>991.2</v>
      </c>
      <c r="L379" s="41"/>
      <c r="M379" s="41"/>
      <c r="N379" s="41"/>
      <c r="O379" s="63"/>
      <c r="P379" s="63"/>
      <c r="Q379" s="42">
        <f ca="1">IFERROR(Q365+Q378,"")</f>
        <v>0.15550497685164588</v>
      </c>
      <c r="R379" s="40" t="s">
        <v>249</v>
      </c>
      <c r="S379" s="48">
        <f>IFERROR(S365+S378,"")</f>
        <v>885120</v>
      </c>
      <c r="T379" s="121">
        <f>IFERROR(J379,"")</f>
        <v>185.87519999999998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2026-08-15T02:02:57Z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