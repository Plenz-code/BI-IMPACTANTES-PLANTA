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99" documentId="8_{AF585B22-221D-4780-BB9C-493D365A6A02}" xr6:coauthVersionLast="47" xr6:coauthVersionMax="47" xr10:uidLastSave="{A3702E6C-5FA9-4A37-98A8-AAF4963B13EC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<sst xmlns="http://schemas.openxmlformats.org/spreadsheetml/2006/main" count="1822" uniqueCount="212">
  <si>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</si>
  <si>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</si>
  <si>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</si>
  <si>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</si>
  <si>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</si>
  <si>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</si>
  <si>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</si>
  <si>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</si>
  <si>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</si>
  <si>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</si>
  <si>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</si>
  <si>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</si>
  <si>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</si>
  <si>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</si>
  <si>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</si>
  <si>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</si>
  <si>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</si>
  <si>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</si>
  <si>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</si>
  <si>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</si>
  <si>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</si>
  <si>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</si>
  <si>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</si>
  <si>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</si>
  <si>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</si>
  <si>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</si>
  <si>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</si>
  <si>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</si>
  <si>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</si>
  <si>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</si>
  <si>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</si>
  <si>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</si>
  <si>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</si>
  <si>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</si>
  <si>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</si>
  <si>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</si>
  <si>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</si>
  <si>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</si>
  <si>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</si>
  <si>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</si>
  <si>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</si>
  <si>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</si>
  <si>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</si>
  <si>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</si>
  <si>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</si>
  <si>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</si>
  <si>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</si>
  <si>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</si>
  <si>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</si>
  <si>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</si>
  <si>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</si>
  <si>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</si>
  <si>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</si>
  <si>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</si>
  <si>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</si>
  <si>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</si>
  <si>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</si>
  <si>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</si>
  <si>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</si>
  <si>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</si>
  <si>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</si>
  <si>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</si>
  <si>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</si>
  <si>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</si>
  <si>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</si>
  <si>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</si>
  <si>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</si>
  <si>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</si>
  <si>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</si>
  <si>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</si>
  <si>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</si>
  <si>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</si>
  <si>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</si>
  <si>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</si>
  <si>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</si>
  <si>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</si>
  <si>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</si>
  <si>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</si>
  <si>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</si>
  <si>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</si>
  <si>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</si>
  <si>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</si>
  <si>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</si>
  <si>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</si>
  <si>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</si>
  <si>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</si>
  <si>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</si>
  <si>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</si>
  <si>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</si>
  <si>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</si>
  <si>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</si>
  <si>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</si>
  <si>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</si>
  <si>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</si>
  <si>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</si>
  <si>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</si>
  <si>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</si>
  <si>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</si>
  <si>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</si>
  <si>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</si>
  <si>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</si>
  <si>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</si>
  <si>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</si>
  <si>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</si>
  <si>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</si>
  <si>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</si>
  <si>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</si>
  <si>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</si>
  <si>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</si>
  <si>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</si>
  <si>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</si>
  <si>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</si>
  <si>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</si>
  <si>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</si>
  <si>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</si>
  <si>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</si>
  <si>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</si>
  <si>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</si>
  <si>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</si>
  <si>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</si>
  <si>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</si>
  <si>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</si>
  <si>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</si>
  <si>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</si>
  <si>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</si>
  <si>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</si>
  <si>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</si>
  <si>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</si>
  <si>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</si>
  <si>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</si>
  <si>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</si>
  <si>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</si>
  <si>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</si>
  <si>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</si>
  <si>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</si>
  <si>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</si>
  <si>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</si>
  <si>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</si>
  <si>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</si>
  <si>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</si>
  <si>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</si>
  <si>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</si>
  <si>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</si>
  <si>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</si>
  <si>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</si>
  <si>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</si>
  <si>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</si>
  <si>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</si>
  <si>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</si>
  <si>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</si>
  <si>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</si>
  <si>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</si>
  <si>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</si>
  <si>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</si>
  <si>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</si>
  <si>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</si>
  <si>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</si>
  <si>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</si>
  <si>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</si>
  <si>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</si>
  <si>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</si>
  <si>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</si>
  <si>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</si>
  <si>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</si>
  <si>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</si>
  <si>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</si>
  <si>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</si>
  <si>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</si>
  <si>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</si>
  <si>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</si>
  <si>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</si>
  <si>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</si>
  <si>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</si>
  <si>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</si>
  <si>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</si>
  <si>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</si>
  <si>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</si>
  <si>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</si>
  <si>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</si>
  <si>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</si>
  <si>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</si>
  <si>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</si>
  <si>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</si>
  <si>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</si>
  <si>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</si>
  <si>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</si>
  <si>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</si>
  <si>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</si>
  <si>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</si>
  <si>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</si>
  <si>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</si>
  <si>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</si>
  <si>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</si>
  <si>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</si>
  <si>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</si>
  <si>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</si>
  <si>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</si>
  <si>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</si>
  <si>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</si>
  <si>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</si>
  <si>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</si>
  <si>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</si>
  <si>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</si>
  <si>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solda na grelha</t>
  </si>
  <si>
    <t>solda na tampa do moinho</t>
  </si>
  <si>
    <t>troca de grelha e martelo, manutenção bomba de rejeito</t>
  </si>
  <si>
    <t>8;36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</si>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</sst>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6" activePane="bottomLeft" state="frozen"/>
      <selection pane="bottomLeft" activeCell="F59" sqref="F5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12</v>
      </c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45</v>
      </c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40</v>
      </c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97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97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2" activePane="bottomLeft" state="frozen"/>
      <selection pane="bottomLeft" activeCell="I57" sqref="I5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/>
      <c r="M57" s="30">
        <f t="shared" ca="1" si="13"/>
        <v>1.0161689817323349E-2</v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26"/>
      <c r="J58" s="26"/>
      <c r="K58" s="29">
        <v>0.43958333333333333</v>
      </c>
      <c r="L58" s="29"/>
      <c r="M58" s="35">
        <f t="shared" ca="1" si="13"/>
        <v>2.5228009253623895E-3</v>
      </c>
      <c r="N58" s="46" t="s">
        <v>202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0.13212893518713015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0.13212893518713015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49" activePane="bottomLeft" state="frozen"/>
      <selection pane="bottomLeft" activeCell="F59" sqref="F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 t="s">
        <v>206</v>
      </c>
      <c r="L56" s="29">
        <v>0.40902777777777777</v>
      </c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6</v>
      </c>
      <c r="G57" s="34">
        <f t="shared" si="12"/>
        <v>25.200000000000003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0</v>
      </c>
      <c r="G58" s="28">
        <f t="shared" si="12"/>
        <v>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16</v>
      </c>
      <c r="G68" s="36">
        <f>SUM(G56:G67)</f>
        <v>67.2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16</v>
      </c>
      <c r="G82" s="40">
        <f>G68+G81</f>
        <v>67.2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39" activePane="bottomLeft" state="frozen"/>
      <selection pane="bottomLeft" activeCell="F59" sqref="F5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15</v>
      </c>
      <c r="G58" s="28">
        <f t="shared" si="12"/>
        <v>63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61"/>
      <c r="L68" s="61"/>
      <c r="M68" s="38">
        <f ca="1">IFERROR(SUM(M56:M67),"")</f>
        <v>2.9861111111111116E-2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50</v>
      </c>
      <c r="G82" s="40">
        <f>G68+G81</f>
        <v>210</v>
      </c>
      <c r="H82" s="41"/>
      <c r="I82" s="41"/>
      <c r="J82" s="41"/>
      <c r="K82" s="63"/>
      <c r="L82" s="63"/>
      <c r="M82" s="42">
        <f ca="1">IFERROR(M68+M81,"")</f>
        <v>2.9861111111111116E-2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2026-07-03T14:37:51Z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