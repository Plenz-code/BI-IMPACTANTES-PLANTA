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3" documentId="13_ncr:1_{A6DBCFB4-28D9-4249-9038-216934055CA6}" xr6:coauthVersionLast="47" xr6:coauthVersionMax="47" xr10:uidLastSave="{A1A6E80C-B308-4F57-AC24-8B281EABF06A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3" i="5" l="1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<sst xmlns="http://schemas.openxmlformats.org/spreadsheetml/2006/main" count="8551" uniqueCount="396">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</sst>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4" sqref="D50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145</v>
      </c>
      <c r="G513" s="2">
        <f>SUM(G501:G512)</f>
        <v>725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427</v>
      </c>
      <c r="G514" s="1">
        <f>G500+G513</f>
        <v>2135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P502" sqref="P50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0.87551817129133269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1.0144070601802204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1.0991292824024432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133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34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142.80000000000001</v>
      </c>
      <c r="L513" s="72"/>
      <c r="M513" s="72"/>
      <c r="N513" s="72"/>
      <c r="O513" s="72"/>
      <c r="P513" s="72"/>
      <c r="Q513" s="73">
        <f ca="1">IFERROR(SUM(Q501:Q512),"")</f>
        <v>3.5416666666666541E-2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176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748</v>
      </c>
      <c r="L514" s="76"/>
      <c r="M514" s="76"/>
      <c r="N514" s="76"/>
      <c r="O514" s="76"/>
      <c r="P514" s="76"/>
      <c r="Q514" s="77">
        <f ca="1">IFERROR(Q500+Q513,"")</f>
        <v>0.12708333333333316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R502" sqref="R50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 t="s">
        <v>274</v>
      </c>
      <c r="F504" s="88" t="str">
        <f>IFERROR(IF($D504="","",VLOOKUP($D504,Cadastro!$C$4:$E$7,3,FALSE())),"")</f>
        <v/>
      </c>
      <c r="G504" s="89">
        <v>12</v>
      </c>
      <c r="H504" s="88">
        <f>IFERROR(IF($G504="","",$G504*$S$513/$G$513/Cadastro!$E$33),"")</f>
        <v>0</v>
      </c>
      <c r="I504" s="90" t="str">
        <f>IFERROR(IF($D504="","",VLOOKUP($D504,Cadastro!$C$4:$G$7,5,FALSE())),"")</f>
        <v/>
      </c>
      <c r="J504" s="91" t="str">
        <f t="shared" si="123"/>
        <v/>
      </c>
      <c r="K504" s="64">
        <f t="shared" si="124"/>
        <v>50.400000000000006</v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2.9166666666666563E-2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0.125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M503" sqref="M503:M50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14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58.800000000000004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61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256.20000000000005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263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1110.2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2026-08-20T03:56:16Z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