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13" documentId="13_ncr:1_{A6DBCFB4-28D9-4249-9038-216934055CA6}" xr6:coauthVersionLast="47" xr6:coauthVersionMax="47" xr10:uidLastSave="{AE71437F-539D-472D-96DA-978E52E93DE1}"/>
  <bookViews>
    <workbookView xWindow="-108" yWindow="-108" windowWidth="23256" windowHeight="12456" tabRatio="500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7" i="6" s="1"/>
  <c r="J597" i="6" s="1"/>
  <c r="S608" i="5"/>
  <c r="S608" i="4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J598" i="6" s="1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I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H609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F609" i="5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C26" i="1" s="1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E4" i="1"/>
  <c r="C4" i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F609" i="4"/>
  <c r="G608" i="4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F622" i="3" l="1"/>
  <c r="G622" i="3"/>
  <c r="G622" i="4"/>
  <c r="K622" i="4"/>
  <c r="G622" i="5"/>
  <c r="K622" i="6"/>
  <c r="C35" i="1"/>
  <c r="S622" i="6"/>
  <c r="F26" i="1" s="1"/>
  <c r="F35" i="1" s="1"/>
  <c r="H599" i="6"/>
  <c r="J599" i="6" s="1"/>
  <c r="H600" i="6"/>
  <c r="J600" i="6" s="1"/>
  <c r="H596" i="6"/>
  <c r="H608" i="6" s="1"/>
  <c r="E35" i="1"/>
  <c r="G26" i="1"/>
  <c r="J584" i="6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622" i="6" l="1"/>
  <c r="H622" i="5"/>
  <c r="H622" i="4"/>
  <c r="Q55" i="6"/>
  <c r="M352" i="3"/>
  <c r="Q28" i="4"/>
  <c r="J596" i="6"/>
  <c r="J608" i="6" s="1"/>
  <c r="G35" i="1"/>
  <c r="Q568" i="5"/>
  <c r="M514" i="3"/>
  <c r="M433" i="3"/>
  <c r="Q622" i="6"/>
  <c r="Q217" i="6"/>
  <c r="Q190" i="4"/>
  <c r="M190" i="3"/>
  <c r="M568" i="3"/>
  <c r="M838" i="3"/>
  <c r="Q649" i="6"/>
  <c r="Q595" i="6"/>
  <c r="Q649" i="4"/>
  <c r="Q703" i="4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<sst xmlns="http://schemas.openxmlformats.org/spreadsheetml/2006/main" count="10183" uniqueCount="428">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</sst>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activeCell="B1" sqref="B1"/>
      <selection pane="bottomLeft" activeCell="G2" sqref="G1:M1048576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4" width="8.5546875" customWidth="1"/>
  </cols>
  <sheetData>
    <row r="1" spans="1:12" ht="31.5" customHeight="1" x14ac:dyDescent="0.3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3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62" t="s">
        <v>16</v>
      </c>
      <c r="B35" s="162"/>
      <c r="C35" s="30">
        <f t="shared" ref="C35:I35" si="2">IFERROR(SUM(C4:C34),"")</f>
        <v>83322110</v>
      </c>
      <c r="D35" s="30">
        <f t="shared" si="2"/>
        <v>26600450</v>
      </c>
      <c r="E35" s="30">
        <f t="shared" si="2"/>
        <v>15324620</v>
      </c>
      <c r="F35" s="30">
        <f t="shared" si="2"/>
        <v>35839950</v>
      </c>
      <c r="G35" s="30">
        <f t="shared" si="2"/>
        <v>77765020</v>
      </c>
      <c r="H35" s="31">
        <f t="shared" si="2"/>
        <v>7916.0886326915124</v>
      </c>
      <c r="I35" s="31">
        <f t="shared" si="2"/>
        <v>4967.05</v>
      </c>
      <c r="J35" s="32">
        <f>I35/H35</f>
        <v>0.62746265617685193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3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3">
      <c r="M2" s="16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 x14ac:dyDescent="0.3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 x14ac:dyDescent="0.3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 x14ac:dyDescent="0.3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 x14ac:dyDescent="0.3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 x14ac:dyDescent="0.3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 x14ac:dyDescent="0.3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 x14ac:dyDescent="0.3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 x14ac:dyDescent="0.3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 x14ac:dyDescent="0.3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 x14ac:dyDescent="0.3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 x14ac:dyDescent="0.3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 x14ac:dyDescent="0.3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 x14ac:dyDescent="0.3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 x14ac:dyDescent="0.3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 x14ac:dyDescent="0.3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 x14ac:dyDescent="0.3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 x14ac:dyDescent="0.3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 x14ac:dyDescent="0.3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 x14ac:dyDescent="0.3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 x14ac:dyDescent="0.3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 x14ac:dyDescent="0.3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 x14ac:dyDescent="0.3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 x14ac:dyDescent="0.3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 x14ac:dyDescent="0.3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 x14ac:dyDescent="0.3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 x14ac:dyDescent="0.3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 x14ac:dyDescent="0.3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 x14ac:dyDescent="0.3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 x14ac:dyDescent="0.3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 x14ac:dyDescent="0.3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 x14ac:dyDescent="0.3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 x14ac:dyDescent="0.3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 x14ac:dyDescent="0.3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 x14ac:dyDescent="0.3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 x14ac:dyDescent="0.3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 x14ac:dyDescent="0.3">
      <c r="M60" s="164"/>
      <c r="N60" s="37"/>
      <c r="O60" s="37"/>
      <c r="P60" s="53" t="s">
        <v>114</v>
      </c>
      <c r="Q60" s="37"/>
      <c r="R60" s="37"/>
    </row>
    <row r="61" spans="1:18" ht="15" customHeight="1" x14ac:dyDescent="0.3">
      <c r="M61" s="164"/>
      <c r="N61" s="40"/>
      <c r="O61" s="40"/>
      <c r="P61" s="40" t="s">
        <v>225</v>
      </c>
      <c r="Q61" s="40"/>
      <c r="R61" s="40"/>
    </row>
    <row r="62" spans="1:18" ht="15" customHeight="1" x14ac:dyDescent="0.3">
      <c r="M62" s="164"/>
      <c r="N62" s="37"/>
      <c r="O62" s="37"/>
      <c r="P62" s="37" t="s">
        <v>226</v>
      </c>
      <c r="Q62" s="37"/>
      <c r="R62" s="37"/>
    </row>
    <row r="63" spans="1:18" ht="15" customHeight="1" x14ac:dyDescent="0.3">
      <c r="M63" s="164"/>
      <c r="N63" s="40"/>
      <c r="O63" s="40"/>
      <c r="P63" s="40" t="s">
        <v>227</v>
      </c>
      <c r="Q63" s="40"/>
      <c r="R63" s="40"/>
    </row>
    <row r="64" spans="1:18" ht="15" customHeight="1" x14ac:dyDescent="0.3">
      <c r="M64" s="164"/>
      <c r="N64" s="37"/>
      <c r="O64" s="37"/>
      <c r="P64" s="37" t="s">
        <v>228</v>
      </c>
      <c r="Q64" s="37"/>
      <c r="R64" s="37"/>
    </row>
    <row r="65" spans="13:18" ht="15" customHeight="1" x14ac:dyDescent="0.3">
      <c r="M65" s="164"/>
      <c r="N65" s="40"/>
      <c r="O65" s="40"/>
      <c r="P65" s="40" t="s">
        <v>229</v>
      </c>
      <c r="Q65" s="40"/>
      <c r="R65" s="40"/>
    </row>
    <row r="66" spans="13:18" ht="15" customHeight="1" x14ac:dyDescent="0.3">
      <c r="M66" s="164"/>
      <c r="N66" s="37"/>
      <c r="O66" s="37"/>
      <c r="P66" s="37" t="s">
        <v>230</v>
      </c>
      <c r="Q66" s="37"/>
      <c r="R66" s="37"/>
    </row>
    <row r="67" spans="13:18" ht="15" customHeight="1" x14ac:dyDescent="0.3">
      <c r="M67" s="164"/>
      <c r="N67" s="40"/>
      <c r="O67" s="40"/>
      <c r="P67" s="40" t="s">
        <v>231</v>
      </c>
      <c r="Q67" s="40"/>
      <c r="R67" s="40"/>
    </row>
    <row r="68" spans="13:18" ht="15" customHeight="1" x14ac:dyDescent="0.3">
      <c r="M68" s="164"/>
      <c r="N68" s="37"/>
      <c r="O68" s="37"/>
      <c r="P68" s="37" t="s">
        <v>232</v>
      </c>
      <c r="Q68" s="37"/>
      <c r="R68" s="37"/>
    </row>
    <row r="69" spans="13:18" ht="15" customHeight="1" x14ac:dyDescent="0.3">
      <c r="M69" s="164"/>
      <c r="N69" s="40"/>
      <c r="O69" s="40"/>
      <c r="P69" s="40" t="s">
        <v>233</v>
      </c>
      <c r="Q69" s="40"/>
      <c r="R69" s="40"/>
    </row>
    <row r="70" spans="13:18" ht="15" customHeight="1" x14ac:dyDescent="0.3">
      <c r="M70" s="164"/>
      <c r="N70" s="37"/>
      <c r="O70" s="37"/>
      <c r="P70" s="37" t="s">
        <v>234</v>
      </c>
      <c r="Q70" s="37"/>
      <c r="R70" s="37"/>
    </row>
    <row r="71" spans="13:18" ht="15" customHeight="1" x14ac:dyDescent="0.3">
      <c r="M71" s="164"/>
      <c r="N71" s="40"/>
      <c r="O71" s="40"/>
      <c r="P71" s="40" t="s">
        <v>235</v>
      </c>
      <c r="Q71" s="40"/>
      <c r="R71" s="40"/>
    </row>
    <row r="72" spans="13:18" ht="15" customHeight="1" x14ac:dyDescent="0.3">
      <c r="M72" s="164"/>
      <c r="N72" s="37"/>
      <c r="O72" s="37"/>
      <c r="P72" s="37" t="s">
        <v>236</v>
      </c>
      <c r="Q72" s="37"/>
      <c r="R72" s="37"/>
    </row>
    <row r="73" spans="13:18" ht="15" customHeight="1" x14ac:dyDescent="0.3">
      <c r="M73" s="164"/>
      <c r="N73" s="40"/>
      <c r="O73" s="40"/>
      <c r="P73" s="40" t="s">
        <v>237</v>
      </c>
      <c r="Q73" s="40"/>
      <c r="R73" s="40"/>
    </row>
    <row r="74" spans="13:18" ht="15" customHeight="1" x14ac:dyDescent="0.3">
      <c r="M74" s="164"/>
      <c r="N74" s="37"/>
      <c r="O74" s="37"/>
      <c r="P74" s="37" t="s">
        <v>238</v>
      </c>
      <c r="Q74" s="37"/>
      <c r="R74" s="37"/>
    </row>
    <row r="75" spans="13:18" ht="15" customHeight="1" x14ac:dyDescent="0.3">
      <c r="M75" s="164"/>
      <c r="N75" s="40"/>
      <c r="O75" s="40"/>
      <c r="P75" s="40" t="s">
        <v>239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 x14ac:dyDescent="0.3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3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3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3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3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3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3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3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3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3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 x14ac:dyDescent="0.3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 x14ac:dyDescent="0.3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03" activePane="bottomLeft" state="frozen"/>
      <selection pane="bottomLeft" activeCell="H609" sqref="H609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 x14ac:dyDescent="0.3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 x14ac:dyDescent="0.3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 x14ac:dyDescent="0.3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 x14ac:dyDescent="0.3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 x14ac:dyDescent="0.3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 x14ac:dyDescent="0.3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 x14ac:dyDescent="0.3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 x14ac:dyDescent="0.3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 x14ac:dyDescent="0.3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 x14ac:dyDescent="0.3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 x14ac:dyDescent="0.3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 x14ac:dyDescent="0.3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 x14ac:dyDescent="0.3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 x14ac:dyDescent="0.3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 x14ac:dyDescent="0.3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 x14ac:dyDescent="0.3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 x14ac:dyDescent="0.3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 x14ac:dyDescent="0.3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 x14ac:dyDescent="0.3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 x14ac:dyDescent="0.3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 x14ac:dyDescent="0.3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 x14ac:dyDescent="0.3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 x14ac:dyDescent="0.3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 x14ac:dyDescent="0.3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/>
      <c r="M597" s="71">
        <f t="shared" ca="1" si="129"/>
        <v>0.81964467593206791</v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261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67" t="s">
        <v>262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0.98075578704317901</v>
      </c>
      <c r="N608" s="2" t="s">
        <v>263</v>
      </c>
      <c r="O608" s="74">
        <f>18310+1107750</f>
        <v>1126060</v>
      </c>
    </row>
    <row r="609" spans="1:15" ht="15" customHeight="1" x14ac:dyDescent="0.3">
      <c r="A609" s="18">
        <v>46257</v>
      </c>
      <c r="B609" s="68">
        <v>0.83333333333333304</v>
      </c>
      <c r="C609" s="70" t="s">
        <v>38</v>
      </c>
      <c r="D609" s="62" t="s">
        <v>31</v>
      </c>
      <c r="E609" s="75" t="s">
        <v>276</v>
      </c>
      <c r="F609" s="63">
        <v>1</v>
      </c>
      <c r="G609" s="69">
        <f t="shared" ref="G609:G614" si="131">IF(F609="","",IF(E609="PC 17",F609*4.2,IF(E609="PC 19",F609*5,IF(E609="CB",F609*35,""))))</f>
        <v>4.2</v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62" t="s">
        <v>31</v>
      </c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 t="s">
        <v>38</v>
      </c>
      <c r="D611" s="62" t="s">
        <v>31</v>
      </c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 t="s">
        <v>38</v>
      </c>
      <c r="D612" s="62" t="s">
        <v>31</v>
      </c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 t="s">
        <v>38</v>
      </c>
      <c r="D613" s="62" t="s">
        <v>31</v>
      </c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 t="s">
        <v>38</v>
      </c>
      <c r="D614" s="62" t="s">
        <v>31</v>
      </c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 t="s">
        <v>38</v>
      </c>
      <c r="D615" s="62" t="s">
        <v>31</v>
      </c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 t="s">
        <v>38</v>
      </c>
      <c r="D616" s="62" t="s">
        <v>31</v>
      </c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 t="s">
        <v>38</v>
      </c>
      <c r="D617" s="62" t="s">
        <v>31</v>
      </c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 t="s">
        <v>38</v>
      </c>
      <c r="D618" s="62" t="s">
        <v>31</v>
      </c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 t="s">
        <v>38</v>
      </c>
      <c r="D619" s="62" t="s">
        <v>31</v>
      </c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 t="s">
        <v>38</v>
      </c>
      <c r="D620" s="62" t="s">
        <v>31</v>
      </c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67" t="s">
        <v>265</v>
      </c>
      <c r="B621" s="167"/>
      <c r="C621" s="167"/>
      <c r="D621" s="167"/>
      <c r="E621" s="167"/>
      <c r="F621" s="2">
        <f>SUM(F609:F620)</f>
        <v>1</v>
      </c>
      <c r="G621" s="2">
        <f>SUM(G609:G620)</f>
        <v>4.2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>
        <v>2354670</v>
      </c>
    </row>
    <row r="622" spans="1:15" ht="18" customHeight="1" x14ac:dyDescent="0.3">
      <c r="A622" s="168" t="s">
        <v>251</v>
      </c>
      <c r="B622" s="168"/>
      <c r="C622" s="168"/>
      <c r="D622" s="168"/>
      <c r="E622" s="168"/>
      <c r="F622" s="1">
        <f>F608+F621</f>
        <v>44</v>
      </c>
      <c r="G622" s="1">
        <f>G608+G621</f>
        <v>219.2</v>
      </c>
      <c r="H622" s="76"/>
      <c r="I622" s="76"/>
      <c r="J622" s="76"/>
      <c r="K622" s="76"/>
      <c r="L622" s="76"/>
      <c r="M622" s="77">
        <f ca="1">IFERROR(M608+M621,"")</f>
        <v>0.98075578704317901</v>
      </c>
      <c r="N622" s="1" t="s">
        <v>266</v>
      </c>
      <c r="O622" s="82">
        <f>IFERROR(O608+O621,"")</f>
        <v>3480730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 x14ac:dyDescent="0.3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 x14ac:dyDescent="0.3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 x14ac:dyDescent="0.3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 x14ac:dyDescent="0.3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 x14ac:dyDescent="0.3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 x14ac:dyDescent="0.3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 x14ac:dyDescent="0.3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 x14ac:dyDescent="0.3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1" activePane="bottomLeft" state="frozen"/>
      <selection pane="bottomLeft" activeCell="A621" sqref="A621:E621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0.20158912037004484</v>
      </c>
      <c r="R53" s="80" t="s">
        <v>315</v>
      </c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0.34047800925893257</v>
      </c>
      <c r="R54" s="2" t="s">
        <v>263</v>
      </c>
      <c r="S54" s="113">
        <v>352430</v>
      </c>
      <c r="T54" s="114"/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0.42520023148115538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 x14ac:dyDescent="0.3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209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263</v>
      </c>
      <c r="S608" s="74">
        <f>981900-413630+137530</f>
        <v>705800</v>
      </c>
      <c r="T608" s="99">
        <f>IFERROR(J608,"")</f>
        <v>148.21799999999999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508.5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106.785</v>
      </c>
      <c r="K609" s="69">
        <f t="shared" ref="K609:K614" si="159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1</v>
      </c>
      <c r="H621" s="105">
        <f>IFERROR(SUM(H609:H620),"")</f>
        <v>508.5</v>
      </c>
      <c r="I621" s="106"/>
      <c r="J621" s="107">
        <f>IFERROR(SUM(J609:J620),"")</f>
        <v>106.785</v>
      </c>
      <c r="K621" s="2">
        <f>SUM(K609:K620)</f>
        <v>4.2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>
        <v>508500</v>
      </c>
      <c r="T621" s="99">
        <f>IFERROR(J621,"")</f>
        <v>106.785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57</v>
      </c>
      <c r="H622" s="108">
        <f>IFERROR(H608+H621,"")</f>
        <v>1214.3000000000002</v>
      </c>
      <c r="I622" s="110"/>
      <c r="J622" s="111">
        <f>IFERROR(J608+J621,"")</f>
        <v>255.00299999999999</v>
      </c>
      <c r="K622" s="1">
        <f>K608+K621</f>
        <v>239.39999999999998</v>
      </c>
      <c r="L622" s="76"/>
      <c r="M622" s="76"/>
      <c r="N622" s="76"/>
      <c r="O622" s="76"/>
      <c r="P622" s="76"/>
      <c r="Q622" s="77">
        <f ca="1">IFERROR(Q608+Q621,"")</f>
        <v>4.9999999999999989E-2</v>
      </c>
      <c r="R622" s="1" t="s">
        <v>266</v>
      </c>
      <c r="S622" s="82">
        <f>S608+S621</f>
        <v>1214300</v>
      </c>
      <c r="T622" s="118">
        <f>IFERROR(J622,"")</f>
        <v>255.00299999999999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99" activePane="bottomLeft" state="frozen"/>
      <selection pane="bottomLeft" activeCell="A621" sqref="A621:E621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3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 x14ac:dyDescent="0.3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3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316</v>
      </c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263</v>
      </c>
      <c r="S608" s="74">
        <f>736040-425430+31060</f>
        <v>341670</v>
      </c>
      <c r="T608" s="99">
        <f>IFERROR(J608,"")</f>
        <v>71.750699999999995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399.51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83.897099999999995</v>
      </c>
      <c r="K609" s="69">
        <f t="shared" ref="K609:K614" si="156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1</v>
      </c>
      <c r="H621" s="105">
        <f>IFERROR(SUM(H609:H620),"")</f>
        <v>399.51</v>
      </c>
      <c r="I621" s="106"/>
      <c r="J621" s="107">
        <f>IFERROR(SUM(J609:J620),"")</f>
        <v>83.897099999999995</v>
      </c>
      <c r="K621" s="2">
        <f>SUM(K609:K620)</f>
        <v>4.2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>
        <v>399510</v>
      </c>
      <c r="T621" s="99">
        <f>IFERROR(J621,"")</f>
        <v>83.897099999999995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26</v>
      </c>
      <c r="H622" s="108">
        <f>IFERROR(H608+H621,"")</f>
        <v>741.18</v>
      </c>
      <c r="I622" s="110"/>
      <c r="J622" s="111">
        <f>IFERROR(J608+J621,"")</f>
        <v>155.64779999999999</v>
      </c>
      <c r="K622" s="1">
        <f>K608+K621</f>
        <v>109.2</v>
      </c>
      <c r="L622" s="76"/>
      <c r="M622" s="76"/>
      <c r="N622" s="76"/>
      <c r="O622" s="76"/>
      <c r="P622" s="76"/>
      <c r="Q622" s="77">
        <f ca="1">IFERROR(Q608+Q621,"")</f>
        <v>9.3749999999999944E-2</v>
      </c>
      <c r="R622" s="1" t="s">
        <v>266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opLeftCell="L1" zoomScale="81" zoomScaleNormal="81" workbookViewId="0">
      <pane ySplit="1" topLeftCell="A599" activePane="bottomLeft" state="frozen"/>
      <selection pane="bottomLeft" activeCell="M618" sqref="M618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>
        <f>1545300-910510+75170</f>
        <v>709960</v>
      </c>
      <c r="T608" s="99">
        <f>IFERROR(J608,"")</f>
        <v>149.09159999999997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715.66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150.28859999999997</v>
      </c>
      <c r="K609" s="69">
        <f t="shared" ref="K609:K614" si="159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1</v>
      </c>
      <c r="H621" s="105">
        <f>IFERROR(SUM(H609:H620),"")</f>
        <v>715.66</v>
      </c>
      <c r="I621" s="106"/>
      <c r="J621" s="107">
        <f>IFERROR(SUM(J609:J620),"")</f>
        <v>150.28859999999997</v>
      </c>
      <c r="K621" s="2">
        <f>SUM(K609:K620)</f>
        <v>4.2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>
        <v>715660</v>
      </c>
      <c r="T621" s="99">
        <f>IFERROR(J621,"")</f>
        <v>150.28859999999997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61</v>
      </c>
      <c r="H622" s="108">
        <f>IFERROR(H608+H621,"")</f>
        <v>1425.62</v>
      </c>
      <c r="I622" s="110"/>
      <c r="J622" s="111">
        <f>IFERROR(J608+J621,"")</f>
        <v>299.38019999999995</v>
      </c>
      <c r="K622" s="1">
        <f>K608+K621</f>
        <v>256.2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1425620</v>
      </c>
      <c r="T622" s="118">
        <f>IFERROR(J622,"")</f>
        <v>299.38019999999995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2026-08-24T11:45:29Z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