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31" documentId="8_{C51EB6CB-002B-4D6B-B68F-DDEBDB4460C0}" xr6:coauthVersionLast="47" xr6:coauthVersionMax="47" xr10:uidLastSave="{449ACA6E-EA44-4DF5-9256-8C28550B7EFC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<sst xmlns="http://schemas.openxmlformats.org/spreadsheetml/2006/main" count="3445" uniqueCount="284">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</sst>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0" activePane="bottomLeft" state="frozen"/>
      <selection pane="bottomLeft" activeCell="I150" sqref="I1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/>
      <c r="G150" s="28" t="str">
        <f t="shared" ref="G150:G161" si="33">IF(F150="","",IF(E150="PC 17",F150*4.2,IF(E150="PC 19",F150*5,IF(E150="CB",F150*35,""))))</f>
        <v/>
      </c>
      <c r="H150" s="26" t="s">
        <v>20</v>
      </c>
      <c r="I150" s="26" t="s">
        <v>23</v>
      </c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289</v>
      </c>
      <c r="G163" s="40">
        <f>G149+G162</f>
        <v>1445</v>
      </c>
      <c r="H163" s="41"/>
      <c r="I163" s="41"/>
      <c r="J163" s="41"/>
      <c r="K163" s="41"/>
      <c r="L163" s="41"/>
      <c r="M163" s="42">
        <f ca="1">IFERROR(M149+M162,"")</f>
        <v>9.8611111111111149E-2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I150" sqref="I1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0.6953122685154085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0.83420115740429734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0.91892337962651971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/>
      <c r="M150" s="30">
        <f t="shared" ref="M150:M161" ca="1" si="34">IFERROR(IF(K150="","",IF(L150="",MOD(NOW()-K150,1),IF(L150&gt;=K150,L150-K150,L150+1-K150))),"")</f>
        <v>4.3400462964200415E-3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4.3400462964200415E-3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140</v>
      </c>
      <c r="G163" s="40">
        <f>G149+G162</f>
        <v>588</v>
      </c>
      <c r="H163" s="41"/>
      <c r="I163" s="41"/>
      <c r="J163" s="41"/>
      <c r="K163" s="41"/>
      <c r="L163" s="41"/>
      <c r="M163" s="42">
        <f ca="1">IFERROR(M149+M162,"")</f>
        <v>0.18003449074086447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K151" sqref="K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/>
      <c r="M150" s="30">
        <f t="shared" ref="M150:M161" ca="1" si="34">IFERROR(IF(K150="","",IF(L150="",MOD(NOW()-K150,1),IF(L150&gt;=K150,L150-K150,L150+1-K150))),"")</f>
        <v>4.3398148118285462E-3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4.3398148118285462E-3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</v>
      </c>
      <c r="G163" s="40">
        <f>G149+G162</f>
        <v>138.6</v>
      </c>
      <c r="H163" s="41"/>
      <c r="I163" s="41"/>
      <c r="J163" s="41"/>
      <c r="K163" s="41"/>
      <c r="L163" s="41"/>
      <c r="M163" s="42">
        <f ca="1">IFERROR(M149+M162,"")</f>
        <v>0.15781203703405072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0" sqref="F1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182</v>
      </c>
      <c r="G163" s="40">
        <f>G149+G162</f>
        <v>764.40000000000009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2026-08-06T23:36:35Z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