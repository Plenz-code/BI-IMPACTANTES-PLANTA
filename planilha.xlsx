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800" documentId="13_ncr:1_{0A10D8D4-8450-4366-8075-B53B08E6B7EA}" xr6:coauthVersionLast="47" xr6:coauthVersionMax="47" xr10:uidLastSave="{35100B8F-C9E6-4DD3-A62B-288247485706}"/>
  <bookViews>
    <workbookView xWindow="-28920" yWindow="-6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9" i="6" l="1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<sst xmlns="http://schemas.openxmlformats.org/spreadsheetml/2006/main" count="6244" uniqueCount="342">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</sst>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548.93232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65" t="s">
        <v>12</v>
      </c>
      <c r="B35" s="165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1231.8974415403104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9"/>
      <c r="N58" s="16"/>
      <c r="O58" s="16"/>
      <c r="P58" s="16" t="s">
        <v>214</v>
      </c>
      <c r="Q58" s="16"/>
      <c r="R58" s="16"/>
    </row>
    <row r="59" spans="1:18" ht="15" customHeight="1">
      <c r="M59" s="169"/>
      <c r="N59" s="17"/>
      <c r="O59" s="17"/>
      <c r="P59" s="17" t="s">
        <v>215</v>
      </c>
      <c r="Q59" s="17"/>
      <c r="R59" s="17"/>
    </row>
    <row r="60" spans="1:18" ht="15" customHeight="1">
      <c r="M60" s="169"/>
      <c r="N60" s="16"/>
      <c r="O60" s="16"/>
      <c r="P60" s="77" t="s">
        <v>110</v>
      </c>
      <c r="Q60" s="16"/>
      <c r="R60" s="16"/>
    </row>
    <row r="61" spans="1:18" ht="15" customHeight="1">
      <c r="M61" s="169"/>
      <c r="N61" s="17"/>
      <c r="O61" s="17"/>
      <c r="P61" s="17" t="s">
        <v>216</v>
      </c>
      <c r="Q61" s="17"/>
      <c r="R61" s="17"/>
    </row>
    <row r="62" spans="1:18" ht="15" customHeight="1">
      <c r="M62" s="169"/>
      <c r="N62" s="16"/>
      <c r="O62" s="16"/>
      <c r="P62" s="16" t="s">
        <v>217</v>
      </c>
      <c r="Q62" s="16"/>
      <c r="R62" s="16"/>
    </row>
    <row r="63" spans="1:18" ht="15" customHeight="1">
      <c r="M63" s="169"/>
      <c r="N63" s="17"/>
      <c r="O63" s="17"/>
      <c r="P63" s="17" t="s">
        <v>218</v>
      </c>
      <c r="Q63" s="17"/>
      <c r="R63" s="17"/>
    </row>
    <row r="64" spans="1:18" ht="15" customHeight="1">
      <c r="M64" s="169"/>
      <c r="N64" s="16"/>
      <c r="O64" s="16"/>
      <c r="P64" s="16" t="s">
        <v>219</v>
      </c>
      <c r="Q64" s="16"/>
      <c r="R64" s="16"/>
    </row>
    <row r="65" spans="13:18" ht="15" customHeight="1">
      <c r="M65" s="169"/>
      <c r="N65" s="17"/>
      <c r="O65" s="17"/>
      <c r="P65" s="17" t="s">
        <v>220</v>
      </c>
      <c r="Q65" s="17"/>
      <c r="R65" s="17"/>
    </row>
    <row r="66" spans="13:18" ht="15" customHeight="1">
      <c r="M66" s="169"/>
      <c r="N66" s="16"/>
      <c r="O66" s="16"/>
      <c r="P66" s="16" t="s">
        <v>221</v>
      </c>
      <c r="Q66" s="16"/>
      <c r="R66" s="16"/>
    </row>
    <row r="67" spans="13:18" ht="15" customHeight="1">
      <c r="M67" s="169"/>
      <c r="N67" s="17"/>
      <c r="O67" s="17"/>
      <c r="P67" s="17" t="s">
        <v>222</v>
      </c>
      <c r="Q67" s="17"/>
      <c r="R67" s="17"/>
    </row>
    <row r="68" spans="13:18" ht="15" customHeight="1">
      <c r="M68" s="169"/>
      <c r="N68" s="16"/>
      <c r="O68" s="16"/>
      <c r="P68" s="16" t="s">
        <v>223</v>
      </c>
      <c r="Q68" s="16"/>
      <c r="R68" s="16"/>
    </row>
    <row r="69" spans="13:18" ht="15" customHeight="1">
      <c r="M69" s="169"/>
      <c r="N69" s="17"/>
      <c r="O69" s="17"/>
      <c r="P69" s="17" t="s">
        <v>224</v>
      </c>
      <c r="Q69" s="17"/>
      <c r="R69" s="17"/>
    </row>
    <row r="70" spans="13:18" ht="15" customHeight="1">
      <c r="M70" s="169"/>
      <c r="N70" s="16"/>
      <c r="O70" s="16"/>
      <c r="P70" s="16" t="s">
        <v>225</v>
      </c>
      <c r="Q70" s="16"/>
      <c r="R70" s="16"/>
    </row>
    <row r="71" spans="13:18" ht="15" customHeight="1">
      <c r="M71" s="169"/>
      <c r="N71" s="17"/>
      <c r="O71" s="17"/>
      <c r="P71" s="17" t="s">
        <v>226</v>
      </c>
      <c r="Q71" s="17"/>
      <c r="R71" s="17"/>
    </row>
    <row r="72" spans="13:18" ht="15" customHeight="1">
      <c r="M72" s="169"/>
      <c r="N72" s="16"/>
      <c r="O72" s="16"/>
      <c r="P72" s="16" t="s">
        <v>227</v>
      </c>
      <c r="Q72" s="16"/>
      <c r="R72" s="16"/>
    </row>
    <row r="73" spans="13:18" ht="15" customHeight="1">
      <c r="M73" s="169"/>
      <c r="N73" s="17"/>
      <c r="O73" s="17"/>
      <c r="P73" s="17" t="s">
        <v>228</v>
      </c>
      <c r="Q73" s="17"/>
      <c r="R73" s="17"/>
    </row>
    <row r="74" spans="13:18" ht="15" customHeight="1">
      <c r="M74" s="169"/>
      <c r="N74" s="16"/>
      <c r="O74" s="16"/>
      <c r="P74" s="16" t="s">
        <v>229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2" activePane="bottomLeft" state="frozen"/>
      <selection pane="bottomLeft" activeCell="D359" sqref="D35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241</v>
      </c>
      <c r="B14" s="162"/>
      <c r="C14" s="162"/>
      <c r="D14" s="162"/>
      <c r="E14" s="16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244</v>
      </c>
      <c r="B27" s="162"/>
      <c r="C27" s="162"/>
      <c r="D27" s="162"/>
      <c r="E27" s="16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8" t="s">
        <v>245</v>
      </c>
      <c r="B28" s="159"/>
      <c r="C28" s="159"/>
      <c r="D28" s="159"/>
      <c r="E28" s="16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241</v>
      </c>
      <c r="B41" s="162"/>
      <c r="C41" s="162"/>
      <c r="D41" s="162"/>
      <c r="E41" s="16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244</v>
      </c>
      <c r="B54" s="162"/>
      <c r="C54" s="162"/>
      <c r="D54" s="162"/>
      <c r="E54" s="16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8" t="s">
        <v>245</v>
      </c>
      <c r="B55" s="159"/>
      <c r="C55" s="159"/>
      <c r="D55" s="159"/>
      <c r="E55" s="16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241</v>
      </c>
      <c r="B68" s="162"/>
      <c r="C68" s="162"/>
      <c r="D68" s="162"/>
      <c r="E68" s="16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244</v>
      </c>
      <c r="B81" s="162"/>
      <c r="C81" s="162"/>
      <c r="D81" s="162"/>
      <c r="E81" s="16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8" t="s">
        <v>245</v>
      </c>
      <c r="B82" s="159"/>
      <c r="C82" s="159"/>
      <c r="D82" s="159"/>
      <c r="E82" s="16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241</v>
      </c>
      <c r="B95" s="162"/>
      <c r="C95" s="162"/>
      <c r="D95" s="162"/>
      <c r="E95" s="16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244</v>
      </c>
      <c r="B108" s="162"/>
      <c r="C108" s="162"/>
      <c r="D108" s="162"/>
      <c r="E108" s="16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8" t="s">
        <v>245</v>
      </c>
      <c r="B109" s="159"/>
      <c r="C109" s="159"/>
      <c r="D109" s="159"/>
      <c r="E109" s="16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241</v>
      </c>
      <c r="B122" s="162"/>
      <c r="C122" s="162"/>
      <c r="D122" s="162"/>
      <c r="E122" s="16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244</v>
      </c>
      <c r="B135" s="162"/>
      <c r="C135" s="162"/>
      <c r="D135" s="162"/>
      <c r="E135" s="16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8" t="s">
        <v>245</v>
      </c>
      <c r="B136" s="159"/>
      <c r="C136" s="159"/>
      <c r="D136" s="159"/>
      <c r="E136" s="16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241</v>
      </c>
      <c r="B149" s="162"/>
      <c r="C149" s="162"/>
      <c r="D149" s="162"/>
      <c r="E149" s="16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244</v>
      </c>
      <c r="B162" s="162"/>
      <c r="C162" s="162"/>
      <c r="D162" s="162"/>
      <c r="E162" s="16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8" t="s">
        <v>245</v>
      </c>
      <c r="B163" s="159"/>
      <c r="C163" s="159"/>
      <c r="D163" s="159"/>
      <c r="E163" s="16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241</v>
      </c>
      <c r="B176" s="162"/>
      <c r="C176" s="162"/>
      <c r="D176" s="162"/>
      <c r="E176" s="16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244</v>
      </c>
      <c r="B189" s="162"/>
      <c r="C189" s="162"/>
      <c r="D189" s="162"/>
      <c r="E189" s="16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8" t="s">
        <v>245</v>
      </c>
      <c r="B190" s="159"/>
      <c r="C190" s="159"/>
      <c r="D190" s="159"/>
      <c r="E190" s="16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241</v>
      </c>
      <c r="B203" s="162"/>
      <c r="C203" s="162"/>
      <c r="D203" s="162"/>
      <c r="E203" s="16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244</v>
      </c>
      <c r="B216" s="162"/>
      <c r="C216" s="162"/>
      <c r="D216" s="162"/>
      <c r="E216" s="16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8" t="s">
        <v>245</v>
      </c>
      <c r="B217" s="159"/>
      <c r="C217" s="159"/>
      <c r="D217" s="159"/>
      <c r="E217" s="16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2" t="s">
        <v>241</v>
      </c>
      <c r="B230" s="153"/>
      <c r="C230" s="153"/>
      <c r="D230" s="153"/>
      <c r="E230" s="15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244</v>
      </c>
      <c r="B243" s="162"/>
      <c r="C243" s="162"/>
      <c r="D243" s="162"/>
      <c r="E243" s="16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8" t="s">
        <v>245</v>
      </c>
      <c r="B244" s="159"/>
      <c r="C244" s="159"/>
      <c r="D244" s="159"/>
      <c r="E244" s="16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241</v>
      </c>
      <c r="B257" s="162"/>
      <c r="C257" s="162"/>
      <c r="D257" s="162"/>
      <c r="E257" s="16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244</v>
      </c>
      <c r="B270" s="162"/>
      <c r="C270" s="162"/>
      <c r="D270" s="162"/>
      <c r="E270" s="16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8" t="s">
        <v>245</v>
      </c>
      <c r="B271" s="159"/>
      <c r="C271" s="159"/>
      <c r="D271" s="159"/>
      <c r="E271" s="16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241</v>
      </c>
      <c r="B284" s="162"/>
      <c r="C284" s="162"/>
      <c r="D284" s="162"/>
      <c r="E284" s="16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244</v>
      </c>
      <c r="B297" s="162"/>
      <c r="C297" s="162"/>
      <c r="D297" s="162"/>
      <c r="E297" s="16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8" t="s">
        <v>245</v>
      </c>
      <c r="B298" s="159"/>
      <c r="C298" s="159"/>
      <c r="D298" s="159"/>
      <c r="E298" s="16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241</v>
      </c>
      <c r="B311" s="162"/>
      <c r="C311" s="162"/>
      <c r="D311" s="162"/>
      <c r="E311" s="163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244</v>
      </c>
      <c r="B324" s="162"/>
      <c r="C324" s="162"/>
      <c r="D324" s="162"/>
      <c r="E324" s="16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8" t="s">
        <v>245</v>
      </c>
      <c r="B325" s="159"/>
      <c r="C325" s="159"/>
      <c r="D325" s="159"/>
      <c r="E325" s="16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241</v>
      </c>
      <c r="B338" s="162"/>
      <c r="C338" s="162"/>
      <c r="D338" s="162"/>
      <c r="E338" s="163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244</v>
      </c>
      <c r="B351" s="162"/>
      <c r="C351" s="162"/>
      <c r="D351" s="162"/>
      <c r="E351" s="163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>
        <v>2154990</v>
      </c>
    </row>
    <row r="352" spans="1:15" ht="18" customHeight="1">
      <c r="A352" s="158" t="s">
        <v>245</v>
      </c>
      <c r="B352" s="159"/>
      <c r="C352" s="159"/>
      <c r="D352" s="159"/>
      <c r="E352" s="16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34</v>
      </c>
      <c r="D354" s="62" t="s">
        <v>35</v>
      </c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34</v>
      </c>
      <c r="D355" s="62" t="s">
        <v>35</v>
      </c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34</v>
      </c>
      <c r="D356" s="62" t="s">
        <v>35</v>
      </c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34</v>
      </c>
      <c r="D357" s="62" t="s">
        <v>35</v>
      </c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34</v>
      </c>
      <c r="D358" s="62" t="s">
        <v>35</v>
      </c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34</v>
      </c>
      <c r="D359" s="62" t="s">
        <v>35</v>
      </c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34</v>
      </c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34</v>
      </c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34</v>
      </c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34</v>
      </c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34</v>
      </c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241</v>
      </c>
      <c r="B365" s="162"/>
      <c r="C365" s="162"/>
      <c r="D365" s="162"/>
      <c r="E365" s="16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244</v>
      </c>
      <c r="B378" s="162"/>
      <c r="C378" s="162"/>
      <c r="D378" s="162"/>
      <c r="E378" s="16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8" t="s">
        <v>245</v>
      </c>
      <c r="B379" s="159"/>
      <c r="C379" s="159"/>
      <c r="D379" s="159"/>
      <c r="E379" s="160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241</v>
      </c>
      <c r="B392" s="162"/>
      <c r="C392" s="162"/>
      <c r="D392" s="162"/>
      <c r="E392" s="16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244</v>
      </c>
      <c r="B405" s="162"/>
      <c r="C405" s="162"/>
      <c r="D405" s="162"/>
      <c r="E405" s="16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8" t="s">
        <v>245</v>
      </c>
      <c r="B406" s="159"/>
      <c r="C406" s="159"/>
      <c r="D406" s="159"/>
      <c r="E406" s="16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241</v>
      </c>
      <c r="B419" s="162"/>
      <c r="C419" s="162"/>
      <c r="D419" s="162"/>
      <c r="E419" s="16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244</v>
      </c>
      <c r="B432" s="162"/>
      <c r="C432" s="162"/>
      <c r="D432" s="162"/>
      <c r="E432" s="16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8" t="s">
        <v>245</v>
      </c>
      <c r="B433" s="159"/>
      <c r="C433" s="159"/>
      <c r="D433" s="159"/>
      <c r="E433" s="16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241</v>
      </c>
      <c r="B446" s="162"/>
      <c r="C446" s="162"/>
      <c r="D446" s="162"/>
      <c r="E446" s="16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244</v>
      </c>
      <c r="B459" s="162"/>
      <c r="C459" s="162"/>
      <c r="D459" s="162"/>
      <c r="E459" s="16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8" t="s">
        <v>245</v>
      </c>
      <c r="B460" s="159"/>
      <c r="C460" s="159"/>
      <c r="D460" s="159"/>
      <c r="E460" s="16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1" t="s">
        <v>241</v>
      </c>
      <c r="B473" s="162"/>
      <c r="C473" s="162"/>
      <c r="D473" s="162"/>
      <c r="E473" s="16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1" t="s">
        <v>244</v>
      </c>
      <c r="B486" s="162"/>
      <c r="C486" s="162"/>
      <c r="D486" s="162"/>
      <c r="E486" s="16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8" t="s">
        <v>245</v>
      </c>
      <c r="B487" s="159"/>
      <c r="C487" s="159"/>
      <c r="D487" s="159"/>
      <c r="E487" s="16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1" t="s">
        <v>241</v>
      </c>
      <c r="B500" s="162"/>
      <c r="C500" s="162"/>
      <c r="D500" s="162"/>
      <c r="E500" s="16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1" t="s">
        <v>244</v>
      </c>
      <c r="B513" s="162"/>
      <c r="C513" s="162"/>
      <c r="D513" s="162"/>
      <c r="E513" s="16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8" t="s">
        <v>245</v>
      </c>
      <c r="B514" s="159"/>
      <c r="C514" s="159"/>
      <c r="D514" s="159"/>
      <c r="E514" s="16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1" t="s">
        <v>241</v>
      </c>
      <c r="B527" s="162"/>
      <c r="C527" s="162"/>
      <c r="D527" s="162"/>
      <c r="E527" s="16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1" t="s">
        <v>244</v>
      </c>
      <c r="B540" s="162"/>
      <c r="C540" s="162"/>
      <c r="D540" s="162"/>
      <c r="E540" s="16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8" t="s">
        <v>245</v>
      </c>
      <c r="B541" s="159"/>
      <c r="C541" s="159"/>
      <c r="D541" s="159"/>
      <c r="E541" s="16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1" t="s">
        <v>241</v>
      </c>
      <c r="B554" s="162"/>
      <c r="C554" s="162"/>
      <c r="D554" s="162"/>
      <c r="E554" s="16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1" t="s">
        <v>244</v>
      </c>
      <c r="B567" s="162"/>
      <c r="C567" s="162"/>
      <c r="D567" s="162"/>
      <c r="E567" s="16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8" t="s">
        <v>245</v>
      </c>
      <c r="B568" s="159"/>
      <c r="C568" s="159"/>
      <c r="D568" s="159"/>
      <c r="E568" s="16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1" t="s">
        <v>241</v>
      </c>
      <c r="B581" s="162"/>
      <c r="C581" s="162"/>
      <c r="D581" s="162"/>
      <c r="E581" s="16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1" t="s">
        <v>244</v>
      </c>
      <c r="B594" s="162"/>
      <c r="C594" s="162"/>
      <c r="D594" s="162"/>
      <c r="E594" s="16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8" t="s">
        <v>245</v>
      </c>
      <c r="B595" s="159"/>
      <c r="C595" s="159"/>
      <c r="D595" s="159"/>
      <c r="E595" s="16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1" t="s">
        <v>241</v>
      </c>
      <c r="B608" s="162"/>
      <c r="C608" s="162"/>
      <c r="D608" s="162"/>
      <c r="E608" s="16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1" t="s">
        <v>244</v>
      </c>
      <c r="B621" s="162"/>
      <c r="C621" s="162"/>
      <c r="D621" s="162"/>
      <c r="E621" s="16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8" t="s">
        <v>245</v>
      </c>
      <c r="B622" s="159"/>
      <c r="C622" s="159"/>
      <c r="D622" s="159"/>
      <c r="E622" s="16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1" t="s">
        <v>241</v>
      </c>
      <c r="B635" s="162"/>
      <c r="C635" s="162"/>
      <c r="D635" s="162"/>
      <c r="E635" s="16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1" t="s">
        <v>244</v>
      </c>
      <c r="B648" s="162"/>
      <c r="C648" s="162"/>
      <c r="D648" s="162"/>
      <c r="E648" s="16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8" t="s">
        <v>245</v>
      </c>
      <c r="B649" s="159"/>
      <c r="C649" s="159"/>
      <c r="D649" s="159"/>
      <c r="E649" s="16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1" t="s">
        <v>241</v>
      </c>
      <c r="B662" s="162"/>
      <c r="C662" s="162"/>
      <c r="D662" s="162"/>
      <c r="E662" s="16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1" t="s">
        <v>244</v>
      </c>
      <c r="B675" s="162"/>
      <c r="C675" s="162"/>
      <c r="D675" s="162"/>
      <c r="E675" s="16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8" t="s">
        <v>245</v>
      </c>
      <c r="B676" s="159"/>
      <c r="C676" s="159"/>
      <c r="D676" s="159"/>
      <c r="E676" s="16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1" t="s">
        <v>241</v>
      </c>
      <c r="B689" s="162"/>
      <c r="C689" s="162"/>
      <c r="D689" s="162"/>
      <c r="E689" s="16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1" t="s">
        <v>244</v>
      </c>
      <c r="B702" s="162"/>
      <c r="C702" s="162"/>
      <c r="D702" s="162"/>
      <c r="E702" s="16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8" t="s">
        <v>245</v>
      </c>
      <c r="B703" s="159"/>
      <c r="C703" s="159"/>
      <c r="D703" s="159"/>
      <c r="E703" s="16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1" t="s">
        <v>241</v>
      </c>
      <c r="B716" s="162"/>
      <c r="C716" s="162"/>
      <c r="D716" s="162"/>
      <c r="E716" s="16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1" t="s">
        <v>244</v>
      </c>
      <c r="B729" s="162"/>
      <c r="C729" s="162"/>
      <c r="D729" s="162"/>
      <c r="E729" s="16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8" t="s">
        <v>245</v>
      </c>
      <c r="B730" s="159"/>
      <c r="C730" s="159"/>
      <c r="D730" s="159"/>
      <c r="E730" s="16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1" t="s">
        <v>241</v>
      </c>
      <c r="B743" s="162"/>
      <c r="C743" s="162"/>
      <c r="D743" s="162"/>
      <c r="E743" s="16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1" t="s">
        <v>244</v>
      </c>
      <c r="B756" s="162"/>
      <c r="C756" s="162"/>
      <c r="D756" s="162"/>
      <c r="E756" s="16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8" t="s">
        <v>245</v>
      </c>
      <c r="B757" s="159"/>
      <c r="C757" s="159"/>
      <c r="D757" s="159"/>
      <c r="E757" s="16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1" t="s">
        <v>241</v>
      </c>
      <c r="B770" s="162"/>
      <c r="C770" s="162"/>
      <c r="D770" s="162"/>
      <c r="E770" s="16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1" t="s">
        <v>244</v>
      </c>
      <c r="B783" s="162"/>
      <c r="C783" s="162"/>
      <c r="D783" s="162"/>
      <c r="E783" s="16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8" t="s">
        <v>245</v>
      </c>
      <c r="B784" s="159"/>
      <c r="C784" s="159"/>
      <c r="D784" s="159"/>
      <c r="E784" s="16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1" t="s">
        <v>241</v>
      </c>
      <c r="B797" s="162"/>
      <c r="C797" s="162"/>
      <c r="D797" s="162"/>
      <c r="E797" s="16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1" t="s">
        <v>244</v>
      </c>
      <c r="B810" s="162"/>
      <c r="C810" s="162"/>
      <c r="D810" s="162"/>
      <c r="E810" s="16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55" t="s">
        <v>245</v>
      </c>
      <c r="B811" s="156"/>
      <c r="C811" s="156"/>
      <c r="D811" s="156"/>
      <c r="E811" s="15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1" t="s">
        <v>241</v>
      </c>
      <c r="B824" s="162"/>
      <c r="C824" s="162"/>
      <c r="D824" s="162"/>
      <c r="E824" s="16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1" t="s">
        <v>244</v>
      </c>
      <c r="B837" s="162"/>
      <c r="C837" s="162"/>
      <c r="D837" s="162"/>
      <c r="E837" s="16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8" t="s">
        <v>245</v>
      </c>
      <c r="B838" s="159"/>
      <c r="C838" s="159"/>
      <c r="D838" s="159"/>
      <c r="E838" s="16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P354" sqref="P35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0.19342245370353339</v>
      </c>
      <c r="R53" s="46" t="s">
        <v>276</v>
      </c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0.33231134259242229</v>
      </c>
      <c r="R54" s="36" t="s">
        <v>242</v>
      </c>
      <c r="S54" s="75">
        <v>352430</v>
      </c>
      <c r="T54" s="117"/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0.4170335648146446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3.577412093023256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8.9435302325581389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10.732236279069767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7.154824186046512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12.520942325581395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12.520942325581395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7.751059534883721</v>
      </c>
      <c r="K345" s="34">
        <f t="shared" si="79"/>
        <v>54.6</v>
      </c>
      <c r="L345" s="33" t="s">
        <v>23</v>
      </c>
      <c r="M345" s="33" t="s">
        <v>44</v>
      </c>
      <c r="N345" s="33" t="s">
        <v>162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7.154824186046512</v>
      </c>
      <c r="K346" s="28">
        <f t="shared" si="79"/>
        <v>50.400000000000006</v>
      </c>
      <c r="L346" s="26" t="s">
        <v>22</v>
      </c>
      <c r="M346" s="26" t="s">
        <v>140</v>
      </c>
      <c r="N346" s="26" t="s">
        <v>54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4.1736474418604645</v>
      </c>
      <c r="K347" s="34">
        <f t="shared" si="79"/>
        <v>29.400000000000002</v>
      </c>
      <c r="L347" s="33" t="s">
        <v>22</v>
      </c>
      <c r="M347" s="33" t="s">
        <v>140</v>
      </c>
      <c r="N347" s="33" t="s">
        <v>54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11.328471627906977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9.539765581395347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7.154824186046512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102.55248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242</v>
      </c>
      <c r="S351" s="45">
        <v>712170</v>
      </c>
      <c r="T351" s="122">
        <f>IFERROR(J351,"")</f>
        <v>102.55248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129.46464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246</v>
      </c>
      <c r="S352" s="143">
        <f>IFERROR(S338+S351,"")</f>
        <v>899060</v>
      </c>
      <c r="T352" s="144">
        <f>IFERROR(J352,"")</f>
        <v>129.46464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/>
      <c r="F353" s="140">
        <f>IFERROR(IF($D353="","",VLOOKUP($D353,Cadastro!$C$4:$E$7,3,FALSE)),"")</f>
        <v>0.24</v>
      </c>
      <c r="G353" s="105"/>
      <c r="H353" s="140" t="str">
        <f>IFERROR(IF($G353="","",$G353*$S$365/$G$365/Cadastro!$E$33),"")</f>
        <v/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 t="s">
        <v>25</v>
      </c>
      <c r="M353" s="33" t="s">
        <v>44</v>
      </c>
      <c r="N353" s="33" t="s">
        <v>61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277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34</v>
      </c>
      <c r="D354" s="62" t="s">
        <v>35</v>
      </c>
      <c r="E354" s="109"/>
      <c r="F354" s="134">
        <f>IFERROR(IF($D354="","",VLOOKUP($D354,Cadastro!$C$4:$E$7,3,FALSE)),"")</f>
        <v>0.24</v>
      </c>
      <c r="G354" s="105"/>
      <c r="H354" s="134" t="str">
        <f>IFERROR(IF($G354="","",$G354*$S$365/$G$365/Cadastro!$E$33),"")</f>
        <v/>
      </c>
      <c r="I354" s="135">
        <f>IFERROR(IF($D354="","",VLOOKUP($D354,Cadastro!$C$4:$G$7,5,FALSE)),"")</f>
        <v>0.6</v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34</v>
      </c>
      <c r="D356" s="62" t="s">
        <v>35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34</v>
      </c>
      <c r="D357" s="62" t="s">
        <v>35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34</v>
      </c>
      <c r="D358" s="62" t="s">
        <v>35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34</v>
      </c>
      <c r="D359" s="62" t="s">
        <v>35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34</v>
      </c>
      <c r="D360" s="62" t="s">
        <v>35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34</v>
      </c>
      <c r="D361" s="62" t="s">
        <v>35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34</v>
      </c>
      <c r="D362" s="62" t="s">
        <v>35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34</v>
      </c>
      <c r="D363" s="62" t="s">
        <v>35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34</v>
      </c>
      <c r="D364" s="62" t="s">
        <v>35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1.5277777777777779E-2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1.5277777777777779E-2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N353" sqref="N35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4.9184640000000002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1.8444240000000001</v>
      </c>
      <c r="K340" s="28">
        <f t="shared" si="77"/>
        <v>12.600000000000001</v>
      </c>
      <c r="L340" s="26" t="s">
        <v>22</v>
      </c>
      <c r="M340" s="26" t="s">
        <v>140</v>
      </c>
      <c r="N340" s="26" t="s">
        <v>54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4.9184640000000002</v>
      </c>
      <c r="K341" s="34">
        <f t="shared" si="77"/>
        <v>33.6</v>
      </c>
      <c r="L341" s="33" t="s">
        <v>22</v>
      </c>
      <c r="M341" s="33" t="s">
        <v>140</v>
      </c>
      <c r="N341" s="33" t="s">
        <v>54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2.4592320000000001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1.229616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3.6888480000000001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1.8444240000000001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2.4592320000000001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5.5332720000000002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3.0740400000000001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2.4592320000000001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2.4592320000000001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36.888480000000001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242</v>
      </c>
      <c r="S351" s="39">
        <v>256170</v>
      </c>
      <c r="T351" s="119">
        <f>IFERROR(J351,"")</f>
        <v>36.888480000000001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92.661119999999983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246</v>
      </c>
      <c r="S352" s="48">
        <f>IFERROR(S338+S351,"")</f>
        <v>643480</v>
      </c>
      <c r="T352" s="121">
        <f>IFERROR(J352,"")</f>
        <v>92.661119999999983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/>
      <c r="F353" s="140">
        <f>IFERROR(IF($D353="","",VLOOKUP($D353,Cadastro!$C$4:$E$7,3,FALSE)),"")</f>
        <v>0.24</v>
      </c>
      <c r="G353" s="105"/>
      <c r="H353" s="140" t="str">
        <f>IFERROR(IF($G353="","",$G353*$S$365/$G$365/Cadastro!$E$33),"")</f>
        <v/>
      </c>
      <c r="I353" s="141">
        <f>IFERROR(IF($D353="","",VLOOKUP($D353,Cadastro!$C$4:$G$7,5,FALSE)),"")</f>
        <v>0.6</v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 t="s">
        <v>25</v>
      </c>
      <c r="M353" s="33" t="s">
        <v>52</v>
      </c>
      <c r="N353" s="33" t="s">
        <v>67</v>
      </c>
      <c r="O353" s="29">
        <v>0.3</v>
      </c>
      <c r="P353" s="29"/>
      <c r="Q353" s="35">
        <f t="shared" ref="Q353:Q364" ca="1" si="82">IFERROR(IF(O353="","",IF(P353="",MOD(NOW()-O353,1),IF(P353&gt;=O353,P353-O353,P353+1-O353))),"")</f>
        <v>1.4950231481634546E-2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34</v>
      </c>
      <c r="D354" s="62" t="s">
        <v>35</v>
      </c>
      <c r="E354" s="109"/>
      <c r="F354" s="134">
        <f>IFERROR(IF($D354="","",VLOOKUP($D354,Cadastro!$C$4:$E$7,3,FALSE)),"")</f>
        <v>0.24</v>
      </c>
      <c r="G354" s="105"/>
      <c r="H354" s="134" t="str">
        <f>IFERROR(IF($G354="","",$G354*$S$365/$G$365/Cadastro!$E$33),"")</f>
        <v/>
      </c>
      <c r="I354" s="135">
        <f>IFERROR(IF($D354="","",VLOOKUP($D354,Cadastro!$C$4:$G$7,5,FALSE)),"")</f>
        <v>0.6</v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34</v>
      </c>
      <c r="D356" s="62" t="s">
        <v>35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34</v>
      </c>
      <c r="D357" s="62" t="s">
        <v>35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34</v>
      </c>
      <c r="D358" s="62" t="s">
        <v>35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34</v>
      </c>
      <c r="D359" s="62" t="s">
        <v>35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34</v>
      </c>
      <c r="D360" s="62" t="s">
        <v>35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34</v>
      </c>
      <c r="D361" s="62" t="s">
        <v>35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34</v>
      </c>
      <c r="D362" s="62" t="s">
        <v>35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34</v>
      </c>
      <c r="D363" s="62" t="s">
        <v>35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34</v>
      </c>
      <c r="D364" s="62" t="s">
        <v>35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1.4950231481634546E-2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1.4950231481634546E-2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48" activePane="bottomLeft" state="frozen"/>
      <selection pane="bottomLeft" activeCell="N353" sqref="N35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241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241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19.287432911392404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10.286630886075949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20.573261772151898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7.7149731645569615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9.6437164556962021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17.358689620253163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15.429946329113923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12.215374177215187</v>
      </c>
      <c r="K346" s="28">
        <f t="shared" si="79"/>
        <v>79.8</v>
      </c>
      <c r="L346" s="26" t="s">
        <v>24</v>
      </c>
      <c r="M346" s="26" t="s">
        <v>168</v>
      </c>
      <c r="N346" s="26" t="s">
        <v>32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16.072860759493672</v>
      </c>
      <c r="K347" s="34">
        <f t="shared" si="79"/>
        <v>105</v>
      </c>
      <c r="L347" s="33" t="s">
        <v>25</v>
      </c>
      <c r="M347" s="33" t="s">
        <v>62</v>
      </c>
      <c r="N347" s="33" t="s">
        <v>61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8.3578875949367077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5.7862298734177209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9.6437164556962021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152.37071999999995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242</v>
      </c>
      <c r="S351" s="39">
        <v>1058130</v>
      </c>
      <c r="T351" s="119">
        <f>IFERROR(J351,"")</f>
        <v>152.37071999999995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326.80655999999999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246</v>
      </c>
      <c r="S352" s="48">
        <f>IFERROR(S338+S351,"")</f>
        <v>2269490</v>
      </c>
      <c r="T352" s="121">
        <f>IFERROR(J352,"")</f>
        <v>326.80655999999999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/>
      <c r="F353" s="140">
        <f>IFERROR(IF($D353="","",VLOOKUP($D353,Cadastro!$C$4:$E$7,3,FALSE)),"")</f>
        <v>0.24</v>
      </c>
      <c r="G353" s="105"/>
      <c r="H353" s="140" t="str">
        <f>IFERROR(IF($G353="","",$G353*$S$365/$G$365/Cadastro!$E$33),"")</f>
        <v/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 t="s">
        <v>23</v>
      </c>
      <c r="M353" s="33"/>
      <c r="N353" s="33" t="s">
        <v>99</v>
      </c>
      <c r="O353" s="29">
        <v>0.31458333333333333</v>
      </c>
      <c r="P353" s="29"/>
      <c r="Q353" s="35">
        <f t="shared" ref="Q353:Q364" ca="1" si="84">IFERROR(IF(O353="","",IF(P353="",MOD(NOW()-O353,1),IF(P353&gt;=O353,P353-O353,P353+1-O353))),"")</f>
        <v>3.6689815169665962E-4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34</v>
      </c>
      <c r="D354" s="62" t="s">
        <v>35</v>
      </c>
      <c r="E354" s="109"/>
      <c r="F354" s="134">
        <f>IFERROR(IF($D354="","",VLOOKUP($D354,Cadastro!$C$4:$E$7,3,FALSE)),"")</f>
        <v>0.24</v>
      </c>
      <c r="G354" s="105"/>
      <c r="H354" s="134" t="str">
        <f>IFERROR(IF($G354="","",$G354*$S$365/$G$365/Cadastro!$E$33),"")</f>
        <v/>
      </c>
      <c r="I354" s="135">
        <f>IFERROR(IF($D354="","",VLOOKUP($D354,Cadastro!$C$4:$G$7,5,FALSE)),"")</f>
        <v>0.6</v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34</v>
      </c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34</v>
      </c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34</v>
      </c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34</v>
      </c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34</v>
      </c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34</v>
      </c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34</v>
      </c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34</v>
      </c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34</v>
      </c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3.6689815169665962E-4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3.6689815169665962E-4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2026-08-14T11:33:47Z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