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658" documentId="8_{AF585B22-221D-4780-BB9C-493D365A6A02}" xr6:coauthVersionLast="47" xr6:coauthVersionMax="47" xr10:uidLastSave="{1022AFC0-904E-4982-97B9-7897E20AB475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<sst xmlns="http://schemas.openxmlformats.org/spreadsheetml/2006/main" count="11568" uniqueCount="423">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</sst>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85781028</v>
      </c>
      <c r="D35" s="13">
        <f>IFERROR(SUM(D4:D34),"")</f>
        <v>34599800</v>
      </c>
      <c r="E35" s="13">
        <f>IFERROR(SUM(E4:E34),"")</f>
        <v>19704660</v>
      </c>
      <c r="F35" s="13">
        <f>IFERROR(SUM(F4:F34),"")</f>
        <v>36003260</v>
      </c>
      <c r="G35" s="13">
        <f>IFERROR(SUM(G4:G34),"")</f>
        <v>90307720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46" activePane="bottomLeft" state="frozen"/>
      <selection pane="bottomLeft" activeCell="F766" sqref="F76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222</v>
      </c>
      <c r="G770" s="36">
        <f>SUM(G758:G769)</f>
        <v>1110</v>
      </c>
      <c r="H770" s="37"/>
      <c r="I770" s="37"/>
      <c r="J770" s="37"/>
      <c r="K770" s="37"/>
      <c r="L770" s="37"/>
      <c r="M770" s="38">
        <f ca="1">IFERROR(SUM(M758:M769),"")</f>
        <v>3.125E-2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222</v>
      </c>
      <c r="G784" s="40">
        <f>G770+G783</f>
        <v>1110</v>
      </c>
      <c r="H784" s="41"/>
      <c r="I784" s="41"/>
      <c r="J784" s="41"/>
      <c r="K784" s="41"/>
      <c r="L784" s="41"/>
      <c r="M784" s="42">
        <f ca="1">IFERROR(M770+M783,"")</f>
        <v>3.125E-2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57" activePane="bottomLeft" state="frozen"/>
      <selection pane="bottomLeft" activeCell="L763" sqref="L76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0.41401249999762513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0.57165138888651401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0.68137361110873618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0.39248472222243436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0.56331805555576775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0.70845694444465668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323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324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326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327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328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330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331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332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333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335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336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96</v>
      </c>
      <c r="G770" s="36">
        <f>SUM(G758:G769)</f>
        <v>411.2</v>
      </c>
      <c r="H770" s="37"/>
      <c r="I770" s="37"/>
      <c r="J770" s="37"/>
      <c r="K770" s="37"/>
      <c r="L770" s="37"/>
      <c r="M770" s="38">
        <f ca="1">IFERROR(SUM(M758:M769),"")</f>
        <v>6.805555555555548E-2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96</v>
      </c>
      <c r="G784" s="40">
        <f>G770+G783</f>
        <v>411.2</v>
      </c>
      <c r="H784" s="41"/>
      <c r="I784" s="41"/>
      <c r="J784" s="41"/>
      <c r="K784" s="41"/>
      <c r="L784" s="41"/>
      <c r="M784" s="42">
        <f ca="1">IFERROR(M770+M783,"")</f>
        <v>6.805555555555548E-2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4" zoomScale="50" zoomScaleNormal="50" workbookViewId="0">
      <selection activeCell="L766" sqref="L76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338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340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341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286</v>
      </c>
      <c r="K141" s="29">
        <v>0.71597222222222223</v>
      </c>
      <c r="L141" s="29" t="s">
        <v>343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345</v>
      </c>
      <c r="N166" s="27" t="s">
        <v>346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347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348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349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351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353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355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357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358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359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360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362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363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325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366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323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367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368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369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31</v>
      </c>
      <c r="G770" s="36">
        <f>SUM(G758:G769)</f>
        <v>134.19999999999999</v>
      </c>
      <c r="H770" s="37"/>
      <c r="I770" s="37"/>
      <c r="J770" s="37"/>
      <c r="K770" s="37"/>
      <c r="L770" s="37"/>
      <c r="M770" s="38">
        <f ca="1">IFERROR(SUM(M758:M769),"")</f>
        <v>8.4722222222222254E-2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31</v>
      </c>
      <c r="G784" s="40">
        <f>G770+G783</f>
        <v>134.19999999999999</v>
      </c>
      <c r="H784" s="41"/>
      <c r="I784" s="41"/>
      <c r="J784" s="41"/>
      <c r="K784" s="41"/>
      <c r="L784" s="41"/>
      <c r="M784" s="42">
        <f ca="1">IFERROR(M770+M783,"")</f>
        <v>8.4722222222222254E-2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09" activePane="bottomLeft" state="frozen"/>
      <selection pane="bottomLeft" activeCell="F759" sqref="F75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374</v>
      </c>
      <c r="L58" s="29">
        <v>0.54097222222222219</v>
      </c>
      <c r="M58" s="30" t="str">
        <f t="shared" ca="1" si="13"/>
        <v/>
      </c>
      <c r="N58" s="27" t="s">
        <v>375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0.40429027778009186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0.60359583333564748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0.97095694444675851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281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323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/>
      <c r="M758" s="30">
        <f t="shared" ref="M758:M769" ca="1" si="169">IFERROR(IF(K758="","",IF(L758="",MOD(NOW()-K758,1),IF(L758&gt;=K758,L758-K758,L758+1-K758))),"")</f>
        <v>0.36192916666914243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0.36192916666914243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0.36192916666914243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2026-07-29T19:43:11Z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