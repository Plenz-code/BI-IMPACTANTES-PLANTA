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21" documentId="13_ncr:1_{0A10D8D4-8450-4366-8075-B53B08E6B7EA}" xr6:coauthVersionLast="47" xr6:coauthVersionMax="47" xr10:uidLastSave="{E22A6ACF-2DC6-40F4-97E1-511C9C4DE726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0" i="6" l="1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<sst xmlns="http://schemas.openxmlformats.org/spreadsheetml/2006/main" count="6547" uniqueCount="348">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</sst>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D396" sqref="D39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200</v>
      </c>
      <c r="G378" s="36">
        <f>SUM(G366:G377)</f>
        <v>1000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600</v>
      </c>
      <c r="G379" s="40">
        <f>G365+G378</f>
        <v>2966.4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2" sqref="G37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0.95568842592183501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1.0945773148107238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1.1792995370329462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83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348.6</v>
      </c>
      <c r="L378" s="37"/>
      <c r="M378" s="37"/>
      <c r="N378" s="37"/>
      <c r="O378" s="37"/>
      <c r="P378" s="37"/>
      <c r="Q378" s="38">
        <f ca="1">IFERROR(SUM(Q366:Q377),"")</f>
        <v>7.5694444444444592E-2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191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802.2</v>
      </c>
      <c r="L379" s="41"/>
      <c r="M379" s="41"/>
      <c r="N379" s="41"/>
      <c r="O379" s="41"/>
      <c r="P379" s="41"/>
      <c r="Q379" s="42">
        <f ca="1">IFERROR(Q365+Q378,"")</f>
        <v>0.15902777777777785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2" sqref="G37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109.2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116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487.2000000000001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N371" sqref="N37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/>
      <c r="Q371" s="35">
        <f t="shared" ca="1" si="88"/>
        <v>8.2731481234077364E-4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128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537.59999999999991</v>
      </c>
      <c r="L378" s="37"/>
      <c r="M378" s="37"/>
      <c r="N378" s="37"/>
      <c r="O378" s="61"/>
      <c r="P378" s="61"/>
      <c r="Q378" s="38">
        <f ca="1">IFERROR(SUM(Q366:Q377),"")</f>
        <v>5.8466203701229694E-2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324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1360.8</v>
      </c>
      <c r="L379" s="41"/>
      <c r="M379" s="41"/>
      <c r="N379" s="41"/>
      <c r="O379" s="63"/>
      <c r="P379" s="63"/>
      <c r="Q379" s="42">
        <f ca="1">IFERROR(Q365+Q378,"")</f>
        <v>0.17652175925678537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2026-08-15T05:51:17Z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