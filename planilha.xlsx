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53" documentId="8_{C51EB6CB-002B-4D6B-B68F-DDEBDB4460C0}" xr6:coauthVersionLast="47" xr6:coauthVersionMax="47" xr10:uidLastSave="{02F35406-47D8-4640-8CE0-CFEFF6729906}"/>
  <bookViews>
    <workbookView xWindow="-108" yWindow="-108" windowWidth="23256" windowHeight="12456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6" i="5" l="1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E55" i="6" s="1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E41" i="6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G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E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G41" i="5"/>
  <c r="G55" i="5" s="1"/>
  <c r="F41" i="5"/>
  <c r="F55" i="5" s="1"/>
  <c r="E41" i="5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O28" i="5"/>
  <c r="F27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E55" i="3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M40" i="3"/>
  <c r="G40" i="3"/>
  <c r="M39" i="3"/>
  <c r="G39" i="3"/>
  <c r="M38" i="3"/>
  <c r="G38" i="3"/>
  <c r="B38" i="3"/>
  <c r="B39" i="3" s="1"/>
  <c r="B40" i="3" s="1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D34" i="1"/>
  <c r="G34" i="1" s="1"/>
  <c r="C34" i="1"/>
  <c r="F33" i="1"/>
  <c r="E33" i="1"/>
  <c r="G33" i="1" s="1"/>
  <c r="C33" i="1"/>
  <c r="F32" i="1"/>
  <c r="E32" i="1"/>
  <c r="D32" i="1"/>
  <c r="E31" i="1"/>
  <c r="D31" i="1"/>
  <c r="G31" i="1" s="1"/>
  <c r="F30" i="1"/>
  <c r="C30" i="1"/>
  <c r="F29" i="1"/>
  <c r="C29" i="1"/>
  <c r="F28" i="1"/>
  <c r="E28" i="1"/>
  <c r="G28" i="1" s="1"/>
  <c r="C28" i="1"/>
  <c r="F27" i="1"/>
  <c r="G27" i="1" s="1"/>
  <c r="E27" i="1"/>
  <c r="F26" i="1"/>
  <c r="E26" i="1"/>
  <c r="C26" i="1"/>
  <c r="F25" i="1"/>
  <c r="C25" i="1"/>
  <c r="F24" i="1"/>
  <c r="E24" i="1"/>
  <c r="D24" i="1"/>
  <c r="G24" i="1" s="1"/>
  <c r="F23" i="1"/>
  <c r="E23" i="1"/>
  <c r="D23" i="1"/>
  <c r="G23" i="1" s="1"/>
  <c r="C23" i="1"/>
  <c r="F22" i="1"/>
  <c r="D22" i="1"/>
  <c r="F21" i="1"/>
  <c r="E21" i="1"/>
  <c r="F20" i="1"/>
  <c r="E20" i="1"/>
  <c r="D20" i="1"/>
  <c r="G20" i="1" s="1"/>
  <c r="C20" i="1"/>
  <c r="F19" i="1"/>
  <c r="F18" i="1"/>
  <c r="F17" i="1"/>
  <c r="E17" i="1"/>
  <c r="D17" i="1"/>
  <c r="G17" i="1" s="1"/>
  <c r="C17" i="1"/>
  <c r="E16" i="1"/>
  <c r="C16" i="1"/>
  <c r="F15" i="1"/>
  <c r="E15" i="1"/>
  <c r="D15" i="1"/>
  <c r="G15" i="1" s="1"/>
  <c r="F14" i="1"/>
  <c r="E14" i="1"/>
  <c r="D14" i="1"/>
  <c r="G14" i="1" s="1"/>
  <c r="E12" i="1"/>
  <c r="D12" i="1"/>
  <c r="C12" i="1"/>
  <c r="F11" i="1"/>
  <c r="C11" i="1"/>
  <c r="F10" i="1"/>
  <c r="C10" i="1"/>
  <c r="E9" i="1"/>
  <c r="D9" i="1"/>
  <c r="G9" i="1" s="1"/>
  <c r="C9" i="1"/>
  <c r="F8" i="1"/>
  <c r="E8" i="1"/>
  <c r="F7" i="1"/>
  <c r="E7" i="1"/>
  <c r="D7" i="1"/>
  <c r="G7" i="1" s="1"/>
  <c r="F6" i="1"/>
  <c r="G6" i="1" s="1"/>
  <c r="F5" i="1"/>
  <c r="E5" i="1"/>
  <c r="E4" i="1"/>
  <c r="C4" i="1"/>
  <c r="O838" i="4"/>
  <c r="F838" i="4"/>
  <c r="E838" i="4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B831" i="4"/>
  <c r="B832" i="4" s="1"/>
  <c r="B833" i="4" s="1"/>
  <c r="B834" i="4" s="1"/>
  <c r="B835" i="4" s="1"/>
  <c r="B836" i="4" s="1"/>
  <c r="M830" i="4"/>
  <c r="G830" i="4"/>
  <c r="B830" i="4"/>
  <c r="M829" i="4"/>
  <c r="G829" i="4"/>
  <c r="B829" i="4"/>
  <c r="M828" i="4"/>
  <c r="G828" i="4"/>
  <c r="M827" i="4"/>
  <c r="G827" i="4"/>
  <c r="M826" i="4"/>
  <c r="G826" i="4"/>
  <c r="B826" i="4"/>
  <c r="B827" i="4" s="1"/>
  <c r="B828" i="4" s="1"/>
  <c r="M825" i="4"/>
  <c r="G825" i="4"/>
  <c r="F824" i="4"/>
  <c r="E824" i="4"/>
  <c r="M823" i="4"/>
  <c r="G823" i="4"/>
  <c r="M822" i="4"/>
  <c r="G822" i="4"/>
  <c r="B822" i="4"/>
  <c r="B823" i="4" s="1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B814" i="4"/>
  <c r="B815" i="4" s="1"/>
  <c r="B816" i="4" s="1"/>
  <c r="B817" i="4" s="1"/>
  <c r="B818" i="4" s="1"/>
  <c r="B819" i="4" s="1"/>
  <c r="B820" i="4" s="1"/>
  <c r="B821" i="4" s="1"/>
  <c r="M813" i="4"/>
  <c r="G813" i="4"/>
  <c r="B813" i="4"/>
  <c r="M812" i="4"/>
  <c r="G812" i="4"/>
  <c r="O811" i="4"/>
  <c r="D33" i="1" s="1"/>
  <c r="F810" i="4"/>
  <c r="F811" i="4" s="1"/>
  <c r="E810" i="4"/>
  <c r="E811" i="4" s="1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B788" i="4"/>
  <c r="B789" i="4" s="1"/>
  <c r="B790" i="4" s="1"/>
  <c r="B791" i="4" s="1"/>
  <c r="B792" i="4" s="1"/>
  <c r="B793" i="4" s="1"/>
  <c r="B794" i="4" s="1"/>
  <c r="B795" i="4" s="1"/>
  <c r="B796" i="4" s="1"/>
  <c r="M787" i="4"/>
  <c r="M786" i="4"/>
  <c r="B786" i="4"/>
  <c r="B787" i="4" s="1"/>
  <c r="M785" i="4"/>
  <c r="O784" i="4"/>
  <c r="F783" i="4"/>
  <c r="E783" i="4"/>
  <c r="M782" i="4"/>
  <c r="G782" i="4"/>
  <c r="M781" i="4"/>
  <c r="G781" i="4"/>
  <c r="M780" i="4"/>
  <c r="G780" i="4"/>
  <c r="B780" i="4"/>
  <c r="B781" i="4" s="1"/>
  <c r="B782" i="4" s="1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B760" i="4"/>
  <c r="B761" i="4" s="1"/>
  <c r="B762" i="4" s="1"/>
  <c r="B763" i="4" s="1"/>
  <c r="B764" i="4" s="1"/>
  <c r="B765" i="4" s="1"/>
  <c r="B766" i="4" s="1"/>
  <c r="B767" i="4" s="1"/>
  <c r="B768" i="4" s="1"/>
  <c r="B769" i="4" s="1"/>
  <c r="M759" i="4"/>
  <c r="G759" i="4"/>
  <c r="B759" i="4"/>
  <c r="M758" i="4"/>
  <c r="G758" i="4"/>
  <c r="O757" i="4"/>
  <c r="F756" i="4"/>
  <c r="E756" i="4"/>
  <c r="E757" i="4" s="1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B747" i="4"/>
  <c r="B748" i="4" s="1"/>
  <c r="B749" i="4" s="1"/>
  <c r="B750" i="4" s="1"/>
  <c r="B751" i="4" s="1"/>
  <c r="B752" i="4" s="1"/>
  <c r="B753" i="4" s="1"/>
  <c r="B754" i="4" s="1"/>
  <c r="B755" i="4" s="1"/>
  <c r="M746" i="4"/>
  <c r="G746" i="4"/>
  <c r="B746" i="4"/>
  <c r="M745" i="4"/>
  <c r="G745" i="4"/>
  <c r="B745" i="4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B739" i="4"/>
  <c r="B740" i="4" s="1"/>
  <c r="B741" i="4" s="1"/>
  <c r="B742" i="4" s="1"/>
  <c r="M738" i="4"/>
  <c r="G738" i="4"/>
  <c r="M737" i="4"/>
  <c r="G737" i="4"/>
  <c r="M736" i="4"/>
  <c r="G736" i="4"/>
  <c r="M735" i="4"/>
  <c r="G735" i="4"/>
  <c r="B735" i="4"/>
  <c r="B736" i="4" s="1"/>
  <c r="B737" i="4" s="1"/>
  <c r="B738" i="4" s="1"/>
  <c r="M734" i="4"/>
  <c r="G734" i="4"/>
  <c r="M733" i="4"/>
  <c r="G733" i="4"/>
  <c r="M732" i="4"/>
  <c r="G732" i="4"/>
  <c r="B732" i="4"/>
  <c r="B733" i="4" s="1"/>
  <c r="B734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B721" i="4"/>
  <c r="B722" i="4" s="1"/>
  <c r="B723" i="4" s="1"/>
  <c r="B724" i="4" s="1"/>
  <c r="B725" i="4" s="1"/>
  <c r="B726" i="4" s="1"/>
  <c r="B727" i="4" s="1"/>
  <c r="B728" i="4" s="1"/>
  <c r="M720" i="4"/>
  <c r="G720" i="4"/>
  <c r="M719" i="4"/>
  <c r="G719" i="4"/>
  <c r="B719" i="4"/>
  <c r="B720" i="4" s="1"/>
  <c r="M718" i="4"/>
  <c r="G718" i="4"/>
  <c r="B718" i="4"/>
  <c r="M717" i="4"/>
  <c r="G717" i="4"/>
  <c r="F716" i="4"/>
  <c r="E716" i="4"/>
  <c r="M715" i="4"/>
  <c r="G715" i="4"/>
  <c r="M714" i="4"/>
  <c r="G714" i="4"/>
  <c r="M713" i="4"/>
  <c r="G713" i="4"/>
  <c r="M712" i="4"/>
  <c r="G712" i="4"/>
  <c r="B712" i="4"/>
  <c r="B713" i="4" s="1"/>
  <c r="B714" i="4" s="1"/>
  <c r="B715" i="4" s="1"/>
  <c r="M711" i="4"/>
  <c r="G711" i="4"/>
  <c r="M710" i="4"/>
  <c r="G710" i="4"/>
  <c r="M709" i="4"/>
  <c r="G709" i="4"/>
  <c r="M708" i="4"/>
  <c r="G708" i="4"/>
  <c r="M707" i="4"/>
  <c r="G707" i="4"/>
  <c r="M706" i="4"/>
  <c r="G706" i="4"/>
  <c r="B706" i="4"/>
  <c r="B707" i="4" s="1"/>
  <c r="B708" i="4" s="1"/>
  <c r="B709" i="4" s="1"/>
  <c r="B710" i="4" s="1"/>
  <c r="B711" i="4" s="1"/>
  <c r="M705" i="4"/>
  <c r="G705" i="4"/>
  <c r="G716" i="4" s="1"/>
  <c r="B705" i="4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B696" i="4"/>
  <c r="B697" i="4" s="1"/>
  <c r="B698" i="4" s="1"/>
  <c r="B699" i="4" s="1"/>
  <c r="B700" i="4" s="1"/>
  <c r="B701" i="4" s="1"/>
  <c r="M695" i="4"/>
  <c r="G695" i="4"/>
  <c r="B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B680" i="4"/>
  <c r="B681" i="4" s="1"/>
  <c r="B682" i="4" s="1"/>
  <c r="B683" i="4" s="1"/>
  <c r="B684" i="4" s="1"/>
  <c r="B685" i="4" s="1"/>
  <c r="B686" i="4" s="1"/>
  <c r="B687" i="4" s="1"/>
  <c r="B688" i="4" s="1"/>
  <c r="M679" i="4"/>
  <c r="G679" i="4"/>
  <c r="G689" i="4" s="1"/>
  <c r="M678" i="4"/>
  <c r="G678" i="4"/>
  <c r="B678" i="4"/>
  <c r="B679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B670" i="4"/>
  <c r="B671" i="4" s="1"/>
  <c r="B672" i="4" s="1"/>
  <c r="B673" i="4" s="1"/>
  <c r="B674" i="4" s="1"/>
  <c r="M669" i="4"/>
  <c r="G669" i="4"/>
  <c r="M668" i="4"/>
  <c r="G668" i="4"/>
  <c r="M667" i="4"/>
  <c r="G667" i="4"/>
  <c r="M666" i="4"/>
  <c r="G666" i="4"/>
  <c r="B666" i="4"/>
  <c r="B667" i="4" s="1"/>
  <c r="B668" i="4" s="1"/>
  <c r="B669" i="4" s="1"/>
  <c r="M665" i="4"/>
  <c r="G665" i="4"/>
  <c r="M664" i="4"/>
  <c r="G664" i="4"/>
  <c r="B664" i="4"/>
  <c r="B665" i="4" s="1"/>
  <c r="M663" i="4"/>
  <c r="G663" i="4"/>
  <c r="G662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B655" i="4"/>
  <c r="B656" i="4" s="1"/>
  <c r="B657" i="4" s="1"/>
  <c r="B658" i="4" s="1"/>
  <c r="B659" i="4" s="1"/>
  <c r="B660" i="4" s="1"/>
  <c r="B661" i="4" s="1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M650" i="4"/>
  <c r="G650" i="4"/>
  <c r="O649" i="4"/>
  <c r="D27" i="1" s="1"/>
  <c r="F649" i="4"/>
  <c r="E649" i="4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B641" i="4"/>
  <c r="B642" i="4" s="1"/>
  <c r="B643" i="4" s="1"/>
  <c r="B644" i="4" s="1"/>
  <c r="B645" i="4" s="1"/>
  <c r="B646" i="4" s="1"/>
  <c r="B647" i="4" s="1"/>
  <c r="M640" i="4"/>
  <c r="G640" i="4"/>
  <c r="M639" i="4"/>
  <c r="G639" i="4"/>
  <c r="B639" i="4"/>
  <c r="B640" i="4" s="1"/>
  <c r="M638" i="4"/>
  <c r="G638" i="4"/>
  <c r="M637" i="4"/>
  <c r="G637" i="4"/>
  <c r="B637" i="4"/>
  <c r="B638" i="4" s="1"/>
  <c r="M636" i="4"/>
  <c r="G636" i="4"/>
  <c r="F635" i="4"/>
  <c r="E635" i="4"/>
  <c r="M634" i="4"/>
  <c r="G634" i="4"/>
  <c r="M633" i="4"/>
  <c r="G633" i="4"/>
  <c r="B633" i="4"/>
  <c r="B634" i="4" s="1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B613" i="4"/>
  <c r="B614" i="4" s="1"/>
  <c r="B615" i="4" s="1"/>
  <c r="B616" i="4" s="1"/>
  <c r="B617" i="4" s="1"/>
  <c r="B618" i="4" s="1"/>
  <c r="B619" i="4" s="1"/>
  <c r="B620" i="4" s="1"/>
  <c r="M612" i="4"/>
  <c r="G612" i="4"/>
  <c r="M611" i="4"/>
  <c r="G611" i="4"/>
  <c r="M610" i="4"/>
  <c r="G610" i="4"/>
  <c r="B610" i="4"/>
  <c r="B611" i="4" s="1"/>
  <c r="B612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B604" i="4"/>
  <c r="B605" i="4" s="1"/>
  <c r="B606" i="4" s="1"/>
  <c r="B607" i="4" s="1"/>
  <c r="M603" i="4"/>
  <c r="G603" i="4"/>
  <c r="M602" i="4"/>
  <c r="G602" i="4"/>
  <c r="M601" i="4"/>
  <c r="G601" i="4"/>
  <c r="M600" i="4"/>
  <c r="G600" i="4"/>
  <c r="M599" i="4"/>
  <c r="G599" i="4"/>
  <c r="B599" i="4"/>
  <c r="B600" i="4" s="1"/>
  <c r="B601" i="4" s="1"/>
  <c r="B602" i="4" s="1"/>
  <c r="B603" i="4" s="1"/>
  <c r="M598" i="4"/>
  <c r="G598" i="4"/>
  <c r="B598" i="4"/>
  <c r="M597" i="4"/>
  <c r="G597" i="4"/>
  <c r="B597" i="4"/>
  <c r="M596" i="4"/>
  <c r="G596" i="4"/>
  <c r="O595" i="4"/>
  <c r="D25" i="1" s="1"/>
  <c r="F594" i="4"/>
  <c r="F595" i="4" s="1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B584" i="4"/>
  <c r="B585" i="4" s="1"/>
  <c r="B586" i="4" s="1"/>
  <c r="B587" i="4" s="1"/>
  <c r="B588" i="4" s="1"/>
  <c r="B589" i="4" s="1"/>
  <c r="B590" i="4" s="1"/>
  <c r="B591" i="4" s="1"/>
  <c r="B592" i="4" s="1"/>
  <c r="B593" i="4" s="1"/>
  <c r="M583" i="4"/>
  <c r="G583" i="4"/>
  <c r="B583" i="4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B576" i="4"/>
  <c r="B577" i="4" s="1"/>
  <c r="B578" i="4" s="1"/>
  <c r="B579" i="4" s="1"/>
  <c r="B580" i="4" s="1"/>
  <c r="M575" i="4"/>
  <c r="G575" i="4"/>
  <c r="M574" i="4"/>
  <c r="G574" i="4"/>
  <c r="M573" i="4"/>
  <c r="G573" i="4"/>
  <c r="M572" i="4"/>
  <c r="G572" i="4"/>
  <c r="M571" i="4"/>
  <c r="G571" i="4"/>
  <c r="B571" i="4"/>
  <c r="B572" i="4" s="1"/>
  <c r="B573" i="4" s="1"/>
  <c r="B574" i="4" s="1"/>
  <c r="B575" i="4" s="1"/>
  <c r="M570" i="4"/>
  <c r="G570" i="4"/>
  <c r="B570" i="4"/>
  <c r="M569" i="4"/>
  <c r="G569" i="4"/>
  <c r="O568" i="4"/>
  <c r="F568" i="4"/>
  <c r="E568" i="4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E554" i="4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B534" i="4"/>
  <c r="B535" i="4" s="1"/>
  <c r="B536" i="4" s="1"/>
  <c r="B537" i="4" s="1"/>
  <c r="B538" i="4" s="1"/>
  <c r="B539" i="4" s="1"/>
  <c r="M533" i="4"/>
  <c r="G533" i="4"/>
  <c r="B533" i="4"/>
  <c r="M532" i="4"/>
  <c r="G532" i="4"/>
  <c r="M531" i="4"/>
  <c r="G531" i="4"/>
  <c r="M530" i="4"/>
  <c r="G530" i="4"/>
  <c r="B530" i="4"/>
  <c r="B531" i="4" s="1"/>
  <c r="B532" i="4" s="1"/>
  <c r="M529" i="4"/>
  <c r="G529" i="4"/>
  <c r="B529" i="4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G527" i="4" s="1"/>
  <c r="B517" i="4"/>
  <c r="B518" i="4" s="1"/>
  <c r="B519" i="4" s="1"/>
  <c r="B520" i="4" s="1"/>
  <c r="B521" i="4" s="1"/>
  <c r="B522" i="4" s="1"/>
  <c r="B523" i="4" s="1"/>
  <c r="B524" i="4" s="1"/>
  <c r="B525" i="4" s="1"/>
  <c r="B526" i="4" s="1"/>
  <c r="M516" i="4"/>
  <c r="G516" i="4"/>
  <c r="B516" i="4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B504" i="4"/>
  <c r="B505" i="4" s="1"/>
  <c r="B506" i="4" s="1"/>
  <c r="B507" i="4" s="1"/>
  <c r="B508" i="4" s="1"/>
  <c r="B509" i="4" s="1"/>
  <c r="B510" i="4" s="1"/>
  <c r="B511" i="4" s="1"/>
  <c r="B512" i="4" s="1"/>
  <c r="M503" i="4"/>
  <c r="G503" i="4"/>
  <c r="M502" i="4"/>
  <c r="G502" i="4"/>
  <c r="B502" i="4"/>
  <c r="B503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B495" i="4"/>
  <c r="B496" i="4" s="1"/>
  <c r="B497" i="4" s="1"/>
  <c r="B498" i="4" s="1"/>
  <c r="B499" i="4" s="1"/>
  <c r="M494" i="4"/>
  <c r="G494" i="4"/>
  <c r="M493" i="4"/>
  <c r="G493" i="4"/>
  <c r="B493" i="4"/>
  <c r="B494" i="4" s="1"/>
  <c r="M492" i="4"/>
  <c r="G492" i="4"/>
  <c r="M491" i="4"/>
  <c r="G491" i="4"/>
  <c r="M490" i="4"/>
  <c r="G490" i="4"/>
  <c r="B490" i="4"/>
  <c r="B491" i="4" s="1"/>
  <c r="B492" i="4" s="1"/>
  <c r="M489" i="4"/>
  <c r="G489" i="4"/>
  <c r="B489" i="4"/>
  <c r="M488" i="4"/>
  <c r="G488" i="4"/>
  <c r="O487" i="4"/>
  <c r="D21" i="1" s="1"/>
  <c r="G21" i="1" s="1"/>
  <c r="F487" i="4"/>
  <c r="F486" i="4"/>
  <c r="E486" i="4"/>
  <c r="E487" i="4" s="1"/>
  <c r="M485" i="4"/>
  <c r="G485" i="4"/>
  <c r="M484" i="4"/>
  <c r="G484" i="4"/>
  <c r="M483" i="4"/>
  <c r="G483" i="4"/>
  <c r="M482" i="4"/>
  <c r="G482" i="4"/>
  <c r="M481" i="4"/>
  <c r="G481" i="4"/>
  <c r="M480" i="4"/>
  <c r="G480" i="4"/>
  <c r="B480" i="4"/>
  <c r="B481" i="4" s="1"/>
  <c r="B482" i="4" s="1"/>
  <c r="B483" i="4" s="1"/>
  <c r="B484" i="4" s="1"/>
  <c r="B485" i="4" s="1"/>
  <c r="M479" i="4"/>
  <c r="G479" i="4"/>
  <c r="M478" i="4"/>
  <c r="G478" i="4"/>
  <c r="M477" i="4"/>
  <c r="G477" i="4"/>
  <c r="G486" i="4" s="1"/>
  <c r="M476" i="4"/>
  <c r="G476" i="4"/>
  <c r="M475" i="4"/>
  <c r="G475" i="4"/>
  <c r="B475" i="4"/>
  <c r="B476" i="4" s="1"/>
  <c r="B477" i="4" s="1"/>
  <c r="B478" i="4" s="1"/>
  <c r="B479" i="4" s="1"/>
  <c r="M474" i="4"/>
  <c r="G474" i="4"/>
  <c r="F473" i="4"/>
  <c r="E473" i="4"/>
  <c r="M472" i="4"/>
  <c r="G472" i="4"/>
  <c r="M471" i="4"/>
  <c r="G471" i="4"/>
  <c r="B471" i="4"/>
  <c r="B472" i="4" s="1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M461" i="4"/>
  <c r="G461" i="4"/>
  <c r="O460" i="4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46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B438" i="4"/>
  <c r="B439" i="4" s="1"/>
  <c r="B440" i="4" s="1"/>
  <c r="B441" i="4" s="1"/>
  <c r="B442" i="4" s="1"/>
  <c r="B443" i="4" s="1"/>
  <c r="B444" i="4" s="1"/>
  <c r="B445" i="4" s="1"/>
  <c r="M437" i="4"/>
  <c r="G437" i="4"/>
  <c r="B437" i="4"/>
  <c r="M436" i="4"/>
  <c r="G436" i="4"/>
  <c r="B436" i="4"/>
  <c r="M435" i="4"/>
  <c r="G435" i="4"/>
  <c r="B435" i="4"/>
  <c r="M434" i="4"/>
  <c r="G434" i="4"/>
  <c r="O433" i="4"/>
  <c r="D19" i="1" s="1"/>
  <c r="G19" i="1" s="1"/>
  <c r="F433" i="4"/>
  <c r="F432" i="4"/>
  <c r="M431" i="4"/>
  <c r="G431" i="4"/>
  <c r="M430" i="4"/>
  <c r="G430" i="4"/>
  <c r="B430" i="4"/>
  <c r="B431" i="4" s="1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B422" i="4"/>
  <c r="B423" i="4" s="1"/>
  <c r="B424" i="4" s="1"/>
  <c r="B425" i="4" s="1"/>
  <c r="B426" i="4" s="1"/>
  <c r="B427" i="4" s="1"/>
  <c r="B428" i="4" s="1"/>
  <c r="B429" i="4" s="1"/>
  <c r="M421" i="4"/>
  <c r="G421" i="4"/>
  <c r="B421" i="4"/>
  <c r="M420" i="4"/>
  <c r="G420" i="4"/>
  <c r="F419" i="4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B400" i="4"/>
  <c r="B401" i="4" s="1"/>
  <c r="B402" i="4" s="1"/>
  <c r="B403" i="4" s="1"/>
  <c r="B404" i="4" s="1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G392" i="4" s="1"/>
  <c r="B382" i="4"/>
  <c r="B383" i="4" s="1"/>
  <c r="B384" i="4" s="1"/>
  <c r="B385" i="4" s="1"/>
  <c r="B386" i="4" s="1"/>
  <c r="B387" i="4" s="1"/>
  <c r="B388" i="4" s="1"/>
  <c r="B389" i="4" s="1"/>
  <c r="B390" i="4" s="1"/>
  <c r="B391" i="4" s="1"/>
  <c r="M381" i="4"/>
  <c r="G381" i="4"/>
  <c r="B381" i="4"/>
  <c r="M380" i="4"/>
  <c r="G380" i="4"/>
  <c r="O379" i="4"/>
  <c r="F378" i="4"/>
  <c r="E378" i="4"/>
  <c r="E379" i="4" s="1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M367" i="4"/>
  <c r="G367" i="4"/>
  <c r="B367" i="4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B358" i="4"/>
  <c r="B359" i="4" s="1"/>
  <c r="B360" i="4" s="1"/>
  <c r="B361" i="4" s="1"/>
  <c r="B362" i="4" s="1"/>
  <c r="B363" i="4" s="1"/>
  <c r="B364" i="4" s="1"/>
  <c r="M357" i="4"/>
  <c r="G357" i="4"/>
  <c r="M356" i="4"/>
  <c r="G356" i="4"/>
  <c r="B356" i="4"/>
  <c r="B357" i="4" s="1"/>
  <c r="M355" i="4"/>
  <c r="G355" i="4"/>
  <c r="M354" i="4"/>
  <c r="G354" i="4"/>
  <c r="B354" i="4"/>
  <c r="B355" i="4" s="1"/>
  <c r="M353" i="4"/>
  <c r="G353" i="4"/>
  <c r="O352" i="4"/>
  <c r="D16" i="1" s="1"/>
  <c r="G16" i="1" s="1"/>
  <c r="E352" i="4"/>
  <c r="F351" i="4"/>
  <c r="F352" i="4" s="1"/>
  <c r="E351" i="4"/>
  <c r="M350" i="4"/>
  <c r="G350" i="4"/>
  <c r="M349" i="4"/>
  <c r="G349" i="4"/>
  <c r="G351" i="4" s="1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B341" i="4"/>
  <c r="B342" i="4" s="1"/>
  <c r="B343" i="4" s="1"/>
  <c r="B344" i="4" s="1"/>
  <c r="B345" i="4" s="1"/>
  <c r="B346" i="4" s="1"/>
  <c r="B347" i="4" s="1"/>
  <c r="B348" i="4" s="1"/>
  <c r="B349" i="4" s="1"/>
  <c r="B350" i="4" s="1"/>
  <c r="M340" i="4"/>
  <c r="G340" i="4"/>
  <c r="B340" i="4"/>
  <c r="M339" i="4"/>
  <c r="G339" i="4"/>
  <c r="F338" i="4"/>
  <c r="E338" i="4"/>
  <c r="M337" i="4"/>
  <c r="G337" i="4"/>
  <c r="M336" i="4"/>
  <c r="G336" i="4"/>
  <c r="M335" i="4"/>
  <c r="G335" i="4"/>
  <c r="M334" i="4"/>
  <c r="G334" i="4"/>
  <c r="M333" i="4"/>
  <c r="G333" i="4"/>
  <c r="B333" i="4"/>
  <c r="B334" i="4" s="1"/>
  <c r="B335" i="4" s="1"/>
  <c r="B336" i="4" s="1"/>
  <c r="B337" i="4" s="1"/>
  <c r="M332" i="4"/>
  <c r="G332" i="4"/>
  <c r="M331" i="4"/>
  <c r="G331" i="4"/>
  <c r="M330" i="4"/>
  <c r="G330" i="4"/>
  <c r="M329" i="4"/>
  <c r="G329" i="4"/>
  <c r="M328" i="4"/>
  <c r="G328" i="4"/>
  <c r="B328" i="4"/>
  <c r="B329" i="4" s="1"/>
  <c r="B330" i="4" s="1"/>
  <c r="B331" i="4" s="1"/>
  <c r="B332" i="4" s="1"/>
  <c r="M327" i="4"/>
  <c r="G327" i="4"/>
  <c r="B327" i="4"/>
  <c r="M326" i="4"/>
  <c r="G326" i="4"/>
  <c r="O325" i="4"/>
  <c r="F324" i="4"/>
  <c r="E324" i="4"/>
  <c r="M323" i="4"/>
  <c r="G323" i="4"/>
  <c r="M322" i="4"/>
  <c r="G322" i="4"/>
  <c r="M321" i="4"/>
  <c r="G321" i="4"/>
  <c r="B321" i="4"/>
  <c r="B322" i="4" s="1"/>
  <c r="B323" i="4" s="1"/>
  <c r="M320" i="4"/>
  <c r="G320" i="4"/>
  <c r="M319" i="4"/>
  <c r="G319" i="4"/>
  <c r="M318" i="4"/>
  <c r="G318" i="4"/>
  <c r="M317" i="4"/>
  <c r="G317" i="4"/>
  <c r="B317" i="4"/>
  <c r="B318" i="4" s="1"/>
  <c r="B319" i="4" s="1"/>
  <c r="B320" i="4" s="1"/>
  <c r="M316" i="4"/>
  <c r="G316" i="4"/>
  <c r="M315" i="4"/>
  <c r="G315" i="4"/>
  <c r="M314" i="4"/>
  <c r="G314" i="4"/>
  <c r="M313" i="4"/>
  <c r="G313" i="4"/>
  <c r="G324" i="4" s="1"/>
  <c r="B313" i="4"/>
  <c r="B314" i="4" s="1"/>
  <c r="B315" i="4" s="1"/>
  <c r="B316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B302" i="4"/>
  <c r="B303" i="4" s="1"/>
  <c r="B304" i="4" s="1"/>
  <c r="B305" i="4" s="1"/>
  <c r="B306" i="4" s="1"/>
  <c r="B307" i="4" s="1"/>
  <c r="B308" i="4" s="1"/>
  <c r="B309" i="4" s="1"/>
  <c r="B310" i="4" s="1"/>
  <c r="M301" i="4"/>
  <c r="G301" i="4"/>
  <c r="B301" i="4"/>
  <c r="M300" i="4"/>
  <c r="G300" i="4"/>
  <c r="B300" i="4"/>
  <c r="M299" i="4"/>
  <c r="G299" i="4"/>
  <c r="O298" i="4"/>
  <c r="E298" i="4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G297" i="4" s="1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M283" i="4"/>
  <c r="G283" i="4"/>
  <c r="M282" i="4"/>
  <c r="G282" i="4"/>
  <c r="M281" i="4"/>
  <c r="G281" i="4"/>
  <c r="M280" i="4"/>
  <c r="G280" i="4"/>
  <c r="M279" i="4"/>
  <c r="G279" i="4"/>
  <c r="B279" i="4"/>
  <c r="B280" i="4" s="1"/>
  <c r="B281" i="4" s="1"/>
  <c r="B282" i="4" s="1"/>
  <c r="B283" i="4" s="1"/>
  <c r="M278" i="4"/>
  <c r="G278" i="4"/>
  <c r="B278" i="4"/>
  <c r="M277" i="4"/>
  <c r="G277" i="4"/>
  <c r="M276" i="4"/>
  <c r="G276" i="4"/>
  <c r="M275" i="4"/>
  <c r="G275" i="4"/>
  <c r="B275" i="4"/>
  <c r="B276" i="4" s="1"/>
  <c r="B277" i="4" s="1"/>
  <c r="M274" i="4"/>
  <c r="G274" i="4"/>
  <c r="M273" i="4"/>
  <c r="G273" i="4"/>
  <c r="B273" i="4"/>
  <c r="B274" i="4" s="1"/>
  <c r="M272" i="4"/>
  <c r="G272" i="4"/>
  <c r="O271" i="4"/>
  <c r="D13" i="1" s="1"/>
  <c r="F271" i="4"/>
  <c r="E271" i="4"/>
  <c r="G270" i="4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F257" i="4"/>
  <c r="E257" i="4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F243" i="4"/>
  <c r="E243" i="4"/>
  <c r="M242" i="4"/>
  <c r="G242" i="4"/>
  <c r="M241" i="4"/>
  <c r="G241" i="4"/>
  <c r="B241" i="4"/>
  <c r="B242" i="4" s="1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B225" i="4"/>
  <c r="B226" i="4" s="1"/>
  <c r="B227" i="4" s="1"/>
  <c r="B228" i="4" s="1"/>
  <c r="B229" i="4" s="1"/>
  <c r="M224" i="4"/>
  <c r="G224" i="4"/>
  <c r="M223" i="4"/>
  <c r="G223" i="4"/>
  <c r="B223" i="4"/>
  <c r="B224" i="4" s="1"/>
  <c r="M222" i="4"/>
  <c r="G222" i="4"/>
  <c r="M221" i="4"/>
  <c r="G221" i="4"/>
  <c r="M220" i="4"/>
  <c r="G220" i="4"/>
  <c r="B220" i="4"/>
  <c r="B221" i="4" s="1"/>
  <c r="B222" i="4" s="1"/>
  <c r="M219" i="4"/>
  <c r="G219" i="4"/>
  <c r="B219" i="4"/>
  <c r="M218" i="4"/>
  <c r="G218" i="4"/>
  <c r="O217" i="4"/>
  <c r="D11" i="1" s="1"/>
  <c r="F217" i="4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B208" i="4"/>
  <c r="B209" i="4" s="1"/>
  <c r="B210" i="4" s="1"/>
  <c r="B211" i="4" s="1"/>
  <c r="B212" i="4" s="1"/>
  <c r="B213" i="4" s="1"/>
  <c r="B214" i="4" s="1"/>
  <c r="B215" i="4" s="1"/>
  <c r="M207" i="4"/>
  <c r="G207" i="4"/>
  <c r="M206" i="4"/>
  <c r="G206" i="4"/>
  <c r="B206" i="4"/>
  <c r="B207" i="4" s="1"/>
  <c r="M205" i="4"/>
  <c r="G205" i="4"/>
  <c r="B205" i="4"/>
  <c r="M204" i="4"/>
  <c r="G204" i="4"/>
  <c r="F203" i="4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E190" i="4"/>
  <c r="F189" i="4"/>
  <c r="F190" i="4" s="1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B183" i="4"/>
  <c r="B184" i="4" s="1"/>
  <c r="B185" i="4" s="1"/>
  <c r="B186" i="4" s="1"/>
  <c r="B187" i="4" s="1"/>
  <c r="B188" i="4" s="1"/>
  <c r="M182" i="4"/>
  <c r="G182" i="4"/>
  <c r="B182" i="4"/>
  <c r="M181" i="4"/>
  <c r="G181" i="4"/>
  <c r="G189" i="4" s="1"/>
  <c r="M180" i="4"/>
  <c r="G180" i="4"/>
  <c r="M179" i="4"/>
  <c r="G179" i="4"/>
  <c r="M178" i="4"/>
  <c r="G178" i="4"/>
  <c r="B178" i="4"/>
  <c r="B179" i="4" s="1"/>
  <c r="B180" i="4" s="1"/>
  <c r="B181" i="4" s="1"/>
  <c r="M177" i="4"/>
  <c r="G177" i="4"/>
  <c r="F176" i="4"/>
  <c r="E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M165" i="4"/>
  <c r="G165" i="4"/>
  <c r="B165" i="4"/>
  <c r="M164" i="4"/>
  <c r="G164" i="4"/>
  <c r="O163" i="4"/>
  <c r="F162" i="4"/>
  <c r="F163" i="4" s="1"/>
  <c r="E162" i="4"/>
  <c r="E163" i="4" s="1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B153" i="4"/>
  <c r="B154" i="4" s="1"/>
  <c r="B155" i="4" s="1"/>
  <c r="B156" i="4" s="1"/>
  <c r="B157" i="4" s="1"/>
  <c r="B158" i="4" s="1"/>
  <c r="B159" i="4" s="1"/>
  <c r="B160" i="4" s="1"/>
  <c r="B161" i="4" s="1"/>
  <c r="M152" i="4"/>
  <c r="G152" i="4"/>
  <c r="B152" i="4"/>
  <c r="M151" i="4"/>
  <c r="G151" i="4"/>
  <c r="B151" i="4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B144" i="4"/>
  <c r="B145" i="4" s="1"/>
  <c r="B146" i="4" s="1"/>
  <c r="B147" i="4" s="1"/>
  <c r="B148" i="4" s="1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M137" i="4"/>
  <c r="G137" i="4"/>
  <c r="O136" i="4"/>
  <c r="D8" i="1" s="1"/>
  <c r="E136" i="4"/>
  <c r="G135" i="4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B127" i="4"/>
  <c r="B128" i="4" s="1"/>
  <c r="B129" i="4" s="1"/>
  <c r="B130" i="4" s="1"/>
  <c r="B131" i="4" s="1"/>
  <c r="B132" i="4" s="1"/>
  <c r="B133" i="4" s="1"/>
  <c r="B134" i="4" s="1"/>
  <c r="M126" i="4"/>
  <c r="G126" i="4"/>
  <c r="B126" i="4"/>
  <c r="M125" i="4"/>
  <c r="G125" i="4"/>
  <c r="M124" i="4"/>
  <c r="G124" i="4"/>
  <c r="B124" i="4"/>
  <c r="B125" i="4" s="1"/>
  <c r="M123" i="4"/>
  <c r="G123" i="4"/>
  <c r="F122" i="4"/>
  <c r="E122" i="4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B113" i="4"/>
  <c r="B114" i="4" s="1"/>
  <c r="B115" i="4" s="1"/>
  <c r="B116" i="4" s="1"/>
  <c r="B117" i="4" s="1"/>
  <c r="B118" i="4" s="1"/>
  <c r="B119" i="4" s="1"/>
  <c r="B120" i="4" s="1"/>
  <c r="B121" i="4" s="1"/>
  <c r="M112" i="4"/>
  <c r="G112" i="4"/>
  <c r="M111" i="4"/>
  <c r="G111" i="4"/>
  <c r="B111" i="4"/>
  <c r="B112" i="4" s="1"/>
  <c r="M110" i="4"/>
  <c r="G110" i="4"/>
  <c r="O109" i="4"/>
  <c r="F108" i="4"/>
  <c r="E108" i="4"/>
  <c r="M107" i="4"/>
  <c r="G107" i="4"/>
  <c r="M106" i="4"/>
  <c r="G106" i="4"/>
  <c r="M105" i="4"/>
  <c r="G105" i="4"/>
  <c r="M104" i="4"/>
  <c r="G104" i="4"/>
  <c r="M103" i="4"/>
  <c r="G103" i="4"/>
  <c r="B103" i="4"/>
  <c r="B104" i="4" s="1"/>
  <c r="B105" i="4" s="1"/>
  <c r="B106" i="4" s="1"/>
  <c r="B107" i="4" s="1"/>
  <c r="M102" i="4"/>
  <c r="G102" i="4"/>
  <c r="M101" i="4"/>
  <c r="G101" i="4"/>
  <c r="B101" i="4"/>
  <c r="B102" i="4" s="1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M96" i="4"/>
  <c r="G96" i="4"/>
  <c r="F95" i="4"/>
  <c r="F109" i="4" s="1"/>
  <c r="E95" i="4"/>
  <c r="E109" i="4" s="1"/>
  <c r="M94" i="4"/>
  <c r="G94" i="4"/>
  <c r="B94" i="4"/>
  <c r="M93" i="4"/>
  <c r="G93" i="4"/>
  <c r="M92" i="4"/>
  <c r="G92" i="4"/>
  <c r="M91" i="4"/>
  <c r="G91" i="4"/>
  <c r="M90" i="4"/>
  <c r="G90" i="4"/>
  <c r="M89" i="4"/>
  <c r="G89" i="4"/>
  <c r="M88" i="4"/>
  <c r="G88" i="4"/>
  <c r="B88" i="4"/>
  <c r="B89" i="4" s="1"/>
  <c r="B90" i="4" s="1"/>
  <c r="B91" i="4" s="1"/>
  <c r="B92" i="4" s="1"/>
  <c r="B93" i="4" s="1"/>
  <c r="M87" i="4"/>
  <c r="G87" i="4"/>
  <c r="M86" i="4"/>
  <c r="G86" i="4"/>
  <c r="M85" i="4"/>
  <c r="G85" i="4"/>
  <c r="G95" i="4" s="1"/>
  <c r="M84" i="4"/>
  <c r="G84" i="4"/>
  <c r="B84" i="4"/>
  <c r="B85" i="4" s="1"/>
  <c r="B86" i="4" s="1"/>
  <c r="B87" i="4" s="1"/>
  <c r="M83" i="4"/>
  <c r="G83" i="4"/>
  <c r="O82" i="4"/>
  <c r="D6" i="1" s="1"/>
  <c r="F81" i="4"/>
  <c r="F82" i="4" s="1"/>
  <c r="E81" i="4"/>
  <c r="E82" i="4" s="1"/>
  <c r="M80" i="4"/>
  <c r="G80" i="4"/>
  <c r="M79" i="4"/>
  <c r="G79" i="4"/>
  <c r="M78" i="4"/>
  <c r="G78" i="4"/>
  <c r="M77" i="4"/>
  <c r="G77" i="4"/>
  <c r="G81" i="4" s="1"/>
  <c r="B77" i="4"/>
  <c r="B78" i="4" s="1"/>
  <c r="B79" i="4" s="1"/>
  <c r="B80" i="4" s="1"/>
  <c r="M76" i="4"/>
  <c r="G76" i="4"/>
  <c r="M75" i="4"/>
  <c r="G75" i="4"/>
  <c r="M74" i="4"/>
  <c r="G74" i="4"/>
  <c r="M73" i="4"/>
  <c r="G73" i="4"/>
  <c r="B73" i="4"/>
  <c r="B74" i="4" s="1"/>
  <c r="B75" i="4" s="1"/>
  <c r="B76" i="4" s="1"/>
  <c r="M72" i="4"/>
  <c r="G72" i="4"/>
  <c r="M71" i="4"/>
  <c r="G71" i="4"/>
  <c r="M70" i="4"/>
  <c r="G70" i="4"/>
  <c r="B70" i="4"/>
  <c r="B71" i="4" s="1"/>
  <c r="B72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B44" i="4"/>
  <c r="B45" i="4" s="1"/>
  <c r="B46" i="4" s="1"/>
  <c r="B47" i="4" s="1"/>
  <c r="B48" i="4" s="1"/>
  <c r="B49" i="4" s="1"/>
  <c r="B50" i="4" s="1"/>
  <c r="B51" i="4" s="1"/>
  <c r="B52" i="4" s="1"/>
  <c r="B53" i="4" s="1"/>
  <c r="M43" i="4"/>
  <c r="G43" i="4"/>
  <c r="B43" i="4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B36" i="4"/>
  <c r="B37" i="4" s="1"/>
  <c r="B38" i="4" s="1"/>
  <c r="B39" i="4" s="1"/>
  <c r="B40" i="4" s="1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B17" i="4"/>
  <c r="B18" i="4" s="1"/>
  <c r="B19" i="4" s="1"/>
  <c r="B20" i="4" s="1"/>
  <c r="B21" i="4" s="1"/>
  <c r="B22" i="4" s="1"/>
  <c r="B23" i="4" s="1"/>
  <c r="B24" i="4" s="1"/>
  <c r="B25" i="4" s="1"/>
  <c r="B26" i="4" s="1"/>
  <c r="M16" i="4"/>
  <c r="G16" i="4"/>
  <c r="B16" i="4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6" l="1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703" i="4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649" i="4" s="1"/>
  <c r="G824" i="4"/>
  <c r="G838" i="4" s="1"/>
  <c r="M554" i="5"/>
  <c r="G230" i="4"/>
  <c r="G244" i="4" s="1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G55" i="4" s="1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406" i="4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757" i="4" s="1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703" i="5" l="1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<sst xmlns="http://schemas.openxmlformats.org/spreadsheetml/2006/main" count="1414" uniqueCount="241">
  <si>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</si>
  <si>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</si>
  <si>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</si>
  <si>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</si>
  <si>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</si>
  <si>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</si>
  <si>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</si>
  <si>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</si>
  <si>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</si>
  <si>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</si>
  <si>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</si>
  <si>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</si>
  <si>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</si>
  <si>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</si>
  <si>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</si>
  <si>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</si>
  <si>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</si>
  <si>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</si>
  <si>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</si>
  <si>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</si>
  <si>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</si>
  <si>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</si>
  <si>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</si>
  <si>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</si>
  <si>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</si>
  <si>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</si>
  <si>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</si>
  <si>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</si>
  <si>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</si>
  <si>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</si>
  <si>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</si>
  <si>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</si>
  <si>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</si>
  <si>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</si>
  <si>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</si>
  <si>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</si>
  <si>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</si>
  <si>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</si>
  <si>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</si>
  <si>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</si>
  <si>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</si>
  <si>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</si>
  <si>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</si>
  <si>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</si>
  <si>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</si>
  <si>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</si>
  <si>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</si>
  <si>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</si>
  <si>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</si>
  <si>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</si>
  <si>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</si>
  <si>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</si>
  <si>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</si>
  <si>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</si>
  <si>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</si>
  <si>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</si>
  <si>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</si>
  <si>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</si>
  <si>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</si>
  <si>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</si>
  <si>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</si>
  <si>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</si>
  <si>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</si>
  <si>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</si>
  <si>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</si>
  <si>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</si>
  <si>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</si>
  <si>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</si>
  <si>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</si>
  <si>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</si>
  <si>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</si>
  <si>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</si>
  <si>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</si>
  <si>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</si>
  <si>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</si>
  <si>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</si>
  <si>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</si>
  <si>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</si>
  <si>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</si>
  <si>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</si>
  <si>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</si>
  <si>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</si>
  <si>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</si>
  <si>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</si>
  <si>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</si>
  <si>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</si>
  <si>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</si>
  <si>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</si>
  <si>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</si>
  <si>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</si>
  <si>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</si>
  <si>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</si>
  <si>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</si>
  <si>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</si>
  <si>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</si>
  <si>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</si>
  <si>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</si>
  <si>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</si>
  <si>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</si>
  <si>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</si>
  <si>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</si>
  <si>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</si>
  <si>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</si>
  <si>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</si>
  <si>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</si>
  <si>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</si>
  <si>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</si>
  <si>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</si>
  <si>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</si>
  <si>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</si>
  <si>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</si>
  <si>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</si>
  <si>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</si>
  <si>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</si>
  <si>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</si>
  <si>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</si>
  <si>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</si>
  <si>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</si>
  <si>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</si>
  <si>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</si>
  <si>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</si>
  <si>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</si>
  <si>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</si>
  <si>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</si>
  <si>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</si>
  <si>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</si>
  <si>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</si>
  <si>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</si>
  <si>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</si>
  <si>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</si>
  <si>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</si>
  <si>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</si>
  <si>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</si>
  <si>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</si>
  <si>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</si>
  <si>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</si>
  <si>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</si>
  <si>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</si>
  <si>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</si>
  <si>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</si>
  <si>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</si>
  <si>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</si>
  <si>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</si>
  <si>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</si>
  <si>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</si>
  <si>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</si>
  <si>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</si>
  <si>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</si>
  <si>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</si>
  <si>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</si>
  <si>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</si>
  <si>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</si>
  <si>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</si>
  <si>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</si>
  <si>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</si>
  <si>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</si>
  <si>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</si>
  <si>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</si>
  <si>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</si>
  <si>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</si>
  <si>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</si>
  <si>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</si>
  <si>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</si>
  <si>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</si>
  <si>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</si>
  <si>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</si>
  <si>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</si>
  <si>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</si>
  <si>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</si>
  <si>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</si>
  <si>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</si>
  <si>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</si>
  <si>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</si>
  <si>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</si>
  <si>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</si>
  <si>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</si>
  <si>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</si>
  <si>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</si>
  <si>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</si>
  <si>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</si>
  <si>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</si>
  <si>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</si>
  <si>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</si>
  <si>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</si>
  <si>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</si>
  <si>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</si>
  <si>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</si>
  <si>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</si>
  <si>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</si>
  <si>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</si>
  <si>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</si>
  <si>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</si>
  <si>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</si>
  <si>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</si>
  <si>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</si>
  <si>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</si>
  <si>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</si>
  <si>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</si>
  <si>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</si>
  <si>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</si>
  <si>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</si>
  <si>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</si>
  <si>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</si>
  <si>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</si>
  <si>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</si>
  <si>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</si>
  <si>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</si>
  <si>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</si>
  <si>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</si>
  <si>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</si>
  <si>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</si>
  <si>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</si>
  <si>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</si>
  <si>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</si>
  <si>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</si>
  <si>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</si>
  <si>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</si>
  <si>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</si>
  <si>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</si>
  <si>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</si>
  <si>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</si>
  <si>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</si>
  <si>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</si>
  <si>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</si>
  <si>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</si>
  <si>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</si>
  <si>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</si>
  <si>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</si>
  <si>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</si>
  <si>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</si>
  <si>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</si>
  <si>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</si>
  <si>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</si>
  <si>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</si>
  <si>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 xml:space="preserve">e teve que troca balata </t>
  </si>
  <si>
    <t>o revestimento da bica ta soltando</t>
  </si>
  <si>
    <t>a borracha do revestimento da bica soltou de novo</t>
  </si>
  <si>
    <t>solda no queixo</t>
  </si>
  <si>
    <t>colocar chapa na bica</t>
  </si>
  <si>
    <t>martelo soltou</t>
  </si>
  <si>
    <t>solda no queixo ,revestimento gasto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</si>
</sst>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797765</v>
      </c>
      <c r="D4" s="8">
        <f>IFERROR('Linha 1'!O28,"")</f>
        <v>481280</v>
      </c>
      <c r="E4" s="8">
        <f>IFERROR('Linha 2'!O28,"")</f>
        <v>326520</v>
      </c>
      <c r="F4" s="8">
        <f>IFERROR('Linha 3'!O28,"")</f>
        <v>561420</v>
      </c>
      <c r="G4" s="9">
        <f t="shared" ref="G4:G34" si="0">IFERROR(D4+E4+F4,"")</f>
        <v>1369220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797765</v>
      </c>
      <c r="D35" s="13">
        <f>IFERROR(SUM(D4:D34),"")</f>
        <v>481280</v>
      </c>
      <c r="E35" s="13">
        <f>IFERROR(SUM(E4:E34),"")</f>
        <v>326520</v>
      </c>
      <c r="F35" s="13">
        <f>IFERROR(SUM(F4:F34),"")</f>
        <v>561420</v>
      </c>
      <c r="G35" s="13">
        <f>IFERROR(SUM(G4:G34),"")</f>
        <v>1369220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" activePane="bottomLeft" state="frozen"/>
      <selection pane="bottomLeft" activeCell="F20" sqref="F2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/>
      <c r="G20" s="34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/>
      <c r="G22" s="34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104</v>
      </c>
      <c r="G27" s="36">
        <f>SUM(G15:G26)</f>
        <v>520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300</v>
      </c>
      <c r="G28" s="40">
        <f>G14+G27</f>
        <v>1500</v>
      </c>
      <c r="H28" s="41"/>
      <c r="I28" s="41"/>
      <c r="J28" s="41"/>
      <c r="K28" s="41"/>
      <c r="L28" s="41"/>
      <c r="M28" s="42">
        <f ca="1">IFERROR(M14+M27,"")</f>
        <v>6.597222222222221E-2</v>
      </c>
      <c r="N28" s="40" t="s">
        <v>232</v>
      </c>
      <c r="O28" s="43">
        <f>IFERROR(O14+O27,"")</f>
        <v>797765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19",F29*5,IF(E29="CB",F29*35,""))))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0" t="s">
        <v>231</v>
      </c>
      <c r="B811" s="111"/>
      <c r="C811" s="111"/>
      <c r="D811" s="111"/>
      <c r="E811" s="112">
        <f>E797+E810</f>
        <v>0</v>
      </c>
      <c r="F811" s="113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452 E454:E838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D3:D13 D15:D26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8" activePane="bottomLeft" state="frozen"/>
      <selection pane="bottomLeft" activeCell="L20" sqref="L2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234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235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236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/>
      <c r="G20" s="34" t="str">
        <f t="shared" si="3"/>
        <v/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/>
      <c r="G22" s="34" t="str">
        <f t="shared" si="3"/>
        <v/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76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62</v>
      </c>
      <c r="G27" s="36">
        <f>SUM(G15:G26)</f>
        <v>260.39999999999998</v>
      </c>
      <c r="H27" s="37"/>
      <c r="I27" s="37"/>
      <c r="J27" s="37"/>
      <c r="K27" s="37"/>
      <c r="L27" s="37"/>
      <c r="M27" s="38">
        <f ca="1">IFERROR(SUM(M15:M26),"")</f>
        <v>2.1527777777777729E-2</v>
      </c>
      <c r="N27" s="36" t="s">
        <v>229</v>
      </c>
      <c r="O27" s="77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174</v>
      </c>
      <c r="G28" s="40">
        <f>G14+G27</f>
        <v>730.8</v>
      </c>
      <c r="H28" s="41"/>
      <c r="I28" s="41"/>
      <c r="J28" s="41"/>
      <c r="K28" s="41"/>
      <c r="L28" s="41"/>
      <c r="M28" s="42">
        <f ca="1">IFERROR(M14+M27,"")</f>
        <v>0.22222222222222207</v>
      </c>
      <c r="N28" s="40" t="s">
        <v>232</v>
      </c>
      <c r="O28" s="82">
        <f>O14+O27</f>
        <v>481280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79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4" t="s">
        <v>228</v>
      </c>
      <c r="B230" s="115"/>
      <c r="C230" s="115"/>
      <c r="D230" s="115"/>
      <c r="E230" s="11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230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231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230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231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:E13 E15:E26 E515:E838 E434:E512 E29:E431" xr:uid="{52C68A24-78CA-4DE2-A34C-BA733F92037A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D84:D900 D2:D13 D29:D82 E432:E433 E513:E514 D15:D26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zoomScale="50" zoomScaleNormal="50" workbookViewId="0">
      <selection activeCell="L19" sqref="L1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237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233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233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233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/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233</v>
      </c>
      <c r="F19" s="27">
        <v>8</v>
      </c>
      <c r="G19" s="34">
        <f t="shared" si="3"/>
        <v>33.6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233</v>
      </c>
      <c r="F20" s="27"/>
      <c r="G20" s="28" t="str">
        <f t="shared" si="3"/>
        <v/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233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233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233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233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30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30</v>
      </c>
      <c r="E26" s="62" t="s">
        <v>233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45</v>
      </c>
      <c r="G27" s="36">
        <f>SUM(G15:G26)</f>
        <v>189</v>
      </c>
      <c r="H27" s="37"/>
      <c r="I27" s="37"/>
      <c r="J27" s="37"/>
      <c r="K27" s="37"/>
      <c r="L27" s="37"/>
      <c r="M27" s="38">
        <f ca="1">IFERROR(SUM(M15:M26),"")</f>
        <v>4.0277777777777773E-2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126</v>
      </c>
      <c r="G28" s="40">
        <f>G14+G27</f>
        <v>529.20000000000005</v>
      </c>
      <c r="H28" s="41"/>
      <c r="I28" s="41"/>
      <c r="J28" s="41"/>
      <c r="K28" s="41"/>
      <c r="L28" s="41"/>
      <c r="M28" s="42">
        <f ca="1">IFERROR(M14+M27,"")</f>
        <v>5.3472222222222282E-2</v>
      </c>
      <c r="N28" s="40" t="s">
        <v>232</v>
      </c>
      <c r="O28" s="43">
        <f>IFERROR(O14+O27,"")</f>
        <v>326520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C29:C900 C15:C26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D29:D294 D15:D26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8" activePane="bottomLeft" state="frozen"/>
      <selection pane="bottomLeft" activeCell="F21" sqref="F2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233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233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238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233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239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233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237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233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240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233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233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233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233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233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233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76</v>
      </c>
      <c r="G27" s="36">
        <f>SUM(G15:G26)</f>
        <v>319.20000000000005</v>
      </c>
      <c r="H27" s="37"/>
      <c r="I27" s="37"/>
      <c r="J27" s="37"/>
      <c r="K27" s="61"/>
      <c r="L27" s="61"/>
      <c r="M27" s="38">
        <f ca="1">IFERROR(SUM(M15:M26),"")</f>
        <v>7.2916666666666741E-2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206</v>
      </c>
      <c r="G28" s="40">
        <f>G14+G27</f>
        <v>865.20000000000016</v>
      </c>
      <c r="H28" s="41"/>
      <c r="I28" s="41"/>
      <c r="J28" s="41"/>
      <c r="K28" s="63"/>
      <c r="L28" s="63"/>
      <c r="M28" s="42">
        <f ca="1">IFERROR(M14+M27,"")</f>
        <v>0.11180555555555566</v>
      </c>
      <c r="N28" s="40" t="s">
        <v>232</v>
      </c>
      <c r="O28" s="48">
        <f>IFERROR(O14+O27,"")</f>
        <v>561420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232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232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232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232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228</v>
      </c>
      <c r="B338" s="99"/>
      <c r="C338" s="99"/>
      <c r="D338" s="99"/>
      <c r="E338" s="100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232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C29:C364 C15:C26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D29:D900 C365 D15:D26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2026-08-02T04:58:16Z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