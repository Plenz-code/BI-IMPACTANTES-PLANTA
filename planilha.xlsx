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73" documentId="8_{AF585B22-221D-4780-BB9C-493D365A6A02}" xr6:coauthVersionLast="47" xr6:coauthVersionMax="47" xr10:uidLastSave="{F29EDC98-12DC-439F-AD3E-764CC6339D56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<sst xmlns="http://schemas.openxmlformats.org/spreadsheetml/2006/main" count="6158" uniqueCount="316">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</sst>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8" sqref="I1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58" activePane="bottomLeft" state="frozen"/>
      <selection pane="bottomLeft" activeCell="F377" sqref="F37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/>
      <c r="M367" s="35">
        <f t="shared" ca="1" si="82"/>
        <v>2.1746874997916166E-2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156</v>
      </c>
      <c r="G378" s="36">
        <f>SUM(G366:G377)</f>
        <v>780</v>
      </c>
      <c r="H378" s="37"/>
      <c r="I378" s="37"/>
      <c r="J378" s="37"/>
      <c r="K378" s="37"/>
      <c r="L378" s="37"/>
      <c r="M378" s="38">
        <f ca="1">IFERROR(SUM(M366:M377),"")</f>
        <v>4.119131944236061E-2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431</v>
      </c>
      <c r="G379" s="40">
        <f>G365+G378</f>
        <v>2155</v>
      </c>
      <c r="H379" s="41"/>
      <c r="I379" s="41"/>
      <c r="J379" s="41"/>
      <c r="K379" s="41"/>
      <c r="L379" s="41"/>
      <c r="M379" s="42">
        <f ca="1">IFERROR(M365+M378,"")</f>
        <v>0.13216354166458272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57" activePane="bottomLeft" state="frozen"/>
      <selection pane="bottomLeft" activeCell="L377" sqref="L3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0.15763888888888888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0.26736111111111105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L368" sqref="L3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250</v>
      </c>
      <c r="K141" s="29">
        <v>0.71597222222222223</v>
      </c>
      <c r="L141" s="29" t="s">
        <v>274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276</v>
      </c>
      <c r="N166" s="27" t="s">
        <v>277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104</v>
      </c>
      <c r="G378" s="36">
        <f>SUM(G366:G377)</f>
        <v>436.80000000000007</v>
      </c>
      <c r="H378" s="37"/>
      <c r="I378" s="37"/>
      <c r="J378" s="37"/>
      <c r="K378" s="37"/>
      <c r="L378" s="37"/>
      <c r="M378" s="38">
        <f ca="1">IFERROR(SUM(M366:M377),"")</f>
        <v>3.333333333333327E-2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113</v>
      </c>
      <c r="G379" s="40">
        <f>G365+G378</f>
        <v>474.60000000000008</v>
      </c>
      <c r="H379" s="41"/>
      <c r="I379" s="41"/>
      <c r="J379" s="41"/>
      <c r="K379" s="41"/>
      <c r="L379" s="41"/>
      <c r="M379" s="42">
        <f ca="1">IFERROR(M365+M378,"")</f>
        <v>0.46458333333333324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J377" sqref="J3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291</v>
      </c>
      <c r="L58" s="29">
        <v>0.54097222222222219</v>
      </c>
      <c r="M58" s="30" t="str">
        <f t="shared" ca="1" si="13"/>
        <v/>
      </c>
      <c r="N58" s="27" t="s">
        <v>292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0.99535798611032078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1.1946635416658764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1.5620246527769874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/>
      <c r="M377" s="35">
        <f t="shared" ca="1" si="82"/>
        <v>4.1191319440258667E-2</v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151</v>
      </c>
      <c r="G378" s="36">
        <f>SUM(G366:G377)</f>
        <v>634.19999999999993</v>
      </c>
      <c r="H378" s="37"/>
      <c r="I378" s="37"/>
      <c r="J378" s="37"/>
      <c r="K378" s="61"/>
      <c r="L378" s="61"/>
      <c r="M378" s="38">
        <f ca="1">IFERROR(SUM(M366:M377),"")</f>
        <v>0.1279968749958143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276</v>
      </c>
      <c r="G379" s="40">
        <f>G365+G378</f>
        <v>1159.1999999999998</v>
      </c>
      <c r="H379" s="41"/>
      <c r="I379" s="41"/>
      <c r="J379" s="41"/>
      <c r="K379" s="63"/>
      <c r="L379" s="63"/>
      <c r="M379" s="42">
        <f ca="1">IFERROR(M365+M378,"")</f>
        <v>0.23285798610692549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2026-07-15T09:52:50Z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