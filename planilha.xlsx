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826" documentId="13_ncr:1_{A6DBCFB4-28D9-4249-9038-216934055CA6}" xr6:coauthVersionLast="47" xr6:coauthVersionMax="47" xr10:uidLastSave="{CCAB7EC4-688C-4110-877F-6AFFF5000EA8}"/>
  <bookViews>
    <workbookView xWindow="-110" yWindow="-110" windowWidth="25820" windowHeight="15500" tabRatio="500" firstSheet="4" activeTab="4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F511" i="6"/>
  <c r="Q510" i="6"/>
  <c r="K510" i="6"/>
  <c r="I510" i="6"/>
  <c r="H510" i="6"/>
  <c r="J510" i="6" s="1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F511" i="5"/>
  <c r="Q510" i="5"/>
  <c r="K510" i="5"/>
  <c r="I510" i="5"/>
  <c r="H510" i="5"/>
  <c r="J510" i="5" s="1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I534" i="4"/>
  <c r="H534" i="4"/>
  <c r="J534" i="4" s="1"/>
  <c r="F534" i="4"/>
  <c r="Q533" i="4"/>
  <c r="K533" i="4"/>
  <c r="I533" i="4"/>
  <c r="H533" i="4"/>
  <c r="J533" i="4" s="1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J512" i="4" s="1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07" i="5" l="1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<sst xmlns="http://schemas.openxmlformats.org/spreadsheetml/2006/main" count="8938" uniqueCount="401">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</sst>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7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2" sqref="G2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58" t="s">
        <v>0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</row>
    <row r="2" spans="1:12" ht="30" customHeight="1">
      <c r="A2" s="159"/>
      <c r="B2" s="15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/>
      <c r="J22" s="22">
        <f t="shared" si="1"/>
        <v>0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1573200</v>
      </c>
      <c r="D23" s="26">
        <f>IFERROR('Linha 1'!S541,"")</f>
        <v>742390</v>
      </c>
      <c r="E23" s="26">
        <f>IFERROR('Linha 2'!S541,"")</f>
        <v>393130</v>
      </c>
      <c r="F23" s="26">
        <f>IFERROR('Linha 3'!S541,"")</f>
        <v>963090</v>
      </c>
      <c r="G23" s="27">
        <f t="shared" si="0"/>
        <v>2098610</v>
      </c>
      <c r="H23" s="21">
        <f>IFERROR('Linha 1'!T541+'Linha 2'!T541+'Linha 3'!T541,0)</f>
        <v>440.70809999999994</v>
      </c>
      <c r="I23" s="21"/>
      <c r="J23" s="22">
        <f t="shared" si="1"/>
        <v>0</v>
      </c>
      <c r="K23" s="22"/>
      <c r="L23" s="28">
        <f>IFERROR(INDEX('Britador Móvel'!$F:$F,3*A23+1),"")</f>
        <v>602.1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0" t="s">
        <v>16</v>
      </c>
      <c r="B35" s="160"/>
      <c r="C35" s="30">
        <f t="shared" ref="C35:I35" si="2">IFERROR(SUM(C4:C34),"")</f>
        <v>73402810</v>
      </c>
      <c r="D35" s="30">
        <f t="shared" si="2"/>
        <v>24042920</v>
      </c>
      <c r="E35" s="30">
        <f t="shared" si="2"/>
        <v>12661190</v>
      </c>
      <c r="F35" s="30">
        <f t="shared" si="2"/>
        <v>30670500</v>
      </c>
      <c r="G35" s="30">
        <f t="shared" si="2"/>
        <v>67374610</v>
      </c>
      <c r="H35" s="31">
        <f t="shared" si="2"/>
        <v>5927.6988825806802</v>
      </c>
      <c r="I35" s="31">
        <f t="shared" si="2"/>
        <v>4625.8500000000004</v>
      </c>
      <c r="J35" s="32">
        <f>IFERROR(AVERAGE(J4:J34),"-")</f>
        <v>0.6505059202064023</v>
      </c>
      <c r="K35" s="33">
        <f>SUM(K4:K34)</f>
        <v>450.78</v>
      </c>
      <c r="L35" s="34">
        <f>IFERROR(SUM(L4:L34),"")</f>
        <v>5113.8</v>
      </c>
    </row>
    <row r="36" spans="1:12" ht="15" customHeight="1">
      <c r="J36" s="35"/>
    </row>
  </sheetData>
  <sheetProtection algorithmName="SHA-512" hashValue="ZeVoZLf9YdLQcstwgkTpX5yADz3h0Bi1ngDuyojdxRbcVd4D/8BfTElgCktZSksQtaPxefT7ooYA6VgD+mXEMw==" saltValue="BdJaSeB6NfmNK2PVwR0sv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17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18</v>
      </c>
      <c r="O1" s="163"/>
      <c r="P1" s="163"/>
      <c r="Q1" s="163"/>
      <c r="R1" s="163"/>
    </row>
    <row r="2" spans="1:18" ht="4.5" customHeight="1">
      <c r="M2" s="16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2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2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2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2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2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2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2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2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2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2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2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2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2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2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2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2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2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2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2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2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2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2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2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2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2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2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2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2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2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2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2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2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2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2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2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2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2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2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2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2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2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2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2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2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2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2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2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2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2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2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2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2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2"/>
      <c r="N59" s="40"/>
      <c r="O59" s="40"/>
      <c r="P59" s="40" t="s">
        <v>222</v>
      </c>
      <c r="Q59" s="40"/>
      <c r="R59" s="40"/>
    </row>
    <row r="60" spans="1:18" ht="15" customHeight="1">
      <c r="M60" s="162"/>
      <c r="N60" s="37"/>
      <c r="O60" s="37"/>
      <c r="P60" s="53" t="s">
        <v>114</v>
      </c>
      <c r="Q60" s="37"/>
      <c r="R60" s="37"/>
    </row>
    <row r="61" spans="1:18" ht="15" customHeight="1">
      <c r="M61" s="162"/>
      <c r="N61" s="40"/>
      <c r="O61" s="40"/>
      <c r="P61" s="40" t="s">
        <v>223</v>
      </c>
      <c r="Q61" s="40"/>
      <c r="R61" s="40"/>
    </row>
    <row r="62" spans="1:18" ht="15" customHeight="1">
      <c r="M62" s="162"/>
      <c r="N62" s="37"/>
      <c r="O62" s="37"/>
      <c r="P62" s="37" t="s">
        <v>224</v>
      </c>
      <c r="Q62" s="37"/>
      <c r="R62" s="37"/>
    </row>
    <row r="63" spans="1:18" ht="15" customHeight="1">
      <c r="M63" s="162"/>
      <c r="N63" s="40"/>
      <c r="O63" s="40"/>
      <c r="P63" s="40" t="s">
        <v>225</v>
      </c>
      <c r="Q63" s="40"/>
      <c r="R63" s="40"/>
    </row>
    <row r="64" spans="1:18" ht="15" customHeight="1">
      <c r="M64" s="162"/>
      <c r="N64" s="37"/>
      <c r="O64" s="37"/>
      <c r="P64" s="37" t="s">
        <v>226</v>
      </c>
      <c r="Q64" s="37"/>
      <c r="R64" s="37"/>
    </row>
    <row r="65" spans="13:18" ht="15" customHeight="1">
      <c r="M65" s="162"/>
      <c r="N65" s="40"/>
      <c r="O65" s="40"/>
      <c r="P65" s="40" t="s">
        <v>227</v>
      </c>
      <c r="Q65" s="40"/>
      <c r="R65" s="40"/>
    </row>
    <row r="66" spans="13:18" ht="15" customHeight="1">
      <c r="M66" s="162"/>
      <c r="N66" s="37"/>
      <c r="O66" s="37"/>
      <c r="P66" s="37" t="s">
        <v>228</v>
      </c>
      <c r="Q66" s="37"/>
      <c r="R66" s="37"/>
    </row>
    <row r="67" spans="13:18" ht="15" customHeight="1">
      <c r="M67" s="162"/>
      <c r="N67" s="40"/>
      <c r="O67" s="40"/>
      <c r="P67" s="40" t="s">
        <v>229</v>
      </c>
      <c r="Q67" s="40"/>
      <c r="R67" s="40"/>
    </row>
    <row r="68" spans="13:18" ht="15" customHeight="1">
      <c r="M68" s="162"/>
      <c r="N68" s="37"/>
      <c r="O68" s="37"/>
      <c r="P68" s="37" t="s">
        <v>230</v>
      </c>
      <c r="Q68" s="37"/>
      <c r="R68" s="37"/>
    </row>
    <row r="69" spans="13:18" ht="15" customHeight="1">
      <c r="M69" s="162"/>
      <c r="N69" s="40"/>
      <c r="O69" s="40"/>
      <c r="P69" s="40" t="s">
        <v>231</v>
      </c>
      <c r="Q69" s="40"/>
      <c r="R69" s="40"/>
    </row>
    <row r="70" spans="13:18" ht="15" customHeight="1">
      <c r="M70" s="162"/>
      <c r="N70" s="37"/>
      <c r="O70" s="37"/>
      <c r="P70" s="37" t="s">
        <v>232</v>
      </c>
      <c r="Q70" s="37"/>
      <c r="R70" s="37"/>
    </row>
    <row r="71" spans="13:18" ht="15" customHeight="1">
      <c r="M71" s="162"/>
      <c r="N71" s="40"/>
      <c r="O71" s="40"/>
      <c r="P71" s="40" t="s">
        <v>233</v>
      </c>
      <c r="Q71" s="40"/>
      <c r="R71" s="40"/>
    </row>
    <row r="72" spans="13:18" ht="15" customHeight="1">
      <c r="M72" s="162"/>
      <c r="N72" s="37"/>
      <c r="O72" s="37"/>
      <c r="P72" s="37" t="s">
        <v>234</v>
      </c>
      <c r="Q72" s="37"/>
      <c r="R72" s="37"/>
    </row>
    <row r="73" spans="13:18" ht="15" customHeight="1">
      <c r="M73" s="162"/>
      <c r="N73" s="40"/>
      <c r="O73" s="40"/>
      <c r="P73" s="40" t="s">
        <v>235</v>
      </c>
      <c r="Q73" s="40"/>
      <c r="R73" s="40"/>
    </row>
    <row r="74" spans="13:18" ht="15" customHeight="1">
      <c r="M74" s="162"/>
      <c r="N74" s="37"/>
      <c r="O74" s="37"/>
      <c r="P74" s="37" t="s">
        <v>236</v>
      </c>
      <c r="Q74" s="37"/>
      <c r="R74" s="37"/>
    </row>
    <row r="75" spans="13:18" ht="15" customHeight="1">
      <c r="M75" s="162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4" t="s">
        <v>249</v>
      </c>
      <c r="B4" s="164"/>
      <c r="C4" s="164"/>
      <c r="D4" s="164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4" t="s">
        <v>249</v>
      </c>
      <c r="B7" s="164"/>
      <c r="C7" s="164"/>
      <c r="D7" s="164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4" t="s">
        <v>249</v>
      </c>
      <c r="B10" s="164"/>
      <c r="C10" s="164"/>
      <c r="D10" s="164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4" t="s">
        <v>249</v>
      </c>
      <c r="B13" s="164"/>
      <c r="C13" s="164"/>
      <c r="D13" s="164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4" t="s">
        <v>249</v>
      </c>
      <c r="B16" s="164"/>
      <c r="C16" s="164"/>
      <c r="D16" s="164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4" t="s">
        <v>249</v>
      </c>
      <c r="B19" s="164"/>
      <c r="C19" s="164"/>
      <c r="D19" s="164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4" t="s">
        <v>249</v>
      </c>
      <c r="B22" s="164"/>
      <c r="C22" s="164"/>
      <c r="D22" s="164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4" t="s">
        <v>249</v>
      </c>
      <c r="B25" s="164"/>
      <c r="C25" s="164"/>
      <c r="D25" s="164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4" t="s">
        <v>249</v>
      </c>
      <c r="B28" s="164"/>
      <c r="C28" s="164"/>
      <c r="D28" s="164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4" t="s">
        <v>249</v>
      </c>
      <c r="B31" s="164"/>
      <c r="C31" s="164"/>
      <c r="D31" s="164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4" t="s">
        <v>249</v>
      </c>
      <c r="B34" s="164"/>
      <c r="C34" s="164"/>
      <c r="D34" s="164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4" t="s">
        <v>249</v>
      </c>
      <c r="B37" s="164"/>
      <c r="C37" s="164"/>
      <c r="D37" s="164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4" t="s">
        <v>249</v>
      </c>
      <c r="B40" s="164"/>
      <c r="C40" s="164"/>
      <c r="D40" s="164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4" t="s">
        <v>249</v>
      </c>
      <c r="B43" s="164"/>
      <c r="C43" s="164"/>
      <c r="D43" s="164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4" t="s">
        <v>249</v>
      </c>
      <c r="B46" s="164"/>
      <c r="C46" s="164"/>
      <c r="D46" s="164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4" t="s">
        <v>249</v>
      </c>
      <c r="B49" s="164"/>
      <c r="C49" s="164"/>
      <c r="D49" s="164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4" t="s">
        <v>249</v>
      </c>
      <c r="B52" s="164"/>
      <c r="C52" s="164"/>
      <c r="D52" s="164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4" t="s">
        <v>249</v>
      </c>
      <c r="B55" s="164"/>
      <c r="C55" s="164"/>
      <c r="D55" s="164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4" t="s">
        <v>249</v>
      </c>
      <c r="B58" s="164"/>
      <c r="C58" s="164"/>
      <c r="D58" s="164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4" t="s">
        <v>249</v>
      </c>
      <c r="B61" s="164"/>
      <c r="C61" s="164"/>
      <c r="D61" s="164"/>
      <c r="E61" s="149">
        <f>SUM(E59:E60)</f>
        <v>223</v>
      </c>
      <c r="F61" s="150">
        <f>IFERROR(SUM(F59:F60),"")</f>
        <v>602.1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4" t="s">
        <v>249</v>
      </c>
      <c r="B64" s="164"/>
      <c r="C64" s="164"/>
      <c r="D64" s="164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4" t="s">
        <v>249</v>
      </c>
      <c r="B67" s="164"/>
      <c r="C67" s="164"/>
      <c r="D67" s="164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4" t="s">
        <v>249</v>
      </c>
      <c r="B70" s="164"/>
      <c r="C70" s="164"/>
      <c r="D70" s="164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4" t="s">
        <v>249</v>
      </c>
      <c r="B73" s="164"/>
      <c r="C73" s="164"/>
      <c r="D73" s="164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4" t="s">
        <v>249</v>
      </c>
      <c r="B76" s="164"/>
      <c r="C76" s="164"/>
      <c r="D76" s="164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4" t="s">
        <v>249</v>
      </c>
      <c r="B79" s="164"/>
      <c r="C79" s="164"/>
      <c r="D79" s="164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4" t="s">
        <v>249</v>
      </c>
      <c r="B82" s="164"/>
      <c r="C82" s="164"/>
      <c r="D82" s="164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4" t="s">
        <v>249</v>
      </c>
      <c r="B85" s="164"/>
      <c r="C85" s="164"/>
      <c r="D85" s="164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4" t="s">
        <v>249</v>
      </c>
      <c r="B88" s="164"/>
      <c r="C88" s="164"/>
      <c r="D88" s="164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4" t="s">
        <v>249</v>
      </c>
      <c r="B91" s="164"/>
      <c r="C91" s="164"/>
      <c r="D91" s="164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4" t="s">
        <v>249</v>
      </c>
      <c r="B94" s="164"/>
      <c r="C94" s="164"/>
      <c r="D94" s="164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19" activePane="bottomLeft" state="frozen"/>
      <selection pane="bottomLeft" activeCell="D529" sqref="D529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5" t="s">
        <v>260</v>
      </c>
      <c r="B14" s="165"/>
      <c r="C14" s="165"/>
      <c r="D14" s="165"/>
      <c r="E14" s="16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5" t="s">
        <v>263</v>
      </c>
      <c r="B27" s="165"/>
      <c r="C27" s="165"/>
      <c r="D27" s="165"/>
      <c r="E27" s="16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66" t="s">
        <v>249</v>
      </c>
      <c r="B28" s="166"/>
      <c r="C28" s="166"/>
      <c r="D28" s="166"/>
      <c r="E28" s="16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5" t="s">
        <v>260</v>
      </c>
      <c r="B41" s="165"/>
      <c r="C41" s="165"/>
      <c r="D41" s="165"/>
      <c r="E41" s="16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5" t="s">
        <v>263</v>
      </c>
      <c r="B54" s="165"/>
      <c r="C54" s="165"/>
      <c r="D54" s="165"/>
      <c r="E54" s="16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66" t="s">
        <v>249</v>
      </c>
      <c r="B55" s="166"/>
      <c r="C55" s="166"/>
      <c r="D55" s="166"/>
      <c r="E55" s="16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5" t="s">
        <v>260</v>
      </c>
      <c r="B68" s="165"/>
      <c r="C68" s="165"/>
      <c r="D68" s="165"/>
      <c r="E68" s="16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5" t="s">
        <v>263</v>
      </c>
      <c r="B81" s="165"/>
      <c r="C81" s="165"/>
      <c r="D81" s="165"/>
      <c r="E81" s="16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66" t="s">
        <v>249</v>
      </c>
      <c r="B82" s="166"/>
      <c r="C82" s="166"/>
      <c r="D82" s="166"/>
      <c r="E82" s="16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5" t="s">
        <v>260</v>
      </c>
      <c r="B95" s="165"/>
      <c r="C95" s="165"/>
      <c r="D95" s="165"/>
      <c r="E95" s="16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5" t="s">
        <v>263</v>
      </c>
      <c r="B108" s="165"/>
      <c r="C108" s="165"/>
      <c r="D108" s="165"/>
      <c r="E108" s="16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66" t="s">
        <v>249</v>
      </c>
      <c r="B109" s="166"/>
      <c r="C109" s="166"/>
      <c r="D109" s="166"/>
      <c r="E109" s="16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5" t="s">
        <v>260</v>
      </c>
      <c r="B122" s="165"/>
      <c r="C122" s="165"/>
      <c r="D122" s="165"/>
      <c r="E122" s="16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5" t="s">
        <v>263</v>
      </c>
      <c r="B135" s="165"/>
      <c r="C135" s="165"/>
      <c r="D135" s="165"/>
      <c r="E135" s="16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66" t="s">
        <v>249</v>
      </c>
      <c r="B136" s="166"/>
      <c r="C136" s="166"/>
      <c r="D136" s="166"/>
      <c r="E136" s="16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5" t="s">
        <v>260</v>
      </c>
      <c r="B149" s="165"/>
      <c r="C149" s="165"/>
      <c r="D149" s="165"/>
      <c r="E149" s="16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5" t="s">
        <v>263</v>
      </c>
      <c r="B162" s="165"/>
      <c r="C162" s="165"/>
      <c r="D162" s="165"/>
      <c r="E162" s="16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66" t="s">
        <v>249</v>
      </c>
      <c r="B163" s="166"/>
      <c r="C163" s="166"/>
      <c r="D163" s="166"/>
      <c r="E163" s="16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5" t="s">
        <v>260</v>
      </c>
      <c r="B176" s="165"/>
      <c r="C176" s="165"/>
      <c r="D176" s="165"/>
      <c r="E176" s="16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5" t="s">
        <v>263</v>
      </c>
      <c r="B189" s="165"/>
      <c r="C189" s="165"/>
      <c r="D189" s="165"/>
      <c r="E189" s="16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66" t="s">
        <v>249</v>
      </c>
      <c r="B190" s="166"/>
      <c r="C190" s="166"/>
      <c r="D190" s="166"/>
      <c r="E190" s="16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5" t="s">
        <v>260</v>
      </c>
      <c r="B203" s="165"/>
      <c r="C203" s="165"/>
      <c r="D203" s="165"/>
      <c r="E203" s="16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5" t="s">
        <v>263</v>
      </c>
      <c r="B216" s="165"/>
      <c r="C216" s="165"/>
      <c r="D216" s="165"/>
      <c r="E216" s="16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66" t="s">
        <v>249</v>
      </c>
      <c r="B217" s="166"/>
      <c r="C217" s="166"/>
      <c r="D217" s="166"/>
      <c r="E217" s="16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5" t="s">
        <v>260</v>
      </c>
      <c r="B230" s="165"/>
      <c r="C230" s="165"/>
      <c r="D230" s="165"/>
      <c r="E230" s="16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5" t="s">
        <v>263</v>
      </c>
      <c r="B243" s="165"/>
      <c r="C243" s="165"/>
      <c r="D243" s="165"/>
      <c r="E243" s="16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66" t="s">
        <v>249</v>
      </c>
      <c r="B244" s="166"/>
      <c r="C244" s="166"/>
      <c r="D244" s="166"/>
      <c r="E244" s="16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5" t="s">
        <v>260</v>
      </c>
      <c r="B257" s="165"/>
      <c r="C257" s="165"/>
      <c r="D257" s="165"/>
      <c r="E257" s="16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5" t="s">
        <v>263</v>
      </c>
      <c r="B270" s="165"/>
      <c r="C270" s="165"/>
      <c r="D270" s="165"/>
      <c r="E270" s="16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66" t="s">
        <v>249</v>
      </c>
      <c r="B271" s="166"/>
      <c r="C271" s="166"/>
      <c r="D271" s="166"/>
      <c r="E271" s="16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5" t="s">
        <v>260</v>
      </c>
      <c r="B284" s="165"/>
      <c r="C284" s="165"/>
      <c r="D284" s="165"/>
      <c r="E284" s="16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5" t="s">
        <v>263</v>
      </c>
      <c r="B297" s="165"/>
      <c r="C297" s="165"/>
      <c r="D297" s="165"/>
      <c r="E297" s="16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66" t="s">
        <v>249</v>
      </c>
      <c r="B298" s="166"/>
      <c r="C298" s="166"/>
      <c r="D298" s="166"/>
      <c r="E298" s="16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5" t="s">
        <v>260</v>
      </c>
      <c r="B311" s="165"/>
      <c r="C311" s="165"/>
      <c r="D311" s="165"/>
      <c r="E311" s="16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5" t="s">
        <v>263</v>
      </c>
      <c r="B324" s="165"/>
      <c r="C324" s="165"/>
      <c r="D324" s="165"/>
      <c r="E324" s="16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66" t="s">
        <v>249</v>
      </c>
      <c r="B325" s="166"/>
      <c r="C325" s="166"/>
      <c r="D325" s="166"/>
      <c r="E325" s="16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5" t="s">
        <v>260</v>
      </c>
      <c r="B338" s="165"/>
      <c r="C338" s="165"/>
      <c r="D338" s="165"/>
      <c r="E338" s="16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5" t="s">
        <v>263</v>
      </c>
      <c r="B351" s="165"/>
      <c r="C351" s="165"/>
      <c r="D351" s="165"/>
      <c r="E351" s="16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66" t="s">
        <v>249</v>
      </c>
      <c r="B352" s="166"/>
      <c r="C352" s="166"/>
      <c r="D352" s="166"/>
      <c r="E352" s="16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5" t="s">
        <v>260</v>
      </c>
      <c r="B365" s="165"/>
      <c r="C365" s="165"/>
      <c r="D365" s="165"/>
      <c r="E365" s="16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5" t="s">
        <v>263</v>
      </c>
      <c r="B378" s="165"/>
      <c r="C378" s="165"/>
      <c r="D378" s="165"/>
      <c r="E378" s="16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66" t="s">
        <v>249</v>
      </c>
      <c r="B379" s="166"/>
      <c r="C379" s="166"/>
      <c r="D379" s="166"/>
      <c r="E379" s="16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5" t="s">
        <v>260</v>
      </c>
      <c r="B392" s="165"/>
      <c r="C392" s="165"/>
      <c r="D392" s="165"/>
      <c r="E392" s="16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5" t="s">
        <v>263</v>
      </c>
      <c r="B405" s="165"/>
      <c r="C405" s="165"/>
      <c r="D405" s="165"/>
      <c r="E405" s="16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66" t="s">
        <v>249</v>
      </c>
      <c r="B406" s="166"/>
      <c r="C406" s="166"/>
      <c r="D406" s="166"/>
      <c r="E406" s="16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5" t="s">
        <v>260</v>
      </c>
      <c r="B419" s="165"/>
      <c r="C419" s="165"/>
      <c r="D419" s="165"/>
      <c r="E419" s="16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5" t="s">
        <v>263</v>
      </c>
      <c r="B432" s="165"/>
      <c r="C432" s="165"/>
      <c r="D432" s="165"/>
      <c r="E432" s="16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66" t="s">
        <v>249</v>
      </c>
      <c r="B433" s="166"/>
      <c r="C433" s="166"/>
      <c r="D433" s="166"/>
      <c r="E433" s="16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5" t="s">
        <v>260</v>
      </c>
      <c r="B446" s="165"/>
      <c r="C446" s="165"/>
      <c r="D446" s="165"/>
      <c r="E446" s="16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5" t="s">
        <v>263</v>
      </c>
      <c r="B459" s="165"/>
      <c r="C459" s="165"/>
      <c r="D459" s="165"/>
      <c r="E459" s="16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66" t="s">
        <v>249</v>
      </c>
      <c r="B460" s="166"/>
      <c r="C460" s="166"/>
      <c r="D460" s="166"/>
      <c r="E460" s="16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5" t="s">
        <v>260</v>
      </c>
      <c r="B473" s="165"/>
      <c r="C473" s="165"/>
      <c r="D473" s="165"/>
      <c r="E473" s="16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5" t="s">
        <v>263</v>
      </c>
      <c r="B486" s="165"/>
      <c r="C486" s="165"/>
      <c r="D486" s="165"/>
      <c r="E486" s="16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66" t="s">
        <v>249</v>
      </c>
      <c r="B487" s="166"/>
      <c r="C487" s="166"/>
      <c r="D487" s="166"/>
      <c r="E487" s="16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5" t="s">
        <v>260</v>
      </c>
      <c r="B500" s="165"/>
      <c r="C500" s="165"/>
      <c r="D500" s="165"/>
      <c r="E500" s="16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259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259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294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259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259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259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259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259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259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259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259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259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274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5" t="s">
        <v>263</v>
      </c>
      <c r="B513" s="165"/>
      <c r="C513" s="165"/>
      <c r="D513" s="165"/>
      <c r="E513" s="165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261</v>
      </c>
      <c r="O513" s="74">
        <v>2435830</v>
      </c>
    </row>
    <row r="514" spans="1:15" ht="18" customHeight="1">
      <c r="A514" s="166" t="s">
        <v>249</v>
      </c>
      <c r="B514" s="166"/>
      <c r="C514" s="166"/>
      <c r="D514" s="166"/>
      <c r="E514" s="166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264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259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259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259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259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259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274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274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274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274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274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274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274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5" t="s">
        <v>260</v>
      </c>
      <c r="B527" s="165"/>
      <c r="C527" s="165"/>
      <c r="D527" s="165"/>
      <c r="E527" s="165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261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259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/>
      <c r="M528" s="66"/>
      <c r="N528" s="80" t="s">
        <v>295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39</v>
      </c>
      <c r="E529" s="62"/>
      <c r="F529" s="63"/>
      <c r="G529" s="69" t="str">
        <f t="shared" si="113"/>
        <v/>
      </c>
      <c r="H529" s="70"/>
      <c r="I529" s="70"/>
      <c r="J529" s="70"/>
      <c r="K529" s="65"/>
      <c r="L529" s="65"/>
      <c r="M529" s="71" t="str">
        <f t="shared" ref="M529:M539" ca="1" si="115">IFERROR(IF(K529="","",IF(L529="",MOD(NOW()-K529,1),IF(L529&gt;=K529,L529-K529,L529+1-K529))),"")</f>
        <v/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/>
      <c r="E530" s="62"/>
      <c r="F530" s="63"/>
      <c r="G530" s="64" t="str">
        <f t="shared" si="113"/>
        <v/>
      </c>
      <c r="H530" s="61"/>
      <c r="I530" s="61"/>
      <c r="J530" s="61"/>
      <c r="K530" s="65"/>
      <c r="L530" s="65"/>
      <c r="M530" s="66" t="str">
        <f t="shared" ca="1" si="115"/>
        <v/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/>
      <c r="E531" s="62"/>
      <c r="F531" s="63"/>
      <c r="G531" s="69" t="str">
        <f t="shared" si="113"/>
        <v/>
      </c>
      <c r="H531" s="70"/>
      <c r="I531" s="70"/>
      <c r="J531" s="70"/>
      <c r="K531" s="65"/>
      <c r="L531" s="65"/>
      <c r="M531" s="71" t="str">
        <f t="shared" ca="1" si="115"/>
        <v/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/>
      <c r="E532" s="62"/>
      <c r="F532" s="63"/>
      <c r="G532" s="64" t="str">
        <f t="shared" si="113"/>
        <v/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/>
      <c r="E533" s="62"/>
      <c r="F533" s="63"/>
      <c r="G533" s="69" t="str">
        <f t="shared" si="113"/>
        <v/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/>
      <c r="E534" s="62"/>
      <c r="F534" s="63"/>
      <c r="G534" s="64" t="str">
        <f t="shared" si="113"/>
        <v/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/>
      <c r="E535" s="62"/>
      <c r="F535" s="63"/>
      <c r="G535" s="69" t="str">
        <f t="shared" si="113"/>
        <v/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/>
      <c r="E536" s="62"/>
      <c r="F536" s="63"/>
      <c r="G536" s="64" t="str">
        <f t="shared" si="113"/>
        <v/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/>
      <c r="E537" s="62"/>
      <c r="F537" s="63"/>
      <c r="G537" s="69" t="str">
        <f t="shared" si="113"/>
        <v/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/>
      <c r="E538" s="62"/>
      <c r="F538" s="63"/>
      <c r="G538" s="64" t="str">
        <f t="shared" si="113"/>
        <v/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/>
      <c r="E539" s="62"/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5" t="s">
        <v>263</v>
      </c>
      <c r="B540" s="165"/>
      <c r="C540" s="165"/>
      <c r="D540" s="165"/>
      <c r="E540" s="165"/>
      <c r="F540" s="2">
        <f>SUM(F528:F539)</f>
        <v>17</v>
      </c>
      <c r="G540" s="2">
        <f>SUM(G528:G539)</f>
        <v>85</v>
      </c>
      <c r="H540" s="72"/>
      <c r="I540" s="72"/>
      <c r="J540" s="72"/>
      <c r="K540" s="72"/>
      <c r="L540" s="72"/>
      <c r="M540" s="73">
        <f ca="1">IFERROR(SUM(M528:M539),"")</f>
        <v>0</v>
      </c>
      <c r="N540" s="2" t="s">
        <v>261</v>
      </c>
      <c r="O540" s="74"/>
    </row>
    <row r="541" spans="1:15" ht="18" customHeight="1">
      <c r="A541" s="166" t="s">
        <v>249</v>
      </c>
      <c r="B541" s="166"/>
      <c r="C541" s="166"/>
      <c r="D541" s="166"/>
      <c r="E541" s="166"/>
      <c r="F541" s="1">
        <f>F527+F540</f>
        <v>205</v>
      </c>
      <c r="G541" s="1">
        <f>G527+G540</f>
        <v>966.6</v>
      </c>
      <c r="H541" s="76"/>
      <c r="I541" s="76"/>
      <c r="J541" s="76"/>
      <c r="K541" s="76"/>
      <c r="L541" s="76"/>
      <c r="M541" s="77">
        <f ca="1">IFERROR(M527+M540,"")</f>
        <v>4.5138888888888951E-2</v>
      </c>
      <c r="N541" s="1" t="s">
        <v>264</v>
      </c>
      <c r="O541" s="82">
        <f>IFERROR(O527+O540,"")</f>
        <v>1573200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5" t="s">
        <v>260</v>
      </c>
      <c r="B554" s="165"/>
      <c r="C554" s="165"/>
      <c r="D554" s="165"/>
      <c r="E554" s="16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5" t="s">
        <v>263</v>
      </c>
      <c r="B567" s="165"/>
      <c r="C567" s="165"/>
      <c r="D567" s="165"/>
      <c r="E567" s="16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66" t="s">
        <v>249</v>
      </c>
      <c r="B568" s="166"/>
      <c r="C568" s="166"/>
      <c r="D568" s="166"/>
      <c r="E568" s="16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5" t="s">
        <v>260</v>
      </c>
      <c r="B581" s="165"/>
      <c r="C581" s="165"/>
      <c r="D581" s="165"/>
      <c r="E581" s="16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5" t="s">
        <v>263</v>
      </c>
      <c r="B594" s="165"/>
      <c r="C594" s="165"/>
      <c r="D594" s="165"/>
      <c r="E594" s="16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66" t="s">
        <v>249</v>
      </c>
      <c r="B595" s="166"/>
      <c r="C595" s="166"/>
      <c r="D595" s="166"/>
      <c r="E595" s="16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5" t="s">
        <v>260</v>
      </c>
      <c r="B608" s="165"/>
      <c r="C608" s="165"/>
      <c r="D608" s="165"/>
      <c r="E608" s="16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5" t="s">
        <v>263</v>
      </c>
      <c r="B621" s="165"/>
      <c r="C621" s="165"/>
      <c r="D621" s="165"/>
      <c r="E621" s="16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66" t="s">
        <v>249</v>
      </c>
      <c r="B622" s="166"/>
      <c r="C622" s="166"/>
      <c r="D622" s="166"/>
      <c r="E622" s="16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5" t="s">
        <v>260</v>
      </c>
      <c r="B635" s="165"/>
      <c r="C635" s="165"/>
      <c r="D635" s="165"/>
      <c r="E635" s="16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5" t="s">
        <v>263</v>
      </c>
      <c r="B648" s="165"/>
      <c r="C648" s="165"/>
      <c r="D648" s="165"/>
      <c r="E648" s="16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66" t="s">
        <v>249</v>
      </c>
      <c r="B649" s="166"/>
      <c r="C649" s="166"/>
      <c r="D649" s="166"/>
      <c r="E649" s="16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5" t="s">
        <v>260</v>
      </c>
      <c r="B662" s="165"/>
      <c r="C662" s="165"/>
      <c r="D662" s="165"/>
      <c r="E662" s="16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5" t="s">
        <v>263</v>
      </c>
      <c r="B675" s="165"/>
      <c r="C675" s="165"/>
      <c r="D675" s="165"/>
      <c r="E675" s="16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66" t="s">
        <v>249</v>
      </c>
      <c r="B676" s="166"/>
      <c r="C676" s="166"/>
      <c r="D676" s="166"/>
      <c r="E676" s="16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5" t="s">
        <v>260</v>
      </c>
      <c r="B689" s="165"/>
      <c r="C689" s="165"/>
      <c r="D689" s="165"/>
      <c r="E689" s="16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5" t="s">
        <v>263</v>
      </c>
      <c r="B702" s="165"/>
      <c r="C702" s="165"/>
      <c r="D702" s="165"/>
      <c r="E702" s="16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66" t="s">
        <v>249</v>
      </c>
      <c r="B703" s="166"/>
      <c r="C703" s="166"/>
      <c r="D703" s="166"/>
      <c r="E703" s="16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5" t="s">
        <v>260</v>
      </c>
      <c r="B716" s="165"/>
      <c r="C716" s="165"/>
      <c r="D716" s="165"/>
      <c r="E716" s="16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5" t="s">
        <v>263</v>
      </c>
      <c r="B729" s="165"/>
      <c r="C729" s="165"/>
      <c r="D729" s="165"/>
      <c r="E729" s="16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66" t="s">
        <v>249</v>
      </c>
      <c r="B730" s="166"/>
      <c r="C730" s="166"/>
      <c r="D730" s="166"/>
      <c r="E730" s="16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5" t="s">
        <v>260</v>
      </c>
      <c r="B743" s="165"/>
      <c r="C743" s="165"/>
      <c r="D743" s="165"/>
      <c r="E743" s="16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5" t="s">
        <v>263</v>
      </c>
      <c r="B756" s="165"/>
      <c r="C756" s="165"/>
      <c r="D756" s="165"/>
      <c r="E756" s="16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66" t="s">
        <v>249</v>
      </c>
      <c r="B757" s="166"/>
      <c r="C757" s="166"/>
      <c r="D757" s="166"/>
      <c r="E757" s="16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5" t="s">
        <v>260</v>
      </c>
      <c r="B770" s="165"/>
      <c r="C770" s="165"/>
      <c r="D770" s="165"/>
      <c r="E770" s="16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5" t="s">
        <v>263</v>
      </c>
      <c r="B783" s="165"/>
      <c r="C783" s="165"/>
      <c r="D783" s="165"/>
      <c r="E783" s="16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66" t="s">
        <v>249</v>
      </c>
      <c r="B784" s="166"/>
      <c r="C784" s="166"/>
      <c r="D784" s="166"/>
      <c r="E784" s="16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5" t="s">
        <v>260</v>
      </c>
      <c r="B797" s="165"/>
      <c r="C797" s="165"/>
      <c r="D797" s="165"/>
      <c r="E797" s="16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5" t="s">
        <v>263</v>
      </c>
      <c r="B810" s="165"/>
      <c r="C810" s="165"/>
      <c r="D810" s="165"/>
      <c r="E810" s="16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66" t="s">
        <v>249</v>
      </c>
      <c r="B811" s="166"/>
      <c r="C811" s="166"/>
      <c r="D811" s="166"/>
      <c r="E811" s="16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5" t="s">
        <v>260</v>
      </c>
      <c r="B824" s="165"/>
      <c r="C824" s="165"/>
      <c r="D824" s="165"/>
      <c r="E824" s="16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5" t="s">
        <v>263</v>
      </c>
      <c r="B837" s="165"/>
      <c r="C837" s="165"/>
      <c r="D837" s="165"/>
      <c r="E837" s="16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66" t="s">
        <v>249</v>
      </c>
      <c r="B838" s="166"/>
      <c r="C838" s="166"/>
      <c r="D838" s="166"/>
      <c r="E838" s="16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tabSelected="1" zoomScale="80" zoomScaleNormal="80" workbookViewId="0">
      <pane ySplit="1" topLeftCell="A520" activePane="bottomLeft" state="frozen"/>
      <selection pane="bottomLeft" activeCell="N529" sqref="N529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298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299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300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301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302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303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304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305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0.74333043981459923</v>
      </c>
      <c r="R53" s="80" t="s">
        <v>306</v>
      </c>
      <c r="S53" s="67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0.88221932870348696</v>
      </c>
      <c r="R54" s="2" t="s">
        <v>261</v>
      </c>
      <c r="S54" s="113">
        <v>352430</v>
      </c>
      <c r="T54" s="114"/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0.96694155092570977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298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307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308</v>
      </c>
      <c r="Q96" s="66" t="str">
        <f t="shared" ref="Q96:Q107" ca="1" si="22">IFERROR(IF(O96="","",IF(P96="",MOD(NOW()-O96,1),IF(P96&gt;=O96,P96-O96,P96+1-O96))),"")</f>
        <v/>
      </c>
      <c r="R96" s="80" t="s">
        <v>309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310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311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312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313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314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315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6" t="s">
        <v>260</v>
      </c>
      <c r="B149" s="156"/>
      <c r="C149" s="156"/>
      <c r="D149" s="156"/>
      <c r="E149" s="156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316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317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314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318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319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312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307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320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321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322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323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324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325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326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327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319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314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307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6" t="s">
        <v>260</v>
      </c>
      <c r="B365" s="156"/>
      <c r="C365" s="156"/>
      <c r="D365" s="156"/>
      <c r="E365" s="156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328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329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330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331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332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333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334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335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336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337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338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314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261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264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261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0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0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274</v>
      </c>
      <c r="F529" s="88">
        <f>IFERROR(IF($D529="","",VLOOKUP($D529,Cadastro!$C$4:$E$7,3,FALSE())),"")</f>
        <v>0.24</v>
      </c>
      <c r="G529" s="89"/>
      <c r="H529" s="88" t="str">
        <f>IFERROR(IF($G529="","",$G529*$S$540/$G$540/Cadastro!$E$33),"")</f>
        <v/>
      </c>
      <c r="I529" s="90">
        <f>IFERROR(IF($D529="","",VLOOKUP($D529,Cadastro!$C$4:$G$7,5,FALSE())),"")</f>
        <v>0.6</v>
      </c>
      <c r="J529" s="91" t="str">
        <f t="shared" si="134"/>
        <v/>
      </c>
      <c r="K529" s="69" t="str">
        <f t="shared" si="135"/>
        <v/>
      </c>
      <c r="L529" s="70" t="s">
        <v>29</v>
      </c>
      <c r="M529" s="70"/>
      <c r="N529" s="70" t="s">
        <v>71</v>
      </c>
      <c r="O529" s="65">
        <v>0.86111111111111116</v>
      </c>
      <c r="P529" s="65">
        <v>0.86319444444444449</v>
      </c>
      <c r="Q529" s="71">
        <f t="shared" ca="1" si="136"/>
        <v>2.0833333333333259E-3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274</v>
      </c>
      <c r="F530" s="88">
        <f>IFERROR(IF($D530="","",VLOOKUP($D530,Cadastro!$C$4:$E$7,3,FALSE())),"")</f>
        <v>0.24</v>
      </c>
      <c r="G530" s="89"/>
      <c r="H530" s="88" t="str">
        <f>IFERROR(IF($G530="","",$G530*$S$540/$G$540/Cadastro!$E$33),"")</f>
        <v/>
      </c>
      <c r="I530" s="90">
        <f>IFERROR(IF($D530="","",VLOOKUP($D530,Cadastro!$C$4:$G$7,5,FALSE())),"")</f>
        <v>0.6</v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/>
      <c r="H531" s="88" t="str">
        <f>IFERROR(IF($G531="","",$G531*$S$540/$G$540/Cadastro!$E$33),"")</f>
        <v/>
      </c>
      <c r="I531" s="90">
        <f>IFERROR(IF($D531="","",VLOOKUP($D531,Cadastro!$C$4:$G$7,5,FALSE())),"")</f>
        <v>0.6</v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80"/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80"/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7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29.400000000000002</v>
      </c>
      <c r="L540" s="72"/>
      <c r="M540" s="72"/>
      <c r="N540" s="72"/>
      <c r="O540" s="72"/>
      <c r="P540" s="72"/>
      <c r="Q540" s="73">
        <f ca="1">IFERROR(SUM(Q528:Q539),"")</f>
        <v>1.3888888888888951E-2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186</v>
      </c>
      <c r="H541" s="108">
        <f>IFERROR(H527+H540,"")</f>
        <v>742.3900000000001</v>
      </c>
      <c r="I541" s="110"/>
      <c r="J541" s="111">
        <f>IFERROR(J527+J540,"")</f>
        <v>155.90189999999996</v>
      </c>
      <c r="K541" s="1">
        <f>K527+K540</f>
        <v>854.80000000000007</v>
      </c>
      <c r="L541" s="76"/>
      <c r="M541" s="76"/>
      <c r="N541" s="76"/>
      <c r="O541" s="76"/>
      <c r="P541" s="76"/>
      <c r="Q541" s="77">
        <f ca="1">IFERROR(Q527+Q540,"")</f>
        <v>7.8472222222222221E-2</v>
      </c>
      <c r="R541" s="1" t="s">
        <v>264</v>
      </c>
      <c r="S541" s="82">
        <f>IFERROR(S527+S540,"")</f>
        <v>742390</v>
      </c>
      <c r="T541" s="118">
        <f>IFERROR(J541,"")</f>
        <v>155.90189999999996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15" activePane="bottomLeft" state="frozen"/>
      <selection pane="bottomLeft" activeCell="D529" sqref="D529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339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301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340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307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339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339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341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342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343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344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345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346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347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315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6" t="s">
        <v>260</v>
      </c>
      <c r="B149" s="156"/>
      <c r="C149" s="156"/>
      <c r="D149" s="156"/>
      <c r="E149" s="156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307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348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349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318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318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350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351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352</v>
      </c>
      <c r="Q222" s="66" t="str">
        <f t="shared" ca="1" si="49"/>
        <v/>
      </c>
      <c r="R222" s="63" t="s">
        <v>353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354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325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355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326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307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6" t="s">
        <v>260</v>
      </c>
      <c r="B365" s="156"/>
      <c r="C365" s="156"/>
      <c r="D365" s="156"/>
      <c r="E365" s="156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356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329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357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358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6" t="s">
        <v>263</v>
      </c>
      <c r="B432" s="156"/>
      <c r="C432" s="156"/>
      <c r="D432" s="156"/>
      <c r="E432" s="156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57" t="s">
        <v>249</v>
      </c>
      <c r="B433" s="157"/>
      <c r="C433" s="157"/>
      <c r="D433" s="157"/>
      <c r="E433" s="157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359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359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360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307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361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346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362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363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6" t="s">
        <v>263</v>
      </c>
      <c r="B513" s="156"/>
      <c r="C513" s="156"/>
      <c r="D513" s="156"/>
      <c r="E513" s="156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261</v>
      </c>
      <c r="S513" s="74">
        <v>357140</v>
      </c>
      <c r="T513" s="99">
        <f>IFERROR(J513,"")</f>
        <v>61.810729999999992</v>
      </c>
    </row>
    <row r="514" spans="1:20" ht="18" customHeight="1">
      <c r="A514" s="157" t="s">
        <v>249</v>
      </c>
      <c r="B514" s="157"/>
      <c r="C514" s="157"/>
      <c r="D514" s="157"/>
      <c r="E514" s="157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264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364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261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0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0</v>
      </c>
      <c r="K528" s="64">
        <f t="shared" ref="K528:K539" si="132">IF(G528="","",IF(E528="PC 17",G528*4.2,IF(E528="PC 19",G528*5,IF(E528="CB",G528*24,""))))</f>
        <v>79.8</v>
      </c>
      <c r="L528" s="61"/>
      <c r="M528" s="61"/>
      <c r="N528" s="61"/>
      <c r="O528" s="65"/>
      <c r="P528" s="65"/>
      <c r="Q528" s="66" t="str">
        <f t="shared" ref="Q528:Q539" ca="1" si="133">IFERROR(IF(O528="","",IF(P528="",MOD(NOW()-O528,1),IF(P528&gt;=O528,P528-O528,P528+1-O528))),"")</f>
        <v/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/>
      <c r="F529" s="88">
        <f>IFERROR(IF($D529="","",VLOOKUP($D529,Cadastro!$C$4:$E$7,3,FALSE())),"")</f>
        <v>0.24</v>
      </c>
      <c r="G529" s="89"/>
      <c r="H529" s="88" t="str">
        <f>IFERROR(IF($G529="","",$G529*$S$540/$G$540/Cadastro!$E$33),"")</f>
        <v/>
      </c>
      <c r="I529" s="90">
        <f>IFERROR(IF($D529="","",VLOOKUP($D529,Cadastro!$C$4:$G$7,5,FALSE())),"")</f>
        <v>0.6</v>
      </c>
      <c r="J529" s="91" t="str">
        <f t="shared" si="131"/>
        <v/>
      </c>
      <c r="K529" s="69" t="str">
        <f t="shared" si="132"/>
        <v/>
      </c>
      <c r="L529" s="70"/>
      <c r="M529" s="70"/>
      <c r="N529" s="70"/>
      <c r="O529" s="65"/>
      <c r="P529" s="65"/>
      <c r="Q529" s="71" t="str">
        <f t="shared" ca="1" si="133"/>
        <v/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31</v>
      </c>
      <c r="E530" s="87"/>
      <c r="F530" s="88">
        <f>IFERROR(IF($D530="","",VLOOKUP($D530,Cadastro!$C$4:$E$7,3,FALSE())),"")</f>
        <v>0.35</v>
      </c>
      <c r="G530" s="89"/>
      <c r="H530" s="88" t="str">
        <f>IFERROR(IF($G530="","",$G530*$S$540/$G$540/Cadastro!$E$33),"")</f>
        <v/>
      </c>
      <c r="I530" s="90">
        <f>IFERROR(IF($D530="","",VLOOKUP($D530,Cadastro!$C$4:$G$7,5,FALSE())),"")</f>
        <v>0.6</v>
      </c>
      <c r="J530" s="91" t="str">
        <f t="shared" si="131"/>
        <v/>
      </c>
      <c r="K530" s="64" t="str">
        <f t="shared" si="132"/>
        <v/>
      </c>
      <c r="L530" s="61"/>
      <c r="M530" s="61"/>
      <c r="N530" s="61"/>
      <c r="O530" s="65"/>
      <c r="P530" s="65"/>
      <c r="Q530" s="66" t="str">
        <f t="shared" ca="1" si="133"/>
        <v/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31</v>
      </c>
      <c r="E531" s="87"/>
      <c r="F531" s="88">
        <f>IFERROR(IF($D531="","",VLOOKUP($D531,Cadastro!$C$4:$E$7,3,FALSE())),"")</f>
        <v>0.35</v>
      </c>
      <c r="G531" s="89"/>
      <c r="H531" s="88" t="str">
        <f>IFERROR(IF($G531="","",$G531*$S$540/$G$540/Cadastro!$E$33),"")</f>
        <v/>
      </c>
      <c r="I531" s="90">
        <f>IFERROR(IF($D531="","",VLOOKUP($D531,Cadastro!$C$4:$G$7,5,FALSE())),"")</f>
        <v>0.6</v>
      </c>
      <c r="J531" s="91" t="str">
        <f t="shared" si="131"/>
        <v/>
      </c>
      <c r="K531" s="69" t="str">
        <f t="shared" si="132"/>
        <v/>
      </c>
      <c r="L531" s="70"/>
      <c r="M531" s="70"/>
      <c r="N531" s="70"/>
      <c r="O531" s="65"/>
      <c r="P531" s="65"/>
      <c r="Q531" s="71" t="str">
        <f t="shared" ca="1" si="133"/>
        <v/>
      </c>
      <c r="R531" s="63"/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31</v>
      </c>
      <c r="E532" s="87"/>
      <c r="F532" s="88">
        <f>IFERROR(IF($D532="","",VLOOKUP($D532,Cadastro!$C$4:$E$7,3,FALSE())),"")</f>
        <v>0.35</v>
      </c>
      <c r="G532" s="89"/>
      <c r="H532" s="88" t="str">
        <f>IFERROR(IF($G532="","",$G532*$S$540/$G$540/Cadastro!$E$33),"")</f>
        <v/>
      </c>
      <c r="I532" s="90">
        <f>IFERROR(IF($D532="","",VLOOKUP($D532,Cadastro!$C$4:$G$7,5,FALSE())),"")</f>
        <v>0.6</v>
      </c>
      <c r="J532" s="91" t="str">
        <f t="shared" si="131"/>
        <v/>
      </c>
      <c r="K532" s="64" t="str">
        <f t="shared" si="132"/>
        <v/>
      </c>
      <c r="L532" s="61"/>
      <c r="M532" s="61"/>
      <c r="N532" s="61"/>
      <c r="O532" s="65"/>
      <c r="P532" s="65"/>
      <c r="Q532" s="66" t="str">
        <f t="shared" ca="1" si="133"/>
        <v/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31</v>
      </c>
      <c r="E533" s="87"/>
      <c r="F533" s="88">
        <f>IFERROR(IF($D533="","",VLOOKUP($D533,Cadastro!$C$4:$E$7,3,FALSE())),"")</f>
        <v>0.35</v>
      </c>
      <c r="G533" s="89"/>
      <c r="H533" s="88" t="str">
        <f>IFERROR(IF($G533="","",$G533*$S$540/$G$540/Cadastro!$E$33),"")</f>
        <v/>
      </c>
      <c r="I533" s="90">
        <f>IFERROR(IF($D533="","",VLOOKUP($D533,Cadastro!$C$4:$G$7,5,FALSE())),"")</f>
        <v>0.6</v>
      </c>
      <c r="J533" s="91" t="str">
        <f t="shared" si="131"/>
        <v/>
      </c>
      <c r="K533" s="69" t="str">
        <f t="shared" si="132"/>
        <v/>
      </c>
      <c r="L533" s="70"/>
      <c r="M533" s="70"/>
      <c r="N533" s="70"/>
      <c r="O533" s="65"/>
      <c r="P533" s="65"/>
      <c r="Q533" s="71" t="str">
        <f t="shared" ca="1" si="133"/>
        <v/>
      </c>
      <c r="R533" s="63"/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31</v>
      </c>
      <c r="E534" s="87"/>
      <c r="F534" s="88">
        <f>IFERROR(IF($D534="","",VLOOKUP($D534,Cadastro!$C$4:$E$7,3,FALSE())),"")</f>
        <v>0.35</v>
      </c>
      <c r="G534" s="89"/>
      <c r="H534" s="88" t="str">
        <f>IFERROR(IF($G534="","",$G534*$S$540/$G$540/Cadastro!$E$33),"")</f>
        <v/>
      </c>
      <c r="I534" s="90">
        <f>IFERROR(IF($D534="","",VLOOKUP($D534,Cadastro!$C$4:$G$7,5,FALSE())),"")</f>
        <v>0.6</v>
      </c>
      <c r="J534" s="91" t="str">
        <f t="shared" si="131"/>
        <v/>
      </c>
      <c r="K534" s="64" t="str">
        <f t="shared" si="132"/>
        <v/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31</v>
      </c>
      <c r="E535" s="87"/>
      <c r="F535" s="88">
        <f>IFERROR(IF($D535="","",VLOOKUP($D535,Cadastro!$C$4:$E$7,3,FALSE())),"")</f>
        <v>0.35</v>
      </c>
      <c r="G535" s="89"/>
      <c r="H535" s="88" t="str">
        <f>IFERROR(IF($G535="","",$G535*$S$540/$G$540/Cadastro!$E$33),"")</f>
        <v/>
      </c>
      <c r="I535" s="90">
        <f>IFERROR(IF($D535="","",VLOOKUP($D535,Cadastro!$C$4:$G$7,5,FALSE())),"")</f>
        <v>0.6</v>
      </c>
      <c r="J535" s="91" t="str">
        <f t="shared" si="131"/>
        <v/>
      </c>
      <c r="K535" s="69" t="str">
        <f t="shared" si="132"/>
        <v/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/>
      <c r="F536" s="88">
        <f>IFERROR(IF($D536="","",VLOOKUP($D536,Cadastro!$C$4:$E$7,3,FALSE())),"")</f>
        <v>0.35</v>
      </c>
      <c r="G536" s="89"/>
      <c r="H536" s="88" t="str">
        <f>IFERROR(IF($G536="","",$G536*$S$540/$G$540/Cadastro!$E$33),"")</f>
        <v/>
      </c>
      <c r="I536" s="90">
        <f>IFERROR(IF($D536="","",VLOOKUP($D536,Cadastro!$C$4:$G$7,5,FALSE())),"")</f>
        <v>0.6</v>
      </c>
      <c r="J536" s="91" t="str">
        <f t="shared" si="131"/>
        <v/>
      </c>
      <c r="K536" s="64" t="str">
        <f t="shared" si="132"/>
        <v/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/>
      <c r="F537" s="88">
        <f>IFERROR(IF($D537="","",VLOOKUP($D537,Cadastro!$C$4:$E$7,3,FALSE())),"")</f>
        <v>0.35</v>
      </c>
      <c r="G537" s="89"/>
      <c r="H537" s="88" t="str">
        <f>IFERROR(IF($G537="","",$G537*$S$540/$G$540/Cadastro!$E$33),"")</f>
        <v/>
      </c>
      <c r="I537" s="90">
        <f>IFERROR(IF($D537="","",VLOOKUP($D537,Cadastro!$C$4:$G$7,5,FALSE())),"")</f>
        <v>0.6</v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/>
      <c r="F538" s="88">
        <f>IFERROR(IF($D538="","",VLOOKUP($D538,Cadastro!$C$4:$E$7,3,FALSE())),"")</f>
        <v>0.35</v>
      </c>
      <c r="G538" s="89"/>
      <c r="H538" s="88" t="str">
        <f>IFERROR(IF($G538="","",$G538*$S$540/$G$540/Cadastro!$E$33),"")</f>
        <v/>
      </c>
      <c r="I538" s="90">
        <f>IFERROR(IF($D538="","",VLOOKUP($D538,Cadastro!$C$4:$G$7,5,FALSE())),"")</f>
        <v>0.6</v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/>
      <c r="F539" s="92">
        <f>IFERROR(IF($D539="","",VLOOKUP($D539,Cadastro!$C$4:$E$7,3,FALSE())),"")</f>
        <v>0.35</v>
      </c>
      <c r="G539" s="89"/>
      <c r="H539" s="92" t="str">
        <f>IFERROR(IF($G539="","",$G539*$S$540/$G$540/Cadastro!$E$33),"")</f>
        <v/>
      </c>
      <c r="I539" s="93">
        <f>IFERROR(IF($D539="","",VLOOKUP($D539,Cadastro!$C$4:$G$7,5,FALSE())),"")</f>
        <v>0.6</v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19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79.8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96</v>
      </c>
      <c r="H541" s="108">
        <f>IFERROR(H527+H540,"")</f>
        <v>393.13000000000005</v>
      </c>
      <c r="I541" s="110"/>
      <c r="J541" s="111">
        <f>IFERROR(J527+J540,"")</f>
        <v>82.557299999999998</v>
      </c>
      <c r="K541" s="1">
        <f>K527+K540</f>
        <v>428.8</v>
      </c>
      <c r="L541" s="76"/>
      <c r="M541" s="76"/>
      <c r="N541" s="76"/>
      <c r="O541" s="76"/>
      <c r="P541" s="76"/>
      <c r="Q541" s="77">
        <f ca="1">IFERROR(Q527+Q540,"")</f>
        <v>6.8749999999999922E-2</v>
      </c>
      <c r="R541" s="1" t="s">
        <v>264</v>
      </c>
      <c r="S541" s="82">
        <f>IFERROR(S527+S540,"")</f>
        <v>393130</v>
      </c>
      <c r="T541" s="118">
        <f>IFERROR(J541,"")</f>
        <v>82.557299999999998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517" activePane="bottomLeft" state="frozen"/>
      <selection pane="bottomLeft" activeCell="O528" sqref="O528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365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304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339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366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367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368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369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370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371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339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339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372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373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307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339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374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375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315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376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377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378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379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380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381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382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383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384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385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386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387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388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389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390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391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392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393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329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394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395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396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397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6" t="s">
        <v>263</v>
      </c>
      <c r="B432" s="156"/>
      <c r="C432" s="156"/>
      <c r="D432" s="156"/>
      <c r="E432" s="156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57" t="s">
        <v>249</v>
      </c>
      <c r="B433" s="157"/>
      <c r="C433" s="157"/>
      <c r="D433" s="157"/>
      <c r="E433" s="157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398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392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399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361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400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274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6" t="s">
        <v>263</v>
      </c>
      <c r="B513" s="156"/>
      <c r="C513" s="156"/>
      <c r="D513" s="156"/>
      <c r="E513" s="156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261</v>
      </c>
      <c r="S513" s="74">
        <v>727700</v>
      </c>
      <c r="T513" s="99">
        <f>IFERROR(J513,"")</f>
        <v>123.69990375</v>
      </c>
    </row>
    <row r="514" spans="1:20" ht="18" customHeight="1">
      <c r="A514" s="157" t="s">
        <v>249</v>
      </c>
      <c r="B514" s="157"/>
      <c r="C514" s="157"/>
      <c r="D514" s="157"/>
      <c r="E514" s="157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264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261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0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0</v>
      </c>
      <c r="K528" s="64">
        <f t="shared" ref="K528:K539" si="135">IF(G528="","",IF(E528="PC 17",G528*4.2,IF(E528="PC 19",G528*5,IF(E528="CB",G528*24,""))))</f>
        <v>92.4</v>
      </c>
      <c r="L528" s="61"/>
      <c r="M528" s="61"/>
      <c r="N528" s="61"/>
      <c r="O528" s="65">
        <v>0.86388888888888893</v>
      </c>
      <c r="P528" s="65"/>
      <c r="Q528" s="66">
        <f t="shared" ref="Q528:Q539" ca="1" si="136">IFERROR(IF(O528="","",IF(P528="",MOD(NOW()-O528,1),IF(P528&gt;=O528,P528-O528,P528+1-O528))),"")</f>
        <v>9.6932870656019077E-4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274</v>
      </c>
      <c r="F529" s="88">
        <f>IFERROR(IF($D529="","",VLOOKUP($D529,Cadastro!$C$4:$E$7,3,FALSE())),"")</f>
        <v>0.24</v>
      </c>
      <c r="G529" s="89"/>
      <c r="H529" s="88" t="str">
        <f>IFERROR(IF($G529="","",$G529*$S$540/$G$540/Cadastro!$E$33),"")</f>
        <v/>
      </c>
      <c r="I529" s="90">
        <f>IFERROR(IF($D529="","",VLOOKUP($D529,Cadastro!$C$4:$G$7,5,FALSE())),"")</f>
        <v>0.6</v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31</v>
      </c>
      <c r="E530" s="87" t="s">
        <v>274</v>
      </c>
      <c r="F530" s="88">
        <f>IFERROR(IF($D530="","",VLOOKUP($D530,Cadastro!$C$4:$E$7,3,FALSE())),"")</f>
        <v>0.35</v>
      </c>
      <c r="G530" s="89"/>
      <c r="H530" s="88" t="str">
        <f>IFERROR(IF($G530="","",$G530*$S$540/$G$540/Cadastro!$E$33),"")</f>
        <v/>
      </c>
      <c r="I530" s="90">
        <f>IFERROR(IF($D530="","",VLOOKUP($D530,Cadastro!$C$4:$G$7,5,FALSE())),"")</f>
        <v>0.6</v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31</v>
      </c>
      <c r="E531" s="87"/>
      <c r="F531" s="88">
        <f>IFERROR(IF($D531="","",VLOOKUP($D531,Cadastro!$C$4:$E$7,3,FALSE())),"")</f>
        <v>0.35</v>
      </c>
      <c r="G531" s="89"/>
      <c r="H531" s="88" t="str">
        <f>IFERROR(IF($G531="","",$G531*$S$540/$G$540/Cadastro!$E$33),"")</f>
        <v/>
      </c>
      <c r="I531" s="90">
        <f>IFERROR(IF($D531="","",VLOOKUP($D531,Cadastro!$C$4:$G$7,5,FALSE())),"")</f>
        <v>0.6</v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31</v>
      </c>
      <c r="E532" s="87"/>
      <c r="F532" s="88">
        <f>IFERROR(IF($D532="","",VLOOKUP($D532,Cadastro!$C$4:$E$7,3,FALSE())),"")</f>
        <v>0.35</v>
      </c>
      <c r="G532" s="89"/>
      <c r="H532" s="88" t="str">
        <f>IFERROR(IF($G532="","",$G532*$S$540/$G$540/Cadastro!$E$33),"")</f>
        <v/>
      </c>
      <c r="I532" s="90">
        <f>IFERROR(IF($D532="","",VLOOKUP($D532,Cadastro!$C$4:$G$7,5,FALSE())),"")</f>
        <v>0.6</v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31</v>
      </c>
      <c r="E533" s="87"/>
      <c r="F533" s="88">
        <f>IFERROR(IF($D533="","",VLOOKUP($D533,Cadastro!$C$4:$E$7,3,FALSE())),"")</f>
        <v>0.35</v>
      </c>
      <c r="G533" s="89"/>
      <c r="H533" s="88" t="str">
        <f>IFERROR(IF($G533="","",$G533*$S$540/$G$540/Cadastro!$E$33),"")</f>
        <v/>
      </c>
      <c r="I533" s="90">
        <f>IFERROR(IF($D533="","",VLOOKUP($D533,Cadastro!$C$4:$G$7,5,FALSE())),"")</f>
        <v>0.6</v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31</v>
      </c>
      <c r="E534" s="87"/>
      <c r="F534" s="88">
        <f>IFERROR(IF($D534="","",VLOOKUP($D534,Cadastro!$C$4:$E$7,3,FALSE())),"")</f>
        <v>0.35</v>
      </c>
      <c r="G534" s="89"/>
      <c r="H534" s="88" t="str">
        <f>IFERROR(IF($G534="","",$G534*$S$540/$G$540/Cadastro!$E$33),"")</f>
        <v/>
      </c>
      <c r="I534" s="90">
        <f>IFERROR(IF($D534="","",VLOOKUP($D534,Cadastro!$C$4:$G$7,5,FALSE())),"")</f>
        <v>0.6</v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31</v>
      </c>
      <c r="E535" s="87"/>
      <c r="F535" s="88">
        <f>IFERROR(IF($D535="","",VLOOKUP($D535,Cadastro!$C$4:$E$7,3,FALSE())),"")</f>
        <v>0.35</v>
      </c>
      <c r="G535" s="89"/>
      <c r="H535" s="88" t="str">
        <f>IFERROR(IF($G535="","",$G535*$S$540/$G$540/Cadastro!$E$33),"")</f>
        <v/>
      </c>
      <c r="I535" s="90">
        <f>IFERROR(IF($D535="","",VLOOKUP($D535,Cadastro!$C$4:$G$7,5,FALSE())),"")</f>
        <v>0.6</v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/>
      <c r="F536" s="88">
        <f>IFERROR(IF($D536="","",VLOOKUP($D536,Cadastro!$C$4:$E$7,3,FALSE())),"")</f>
        <v>0.35</v>
      </c>
      <c r="G536" s="89"/>
      <c r="H536" s="88" t="str">
        <f>IFERROR(IF($G536="","",$G536*$S$540/$G$540/Cadastro!$E$33),"")</f>
        <v/>
      </c>
      <c r="I536" s="90">
        <f>IFERROR(IF($D536="","",VLOOKUP($D536,Cadastro!$C$4:$G$7,5,FALSE())),"")</f>
        <v>0.6</v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/>
      <c r="F537" s="88">
        <f>IFERROR(IF($D537="","",VLOOKUP($D537,Cadastro!$C$4:$E$7,3,FALSE())),"")</f>
        <v>0.35</v>
      </c>
      <c r="G537" s="89"/>
      <c r="H537" s="88" t="str">
        <f>IFERROR(IF($G537="","",$G537*$S$540/$G$540/Cadastro!$E$33),"")</f>
        <v/>
      </c>
      <c r="I537" s="90">
        <f>IFERROR(IF($D537="","",VLOOKUP($D537,Cadastro!$C$4:$G$7,5,FALSE())),"")</f>
        <v>0.6</v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/>
      <c r="F538" s="88">
        <f>IFERROR(IF($D538="","",VLOOKUP($D538,Cadastro!$C$4:$E$7,3,FALSE())),"")</f>
        <v>0.35</v>
      </c>
      <c r="G538" s="89"/>
      <c r="H538" s="88" t="str">
        <f>IFERROR(IF($G538="","",$G538*$S$540/$G$540/Cadastro!$E$33),"")</f>
        <v/>
      </c>
      <c r="I538" s="90">
        <f>IFERROR(IF($D538="","",VLOOKUP($D538,Cadastro!$C$4:$G$7,5,FALSE())),"")</f>
        <v>0.6</v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/>
      <c r="F539" s="92">
        <f>IFERROR(IF($D539="","",VLOOKUP($D539,Cadastro!$C$4:$E$7,3,FALSE())),"")</f>
        <v>0.35</v>
      </c>
      <c r="G539" s="89"/>
      <c r="H539" s="92" t="str">
        <f>IFERROR(IF($G539="","",$G539*$S$540/$G$540/Cadastro!$E$33),"")</f>
        <v/>
      </c>
      <c r="I539" s="93">
        <f>IFERROR(IF($D539="","",VLOOKUP($D539,Cadastro!$C$4:$G$7,5,FALSE())),"")</f>
        <v>0.6</v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22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92.4</v>
      </c>
      <c r="L540" s="72"/>
      <c r="M540" s="72"/>
      <c r="N540" s="72"/>
      <c r="O540" s="134"/>
      <c r="P540" s="134"/>
      <c r="Q540" s="73">
        <f ca="1">IFERROR(SUM(Q528:Q539),"")</f>
        <v>9.6932870656019077E-4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219</v>
      </c>
      <c r="H541" s="108">
        <f>IFERROR(H527+H540,"")</f>
        <v>963.08999999999992</v>
      </c>
      <c r="I541" s="110"/>
      <c r="J541" s="111">
        <f>IFERROR(J527+J540,"")</f>
        <v>202.24889999999996</v>
      </c>
      <c r="K541" s="1">
        <f>K527+K540</f>
        <v>993.4</v>
      </c>
      <c r="L541" s="76"/>
      <c r="M541" s="76"/>
      <c r="N541" s="76"/>
      <c r="O541" s="135"/>
      <c r="P541" s="135"/>
      <c r="Q541" s="77">
        <f ca="1">IFERROR(Q527+Q540,"")</f>
        <v>5.0969328706560291E-2</v>
      </c>
      <c r="R541" s="1" t="s">
        <v>264</v>
      </c>
      <c r="S541" s="82">
        <f>IFERROR(S527+S540,"")</f>
        <v>963090</v>
      </c>
      <c r="T541" s="118">
        <f>IFERROR(J541,"")</f>
        <v>202.24889999999996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2026-08-21T00:45:53Z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