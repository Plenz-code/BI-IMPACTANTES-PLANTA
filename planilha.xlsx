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64" documentId="8_{AF585B22-221D-4780-BB9C-493D365A6A02}" xr6:coauthVersionLast="47" xr6:coauthVersionMax="47" xr10:uidLastSave="{D1608FCD-545D-4ECE-888E-03499099CA27}"/>
  <bookViews>
    <workbookView xWindow="-110" yWindow="-110" windowWidth="25820" windowHeight="15500" tabRatio="500" firstSheet="5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<sst xmlns="http://schemas.openxmlformats.org/spreadsheetml/2006/main" count="6155" uniqueCount="315">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</sst>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E1" zoomScale="85" zoomScaleNormal="85" workbookViewId="0">
      <selection activeCell="I13" sqref="I1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2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2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2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2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2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2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2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2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2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2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2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2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2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2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2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2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2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2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2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2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2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2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2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2"/>
      <c r="I52" s="16"/>
      <c r="J52" s="16"/>
      <c r="K52" s="16" t="s">
        <v>191</v>
      </c>
      <c r="L52" s="16"/>
      <c r="M52" s="16" t="s">
        <v>192</v>
      </c>
    </row>
    <row r="53" spans="1:13" ht="36" customHeight="1">
      <c r="H53" s="102"/>
      <c r="I53" s="17"/>
      <c r="J53" s="17"/>
      <c r="K53" s="17" t="s">
        <v>193</v>
      </c>
      <c r="L53" s="17"/>
      <c r="M53" s="17" t="s">
        <v>194</v>
      </c>
    </row>
    <row r="54" spans="1:13" ht="15" customHeight="1">
      <c r="H54" s="102"/>
      <c r="I54" s="16"/>
      <c r="J54" s="16"/>
      <c r="K54" s="16" t="s">
        <v>195</v>
      </c>
      <c r="L54" s="16"/>
      <c r="M54" s="16"/>
    </row>
    <row r="55" spans="1:13" ht="15" customHeight="1">
      <c r="H55" s="102"/>
      <c r="I55" s="17"/>
      <c r="J55" s="17"/>
      <c r="K55" s="17" t="s">
        <v>196</v>
      </c>
      <c r="L55" s="17"/>
      <c r="M55" s="17"/>
    </row>
    <row r="56" spans="1:13" ht="15" customHeight="1">
      <c r="H56" s="102"/>
      <c r="I56" s="16"/>
      <c r="J56" s="16"/>
      <c r="K56" s="16" t="s">
        <v>197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198</v>
      </c>
      <c r="L58" s="16"/>
      <c r="M58" s="16"/>
    </row>
    <row r="59" spans="1:13" ht="15" customHeight="1">
      <c r="H59" s="102"/>
      <c r="I59" s="17"/>
      <c r="J59" s="17"/>
      <c r="K59" s="17" t="s">
        <v>199</v>
      </c>
      <c r="L59" s="17"/>
      <c r="M59" s="17"/>
    </row>
    <row r="60" spans="1:13" ht="15" customHeight="1">
      <c r="H60" s="102"/>
      <c r="I60" s="16"/>
      <c r="J60" s="16"/>
      <c r="K60" s="87" t="s">
        <v>104</v>
      </c>
      <c r="L60" s="16"/>
      <c r="M60" s="16"/>
    </row>
    <row r="61" spans="1:13" ht="15" customHeight="1">
      <c r="H61" s="102"/>
      <c r="I61" s="17"/>
      <c r="J61" s="17"/>
      <c r="K61" s="17" t="s">
        <v>200</v>
      </c>
      <c r="L61" s="17"/>
      <c r="M61" s="17"/>
    </row>
    <row r="62" spans="1:13" ht="15" customHeight="1">
      <c r="H62" s="102"/>
      <c r="I62" s="16"/>
      <c r="J62" s="16"/>
      <c r="K62" s="16" t="s">
        <v>201</v>
      </c>
      <c r="L62" s="16"/>
      <c r="M62" s="16"/>
    </row>
    <row r="63" spans="1:13" ht="15" customHeight="1">
      <c r="H63" s="102"/>
      <c r="I63" s="17"/>
      <c r="J63" s="17"/>
      <c r="K63" s="17" t="s">
        <v>202</v>
      </c>
      <c r="L63" s="17"/>
      <c r="M63" s="17"/>
    </row>
    <row r="64" spans="1:13" ht="15" customHeight="1">
      <c r="H64" s="102"/>
      <c r="I64" s="16"/>
      <c r="J64" s="16"/>
      <c r="K64" s="16" t="s">
        <v>203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8" activePane="bottomLeft" state="frozen"/>
      <selection pane="bottomLeft" activeCell="J367" sqref="J3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217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219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5" t="s">
        <v>220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217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219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5" t="s">
        <v>220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217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219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5" t="s">
        <v>220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217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219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5" t="s">
        <v>220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217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219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5" t="s">
        <v>220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217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219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5" t="s">
        <v>220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217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219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5" t="s">
        <v>220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217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219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5" t="s">
        <v>220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217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183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219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5" t="s">
        <v>220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161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217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219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5" t="s">
        <v>220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106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217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106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2" t="s">
        <v>219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5" t="s">
        <v>220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125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110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129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217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219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5" t="s">
        <v>220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129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217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173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173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219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218</v>
      </c>
      <c r="O351" s="39">
        <v>701874</v>
      </c>
    </row>
    <row r="352" spans="1:15" ht="18" customHeight="1">
      <c r="A352" s="95" t="s">
        <v>220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177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183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217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183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183</v>
      </c>
      <c r="K367" s="29">
        <v>0.22291666666666668</v>
      </c>
      <c r="L367" s="29"/>
      <c r="M367" s="35">
        <f t="shared" ca="1" si="82"/>
        <v>4.1077546338783577E-3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215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215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219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2.3552199078322802E-2</v>
      </c>
      <c r="N378" s="36" t="s">
        <v>218</v>
      </c>
      <c r="O378" s="39"/>
    </row>
    <row r="379" spans="1:15" ht="18" customHeight="1">
      <c r="A379" s="95" t="s">
        <v>220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0.11452442130054492</v>
      </c>
      <c r="N379" s="40" t="s">
        <v>221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217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219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5" t="s">
        <v>220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217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219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5" t="s">
        <v>220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217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219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5" t="s">
        <v>220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217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219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5" t="s">
        <v>220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217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219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5" t="s">
        <v>220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217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219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5" t="s">
        <v>220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217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219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5" t="s">
        <v>220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217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219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5" t="s">
        <v>220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217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219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5" t="s">
        <v>220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217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219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5" t="s">
        <v>220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217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219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5" t="s">
        <v>220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217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219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5" t="s">
        <v>220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217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219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5" t="s">
        <v>220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217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219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5" t="s">
        <v>220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217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219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5" t="s">
        <v>220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217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219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5" t="s">
        <v>220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L376" sqref="L3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217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219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5" t="s">
        <v>220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217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219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5" t="s">
        <v>220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217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219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5" t="s">
        <v>220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217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219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5" t="s">
        <v>220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217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219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5" t="s">
        <v>220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249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217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219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5" t="s">
        <v>220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217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219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5" t="s">
        <v>220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217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219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5" t="s">
        <v>220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144</v>
      </c>
      <c r="J233" s="33" t="s">
        <v>176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144</v>
      </c>
      <c r="J234" s="26" t="s">
        <v>176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136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219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5" t="s">
        <v>220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217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122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154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151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219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5" t="s">
        <v>220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217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125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151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219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5" t="s">
        <v>220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130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133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111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154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217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152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109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219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5" t="s">
        <v>220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154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118</v>
      </c>
      <c r="J328" s="26" t="s">
        <v>111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112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217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118</v>
      </c>
      <c r="J339" s="33" t="s">
        <v>111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219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218</v>
      </c>
      <c r="O351" s="78">
        <v>598420</v>
      </c>
    </row>
    <row r="352" spans="1:15" ht="18" customHeight="1">
      <c r="A352" s="95" t="s">
        <v>220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154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154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126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217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126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126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235</v>
      </c>
      <c r="F370" s="27">
        <v>20</v>
      </c>
      <c r="G370" s="28">
        <f t="shared" si="81"/>
        <v>84</v>
      </c>
      <c r="H370" s="26" t="s">
        <v>20</v>
      </c>
      <c r="I370" s="26" t="s">
        <v>152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126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129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126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/>
      <c r="M376" s="30">
        <f t="shared" ca="1" si="82"/>
        <v>1.1052199079131242E-2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219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0.14716331019024237</v>
      </c>
      <c r="N378" s="36" t="s">
        <v>218</v>
      </c>
      <c r="O378" s="78"/>
    </row>
    <row r="379" spans="1:15" ht="18" customHeight="1">
      <c r="A379" s="95" t="s">
        <v>220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0.25688553241246453</v>
      </c>
      <c r="N379" s="40" t="s">
        <v>221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217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219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5" t="s">
        <v>220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217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219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5" t="s">
        <v>220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217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219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5" t="s">
        <v>220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217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219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5" t="s">
        <v>220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217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219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5" t="s">
        <v>220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217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219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5" t="s">
        <v>220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217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219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5" t="s">
        <v>220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217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219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5" t="s">
        <v>220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217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219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5" t="s">
        <v>220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217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219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5" t="s">
        <v>220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217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219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5" t="s">
        <v>220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217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219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5" t="s">
        <v>220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217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219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5" t="s">
        <v>220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217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219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5" t="s">
        <v>220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217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219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5" t="s">
        <v>220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217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219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5" t="s">
        <v>220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1" zoomScale="50" zoomScaleNormal="50" workbookViewId="0">
      <selection activeCell="F376" sqref="F3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217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219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5" t="s">
        <v>220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217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219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5" t="s">
        <v>220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217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219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5" t="s">
        <v>220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217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219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5" t="s">
        <v>220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217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219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5" t="s">
        <v>220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249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217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219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5" t="s">
        <v>220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217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219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5" t="s">
        <v>220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217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219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5" t="s">
        <v>220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217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144</v>
      </c>
      <c r="J231" s="33" t="s">
        <v>176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144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136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219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5" t="s">
        <v>220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217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192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119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219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5" t="s">
        <v>220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217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125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111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219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5" t="s">
        <v>220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130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130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111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217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219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5" t="s">
        <v>220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194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125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217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118</v>
      </c>
      <c r="J340" s="26" t="s">
        <v>111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219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218</v>
      </c>
      <c r="O351" s="39">
        <v>437940</v>
      </c>
    </row>
    <row r="352" spans="1:15" ht="18" customHeight="1">
      <c r="A352" s="95" t="s">
        <v>220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217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249</v>
      </c>
      <c r="K367" s="29">
        <v>0.2076388888888889</v>
      </c>
      <c r="L367" s="29"/>
      <c r="M367" s="35">
        <f t="shared" ca="1" si="82"/>
        <v>1.938553241052432E-2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235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235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235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219</v>
      </c>
      <c r="B378" s="93"/>
      <c r="C378" s="93"/>
      <c r="D378" s="93"/>
      <c r="E378" s="94">
        <f>SUM(E366:E377)</f>
        <v>0</v>
      </c>
      <c r="F378" s="36">
        <f>SUM(F366:F377)</f>
        <v>104</v>
      </c>
      <c r="G378" s="36">
        <f>SUM(G366:G377)</f>
        <v>436.80000000000007</v>
      </c>
      <c r="H378" s="37"/>
      <c r="I378" s="37"/>
      <c r="J378" s="37"/>
      <c r="K378" s="37"/>
      <c r="L378" s="37"/>
      <c r="M378" s="38">
        <f ca="1">IFERROR(SUM(M366:M377),"")</f>
        <v>3.1885532410524275E-2</v>
      </c>
      <c r="N378" s="36" t="s">
        <v>218</v>
      </c>
      <c r="O378" s="39"/>
    </row>
    <row r="379" spans="1:15" ht="18" customHeight="1">
      <c r="A379" s="95" t="s">
        <v>220</v>
      </c>
      <c r="B379" s="96"/>
      <c r="C379" s="96"/>
      <c r="D379" s="96"/>
      <c r="E379" s="97">
        <f>E365+E378</f>
        <v>0</v>
      </c>
      <c r="F379" s="40">
        <f>F365+F378</f>
        <v>113</v>
      </c>
      <c r="G379" s="40">
        <f>G365+G378</f>
        <v>474.60000000000008</v>
      </c>
      <c r="H379" s="41"/>
      <c r="I379" s="41"/>
      <c r="J379" s="41"/>
      <c r="K379" s="41"/>
      <c r="L379" s="41"/>
      <c r="M379" s="42">
        <f ca="1">IFERROR(M365+M378,"")</f>
        <v>0.46313553241052424</v>
      </c>
      <c r="N379" s="40" t="s">
        <v>221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217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219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5" t="s">
        <v>220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217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219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5" t="s">
        <v>220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217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219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5" t="s">
        <v>220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217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219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5" t="s">
        <v>220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217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219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5" t="s">
        <v>220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217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219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5" t="s">
        <v>220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217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219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5" t="s">
        <v>220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217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219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5" t="s">
        <v>220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217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219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5" t="s">
        <v>220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217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219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5" t="s">
        <v>220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217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219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5" t="s">
        <v>220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217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219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5" t="s">
        <v>220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217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219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5" t="s">
        <v>220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217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219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5" t="s">
        <v>220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217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219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5" t="s">
        <v>220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217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219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5" t="s">
        <v>220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8" activePane="bottomLeft" state="frozen"/>
      <selection pane="bottomLeft" activeCell="H377" sqref="H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217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219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5" t="s">
        <v>220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217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219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5" t="s">
        <v>220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217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219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5" t="s">
        <v>220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217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219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5" t="s">
        <v>220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217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0.97771886574628297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219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1.1770244213018386</v>
      </c>
      <c r="N135" s="36" t="s">
        <v>218</v>
      </c>
      <c r="O135" s="39">
        <v>729290</v>
      </c>
    </row>
    <row r="136" spans="1:18" ht="18" customHeight="1">
      <c r="A136" s="95" t="s">
        <v>220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1.5443855324129496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249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217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219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5" t="s">
        <v>220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217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219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5" t="s">
        <v>220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217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219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5" t="s">
        <v>220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217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151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136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219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5" t="s">
        <v>220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157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135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152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217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152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157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219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5" t="s">
        <v>220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157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152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157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217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152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111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219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5" t="s">
        <v>220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135</v>
      </c>
      <c r="J302" s="26" t="s">
        <v>125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217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135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166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111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111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111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127</v>
      </c>
      <c r="J317" s="33" t="s">
        <v>111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152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157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219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5" t="s">
        <v>220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157</v>
      </c>
      <c r="J327" s="33" t="s">
        <v>116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127</v>
      </c>
      <c r="J328" s="26" t="s">
        <v>111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217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152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152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219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218</v>
      </c>
      <c r="O351" s="39">
        <v>696140</v>
      </c>
    </row>
    <row r="352" spans="1:15" ht="18" customHeight="1">
      <c r="A352" s="95" t="s">
        <v>220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235</v>
      </c>
      <c r="F357" s="27">
        <v>10</v>
      </c>
      <c r="G357" s="34">
        <f t="shared" si="78"/>
        <v>42</v>
      </c>
      <c r="H357" s="33" t="s">
        <v>18</v>
      </c>
      <c r="I357" s="33" t="s">
        <v>135</v>
      </c>
      <c r="J357" s="33" t="s">
        <v>125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116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235</v>
      </c>
      <c r="F377" s="27"/>
      <c r="G377" s="34" t="str">
        <f t="shared" si="81"/>
        <v/>
      </c>
      <c r="H377" s="33" t="s">
        <v>20</v>
      </c>
      <c r="I377" s="33"/>
      <c r="J377" s="33"/>
      <c r="K377" s="29">
        <v>0.20347222222222222</v>
      </c>
      <c r="L377" s="29"/>
      <c r="M377" s="35">
        <f t="shared" ca="1" si="82"/>
        <v>2.3552199076220859E-2</v>
      </c>
      <c r="N377" s="27"/>
      <c r="O377" s="60"/>
    </row>
    <row r="378" spans="1:15" ht="15.75" customHeight="1">
      <c r="A378" s="92" t="s">
        <v>219</v>
      </c>
      <c r="B378" s="93"/>
      <c r="C378" s="93"/>
      <c r="D378" s="93"/>
      <c r="E378" s="94">
        <f>SUM(E366:E377)</f>
        <v>0</v>
      </c>
      <c r="F378" s="36">
        <f>SUM(F366:F377)</f>
        <v>151</v>
      </c>
      <c r="G378" s="36">
        <f>SUM(G366:G377)</f>
        <v>634.19999999999993</v>
      </c>
      <c r="H378" s="37"/>
      <c r="I378" s="37"/>
      <c r="J378" s="37"/>
      <c r="K378" s="61"/>
      <c r="L378" s="61"/>
      <c r="M378" s="38">
        <f ca="1">IFERROR(SUM(M366:M377),"")</f>
        <v>0.11035775463177651</v>
      </c>
      <c r="N378" s="36" t="s">
        <v>218</v>
      </c>
      <c r="O378" s="39"/>
    </row>
    <row r="379" spans="1:15" ht="18" customHeight="1">
      <c r="A379" s="95" t="s">
        <v>220</v>
      </c>
      <c r="B379" s="96"/>
      <c r="C379" s="96"/>
      <c r="D379" s="96"/>
      <c r="E379" s="97">
        <f>E365+E378</f>
        <v>0</v>
      </c>
      <c r="F379" s="40">
        <f>F365+F378</f>
        <v>276</v>
      </c>
      <c r="G379" s="40">
        <f>G365+G378</f>
        <v>1159.1999999999998</v>
      </c>
      <c r="H379" s="41"/>
      <c r="I379" s="41"/>
      <c r="J379" s="41"/>
      <c r="K379" s="63"/>
      <c r="L379" s="63"/>
      <c r="M379" s="42">
        <f ca="1">IFERROR(M365+M378,"")</f>
        <v>0.21521886574288768</v>
      </c>
      <c r="N379" s="40" t="s">
        <v>221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217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219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5" t="s">
        <v>220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217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219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5" t="s">
        <v>220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217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219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5" t="s">
        <v>220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217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219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5" t="s">
        <v>220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217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219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5" t="s">
        <v>220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217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219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5" t="s">
        <v>220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217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219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5" t="s">
        <v>220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217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219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5" t="s">
        <v>220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217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219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5" t="s">
        <v>220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217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219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5" t="s">
        <v>220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217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219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5" t="s">
        <v>220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217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219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5" t="s">
        <v>220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217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219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5" t="s">
        <v>220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217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219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5" t="s">
        <v>220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217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219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5" t="s">
        <v>220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217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219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5" t="s">
        <v>220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2026-07-15T09:27:26Z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