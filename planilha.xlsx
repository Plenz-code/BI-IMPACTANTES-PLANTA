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0358" documentId="8_{AF585B22-221D-4780-BB9C-493D365A6A02}" xr6:coauthVersionLast="47" xr6:coauthVersionMax="47" xr10:uidLastSave="{1A0F10DB-C149-4104-AC08-1AF0811024C4}"/>
  <bookViews>
    <workbookView xWindow="-110" yWindow="-110" windowWidth="25820" windowHeight="1550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<sst xmlns="http://schemas.openxmlformats.org/spreadsheetml/2006/main" count="8960" uniqueCount="375">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</sst>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6" activePane="bottomLeft" state="frozen"/>
      <selection pane="bottomLeft" activeCell="G35" sqref="G35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64593351</v>
      </c>
      <c r="D35" s="13">
        <f>IFERROR(SUM(D4:D34),"")</f>
        <v>25494250</v>
      </c>
      <c r="E35" s="13">
        <f>IFERROR(SUM(E4:E34),"")</f>
        <v>14327890</v>
      </c>
      <c r="F35" s="13">
        <f>IFERROR(SUM(F4:F34),"")</f>
        <v>28724440</v>
      </c>
      <c r="G35" s="13">
        <f>IFERROR(SUM(G4:G34),"")</f>
        <v>68546580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 t="s">
        <v>216</v>
      </c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549" activePane="bottomLeft" state="frozen"/>
      <selection pane="bottomLeft" activeCell="F577" sqref="F577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8.5703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227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229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231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231</v>
      </c>
      <c r="O27" s="39">
        <v>1183060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234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235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231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231</v>
      </c>
      <c r="O54" s="39">
        <v>959290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234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231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236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231</v>
      </c>
      <c r="O81" s="39">
        <v>878050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234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231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1700000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234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231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231</v>
      </c>
      <c r="O135" s="39">
        <v>862330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234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231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231</v>
      </c>
      <c r="O162" s="44">
        <v>1546080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234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231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>
        <v>2355810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234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231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231</v>
      </c>
      <c r="O216" s="45">
        <v>2013260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234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231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231</v>
      </c>
      <c r="O243" s="39">
        <v>1545480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234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231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>
        <v>1182690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234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231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241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242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242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242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242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242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242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242</v>
      </c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231</v>
      </c>
      <c r="O297" s="39">
        <v>1843460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234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243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244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231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245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245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245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245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>
        <v>1940000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234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231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231</v>
      </c>
      <c r="O351" s="39">
        <v>701874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234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247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231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231</v>
      </c>
      <c r="O378" s="39">
        <v>1088710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234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248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249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228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228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228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228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228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228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231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228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228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250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228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228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228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228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228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228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228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228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228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231</v>
      </c>
      <c r="O405" s="39">
        <v>1202270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234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228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251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228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228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252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228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228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228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228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228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253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253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228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231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228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228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228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228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228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228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228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228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228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228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>
        <v>1801910</v>
      </c>
    </row>
    <row r="433" spans="1:15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234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228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228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228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228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228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228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228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228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228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231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255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255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255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255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255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255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255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255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255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255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255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255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231</v>
      </c>
      <c r="O459" s="39">
        <v>2675000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234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>
        <v>2310070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228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228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228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228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228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231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228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228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228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228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228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228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228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228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228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228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>
        <v>1298429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234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256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228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228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228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228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228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228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228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228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228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228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228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231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228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228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257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228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228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228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228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228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228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228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228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228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228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231</v>
      </c>
      <c r="O540" s="39">
        <v>1240140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234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228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206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258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228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228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228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228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228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228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228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228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228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228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228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231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228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228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228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228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228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228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228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228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228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228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228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228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231</v>
      </c>
      <c r="O567" s="39">
        <v>1482110</v>
      </c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234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228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228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228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228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228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228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82</v>
      </c>
      <c r="G581" s="36">
        <f>SUM(G569:G580)</f>
        <v>410</v>
      </c>
      <c r="H581" s="37"/>
      <c r="I581" s="37"/>
      <c r="J581" s="37"/>
      <c r="K581" s="37"/>
      <c r="L581" s="37"/>
      <c r="M581" s="38">
        <f ca="1">IFERROR(SUM(M569:M580),"")</f>
        <v>4.8611111111111105E-2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82</v>
      </c>
      <c r="G595" s="40">
        <f>G581+G594</f>
        <v>410</v>
      </c>
      <c r="H595" s="41"/>
      <c r="I595" s="41"/>
      <c r="J595" s="41"/>
      <c r="K595" s="41"/>
      <c r="L595" s="41"/>
      <c r="M595" s="42">
        <f ca="1">IFERROR(M581+M594,"")</f>
        <v>4.8611111111111105E-2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59" t="s">
        <v>228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50" activePane="bottomLeft" state="frozen"/>
      <selection pane="bottomLeft" activeCell="G579" sqref="G57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231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231</v>
      </c>
      <c r="O27" s="77">
        <v>393200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234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259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231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255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84">
        <v>276360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234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231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231</v>
      </c>
      <c r="O81" s="54">
        <v>787860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234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231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231</v>
      </c>
      <c r="O108" s="54">
        <v>1087080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234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231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246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231</v>
      </c>
      <c r="O135" s="54">
        <v>794480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234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231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231</v>
      </c>
      <c r="O162" s="54">
        <v>882280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234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231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231</v>
      </c>
      <c r="O189" s="77"/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234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231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231</v>
      </c>
      <c r="O216" s="77">
        <v>648410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234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230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231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231</v>
      </c>
      <c r="O243" s="77">
        <v>849060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234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231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231</v>
      </c>
      <c r="O270" s="77">
        <v>625070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234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231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231</v>
      </c>
      <c r="O297" s="77">
        <v>761660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234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231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231</v>
      </c>
      <c r="O324" s="77">
        <v>524410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234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231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231</v>
      </c>
      <c r="O351" s="77">
        <v>598420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234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231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0.39413124999555293</v>
      </c>
      <c r="N377" s="46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0.55177013888444182</v>
      </c>
      <c r="N378" s="36" t="s">
        <v>231</v>
      </c>
      <c r="O378" s="77">
        <v>511980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0.66149236110666398</v>
      </c>
      <c r="N379" s="40" t="s">
        <v>234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231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255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246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231</v>
      </c>
      <c r="O405" s="77">
        <v>552440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234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255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231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0.37260347222036216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0.54343680555369556</v>
      </c>
      <c r="N432" s="36" t="s">
        <v>231</v>
      </c>
      <c r="O432" s="77">
        <v>484540</v>
      </c>
    </row>
    <row r="433" spans="1:15" ht="18" customHeight="1">
      <c r="A433" s="93" t="s">
        <v>233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0.68857569444258448</v>
      </c>
      <c r="N433" s="40" t="s">
        <v>234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231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231</v>
      </c>
      <c r="O459" s="77">
        <v>631190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234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231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231</v>
      </c>
      <c r="O486" s="77">
        <v>969510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234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231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231</v>
      </c>
      <c r="O513" s="77">
        <v>556040</v>
      </c>
    </row>
    <row r="514" spans="1:15" ht="18" customHeight="1">
      <c r="A514" s="93" t="s">
        <v>233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234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231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231</v>
      </c>
      <c r="O540" s="77">
        <v>548610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234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231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255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255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255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255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255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255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255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255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255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255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231</v>
      </c>
      <c r="O567" s="77">
        <v>722660</v>
      </c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234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255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255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255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255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255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255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255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255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255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255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255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255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182</v>
      </c>
      <c r="G581" s="36">
        <f>SUM(G569:G580)</f>
        <v>764.40000000000009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231</v>
      </c>
      <c r="O581" s="77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182</v>
      </c>
      <c r="G595" s="40">
        <f>G581+G594</f>
        <v>764.40000000000009</v>
      </c>
      <c r="H595" s="41"/>
      <c r="I595" s="41"/>
      <c r="J595" s="41"/>
      <c r="K595" s="41"/>
      <c r="L595" s="41"/>
      <c r="M595" s="42">
        <f ca="1">IFERROR(M581+M594,"")</f>
        <v>2.2916666666666696E-2</v>
      </c>
      <c r="N595" s="40" t="s">
        <v>234</v>
      </c>
      <c r="O595" s="83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43" zoomScale="50" zoomScaleNormal="50" workbookViewId="0">
      <selection activeCell="F577" sqref="F57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304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305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231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231</v>
      </c>
      <c r="O27" s="39">
        <v>308500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234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306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231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39">
        <v>124290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234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307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231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231</v>
      </c>
      <c r="O81" s="39">
        <v>396340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234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308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231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231</v>
      </c>
      <c r="O108" s="39">
        <v>41230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234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231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231</v>
      </c>
      <c r="O135" s="39">
        <v>381250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234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309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272</v>
      </c>
      <c r="K141" s="29">
        <v>0.71597222222222223</v>
      </c>
      <c r="L141" s="29" t="s">
        <v>310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231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231</v>
      </c>
      <c r="O162" s="39">
        <v>337120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234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312</v>
      </c>
      <c r="N166" s="27" t="s">
        <v>313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231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231</v>
      </c>
      <c r="O189" s="39">
        <v>747210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234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314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231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231</v>
      </c>
      <c r="O216" s="39">
        <v>468430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234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231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231</v>
      </c>
      <c r="O243" s="39">
        <v>575930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234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231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315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316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231</v>
      </c>
      <c r="O270" s="39">
        <v>483510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234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231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318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231</v>
      </c>
      <c r="O297" s="39">
        <v>487980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234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231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320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321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231</v>
      </c>
      <c r="O324" s="39">
        <v>609460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234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322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309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231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231</v>
      </c>
      <c r="O351" s="39">
        <v>437940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234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255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255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231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231</v>
      </c>
      <c r="O378" s="39">
        <v>473310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234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255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255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255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255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255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255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255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255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255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231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231</v>
      </c>
      <c r="O405" s="39">
        <v>507450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234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255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255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255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255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255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255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255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228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228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255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255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231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231</v>
      </c>
      <c r="O432" s="39">
        <v>229150</v>
      </c>
    </row>
    <row r="433" spans="1:15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234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231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231</v>
      </c>
      <c r="O459" s="39">
        <v>409980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234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228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228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228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228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231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231</v>
      </c>
      <c r="O486" s="39">
        <v>341550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234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324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228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231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231</v>
      </c>
      <c r="O513" s="39">
        <v>276610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234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231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325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326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327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231</v>
      </c>
      <c r="O540" s="39">
        <v>194990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234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328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231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255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329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255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255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255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255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255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255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255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255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255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231</v>
      </c>
      <c r="O567" s="39">
        <v>315860</v>
      </c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234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255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255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330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255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255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255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255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255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255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255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255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255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255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28</v>
      </c>
      <c r="G581" s="36">
        <f>SUM(G569:G580)</f>
        <v>117.60000000000002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28</v>
      </c>
      <c r="G595" s="40">
        <f>G581+G594</f>
        <v>117.60000000000002</v>
      </c>
      <c r="H595" s="41"/>
      <c r="I595" s="41"/>
      <c r="J595" s="41"/>
      <c r="K595" s="41"/>
      <c r="L595" s="41"/>
      <c r="M595" s="42">
        <f ca="1">IFERROR(M581+M594,"")</f>
        <v>4.3055555555555569E-2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549" activePane="bottomLeft" state="frozen"/>
      <selection pane="bottomLeft" activeCell="N570" sqref="N570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331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231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332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231</v>
      </c>
      <c r="O27" s="39">
        <v>202230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234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333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334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231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231</v>
      </c>
      <c r="O54" s="39">
        <v>473910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234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335</v>
      </c>
      <c r="L58" s="29">
        <v>0.54097222222222219</v>
      </c>
      <c r="M58" s="30" t="str">
        <f t="shared" ca="1" si="13"/>
        <v/>
      </c>
      <c r="N58" s="27" t="s">
        <v>336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231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304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337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338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339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340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231</v>
      </c>
      <c r="O81" s="39">
        <v>565120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234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341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231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231</v>
      </c>
      <c r="O108" s="39">
        <v>558590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234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342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231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343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344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0.38440914352395339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0.58371469907950901</v>
      </c>
      <c r="N135" s="36" t="s">
        <v>231</v>
      </c>
      <c r="O135" s="39">
        <v>729290</v>
      </c>
    </row>
    <row r="136" spans="1:18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0.95107581019062004</v>
      </c>
      <c r="N136" s="40" t="s">
        <v>234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345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231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309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346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231</v>
      </c>
      <c r="O162" s="39">
        <v>697320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234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255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347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231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231</v>
      </c>
      <c r="O189" s="39">
        <v>973580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234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348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349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231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350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231</v>
      </c>
      <c r="O216" s="45">
        <v>1060630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234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351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352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353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231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354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231</v>
      </c>
      <c r="O243" s="39">
        <v>982340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234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355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231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231</v>
      </c>
      <c r="O270" s="39">
        <v>1208450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234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231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231</v>
      </c>
      <c r="O297" s="39">
        <v>1049090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234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356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231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231</v>
      </c>
      <c r="O324" s="39">
        <v>1063720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234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230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231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357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358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231</v>
      </c>
      <c r="O351" s="39">
        <v>696140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234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309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231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255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255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255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359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231</v>
      </c>
      <c r="O378" s="39">
        <v>704750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234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360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347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231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361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362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231</v>
      </c>
      <c r="O405" s="39">
        <v>958130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234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231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363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231</v>
      </c>
      <c r="O432" s="39">
        <v>605220</v>
      </c>
    </row>
    <row r="433" spans="1:17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234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231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364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231</v>
      </c>
      <c r="O459" s="39">
        <v>615330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234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365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366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340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231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231</v>
      </c>
      <c r="O486" s="39">
        <v>1120830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234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340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228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228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228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255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255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255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255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255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231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367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231</v>
      </c>
      <c r="O513" s="39">
        <v>416720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234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216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368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369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231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231</v>
      </c>
      <c r="O540" s="39">
        <v>404370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234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370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371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372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231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255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373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255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255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255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255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255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255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255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255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255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231</v>
      </c>
      <c r="O567" s="39">
        <v>499820</v>
      </c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234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255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/>
      <c r="M569" s="35">
        <f t="shared" ref="M569:M574" ca="1" si="127">IFERROR(IF(K569="","",IF(L569="",MOD(NOW()-K569,1),IF(L569&gt;=K569,L569-K569,L569+1-K569))),"")</f>
        <v>0.34204803241300397</v>
      </c>
      <c r="N569" s="27" t="s">
        <v>374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255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255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255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255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255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255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255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255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255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255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255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0.34204803241300397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0.34204803241300397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2026-07-22T19:13:05Z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