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54" documentId="8_{C51EB6CB-002B-4D6B-B68F-DDEBDB4460C0}" xr6:coauthVersionLast="47" xr6:coauthVersionMax="47" xr10:uidLastSave="{F7C15747-2C6E-4DBE-AFDC-77306AA69FFA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<sst xmlns="http://schemas.openxmlformats.org/spreadsheetml/2006/main" count="5849" uniqueCount="341">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</sst>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F314" sqref="F314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15</v>
      </c>
      <c r="G324" s="36">
        <f>SUM(G312:G323)</f>
        <v>75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448</v>
      </c>
      <c r="G325" s="40">
        <f>G311+G324</f>
        <v>2240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94" activePane="bottomLeft" state="frozen"/>
      <selection pane="bottomLeft" activeCell="J314" sqref="J31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0.81416030092077563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0.95304918980966447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1.0377714120318868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/>
      <c r="M314" s="30">
        <f t="shared" ca="1" si="70"/>
        <v>1.6603009207756259E-3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/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51</v>
      </c>
      <c r="G324" s="36">
        <f>SUM(G312:G323)</f>
        <v>224.60000000000002</v>
      </c>
      <c r="H324" s="37"/>
      <c r="I324" s="37"/>
      <c r="J324" s="37"/>
      <c r="K324" s="37"/>
      <c r="L324" s="37"/>
      <c r="M324" s="38">
        <f ca="1">IFERROR(SUM(M312:M323),"")</f>
        <v>2.5271412031886653E-2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220</v>
      </c>
      <c r="G325" s="40">
        <f>G311+G324</f>
        <v>934.4</v>
      </c>
      <c r="H325" s="41"/>
      <c r="I325" s="41"/>
      <c r="J325" s="41"/>
      <c r="K325" s="41"/>
      <c r="L325" s="41"/>
      <c r="M325" s="42">
        <f ca="1">IFERROR(M311+M324,"")</f>
        <v>7.8743634254108796E-2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15" sqref="F31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0.74124363425653428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0.80304918981208984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0.86416030092320106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22</v>
      </c>
      <c r="G324" s="36">
        <f>SUM(G312:G323)</f>
        <v>95.6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145</v>
      </c>
      <c r="G325" s="40">
        <f>G311+G324</f>
        <v>612.19999999999993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J315" sqref="J315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75</v>
      </c>
      <c r="G324" s="36">
        <f>SUM(G312:G323)</f>
        <v>328.6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267</v>
      </c>
      <c r="G325" s="40">
        <f>G311+G324</f>
        <v>1135</v>
      </c>
      <c r="H325" s="41"/>
      <c r="I325" s="41"/>
      <c r="J325" s="41"/>
      <c r="K325" s="63"/>
      <c r="L325" s="63"/>
      <c r="M325" s="42">
        <f ca="1">IFERROR(M311+M324,"")</f>
        <v>7.5694444444444453E-2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2026-08-13T02:27:44Z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