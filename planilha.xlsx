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4180" documentId="8_{C51EB6CB-002B-4D6B-B68F-DDEBDB4460C0}" xr6:coauthVersionLast="47" xr6:coauthVersionMax="47" xr10:uidLastSave="{9100B37C-369E-41A1-B011-CDF8D201FA29}"/>
  <bookViews>
    <workbookView xWindow="-108" yWindow="-108" windowWidth="23256" windowHeight="12456" tabRatio="500" firstSheet="5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176" i="6" l="1"/>
  <c r="G137" i="4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<sst xmlns="http://schemas.openxmlformats.org/spreadsheetml/2006/main" count="4338" uniqueCount="305">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</sst>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3" sqref="G23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7" t="s">
        <v>0</v>
      </c>
      <c r="B1" s="107"/>
      <c r="C1" s="107"/>
      <c r="D1" s="107"/>
      <c r="E1" s="107"/>
      <c r="F1" s="107"/>
      <c r="G1" s="107"/>
    </row>
    <row r="2" spans="1:7" ht="24.75" customHeight="1">
      <c r="A2" s="108"/>
      <c r="B2" s="10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4836450</v>
      </c>
      <c r="D10" s="8">
        <f>IFERROR('Linha 1'!O190,"")</f>
        <v>728820</v>
      </c>
      <c r="E10" s="8">
        <f>IFERROR('Linha 2'!O190,"")</f>
        <v>343570</v>
      </c>
      <c r="F10" s="8">
        <f>IFERROR('Linha 3'!O190,"")</f>
        <v>1352150</v>
      </c>
      <c r="G10" s="9">
        <f t="shared" si="0"/>
        <v>2424540</v>
      </c>
    </row>
    <row r="11" spans="1:7" ht="15.75" customHeight="1">
      <c r="A11" s="10">
        <v>8</v>
      </c>
      <c r="B11" s="73">
        <v>46242</v>
      </c>
      <c r="C11" s="11">
        <f>IFERROR(Britador!O217,"")</f>
        <v>3244595</v>
      </c>
      <c r="D11" s="11">
        <f>IFERROR('Linha 1'!O217,"")</f>
        <v>1211130</v>
      </c>
      <c r="E11" s="11">
        <f>IFERROR('Linha 2'!O217,"")</f>
        <v>241230</v>
      </c>
      <c r="F11" s="11">
        <f>IFERROR('Linha 3'!O217,"")</f>
        <v>1397250</v>
      </c>
      <c r="G11" s="12">
        <f t="shared" si="0"/>
        <v>2849610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9" t="s">
        <v>9</v>
      </c>
      <c r="B35" s="109"/>
      <c r="C35" s="13">
        <f>IFERROR(SUM(C4:C34),"")</f>
        <v>27280880</v>
      </c>
      <c r="D35" s="13">
        <f>IFERROR(SUM(D4:D34),"")</f>
        <v>8323860</v>
      </c>
      <c r="E35" s="13">
        <f>IFERROR(SUM(E4:E34),"")</f>
        <v>3877580</v>
      </c>
      <c r="F35" s="13">
        <f>IFERROR(SUM(F4:F34),"")</f>
        <v>10848750</v>
      </c>
      <c r="G35" s="13">
        <f>IFERROR(SUM(G4:G34),"")</f>
        <v>23050190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J20" sqref="J2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0" t="s">
        <v>10</v>
      </c>
      <c r="B1" s="110"/>
      <c r="C1" s="110"/>
      <c r="D1" s="110"/>
      <c r="E1" s="110"/>
      <c r="F1" s="110"/>
      <c r="G1" s="110"/>
      <c r="H1" s="111"/>
      <c r="I1" s="112" t="s">
        <v>11</v>
      </c>
      <c r="J1" s="112"/>
      <c r="K1" s="112"/>
      <c r="L1" s="112"/>
      <c r="M1" s="112"/>
    </row>
    <row r="2" spans="1:13" ht="4.5" customHeight="1">
      <c r="H2" s="11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1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1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1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1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1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1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1"/>
      <c r="I19" s="17" t="s">
        <v>116</v>
      </c>
      <c r="J19" s="17" t="s">
        <v>117</v>
      </c>
      <c r="K19" s="17" t="s">
        <v>118</v>
      </c>
      <c r="L19" s="17"/>
      <c r="M19" s="17" t="s">
        <v>119</v>
      </c>
    </row>
    <row r="20" spans="1:13" ht="15.75" customHeight="1">
      <c r="A20" s="16"/>
      <c r="C20" s="16"/>
      <c r="E20" s="16"/>
      <c r="G20" s="16" t="s">
        <v>120</v>
      </c>
      <c r="H20" s="111"/>
      <c r="I20" s="16"/>
      <c r="J20" s="16"/>
      <c r="K20" s="16" t="s">
        <v>121</v>
      </c>
      <c r="L20" s="16"/>
      <c r="M20" s="16" t="s">
        <v>122</v>
      </c>
    </row>
    <row r="21" spans="1:13" ht="15.75" customHeight="1">
      <c r="A21" s="17"/>
      <c r="C21" s="17"/>
      <c r="E21" s="17"/>
      <c r="G21" s="17" t="s">
        <v>123</v>
      </c>
      <c r="H21" s="111"/>
      <c r="I21" s="17"/>
      <c r="J21" s="17"/>
      <c r="K21" s="17" t="s">
        <v>124</v>
      </c>
      <c r="L21" s="17"/>
      <c r="M21" s="17" t="s">
        <v>125</v>
      </c>
    </row>
    <row r="22" spans="1:13" ht="15.75" customHeight="1">
      <c r="A22" s="16"/>
      <c r="C22" s="16"/>
      <c r="E22" s="16"/>
      <c r="G22" s="16" t="s">
        <v>126</v>
      </c>
      <c r="H22" s="111"/>
      <c r="I22" s="16"/>
      <c r="J22" s="16"/>
      <c r="K22" s="16" t="s">
        <v>127</v>
      </c>
      <c r="L22" s="16"/>
      <c r="M22" s="16" t="s">
        <v>128</v>
      </c>
    </row>
    <row r="23" spans="1:13" ht="15.75" customHeight="1">
      <c r="A23" s="17"/>
      <c r="C23" s="17"/>
      <c r="E23" s="17"/>
      <c r="G23" s="17" t="s">
        <v>129</v>
      </c>
      <c r="H23" s="111"/>
      <c r="I23" s="17"/>
      <c r="J23" s="17"/>
      <c r="K23" s="17" t="s">
        <v>130</v>
      </c>
      <c r="L23" s="17"/>
      <c r="M23" s="17" t="s">
        <v>131</v>
      </c>
    </row>
    <row r="24" spans="1:13" ht="15.75" customHeight="1">
      <c r="A24" s="16"/>
      <c r="C24" s="16"/>
      <c r="E24" s="16"/>
      <c r="G24" s="16" t="s">
        <v>132</v>
      </c>
      <c r="H24" s="111"/>
      <c r="I24" s="16"/>
      <c r="J24" s="16"/>
      <c r="K24" s="16" t="s">
        <v>133</v>
      </c>
      <c r="L24" s="16"/>
      <c r="M24" s="16" t="s">
        <v>134</v>
      </c>
    </row>
    <row r="25" spans="1:13" ht="15.75" customHeight="1">
      <c r="A25" s="17"/>
      <c r="C25" s="17"/>
      <c r="E25" s="17"/>
      <c r="G25" s="17" t="s">
        <v>135</v>
      </c>
      <c r="H25" s="111"/>
      <c r="I25" s="17"/>
      <c r="J25" s="17"/>
      <c r="K25" s="17" t="s">
        <v>136</v>
      </c>
      <c r="L25" s="17"/>
      <c r="M25" s="17" t="s">
        <v>137</v>
      </c>
    </row>
    <row r="26" spans="1:13" ht="15.75" customHeight="1">
      <c r="A26" s="16"/>
      <c r="C26" s="16"/>
      <c r="E26" s="16"/>
      <c r="G26" s="16" t="s">
        <v>138</v>
      </c>
      <c r="H26" s="111"/>
      <c r="I26" s="16"/>
      <c r="J26" s="16"/>
      <c r="K26" s="16" t="s">
        <v>139</v>
      </c>
      <c r="L26" s="16"/>
      <c r="M26" s="16"/>
    </row>
    <row r="27" spans="1:13" ht="15.75" customHeight="1">
      <c r="A27" s="17"/>
      <c r="C27" s="17"/>
      <c r="E27" s="17"/>
      <c r="G27" s="17" t="s">
        <v>140</v>
      </c>
      <c r="H27" s="111"/>
      <c r="I27" s="17"/>
      <c r="J27" s="17"/>
      <c r="K27" s="17" t="s">
        <v>131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141</v>
      </c>
      <c r="H28" s="111"/>
      <c r="I28" s="16"/>
      <c r="J28" s="16"/>
      <c r="K28" s="16" t="s">
        <v>134</v>
      </c>
      <c r="L28" s="16"/>
      <c r="M28" s="16" t="s">
        <v>142</v>
      </c>
    </row>
    <row r="29" spans="1:13" ht="15.75" customHeight="1">
      <c r="A29" s="17"/>
      <c r="C29" s="17"/>
      <c r="E29" s="17"/>
      <c r="G29" s="17" t="s">
        <v>143</v>
      </c>
      <c r="H29" s="111"/>
      <c r="I29" s="17"/>
      <c r="J29" s="17"/>
      <c r="K29" s="17" t="s">
        <v>144</v>
      </c>
      <c r="L29" s="17"/>
      <c r="M29" s="17" t="s">
        <v>145</v>
      </c>
    </row>
    <row r="30" spans="1:13" ht="15.75" customHeight="1">
      <c r="A30" s="16"/>
      <c r="C30" s="16"/>
      <c r="E30" s="16"/>
      <c r="G30" s="16" t="s">
        <v>146</v>
      </c>
      <c r="H30" s="111"/>
      <c r="I30" s="16"/>
      <c r="J30" s="16"/>
      <c r="K30" s="16" t="s">
        <v>147</v>
      </c>
      <c r="L30" s="16"/>
      <c r="M30" s="16" t="s">
        <v>148</v>
      </c>
    </row>
    <row r="31" spans="1:13" ht="15.75" customHeight="1">
      <c r="A31" s="17"/>
      <c r="C31" s="17"/>
      <c r="E31" s="17"/>
      <c r="G31" s="17" t="s">
        <v>149</v>
      </c>
      <c r="H31" s="111"/>
      <c r="I31" s="17"/>
      <c r="J31" s="17"/>
      <c r="K31" s="18" t="s">
        <v>150</v>
      </c>
      <c r="L31" s="17"/>
      <c r="M31" s="17" t="s">
        <v>151</v>
      </c>
    </row>
    <row r="32" spans="1:13" ht="15.75" customHeight="1">
      <c r="A32" s="16"/>
      <c r="C32" s="16"/>
      <c r="E32" s="16"/>
      <c r="G32" s="16" t="s">
        <v>152</v>
      </c>
      <c r="H32" s="111"/>
      <c r="I32" s="16"/>
      <c r="J32" s="16"/>
      <c r="K32" s="16" t="s">
        <v>153</v>
      </c>
      <c r="L32" s="16"/>
      <c r="M32" t="s">
        <v>154</v>
      </c>
    </row>
    <row r="33" spans="1:13" ht="15.75" customHeight="1">
      <c r="A33" s="17"/>
      <c r="C33" s="17"/>
      <c r="E33" s="17"/>
      <c r="G33" s="17" t="s">
        <v>155</v>
      </c>
      <c r="H33" s="111"/>
      <c r="I33" s="17"/>
      <c r="J33" s="17"/>
      <c r="K33" s="18" t="s">
        <v>156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157</v>
      </c>
      <c r="H34" s="111"/>
      <c r="I34" s="16"/>
      <c r="J34" s="16"/>
      <c r="K34" s="16" t="s">
        <v>79</v>
      </c>
      <c r="L34" s="16"/>
      <c r="M34" s="16" t="s">
        <v>158</v>
      </c>
    </row>
    <row r="35" spans="1:13" ht="15.75" customHeight="1">
      <c r="A35" s="17"/>
      <c r="C35" s="17"/>
      <c r="E35" s="17"/>
      <c r="G35" s="17" t="s">
        <v>159</v>
      </c>
      <c r="H35" s="111"/>
      <c r="I35" s="17"/>
      <c r="J35" s="17"/>
      <c r="K35" s="17" t="s">
        <v>160</v>
      </c>
      <c r="L35" s="17"/>
      <c r="M35" s="17" t="s">
        <v>161</v>
      </c>
    </row>
    <row r="36" spans="1:13" ht="15.75" customHeight="1">
      <c r="A36" s="16"/>
      <c r="C36" s="16"/>
      <c r="E36" s="16"/>
      <c r="G36" s="16" t="s">
        <v>162</v>
      </c>
      <c r="H36" s="111"/>
      <c r="I36" s="16"/>
      <c r="J36" s="16"/>
      <c r="K36" s="16" t="s">
        <v>163</v>
      </c>
      <c r="L36" s="16"/>
      <c r="M36" s="16" t="s">
        <v>164</v>
      </c>
    </row>
    <row r="37" spans="1:13" ht="15.75" customHeight="1">
      <c r="A37" s="17"/>
      <c r="C37" s="17"/>
      <c r="E37" s="17"/>
      <c r="G37" s="17" t="s">
        <v>165</v>
      </c>
      <c r="H37" s="111"/>
      <c r="I37" s="17"/>
      <c r="J37" s="17"/>
      <c r="K37" s="17" t="s">
        <v>166</v>
      </c>
      <c r="L37" s="17"/>
      <c r="M37" s="17" t="s">
        <v>167</v>
      </c>
    </row>
    <row r="38" spans="1:13" ht="15.75" customHeight="1">
      <c r="A38" s="16"/>
      <c r="C38" s="16"/>
      <c r="E38" s="16"/>
      <c r="G38" s="16" t="s">
        <v>168</v>
      </c>
      <c r="H38" s="111"/>
      <c r="I38" s="16"/>
      <c r="J38" s="16"/>
      <c r="K38" s="16" t="s">
        <v>169</v>
      </c>
      <c r="L38" s="16"/>
      <c r="M38" s="16" t="s">
        <v>170</v>
      </c>
    </row>
    <row r="39" spans="1:13" ht="15.75" customHeight="1">
      <c r="A39" s="17"/>
      <c r="C39" s="17"/>
      <c r="E39" s="17"/>
      <c r="G39" s="17"/>
      <c r="H39" s="111"/>
      <c r="I39" s="17"/>
      <c r="J39" s="17"/>
      <c r="K39" s="17" t="s">
        <v>171</v>
      </c>
      <c r="L39" s="17"/>
      <c r="M39" s="17" t="s">
        <v>172</v>
      </c>
    </row>
    <row r="40" spans="1:13" ht="15.75" customHeight="1">
      <c r="A40" s="16"/>
      <c r="C40" s="16"/>
      <c r="E40" s="16"/>
      <c r="G40" s="16"/>
      <c r="H40" s="111"/>
      <c r="I40" s="16"/>
      <c r="J40" s="16"/>
      <c r="K40" s="16" t="s">
        <v>173</v>
      </c>
      <c r="L40" s="16"/>
      <c r="M40" s="16" t="s">
        <v>174</v>
      </c>
    </row>
    <row r="41" spans="1:13" ht="15.75" customHeight="1">
      <c r="A41" s="17"/>
      <c r="C41" s="17"/>
      <c r="E41" s="17"/>
      <c r="G41" s="17"/>
      <c r="H41" s="111"/>
      <c r="I41" s="17"/>
      <c r="J41" s="17"/>
      <c r="K41" s="17" t="s">
        <v>175</v>
      </c>
      <c r="L41" s="17"/>
      <c r="M41" s="17" t="s">
        <v>176</v>
      </c>
    </row>
    <row r="42" spans="1:13" ht="15.75" customHeight="1">
      <c r="A42" s="16"/>
      <c r="C42" s="16"/>
      <c r="E42" s="16"/>
      <c r="G42" s="16"/>
      <c r="H42" s="111"/>
      <c r="I42" s="16"/>
      <c r="J42" s="16"/>
      <c r="K42" s="16" t="s">
        <v>177</v>
      </c>
      <c r="L42" s="16"/>
      <c r="M42" s="16" t="s">
        <v>178</v>
      </c>
    </row>
    <row r="43" spans="1:13" ht="15.75" customHeight="1">
      <c r="A43" s="17"/>
      <c r="C43" s="17"/>
      <c r="E43" s="17"/>
      <c r="G43" s="17"/>
      <c r="H43" s="111"/>
      <c r="I43" s="17"/>
      <c r="J43" s="17"/>
      <c r="K43" s="17" t="s">
        <v>179</v>
      </c>
      <c r="L43" s="17"/>
      <c r="M43" s="17" t="s">
        <v>180</v>
      </c>
    </row>
    <row r="44" spans="1:13" ht="15.75" customHeight="1">
      <c r="A44" s="16"/>
      <c r="C44" s="16"/>
      <c r="E44" s="16"/>
      <c r="G44" s="16"/>
      <c r="H44" s="111"/>
      <c r="I44" s="16"/>
      <c r="J44" s="16"/>
      <c r="K44" s="16" t="s">
        <v>181</v>
      </c>
      <c r="L44" s="16"/>
      <c r="M44" s="16" t="s">
        <v>182</v>
      </c>
    </row>
    <row r="45" spans="1:13" ht="15.75" customHeight="1">
      <c r="A45" s="17"/>
      <c r="C45" s="17"/>
      <c r="E45" s="17"/>
      <c r="G45" s="17"/>
      <c r="H45" s="111"/>
      <c r="I45" s="17"/>
      <c r="J45" s="17"/>
      <c r="K45" s="17"/>
      <c r="L45" s="17"/>
      <c r="M45" s="17" t="s">
        <v>183</v>
      </c>
    </row>
    <row r="46" spans="1:13" ht="15.75" customHeight="1">
      <c r="A46" s="16"/>
      <c r="C46" s="16"/>
      <c r="E46" s="16"/>
      <c r="G46" s="16"/>
      <c r="H46" s="111"/>
      <c r="I46" s="16"/>
      <c r="J46" s="16"/>
      <c r="K46" s="16" t="s">
        <v>184</v>
      </c>
      <c r="L46" s="16"/>
      <c r="M46" s="16" t="s">
        <v>185</v>
      </c>
    </row>
    <row r="47" spans="1:13" ht="15.75" customHeight="1">
      <c r="A47" s="17"/>
      <c r="C47" s="17"/>
      <c r="E47" s="17"/>
      <c r="G47" s="17"/>
      <c r="H47" s="111"/>
      <c r="I47" s="17"/>
      <c r="J47" s="17"/>
      <c r="K47" s="17" t="s">
        <v>186</v>
      </c>
      <c r="L47" s="17"/>
      <c r="M47" s="17" t="s">
        <v>187</v>
      </c>
    </row>
    <row r="48" spans="1:13" ht="15.75" customHeight="1">
      <c r="A48" s="16"/>
      <c r="C48" s="16"/>
      <c r="E48" s="16"/>
      <c r="G48" s="16"/>
      <c r="H48" s="111"/>
      <c r="I48" s="16"/>
      <c r="J48" s="16"/>
      <c r="K48" s="16" t="s">
        <v>188</v>
      </c>
      <c r="L48" s="16"/>
      <c r="M48" s="16" t="s">
        <v>189</v>
      </c>
    </row>
    <row r="49" spans="1:13" ht="18" customHeight="1">
      <c r="H49" s="111"/>
      <c r="I49" s="17"/>
      <c r="J49" s="17"/>
      <c r="K49" s="17" t="s">
        <v>190</v>
      </c>
      <c r="L49" s="17"/>
      <c r="M49" s="17" t="s">
        <v>191</v>
      </c>
    </row>
    <row r="50" spans="1:13" ht="21" customHeight="1">
      <c r="A50" s="19" t="s">
        <v>192</v>
      </c>
      <c r="B50" s="19"/>
      <c r="C50" s="19"/>
      <c r="D50" s="19"/>
      <c r="E50" s="19"/>
      <c r="F50" s="19"/>
      <c r="G50" s="19"/>
      <c r="H50" s="111"/>
      <c r="I50" s="16"/>
      <c r="J50" s="16"/>
      <c r="K50" s="16" t="s">
        <v>193</v>
      </c>
      <c r="L50" s="16"/>
      <c r="M50" s="16" t="s">
        <v>194</v>
      </c>
    </row>
    <row r="51" spans="1:13" ht="24" customHeight="1">
      <c r="H51" s="111"/>
      <c r="I51" s="17"/>
      <c r="J51" s="17"/>
      <c r="K51" s="17" t="s">
        <v>195</v>
      </c>
      <c r="L51" s="17"/>
      <c r="M51" s="17" t="s">
        <v>196</v>
      </c>
    </row>
    <row r="52" spans="1:13" ht="24" customHeight="1">
      <c r="H52" s="111"/>
      <c r="I52" s="16"/>
      <c r="J52" s="16"/>
      <c r="K52" s="16" t="s">
        <v>197</v>
      </c>
      <c r="L52" s="16"/>
      <c r="M52" s="16" t="s">
        <v>198</v>
      </c>
    </row>
    <row r="53" spans="1:13" ht="36" customHeight="1">
      <c r="H53" s="111"/>
      <c r="I53" s="17"/>
      <c r="J53" s="17"/>
      <c r="K53" s="17" t="s">
        <v>199</v>
      </c>
      <c r="L53" s="17"/>
      <c r="M53" s="17" t="s">
        <v>200</v>
      </c>
    </row>
    <row r="54" spans="1:13" ht="15" customHeight="1">
      <c r="H54" s="111"/>
      <c r="I54" s="16"/>
      <c r="J54" s="16"/>
      <c r="K54" s="16" t="s">
        <v>201</v>
      </c>
      <c r="L54" s="16"/>
      <c r="M54" s="16" t="s">
        <v>202</v>
      </c>
    </row>
    <row r="55" spans="1:13" ht="15" customHeight="1">
      <c r="H55" s="111"/>
      <c r="I55" s="17"/>
      <c r="J55" s="17"/>
      <c r="K55" s="17" t="s">
        <v>203</v>
      </c>
      <c r="L55" s="17"/>
      <c r="M55" s="17" t="s">
        <v>204</v>
      </c>
    </row>
    <row r="56" spans="1:13" ht="15" customHeight="1">
      <c r="H56" s="111"/>
      <c r="I56" s="16"/>
      <c r="J56" s="16"/>
      <c r="K56" s="16" t="s">
        <v>205</v>
      </c>
      <c r="L56" s="16"/>
      <c r="M56" s="16" t="s">
        <v>206</v>
      </c>
    </row>
    <row r="57" spans="1:13" ht="15" customHeight="1">
      <c r="H57" s="111"/>
      <c r="I57" s="17"/>
      <c r="J57" s="17"/>
      <c r="K57" s="17" t="s">
        <v>50</v>
      </c>
      <c r="L57" s="17"/>
      <c r="M57" s="17"/>
    </row>
    <row r="58" spans="1:13" ht="15" customHeight="1">
      <c r="H58" s="111"/>
      <c r="I58" s="16"/>
      <c r="J58" s="16"/>
      <c r="K58" s="16" t="s">
        <v>207</v>
      </c>
      <c r="L58" s="16"/>
      <c r="M58" s="16"/>
    </row>
    <row r="59" spans="1:13" ht="15" customHeight="1">
      <c r="H59" s="111"/>
      <c r="I59" s="17"/>
      <c r="J59" s="17"/>
      <c r="K59" s="17" t="s">
        <v>208</v>
      </c>
      <c r="L59" s="17"/>
      <c r="M59" s="17"/>
    </row>
    <row r="60" spans="1:13" ht="15" customHeight="1">
      <c r="H60" s="111"/>
      <c r="I60" s="16"/>
      <c r="J60" s="16"/>
      <c r="K60" s="86" t="s">
        <v>105</v>
      </c>
      <c r="L60" s="16"/>
      <c r="M60" s="16"/>
    </row>
    <row r="61" spans="1:13" ht="15" customHeight="1">
      <c r="H61" s="111"/>
      <c r="I61" s="17"/>
      <c r="J61" s="17"/>
      <c r="K61" s="17" t="s">
        <v>209</v>
      </c>
      <c r="L61" s="17"/>
      <c r="M61" s="17"/>
    </row>
    <row r="62" spans="1:13" ht="15" customHeight="1">
      <c r="H62" s="111"/>
      <c r="I62" s="16"/>
      <c r="J62" s="16"/>
      <c r="K62" s="16" t="s">
        <v>210</v>
      </c>
      <c r="L62" s="16"/>
      <c r="M62" s="16"/>
    </row>
    <row r="63" spans="1:13" ht="15" customHeight="1">
      <c r="H63" s="111"/>
      <c r="I63" s="17"/>
      <c r="J63" s="17"/>
      <c r="K63" s="17" t="s">
        <v>211</v>
      </c>
      <c r="L63" s="17"/>
      <c r="M63" s="17"/>
    </row>
    <row r="64" spans="1:13" ht="15" customHeight="1">
      <c r="H64" s="111"/>
      <c r="I64" s="16"/>
      <c r="J64" s="16"/>
      <c r="K64" s="16" t="s">
        <v>212</v>
      </c>
      <c r="L64" s="16"/>
      <c r="M64" s="16"/>
    </row>
    <row r="65" spans="8:13" ht="15" customHeight="1">
      <c r="H65" s="111"/>
      <c r="I65" s="17"/>
      <c r="J65" s="17"/>
      <c r="K65" s="17" t="s">
        <v>213</v>
      </c>
      <c r="L65" s="17"/>
      <c r="M65" s="17"/>
    </row>
    <row r="66" spans="8:13" ht="15" customHeight="1">
      <c r="H66" s="111"/>
      <c r="I66" s="16"/>
      <c r="J66" s="16"/>
      <c r="K66" s="16" t="s">
        <v>214</v>
      </c>
      <c r="L66" s="16"/>
      <c r="M66" s="16"/>
    </row>
    <row r="67" spans="8:13" ht="15" customHeight="1">
      <c r="H67" s="111"/>
      <c r="I67" s="17"/>
      <c r="J67" s="17"/>
      <c r="K67" s="17" t="s">
        <v>215</v>
      </c>
      <c r="L67" s="17"/>
      <c r="M67" s="17"/>
    </row>
    <row r="68" spans="8:13" ht="15" customHeight="1">
      <c r="H68" s="111"/>
      <c r="I68" s="16"/>
      <c r="J68" s="16"/>
      <c r="K68" s="16" t="s">
        <v>216</v>
      </c>
      <c r="L68" s="16"/>
      <c r="M68" s="16"/>
    </row>
    <row r="69" spans="8:13" ht="15" customHeight="1">
      <c r="H69" s="111"/>
      <c r="I69" s="17"/>
      <c r="J69" s="17"/>
      <c r="K69" s="17" t="s">
        <v>217</v>
      </c>
      <c r="L69" s="17"/>
      <c r="M69" s="17"/>
    </row>
    <row r="70" spans="8:13" ht="15" customHeight="1">
      <c r="H70" s="111"/>
      <c r="I70" s="16"/>
      <c r="J70" s="16"/>
      <c r="K70" s="16" t="s">
        <v>218</v>
      </c>
      <c r="L70" s="16"/>
      <c r="M70" s="16"/>
    </row>
    <row r="71" spans="8:13" ht="15" customHeight="1">
      <c r="H71" s="111"/>
      <c r="I71" s="17"/>
      <c r="J71" s="17"/>
      <c r="K71" s="17" t="s">
        <v>219</v>
      </c>
      <c r="L71" s="17"/>
      <c r="M71" s="17"/>
    </row>
    <row r="72" spans="8:13" ht="15" customHeight="1">
      <c r="H72" s="111"/>
      <c r="I72" s="16"/>
      <c r="J72" s="16"/>
      <c r="K72" s="16" t="s">
        <v>220</v>
      </c>
      <c r="L72" s="16"/>
      <c r="M72" s="16"/>
    </row>
    <row r="73" spans="8:13" ht="15" customHeight="1">
      <c r="H73" s="111"/>
      <c r="I73" s="17"/>
      <c r="J73" s="17"/>
      <c r="K73" s="17" t="s">
        <v>221</v>
      </c>
      <c r="L73" s="17"/>
      <c r="M73" s="17"/>
    </row>
    <row r="74" spans="8:13" ht="15" customHeight="1">
      <c r="H74" s="111"/>
      <c r="I74" s="16"/>
      <c r="J74" s="16"/>
      <c r="K74" s="16" t="s">
        <v>222</v>
      </c>
      <c r="L74" s="16"/>
      <c r="M74" s="16"/>
    </row>
    <row r="75" spans="8:13" ht="15" customHeight="1">
      <c r="H75" s="11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208" activePane="bottomLeft" state="frozen"/>
      <selection pane="bottomLeft" activeCell="D225" sqref="D225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7.570312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233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233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233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233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233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233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233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233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233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233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233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233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235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233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131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233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233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236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233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233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233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233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233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233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233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1" t="s">
        <v>237</v>
      </c>
      <c r="B27" s="102"/>
      <c r="C27" s="102"/>
      <c r="D27" s="102"/>
      <c r="E27" s="103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235</v>
      </c>
      <c r="O27" s="39">
        <v>997910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239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233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156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233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130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240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233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236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233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233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233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233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233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233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1" t="s">
        <v>234</v>
      </c>
      <c r="B41" s="102"/>
      <c r="C41" s="102"/>
      <c r="D41" s="102"/>
      <c r="E41" s="103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235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233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241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233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233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233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233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233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233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235</v>
      </c>
      <c r="O54" s="39">
        <v>981310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239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233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156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233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134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233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233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233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233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233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233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233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233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233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233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235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233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233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242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233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233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233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233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233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233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233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233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235</v>
      </c>
      <c r="O81" s="39">
        <v>1547910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239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233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233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134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233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145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243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233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233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233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233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233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233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233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235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233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233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233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233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233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233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244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233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233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233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233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233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235</v>
      </c>
      <c r="O108" s="39">
        <v>3156240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239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233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233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233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233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233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235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233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233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233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233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233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233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233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233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233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233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233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233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235</v>
      </c>
      <c r="O135" s="39">
        <v>2875180</v>
      </c>
    </row>
    <row r="136" spans="1:15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239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233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245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233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233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233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233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233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233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233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233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233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1" t="s">
        <v>234</v>
      </c>
      <c r="B149" s="102"/>
      <c r="C149" s="102"/>
      <c r="D149" s="102"/>
      <c r="E149" s="103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235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233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134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233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246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233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134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233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233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145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233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233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233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233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233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235</v>
      </c>
      <c r="O162" s="44">
        <v>842000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239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233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222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247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233</v>
      </c>
      <c r="F165" s="27">
        <v>35</v>
      </c>
      <c r="G165" s="34">
        <f t="shared" si="36"/>
        <v>175</v>
      </c>
      <c r="H165" s="33" t="s">
        <v>16</v>
      </c>
      <c r="I165" s="33" t="s">
        <v>23</v>
      </c>
      <c r="J165" s="33" t="s">
        <v>116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233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233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233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233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233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233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233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233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233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233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235</v>
      </c>
      <c r="O176" s="39">
        <v>2934820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233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17</v>
      </c>
      <c r="I177" s="33" t="s">
        <v>23</v>
      </c>
      <c r="J177" s="33" t="s">
        <v>87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248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233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233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233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233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233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233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233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233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233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233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235</v>
      </c>
      <c r="O189" s="39">
        <v>1901630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239</v>
      </c>
      <c r="O190" s="43">
        <f>IFERROR(O176+O189,"")</f>
        <v>4836450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233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20</v>
      </c>
      <c r="I191" s="33" t="s">
        <v>23</v>
      </c>
      <c r="J191" s="33" t="s">
        <v>36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233</v>
      </c>
      <c r="F192" s="27">
        <v>15</v>
      </c>
      <c r="G192" s="28">
        <f t="shared" si="42"/>
        <v>75</v>
      </c>
      <c r="H192" s="26" t="s">
        <v>20</v>
      </c>
      <c r="I192" s="26" t="s">
        <v>23</v>
      </c>
      <c r="J192" s="26" t="s">
        <v>36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233</v>
      </c>
      <c r="F193" s="27">
        <v>20</v>
      </c>
      <c r="G193" s="34">
        <f t="shared" si="42"/>
        <v>100</v>
      </c>
      <c r="H193" s="33" t="s">
        <v>20</v>
      </c>
      <c r="I193" s="33" t="s">
        <v>23</v>
      </c>
      <c r="J193" s="33" t="s">
        <v>36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250</v>
      </c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233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233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233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233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233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233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233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233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233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235</v>
      </c>
      <c r="O203" s="45">
        <v>1392300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233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233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233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233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233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233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233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233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233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233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233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233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235</v>
      </c>
      <c r="O216" s="45">
        <v>1852295</v>
      </c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239</v>
      </c>
      <c r="O217" s="48">
        <f>IFERROR(O203+O216,"")</f>
        <v>3244595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1" t="s">
        <v>234</v>
      </c>
      <c r="B230" s="102"/>
      <c r="C230" s="102"/>
      <c r="D230" s="102"/>
      <c r="E230" s="10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1" t="s">
        <v>234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1" t="s">
        <v>234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1" t="s">
        <v>237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/>
    </row>
    <row r="433" spans="1:15" ht="18" customHeight="1">
      <c r="A433" s="104" t="s">
        <v>238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1" t="s">
        <v>237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4" t="s">
        <v>238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13" t="s">
        <v>238</v>
      </c>
      <c r="B811" s="114"/>
      <c r="C811" s="114"/>
      <c r="D811" s="114"/>
      <c r="E811" s="115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tabSelected="1" zoomScale="50" zoomScaleNormal="50" workbookViewId="0">
      <pane ySplit="1" topLeftCell="A197" activePane="bottomLeft" state="frozen"/>
      <selection pane="bottomLeft" activeCell="C218" sqref="C218:C228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8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159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251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130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252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253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131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131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235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249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249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249</v>
      </c>
      <c r="F17" s="27">
        <v>26</v>
      </c>
      <c r="G17" s="34">
        <f t="shared" si="3"/>
        <v>109.2</v>
      </c>
      <c r="H17" s="33" t="s">
        <v>17</v>
      </c>
      <c r="I17" s="33" t="s">
        <v>135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249</v>
      </c>
      <c r="F18" s="27">
        <v>1</v>
      </c>
      <c r="G18" s="34">
        <f t="shared" si="3"/>
        <v>4.2</v>
      </c>
      <c r="H18" s="26" t="s">
        <v>20</v>
      </c>
      <c r="I18" s="26" t="s">
        <v>157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249</v>
      </c>
      <c r="F19" s="27">
        <v>1</v>
      </c>
      <c r="G19" s="34">
        <f t="shared" si="3"/>
        <v>4.2</v>
      </c>
      <c r="H19" s="33" t="s">
        <v>17</v>
      </c>
      <c r="I19" s="33" t="s">
        <v>135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254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249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255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249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249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249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249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249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1" t="s">
        <v>237</v>
      </c>
      <c r="B27" s="102"/>
      <c r="C27" s="102"/>
      <c r="D27" s="102"/>
      <c r="E27" s="103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235</v>
      </c>
      <c r="O27" s="77">
        <v>549860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239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249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157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249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249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249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249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249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249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249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249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1" t="s">
        <v>234</v>
      </c>
      <c r="B41" s="102"/>
      <c r="C41" s="102"/>
      <c r="D41" s="102"/>
      <c r="E41" s="103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235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249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249</v>
      </c>
      <c r="F45" s="27">
        <v>3</v>
      </c>
      <c r="G45" s="28">
        <f t="shared" si="9"/>
        <v>12.600000000000001</v>
      </c>
      <c r="H45" s="33" t="s">
        <v>20</v>
      </c>
      <c r="I45" s="33" t="s">
        <v>159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249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249</v>
      </c>
      <c r="F47" s="27">
        <v>0</v>
      </c>
      <c r="G47" s="28">
        <f t="shared" si="9"/>
        <v>0</v>
      </c>
      <c r="H47" s="33" t="s">
        <v>20</v>
      </c>
      <c r="I47" s="33" t="s">
        <v>159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249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256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249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257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249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249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130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258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249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130</v>
      </c>
      <c r="K53" s="29">
        <v>0.12152777777777778</v>
      </c>
      <c r="L53" s="29"/>
      <c r="M53" s="30">
        <f t="shared" ca="1" si="11"/>
        <v>0.1672446759257582</v>
      </c>
      <c r="N53" s="46" t="s">
        <v>259</v>
      </c>
      <c r="O53" s="31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0.3061335648146471</v>
      </c>
      <c r="N54" s="36" t="s">
        <v>235</v>
      </c>
      <c r="O54" s="84">
        <v>352430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0.39085578703686941</v>
      </c>
      <c r="N55" s="40" t="s">
        <v>239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249</v>
      </c>
      <c r="F57" s="27">
        <v>17</v>
      </c>
      <c r="G57" s="34">
        <f t="shared" si="12"/>
        <v>71.400000000000006</v>
      </c>
      <c r="H57" s="33" t="s">
        <v>20</v>
      </c>
      <c r="I57" s="33" t="s">
        <v>123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10</v>
      </c>
      <c r="G58" s="28">
        <f t="shared" si="12"/>
        <v>42</v>
      </c>
      <c r="H58" s="26" t="s">
        <v>20</v>
      </c>
      <c r="I58" s="80" t="s">
        <v>123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249</v>
      </c>
      <c r="F59" s="27">
        <v>10</v>
      </c>
      <c r="G59" s="34">
        <f t="shared" si="12"/>
        <v>42</v>
      </c>
      <c r="H59" s="33" t="s">
        <v>20</v>
      </c>
      <c r="I59" s="33" t="s">
        <v>123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249</v>
      </c>
      <c r="F60" s="27">
        <v>6</v>
      </c>
      <c r="G60" s="28">
        <f t="shared" si="12"/>
        <v>25.200000000000003</v>
      </c>
      <c r="H60" s="26" t="s">
        <v>20</v>
      </c>
      <c r="I60" s="26" t="s">
        <v>123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249</v>
      </c>
      <c r="F61" s="27">
        <v>14</v>
      </c>
      <c r="G61" s="34">
        <f t="shared" si="12"/>
        <v>58.800000000000004</v>
      </c>
      <c r="H61" s="33" t="s">
        <v>20</v>
      </c>
      <c r="I61" s="33" t="s">
        <v>123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249</v>
      </c>
      <c r="F62" s="27">
        <v>19</v>
      </c>
      <c r="G62" s="28">
        <f t="shared" si="12"/>
        <v>79.8</v>
      </c>
      <c r="H62" s="26" t="s">
        <v>20</v>
      </c>
      <c r="I62" s="26" t="s">
        <v>123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249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251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249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249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235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149</v>
      </c>
      <c r="J69" s="26" t="s">
        <v>185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14</v>
      </c>
      <c r="G70" s="28">
        <f t="shared" si="15"/>
        <v>58.800000000000004</v>
      </c>
      <c r="H70" s="26" t="s">
        <v>17</v>
      </c>
      <c r="I70" s="26" t="s">
        <v>135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249</v>
      </c>
      <c r="F71" s="27">
        <v>1</v>
      </c>
      <c r="G71" s="34">
        <f t="shared" si="15"/>
        <v>4.2</v>
      </c>
      <c r="H71" s="33" t="s">
        <v>20</v>
      </c>
      <c r="I71" s="33" t="s">
        <v>157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249</v>
      </c>
      <c r="F72" s="27">
        <v>5</v>
      </c>
      <c r="G72" s="28">
        <f t="shared" si="15"/>
        <v>21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249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249</v>
      </c>
      <c r="F74" s="27">
        <v>19</v>
      </c>
      <c r="G74" s="28">
        <f t="shared" si="15"/>
        <v>79.8</v>
      </c>
      <c r="H74" s="26" t="s">
        <v>20</v>
      </c>
      <c r="I74" s="26" t="s">
        <v>157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249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249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200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260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249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249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249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249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235</v>
      </c>
      <c r="O81" s="54">
        <v>634210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239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261</v>
      </c>
      <c r="E83" s="59" t="s">
        <v>249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138</v>
      </c>
      <c r="J83" s="33" t="s">
        <v>209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14</v>
      </c>
      <c r="G87" s="28">
        <f t="shared" si="18"/>
        <v>58.800000000000004</v>
      </c>
      <c r="H87" s="33" t="s">
        <v>18</v>
      </c>
      <c r="I87" s="33" t="s">
        <v>138</v>
      </c>
      <c r="J87" s="33" t="s">
        <v>118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235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141</v>
      </c>
      <c r="J96" s="26" t="s">
        <v>118</v>
      </c>
      <c r="K96" s="29">
        <v>0.79166666666666663</v>
      </c>
      <c r="L96" s="29" t="s">
        <v>262</v>
      </c>
      <c r="M96" s="30" t="str">
        <f t="shared" ref="M96:M107" ca="1" si="22">IFERROR(IF(K96="","",IF(L96="",MOD(NOW()-K96,1),IF(L96&gt;=K96,L96-K96,L96+1-K96))),"")</f>
        <v/>
      </c>
      <c r="N96" s="46" t="s">
        <v>263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236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264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183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265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236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235</v>
      </c>
      <c r="O108" s="54">
        <v>456830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239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156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266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156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235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159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156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135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20</v>
      </c>
      <c r="G126" s="28">
        <f t="shared" si="27"/>
        <v>84</v>
      </c>
      <c r="H126" s="26" t="s">
        <v>17</v>
      </c>
      <c r="I126" s="26" t="s">
        <v>135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123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235</v>
      </c>
      <c r="O135" s="54">
        <v>756720</v>
      </c>
    </row>
    <row r="136" spans="1:15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239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13</v>
      </c>
      <c r="G138" s="28">
        <f t="shared" ref="G137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249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267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249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249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268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249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118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249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249</v>
      </c>
      <c r="F144" s="27">
        <v>10</v>
      </c>
      <c r="G144" s="28">
        <f t="shared" si="32"/>
        <v>42</v>
      </c>
      <c r="H144" s="26" t="s">
        <v>16</v>
      </c>
      <c r="I144" s="26" t="s">
        <v>159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249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269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249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249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249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1" t="s">
        <v>234</v>
      </c>
      <c r="B149" s="102"/>
      <c r="C149" s="102"/>
      <c r="D149" s="102"/>
      <c r="E149" s="103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235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7</v>
      </c>
      <c r="G151" s="34">
        <f t="shared" si="33"/>
        <v>29.400000000000002</v>
      </c>
      <c r="H151" s="33" t="s">
        <v>17</v>
      </c>
      <c r="I151" s="33" t="s">
        <v>120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270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235</v>
      </c>
      <c r="O162" s="54">
        <v>501750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239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249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249</v>
      </c>
      <c r="F166" s="27">
        <v>2</v>
      </c>
      <c r="G166" s="28">
        <f t="shared" si="36"/>
        <v>8.4</v>
      </c>
      <c r="H166" s="26" t="s">
        <v>20</v>
      </c>
      <c r="I166" s="26" t="s">
        <v>31</v>
      </c>
      <c r="J166" s="26" t="s">
        <v>36</v>
      </c>
      <c r="K166" s="29">
        <v>0.53819444444444442</v>
      </c>
      <c r="L166" s="29">
        <v>0.54861111111111116</v>
      </c>
      <c r="M166" s="30">
        <f t="shared" ca="1" si="37"/>
        <v>1.0416666666666741E-2</v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249</v>
      </c>
      <c r="F167" s="27">
        <v>6</v>
      </c>
      <c r="G167" s="34">
        <f t="shared" si="36"/>
        <v>25.200000000000003</v>
      </c>
      <c r="H167" s="33" t="s">
        <v>20</v>
      </c>
      <c r="I167" s="33" t="s">
        <v>157</v>
      </c>
      <c r="J167" s="33" t="s">
        <v>74</v>
      </c>
      <c r="K167" s="29">
        <v>0.63194444444444442</v>
      </c>
      <c r="L167" s="29">
        <v>0.63611111111111107</v>
      </c>
      <c r="M167" s="35">
        <f t="shared" ca="1" si="37"/>
        <v>4.1666666666666519E-3</v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249</v>
      </c>
      <c r="F168" s="27">
        <v>8</v>
      </c>
      <c r="G168" s="28">
        <f t="shared" si="36"/>
        <v>33.6</v>
      </c>
      <c r="H168" s="26" t="s">
        <v>20</v>
      </c>
      <c r="I168" s="26" t="s">
        <v>157</v>
      </c>
      <c r="J168" s="26" t="s">
        <v>74</v>
      </c>
      <c r="K168" s="29">
        <v>0.72222222222222221</v>
      </c>
      <c r="L168" s="29">
        <v>0.73055555555555551</v>
      </c>
      <c r="M168" s="30">
        <f t="shared" ca="1" si="37"/>
        <v>8.3333333333333037E-3</v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249</v>
      </c>
      <c r="F169" s="27">
        <v>9</v>
      </c>
      <c r="G169" s="34">
        <f t="shared" si="36"/>
        <v>37.800000000000004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249</v>
      </c>
      <c r="F170" s="27">
        <v>6</v>
      </c>
      <c r="G170" s="28">
        <f t="shared" si="36"/>
        <v>25.200000000000003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249</v>
      </c>
      <c r="F171" s="27">
        <v>7</v>
      </c>
      <c r="G171" s="34">
        <f t="shared" si="36"/>
        <v>29.400000000000002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249</v>
      </c>
      <c r="F172" s="27">
        <v>6</v>
      </c>
      <c r="G172" s="28">
        <f t="shared" si="36"/>
        <v>25.200000000000003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249</v>
      </c>
      <c r="F173" s="27">
        <v>8</v>
      </c>
      <c r="G173" s="34">
        <f t="shared" si="36"/>
        <v>33.6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249</v>
      </c>
      <c r="F174" s="27">
        <v>5</v>
      </c>
      <c r="G174" s="28">
        <f t="shared" si="36"/>
        <v>21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249</v>
      </c>
      <c r="F175" s="27">
        <v>2</v>
      </c>
      <c r="G175" s="34">
        <f t="shared" si="36"/>
        <v>8.4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69</v>
      </c>
      <c r="G176" s="36">
        <f>SUM(G164:G175)</f>
        <v>289.8</v>
      </c>
      <c r="H176" s="37"/>
      <c r="I176" s="37"/>
      <c r="J176" s="37"/>
      <c r="K176" s="37"/>
      <c r="L176" s="37"/>
      <c r="M176" s="38">
        <f ca="1">IFERROR(SUM(M164:M175),"")</f>
        <v>8.2638888888888928E-2</v>
      </c>
      <c r="N176" s="36" t="s">
        <v>235</v>
      </c>
      <c r="O176" s="77">
        <v>366290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31</v>
      </c>
      <c r="J177" s="33" t="s">
        <v>27</v>
      </c>
      <c r="K177" s="29">
        <v>0.79166666666666663</v>
      </c>
      <c r="L177" s="29">
        <v>0.83680555555555558</v>
      </c>
      <c r="M177" s="35">
        <f t="shared" ref="M177:M188" ca="1" si="40">IFERROR(IF(K177="","",IF(L177="",MOD(NOW()-K177,1),IF(L177&gt;=K177,L177-K177,L177+1-K177))),"")</f>
        <v>4.5138888888888951E-2</v>
      </c>
      <c r="N177" s="46" t="s">
        <v>117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59" t="s">
        <v>249</v>
      </c>
      <c r="F178" s="27">
        <v>7</v>
      </c>
      <c r="G178" s="28">
        <f t="shared" si="39"/>
        <v>29.400000000000002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19</v>
      </c>
      <c r="G179" s="34">
        <f t="shared" si="39"/>
        <v>79.8</v>
      </c>
      <c r="H179" s="33" t="s">
        <v>20</v>
      </c>
      <c r="I179" s="33" t="s">
        <v>123</v>
      </c>
      <c r="J179" s="33" t="s">
        <v>114</v>
      </c>
      <c r="K179" s="29">
        <v>6.2500000000000003E-3</v>
      </c>
      <c r="L179" s="29">
        <v>2.5694444444444443E-2</v>
      </c>
      <c r="M179" s="35">
        <f t="shared" ca="1" si="40"/>
        <v>1.9444444444444445E-2</v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59" t="s">
        <v>249</v>
      </c>
      <c r="F180" s="27">
        <v>2</v>
      </c>
      <c r="G180" s="28">
        <f t="shared" si="39"/>
        <v>8.4</v>
      </c>
      <c r="H180" s="26" t="s">
        <v>20</v>
      </c>
      <c r="I180" s="26" t="s">
        <v>149</v>
      </c>
      <c r="J180" s="26" t="s">
        <v>134</v>
      </c>
      <c r="K180" s="29">
        <v>4.5138888888888888E-2</v>
      </c>
      <c r="L180" s="29">
        <v>7.013888888888889E-2</v>
      </c>
      <c r="M180" s="30">
        <f t="shared" ca="1" si="40"/>
        <v>2.5000000000000001E-2</v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22</v>
      </c>
      <c r="G181" s="34">
        <f t="shared" si="39"/>
        <v>92.4</v>
      </c>
      <c r="H181" s="33" t="s">
        <v>20</v>
      </c>
      <c r="I181" s="33"/>
      <c r="J181" s="33" t="s">
        <v>74</v>
      </c>
      <c r="K181" s="29">
        <v>8.3333333333333329E-2</v>
      </c>
      <c r="L181" s="29">
        <v>0.15486111111111112</v>
      </c>
      <c r="M181" s="35">
        <f t="shared" ca="1" si="40"/>
        <v>7.1527777777777787E-2</v>
      </c>
      <c r="N181" s="46" t="s">
        <v>271</v>
      </c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59" t="s">
        <v>249</v>
      </c>
      <c r="F182" s="27">
        <v>6</v>
      </c>
      <c r="G182" s="28">
        <f t="shared" si="39"/>
        <v>25.200000000000003</v>
      </c>
      <c r="H182" s="26" t="s">
        <v>20</v>
      </c>
      <c r="I182" s="26"/>
      <c r="J182" s="26" t="s">
        <v>74</v>
      </c>
      <c r="K182" s="29">
        <v>0.18958333333333333</v>
      </c>
      <c r="L182" s="29">
        <v>0.2326388888888889</v>
      </c>
      <c r="M182" s="30">
        <f t="shared" ca="1" si="40"/>
        <v>4.3055555555555569E-2</v>
      </c>
      <c r="N182" s="46" t="s">
        <v>268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13</v>
      </c>
      <c r="G183" s="34">
        <f t="shared" si="39"/>
        <v>54.6</v>
      </c>
      <c r="H183" s="33" t="s">
        <v>20</v>
      </c>
      <c r="I183" s="33"/>
      <c r="J183" s="33" t="s">
        <v>74</v>
      </c>
      <c r="K183" s="29">
        <v>0.23958333333333334</v>
      </c>
      <c r="L183" s="29">
        <v>0.28611111111111109</v>
      </c>
      <c r="M183" s="35">
        <f t="shared" ca="1" si="40"/>
        <v>4.6527777777777751E-2</v>
      </c>
      <c r="N183" s="46" t="s">
        <v>272</v>
      </c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59" t="s">
        <v>249</v>
      </c>
      <c r="F184" s="27">
        <v>0</v>
      </c>
      <c r="G184" s="28">
        <f t="shared" si="39"/>
        <v>0</v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3</v>
      </c>
      <c r="G185" s="34">
        <f t="shared" si="39"/>
        <v>12.600000000000001</v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59" t="s">
        <v>249</v>
      </c>
      <c r="F186" s="27">
        <v>10</v>
      </c>
      <c r="G186" s="28">
        <f t="shared" si="39"/>
        <v>42</v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0</v>
      </c>
      <c r="G187" s="34">
        <f t="shared" si="39"/>
        <v>0</v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59" t="s">
        <v>249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84</v>
      </c>
      <c r="G189" s="36">
        <f>SUM(G177:G188)</f>
        <v>352.80000000000007</v>
      </c>
      <c r="H189" s="37"/>
      <c r="I189" s="37"/>
      <c r="J189" s="37"/>
      <c r="K189" s="37"/>
      <c r="L189" s="37"/>
      <c r="M189" s="38">
        <f ca="1">IFERROR(SUM(M177:M188),"")</f>
        <v>0.28819444444444464</v>
      </c>
      <c r="N189" s="36" t="s">
        <v>235</v>
      </c>
      <c r="O189" s="77">
        <v>362530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153</v>
      </c>
      <c r="G190" s="40">
        <f>G176+G189</f>
        <v>642.60000000000014</v>
      </c>
      <c r="H190" s="41"/>
      <c r="I190" s="41"/>
      <c r="J190" s="41"/>
      <c r="K190" s="41"/>
      <c r="L190" s="41"/>
      <c r="M190" s="42">
        <f ca="1">IFERROR(M176+M189,"")</f>
        <v>0.37083333333333357</v>
      </c>
      <c r="N190" s="40" t="s">
        <v>239</v>
      </c>
      <c r="O190" s="82">
        <f>IFERROR(O176+O189,"")</f>
        <v>728820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2</v>
      </c>
      <c r="G191" s="34">
        <f t="shared" ref="G191:G202" si="42">IF(F191="","",IF(E191="PC 17",F191*4.2,IF(E191="PC 19",F191*5,IF(E191="CB",F191*24,""))))</f>
        <v>8.4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46" t="s">
        <v>273</v>
      </c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17</v>
      </c>
      <c r="G192" s="28">
        <f t="shared" si="42"/>
        <v>71.400000000000006</v>
      </c>
      <c r="H192" s="26" t="s">
        <v>20</v>
      </c>
      <c r="I192" s="26" t="s">
        <v>149</v>
      </c>
      <c r="J192" s="26" t="s">
        <v>182</v>
      </c>
      <c r="K192" s="29">
        <v>0.47499999999999998</v>
      </c>
      <c r="L192" s="29">
        <v>0.4861111111111111</v>
      </c>
      <c r="M192" s="30">
        <f t="shared" ca="1" si="43"/>
        <v>1.1111111111111127E-2</v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16</v>
      </c>
      <c r="G193" s="34">
        <f t="shared" si="42"/>
        <v>67.2</v>
      </c>
      <c r="H193" s="33" t="s">
        <v>20</v>
      </c>
      <c r="I193" s="33" t="s">
        <v>149</v>
      </c>
      <c r="J193" s="26" t="s">
        <v>182</v>
      </c>
      <c r="K193" s="29">
        <v>0.50694444444444442</v>
      </c>
      <c r="L193" s="29">
        <v>0.53333333333333333</v>
      </c>
      <c r="M193" s="35">
        <f t="shared" ca="1" si="43"/>
        <v>2.6388888888888906E-2</v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20</v>
      </c>
      <c r="G194" s="28">
        <f t="shared" si="42"/>
        <v>84</v>
      </c>
      <c r="H194" s="26" t="s">
        <v>20</v>
      </c>
      <c r="I194" s="26" t="s">
        <v>39</v>
      </c>
      <c r="J194" s="26" t="s">
        <v>36</v>
      </c>
      <c r="K194" s="29">
        <v>0.5625</v>
      </c>
      <c r="L194" s="29">
        <v>0.56944444444444442</v>
      </c>
      <c r="M194" s="30">
        <f t="shared" ca="1" si="43"/>
        <v>6.9444444444444198E-3</v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5</v>
      </c>
      <c r="G195" s="34">
        <f t="shared" si="42"/>
        <v>21</v>
      </c>
      <c r="H195" s="33" t="s">
        <v>20</v>
      </c>
      <c r="I195" s="33" t="s">
        <v>39</v>
      </c>
      <c r="J195" s="33" t="s">
        <v>36</v>
      </c>
      <c r="K195" s="29">
        <v>0.60416666666666663</v>
      </c>
      <c r="L195" s="29">
        <v>0.63472222222222219</v>
      </c>
      <c r="M195" s="35">
        <f t="shared" ca="1" si="43"/>
        <v>3.0555555555555558E-2</v>
      </c>
      <c r="N195" s="46" t="s">
        <v>266</v>
      </c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13</v>
      </c>
      <c r="G196" s="28">
        <f t="shared" si="42"/>
        <v>54.6</v>
      </c>
      <c r="H196" s="26" t="s">
        <v>18</v>
      </c>
      <c r="I196" s="26" t="s">
        <v>39</v>
      </c>
      <c r="J196" s="26" t="s">
        <v>166</v>
      </c>
      <c r="K196" s="29">
        <v>0.67361111111111116</v>
      </c>
      <c r="L196" s="29">
        <v>0.68125000000000002</v>
      </c>
      <c r="M196" s="30">
        <f t="shared" ca="1" si="43"/>
        <v>7.6388888888888618E-3</v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>
        <v>10</v>
      </c>
      <c r="G197" s="34">
        <f t="shared" si="42"/>
        <v>42</v>
      </c>
      <c r="H197" s="33" t="s">
        <v>20</v>
      </c>
      <c r="I197" s="33" t="s">
        <v>123</v>
      </c>
      <c r="J197" s="33" t="s">
        <v>114</v>
      </c>
      <c r="K197" s="29">
        <v>0.71666666666666667</v>
      </c>
      <c r="L197" s="29">
        <v>0.72499999999999998</v>
      </c>
      <c r="M197" s="35">
        <f t="shared" ca="1" si="43"/>
        <v>8.3333333333333037E-3</v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>
        <v>9</v>
      </c>
      <c r="G198" s="28">
        <f t="shared" si="42"/>
        <v>37.800000000000004</v>
      </c>
      <c r="H198" s="26" t="s">
        <v>20</v>
      </c>
      <c r="I198" s="26" t="s">
        <v>123</v>
      </c>
      <c r="J198" s="33" t="s">
        <v>114</v>
      </c>
      <c r="K198" s="29">
        <v>0.7368055555555556</v>
      </c>
      <c r="L198" s="29">
        <v>0.74444444444444446</v>
      </c>
      <c r="M198" s="30">
        <f t="shared" ca="1" si="43"/>
        <v>7.6388888888888618E-3</v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>
        <v>9</v>
      </c>
      <c r="G199" s="34">
        <f t="shared" si="42"/>
        <v>37.800000000000004</v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>
        <v>19</v>
      </c>
      <c r="G200" s="28">
        <f t="shared" si="42"/>
        <v>79.8</v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>
        <v>7</v>
      </c>
      <c r="G202" s="28">
        <f t="shared" si="42"/>
        <v>29.400000000000002</v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133</v>
      </c>
      <c r="G203" s="36">
        <f>SUM(G191:G202)</f>
        <v>558.6</v>
      </c>
      <c r="H203" s="37"/>
      <c r="I203" s="37"/>
      <c r="J203" s="37"/>
      <c r="K203" s="37"/>
      <c r="L203" s="37"/>
      <c r="M203" s="38">
        <f ca="1">IFERROR(SUM(M191:M202),"")</f>
        <v>0.14027777777777767</v>
      </c>
      <c r="N203" s="36" t="s">
        <v>235</v>
      </c>
      <c r="O203" s="77">
        <v>601390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249</v>
      </c>
      <c r="F204" s="27">
        <v>16</v>
      </c>
      <c r="G204" s="28">
        <f t="shared" ref="G204:G215" si="45">IF(F204="","",IF(E204="PC 17",F204*4.2,IF(E204="PC 19",F204*5,IF(E204="CB",F204*24,""))))</f>
        <v>67.2</v>
      </c>
      <c r="H204" s="26" t="s">
        <v>20</v>
      </c>
      <c r="I204" s="26"/>
      <c r="J204" s="26" t="s">
        <v>74</v>
      </c>
      <c r="K204" s="29">
        <v>0.88680555555555551</v>
      </c>
      <c r="L204" s="29">
        <v>0.89930555555555558</v>
      </c>
      <c r="M204" s="30">
        <f t="shared" ref="M204:M215" ca="1" si="46">IFERROR(IF(K204="","",IF(L204="",MOD(NOW()-K204,1),IF(L204&gt;=K204,L204-K204,L204+1-K204))),"")</f>
        <v>1.2500000000000067E-2</v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249</v>
      </c>
      <c r="F205" s="27">
        <v>11</v>
      </c>
      <c r="G205" s="34">
        <f t="shared" si="45"/>
        <v>46.2</v>
      </c>
      <c r="H205" s="33" t="s">
        <v>19</v>
      </c>
      <c r="I205" s="33" t="s">
        <v>159</v>
      </c>
      <c r="J205" s="33" t="s">
        <v>27</v>
      </c>
      <c r="K205" s="29">
        <v>0.93263888888888891</v>
      </c>
      <c r="L205" s="29">
        <v>0.96666666666666667</v>
      </c>
      <c r="M205" s="35">
        <f t="shared" ca="1" si="46"/>
        <v>3.4027777777777768E-2</v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249</v>
      </c>
      <c r="F206" s="27">
        <v>10</v>
      </c>
      <c r="G206" s="28">
        <f t="shared" si="45"/>
        <v>42</v>
      </c>
      <c r="H206" s="26" t="s">
        <v>19</v>
      </c>
      <c r="I206" s="26" t="s">
        <v>159</v>
      </c>
      <c r="J206" s="26" t="s">
        <v>27</v>
      </c>
      <c r="K206" s="29">
        <v>0.22708333333333333</v>
      </c>
      <c r="L206" s="29">
        <v>0.25</v>
      </c>
      <c r="M206" s="30">
        <f t="shared" ca="1" si="46"/>
        <v>2.2916666666666669E-2</v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249</v>
      </c>
      <c r="F207" s="27">
        <v>8</v>
      </c>
      <c r="G207" s="34">
        <f t="shared" si="45"/>
        <v>33.6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249</v>
      </c>
      <c r="F208" s="27">
        <v>17</v>
      </c>
      <c r="G208" s="28">
        <f t="shared" si="45"/>
        <v>71.400000000000006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249</v>
      </c>
      <c r="F209" s="27">
        <v>12</v>
      </c>
      <c r="G209" s="34">
        <f t="shared" si="45"/>
        <v>50.400000000000006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249</v>
      </c>
      <c r="F210" s="27">
        <v>12</v>
      </c>
      <c r="G210" s="28">
        <f t="shared" si="45"/>
        <v>50.400000000000006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249</v>
      </c>
      <c r="F211" s="27">
        <v>15</v>
      </c>
      <c r="G211" s="34">
        <f t="shared" si="45"/>
        <v>63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249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249</v>
      </c>
      <c r="F213" s="27">
        <v>15</v>
      </c>
      <c r="G213" s="34">
        <f t="shared" si="45"/>
        <v>63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249</v>
      </c>
      <c r="F214" s="27">
        <v>0</v>
      </c>
      <c r="G214" s="28">
        <f t="shared" si="45"/>
        <v>0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249</v>
      </c>
      <c r="F215" s="27">
        <v>9</v>
      </c>
      <c r="G215" s="34">
        <f t="shared" si="45"/>
        <v>37.800000000000004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141</v>
      </c>
      <c r="G216" s="36">
        <f>SUM(G204:G215)</f>
        <v>592.19999999999982</v>
      </c>
      <c r="H216" s="37"/>
      <c r="I216" s="37"/>
      <c r="J216" s="37"/>
      <c r="K216" s="37"/>
      <c r="L216" s="37"/>
      <c r="M216" s="38">
        <f ca="1">IFERROR(SUM(M204:M215),"")</f>
        <v>6.9444444444444503E-2</v>
      </c>
      <c r="N216" s="36" t="s">
        <v>235</v>
      </c>
      <c r="O216" s="77">
        <v>609740</v>
      </c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274</v>
      </c>
      <c r="G217" s="40">
        <f>G203+G216</f>
        <v>1150.7999999999997</v>
      </c>
      <c r="H217" s="41"/>
      <c r="I217" s="41"/>
      <c r="J217" s="41"/>
      <c r="K217" s="41"/>
      <c r="L217" s="41"/>
      <c r="M217" s="42">
        <f ca="1">IFERROR(M203+M216,"")</f>
        <v>0.20972222222222217</v>
      </c>
      <c r="N217" s="40" t="s">
        <v>239</v>
      </c>
      <c r="O217" s="83">
        <f>IFERROR(O203+O216,"")</f>
        <v>1211130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6" t="s">
        <v>234</v>
      </c>
      <c r="B230" s="117"/>
      <c r="C230" s="117"/>
      <c r="D230" s="117"/>
      <c r="E230" s="11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235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77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239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77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77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77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1" t="s">
        <v>234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77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1" t="s">
        <v>234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77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77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237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77"/>
    </row>
    <row r="433" spans="1:15" ht="18" customHeight="1">
      <c r="A433" s="92" t="s">
        <v>238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77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77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237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77"/>
    </row>
    <row r="514" spans="1:15" ht="18" customHeight="1">
      <c r="A514" s="92" t="s">
        <v>238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77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77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77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77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77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77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77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77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4" t="s">
        <v>238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84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176" zoomScale="50" zoomScaleNormal="50" workbookViewId="0">
      <selection activeCell="O217" sqref="O217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7.14062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235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249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274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249</v>
      </c>
      <c r="F16" s="27">
        <v>9</v>
      </c>
      <c r="G16" s="28">
        <f t="shared" si="3"/>
        <v>37.800000000000004</v>
      </c>
      <c r="H16" s="26" t="s">
        <v>17</v>
      </c>
      <c r="I16" s="26" t="s">
        <v>135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249</v>
      </c>
      <c r="F17" s="27">
        <v>12</v>
      </c>
      <c r="G17" s="34">
        <f t="shared" si="3"/>
        <v>50.400000000000006</v>
      </c>
      <c r="H17" s="33" t="s">
        <v>20</v>
      </c>
      <c r="I17" s="33" t="s">
        <v>157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249</v>
      </c>
      <c r="F18" s="27">
        <v>0</v>
      </c>
      <c r="G18" s="28">
        <f t="shared" si="3"/>
        <v>0</v>
      </c>
      <c r="H18" s="26" t="s">
        <v>17</v>
      </c>
      <c r="I18" s="26" t="s">
        <v>135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254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249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161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275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249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249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249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249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249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249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1" t="s">
        <v>237</v>
      </c>
      <c r="B27" s="102"/>
      <c r="C27" s="102"/>
      <c r="D27" s="102"/>
      <c r="E27" s="103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235</v>
      </c>
      <c r="O27" s="39">
        <v>358000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239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249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249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249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249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249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249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249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249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249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1" t="s">
        <v>234</v>
      </c>
      <c r="B41" s="102"/>
      <c r="C41" s="102"/>
      <c r="D41" s="102"/>
      <c r="E41" s="103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235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167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260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274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249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249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249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249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249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249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249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274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 t="s">
        <v>20</v>
      </c>
      <c r="I51" s="33" t="s">
        <v>157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249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249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134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235</v>
      </c>
      <c r="O54" s="39">
        <v>279980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239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123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249</v>
      </c>
      <c r="F57" s="27">
        <v>4</v>
      </c>
      <c r="G57" s="34">
        <f t="shared" si="12"/>
        <v>16.8</v>
      </c>
      <c r="H57" s="33" t="s">
        <v>20</v>
      </c>
      <c r="I57" s="33" t="s">
        <v>123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249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249</v>
      </c>
      <c r="F60" s="27">
        <v>5</v>
      </c>
      <c r="G60" s="28">
        <f t="shared" si="12"/>
        <v>21</v>
      </c>
      <c r="H60" s="26" t="s">
        <v>20</v>
      </c>
      <c r="I60" s="26" t="s">
        <v>123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249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249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130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276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249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249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249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249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235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277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9</v>
      </c>
      <c r="G70" s="28">
        <f t="shared" si="15"/>
        <v>37.800000000000004</v>
      </c>
      <c r="H70" s="26" t="s">
        <v>20</v>
      </c>
      <c r="I70" s="26" t="s">
        <v>149</v>
      </c>
      <c r="J70" s="26" t="s">
        <v>185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249</v>
      </c>
      <c r="F71" s="27">
        <v>9</v>
      </c>
      <c r="G71" s="34">
        <f t="shared" si="15"/>
        <v>37.800000000000004</v>
      </c>
      <c r="H71" s="33" t="s">
        <v>20</v>
      </c>
      <c r="I71" s="33" t="s">
        <v>157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249</v>
      </c>
      <c r="F72" s="27">
        <v>0</v>
      </c>
      <c r="G72" s="28">
        <f t="shared" si="15"/>
        <v>0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249</v>
      </c>
      <c r="F73" s="27">
        <v>7</v>
      </c>
      <c r="G73" s="34">
        <f t="shared" si="15"/>
        <v>29.400000000000002</v>
      </c>
      <c r="H73" s="33" t="s">
        <v>20</v>
      </c>
      <c r="I73" s="33" t="s">
        <v>157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249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249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249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249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235</v>
      </c>
      <c r="O81" s="39">
        <v>185920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239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249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278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0</v>
      </c>
      <c r="G84" s="34">
        <f t="shared" si="18"/>
        <v>0</v>
      </c>
      <c r="H84" s="26" t="s">
        <v>18</v>
      </c>
      <c r="I84" s="26" t="s">
        <v>138</v>
      </c>
      <c r="J84" s="26" t="s">
        <v>118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279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235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138</v>
      </c>
      <c r="J96" s="26" t="s">
        <v>118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0</v>
      </c>
      <c r="G97" s="28">
        <f t="shared" si="21"/>
        <v>0</v>
      </c>
      <c r="H97" s="33" t="s">
        <v>18</v>
      </c>
      <c r="I97" s="33" t="s">
        <v>138</v>
      </c>
      <c r="J97" s="33" t="s">
        <v>118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280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7</v>
      </c>
      <c r="G99" s="28">
        <f t="shared" si="21"/>
        <v>29.400000000000002</v>
      </c>
      <c r="H99" s="33" t="s">
        <v>20</v>
      </c>
      <c r="I99" s="33" t="s">
        <v>157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235</v>
      </c>
      <c r="O108" s="39">
        <v>434370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239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235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157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9</v>
      </c>
      <c r="G124" s="28">
        <f t="shared" si="27"/>
        <v>37.800000000000004</v>
      </c>
      <c r="H124" s="26" t="s">
        <v>20</v>
      </c>
      <c r="I124" s="26" t="s">
        <v>157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281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135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131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198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235</v>
      </c>
      <c r="O135" s="39">
        <v>416350</v>
      </c>
    </row>
    <row r="136" spans="1:15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239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282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249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204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249</v>
      </c>
      <c r="F140" s="27">
        <v>0</v>
      </c>
      <c r="G140" s="28">
        <f t="shared" si="30"/>
        <v>0</v>
      </c>
      <c r="H140" s="26" t="s">
        <v>20</v>
      </c>
      <c r="I140" s="26" t="s">
        <v>138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249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249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249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249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269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249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249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249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249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1" t="s">
        <v>234</v>
      </c>
      <c r="B149" s="102"/>
      <c r="C149" s="102"/>
      <c r="D149" s="102"/>
      <c r="E149" s="103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235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260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235</v>
      </c>
      <c r="O162" s="39">
        <v>169760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239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249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249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283</v>
      </c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249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249</v>
      </c>
      <c r="F168" s="27">
        <v>8</v>
      </c>
      <c r="G168" s="28">
        <f t="shared" si="36"/>
        <v>33.6</v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249</v>
      </c>
      <c r="F169" s="27">
        <v>7</v>
      </c>
      <c r="G169" s="34">
        <f t="shared" si="36"/>
        <v>29.400000000000002</v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249</v>
      </c>
      <c r="F170" s="27">
        <v>5</v>
      </c>
      <c r="G170" s="28">
        <f t="shared" si="36"/>
        <v>21</v>
      </c>
      <c r="H170" s="26" t="s">
        <v>20</v>
      </c>
      <c r="I170" s="26" t="s">
        <v>47</v>
      </c>
      <c r="J170" s="26" t="s">
        <v>51</v>
      </c>
      <c r="K170" s="29">
        <v>0.51041666666666663</v>
      </c>
      <c r="L170" s="29">
        <v>0.51666666666666672</v>
      </c>
      <c r="M170" s="30">
        <f t="shared" ca="1" si="37"/>
        <v>6.2500000000000888E-3</v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249</v>
      </c>
      <c r="F171" s="27">
        <v>5</v>
      </c>
      <c r="G171" s="34">
        <f t="shared" si="36"/>
        <v>21</v>
      </c>
      <c r="H171" s="33" t="s">
        <v>20</v>
      </c>
      <c r="I171" s="33" t="s">
        <v>47</v>
      </c>
      <c r="J171" s="33" t="s">
        <v>51</v>
      </c>
      <c r="K171" s="29">
        <v>0.59027777777777779</v>
      </c>
      <c r="L171" s="29">
        <v>0.59583333333333333</v>
      </c>
      <c r="M171" s="35">
        <f t="shared" ca="1" si="37"/>
        <v>5.5555555555555358E-3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249</v>
      </c>
      <c r="F172" s="27">
        <v>4</v>
      </c>
      <c r="G172" s="28">
        <f t="shared" si="36"/>
        <v>16.8</v>
      </c>
      <c r="H172" s="26" t="s">
        <v>20</v>
      </c>
      <c r="I172" s="26" t="s">
        <v>157</v>
      </c>
      <c r="J172" s="26" t="s">
        <v>74</v>
      </c>
      <c r="K172" s="29">
        <v>0.63194444444444442</v>
      </c>
      <c r="L172" s="29">
        <v>0.63611111111111107</v>
      </c>
      <c r="M172" s="30">
        <f t="shared" ca="1" si="37"/>
        <v>4.1666666666666519E-3</v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249</v>
      </c>
      <c r="F173" s="27">
        <v>3</v>
      </c>
      <c r="G173" s="34">
        <f t="shared" si="36"/>
        <v>12.600000000000001</v>
      </c>
      <c r="H173" s="33" t="s">
        <v>20</v>
      </c>
      <c r="I173" s="33" t="s">
        <v>157</v>
      </c>
      <c r="J173" s="33" t="s">
        <v>74</v>
      </c>
      <c r="K173" s="29">
        <v>0.72222222222222221</v>
      </c>
      <c r="L173" s="29">
        <v>0.73055555555555551</v>
      </c>
      <c r="M173" s="35">
        <f t="shared" ca="1" si="37"/>
        <v>8.3333333333333037E-3</v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249</v>
      </c>
      <c r="F174" s="27">
        <v>3</v>
      </c>
      <c r="G174" s="28">
        <f t="shared" si="36"/>
        <v>12.600000000000001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249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65</v>
      </c>
      <c r="G176" s="36">
        <f>SUM(G164:G175)</f>
        <v>273</v>
      </c>
      <c r="H176" s="37"/>
      <c r="I176" s="37"/>
      <c r="J176" s="37"/>
      <c r="K176" s="37"/>
      <c r="L176" s="37"/>
      <c r="M176" s="38">
        <f ca="1">IFERROR(SUM(M164:M175),"")</f>
        <v>8.4722222222222254E-2</v>
      </c>
      <c r="N176" s="36" t="s">
        <v>235</v>
      </c>
      <c r="O176" s="39">
        <v>271350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47</v>
      </c>
      <c r="J177" s="33" t="s">
        <v>35</v>
      </c>
      <c r="K177" s="29">
        <v>0.8125</v>
      </c>
      <c r="L177" s="29">
        <v>0.90833333333333333</v>
      </c>
      <c r="M177" s="35">
        <f t="shared" ref="M177:M188" ca="1" si="40">IFERROR(IF(K177="","",IF(L177="",MOD(NOW()-K177,1),IF(L177&gt;=K177,L177-K177,L177+1-K177))),"")</f>
        <v>9.5833333333333326E-2</v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249</v>
      </c>
      <c r="F178" s="27">
        <v>0</v>
      </c>
      <c r="G178" s="28">
        <f t="shared" si="39"/>
        <v>0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0</v>
      </c>
      <c r="G179" s="34">
        <f t="shared" si="39"/>
        <v>0</v>
      </c>
      <c r="H179" s="33" t="s">
        <v>20</v>
      </c>
      <c r="I179" s="33" t="s">
        <v>47</v>
      </c>
      <c r="J179" s="33" t="s">
        <v>56</v>
      </c>
      <c r="K179" s="29">
        <v>0.95833333333333337</v>
      </c>
      <c r="L179" s="29">
        <v>0.96805555555555556</v>
      </c>
      <c r="M179" s="35">
        <f t="shared" ca="1" si="40"/>
        <v>9.7222222222221877E-3</v>
      </c>
      <c r="N179" s="27" t="s">
        <v>284</v>
      </c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249</v>
      </c>
      <c r="F180" s="27">
        <v>0</v>
      </c>
      <c r="G180" s="28">
        <f t="shared" si="39"/>
        <v>0</v>
      </c>
      <c r="H180" s="26" t="s">
        <v>20</v>
      </c>
      <c r="I180" s="26" t="s">
        <v>123</v>
      </c>
      <c r="J180" s="26" t="s">
        <v>114</v>
      </c>
      <c r="K180" s="29">
        <v>6.9444444444444441E-3</v>
      </c>
      <c r="L180" s="29">
        <v>2.5694444444444443E-2</v>
      </c>
      <c r="M180" s="30">
        <f t="shared" ca="1" si="40"/>
        <v>1.8749999999999999E-2</v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5</v>
      </c>
      <c r="G181" s="34">
        <f>IF(F181="","",IF(E181="PC 17",F181*4.2,IF(E181="PC 19",F181*5,IF(E181="CB",F181*24,""))))</f>
        <v>21</v>
      </c>
      <c r="H181" s="33" t="s">
        <v>20</v>
      </c>
      <c r="I181" s="33" t="s">
        <v>149</v>
      </c>
      <c r="J181" s="33" t="s">
        <v>134</v>
      </c>
      <c r="K181" s="29">
        <v>4.5138888888888888E-2</v>
      </c>
      <c r="L181" s="29">
        <v>7.013888888888889E-2</v>
      </c>
      <c r="M181" s="35">
        <f t="shared" ca="1" si="40"/>
        <v>2.5000000000000001E-2</v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249</v>
      </c>
      <c r="F182" s="27">
        <v>2</v>
      </c>
      <c r="G182" s="28">
        <f t="shared" si="39"/>
        <v>8.4</v>
      </c>
      <c r="H182" s="26" t="s">
        <v>20</v>
      </c>
      <c r="I182" s="26"/>
      <c r="J182" s="26" t="s">
        <v>74</v>
      </c>
      <c r="K182" s="29">
        <v>8.3333333333333329E-2</v>
      </c>
      <c r="L182" s="29">
        <v>0.15486111111111112</v>
      </c>
      <c r="M182" s="30">
        <f t="shared" ca="1" si="40"/>
        <v>7.1527777777777787E-2</v>
      </c>
      <c r="N182" s="27" t="s">
        <v>272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</v>
      </c>
      <c r="G183" s="34">
        <f t="shared" si="39"/>
        <v>4.2</v>
      </c>
      <c r="H183" s="33" t="s">
        <v>20</v>
      </c>
      <c r="I183" s="33" t="s">
        <v>47</v>
      </c>
      <c r="J183" s="33" t="s">
        <v>51</v>
      </c>
      <c r="K183" s="29">
        <v>0.16666666666666666</v>
      </c>
      <c r="L183" s="29">
        <v>0.1701388888888889</v>
      </c>
      <c r="M183" s="35">
        <f t="shared" ca="1" si="40"/>
        <v>3.4722222222222376E-3</v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249</v>
      </c>
      <c r="F184" s="27">
        <v>0</v>
      </c>
      <c r="G184" s="28">
        <f t="shared" si="39"/>
        <v>0</v>
      </c>
      <c r="H184" s="26" t="s">
        <v>20</v>
      </c>
      <c r="I184" s="26"/>
      <c r="J184" s="26" t="s">
        <v>74</v>
      </c>
      <c r="K184" s="29">
        <v>0.18958333333333333</v>
      </c>
      <c r="L184" s="29">
        <v>0.1986111111111111</v>
      </c>
      <c r="M184" s="30">
        <f t="shared" ca="1" si="40"/>
        <v>9.0277777777777735E-3</v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2</v>
      </c>
      <c r="G185" s="34">
        <f t="shared" si="39"/>
        <v>8.4</v>
      </c>
      <c r="H185" s="33" t="s">
        <v>20</v>
      </c>
      <c r="I185" s="33"/>
      <c r="J185" s="33" t="s">
        <v>74</v>
      </c>
      <c r="K185" s="29">
        <v>0.23958333333333334</v>
      </c>
      <c r="L185" s="29">
        <v>0.28611111111111109</v>
      </c>
      <c r="M185" s="35">
        <f t="shared" ca="1" si="40"/>
        <v>4.6527777777777751E-2</v>
      </c>
      <c r="N185" s="27" t="s">
        <v>272</v>
      </c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249</v>
      </c>
      <c r="F186" s="27">
        <v>3</v>
      </c>
      <c r="G186" s="28">
        <f t="shared" si="39"/>
        <v>12.600000000000001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4</v>
      </c>
      <c r="G187" s="34">
        <f t="shared" si="39"/>
        <v>16.8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249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19</v>
      </c>
      <c r="G189" s="36">
        <f>SUM(G177:G188)</f>
        <v>79.8</v>
      </c>
      <c r="H189" s="37"/>
      <c r="I189" s="37"/>
      <c r="J189" s="37"/>
      <c r="K189" s="37"/>
      <c r="L189" s="37"/>
      <c r="M189" s="38">
        <f ca="1">IFERROR(SUM(M177:M188),"")</f>
        <v>0.31736111111111109</v>
      </c>
      <c r="N189" s="36" t="s">
        <v>235</v>
      </c>
      <c r="O189" s="39">
        <v>72220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84</v>
      </c>
      <c r="G190" s="40">
        <f>G176+G189</f>
        <v>352.8</v>
      </c>
      <c r="H190" s="41"/>
      <c r="I190" s="41"/>
      <c r="J190" s="41"/>
      <c r="K190" s="41"/>
      <c r="L190" s="41"/>
      <c r="M190" s="42">
        <f ca="1">IFERROR(M176+M189,"")</f>
        <v>0.40208333333333335</v>
      </c>
      <c r="N190" s="40" t="s">
        <v>239</v>
      </c>
      <c r="O190" s="43">
        <f>IFERROR(O176+O189,"")</f>
        <v>343570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0</v>
      </c>
      <c r="G191" s="34">
        <f t="shared" ref="G191:G202" si="42">IF(F191="","",IF(E191="PC 17",F191*4.2,IF(E191="PC 19",F191*5,IF(E191="CB",F191*24,""))))</f>
        <v>0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2</v>
      </c>
      <c r="G192" s="28">
        <f t="shared" si="42"/>
        <v>8.4</v>
      </c>
      <c r="H192" s="26" t="s">
        <v>20</v>
      </c>
      <c r="I192" s="26" t="s">
        <v>47</v>
      </c>
      <c r="J192" s="33" t="s">
        <v>36</v>
      </c>
      <c r="K192" s="29">
        <v>0.38472222222222224</v>
      </c>
      <c r="L192" s="29">
        <v>0.40972222222222221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0</v>
      </c>
      <c r="G193" s="34">
        <f t="shared" si="42"/>
        <v>0</v>
      </c>
      <c r="H193" s="33" t="s">
        <v>19</v>
      </c>
      <c r="I193" s="33" t="s">
        <v>47</v>
      </c>
      <c r="J193" s="33" t="s">
        <v>27</v>
      </c>
      <c r="K193" s="29">
        <v>0.43055555555555558</v>
      </c>
      <c r="L193" s="29">
        <v>0.44583333333333336</v>
      </c>
      <c r="M193" s="35">
        <f t="shared" ca="1" si="43"/>
        <v>1.5277777777777779E-2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2</v>
      </c>
      <c r="G194" s="28">
        <f t="shared" si="42"/>
        <v>8.4</v>
      </c>
      <c r="H194" s="26" t="s">
        <v>20</v>
      </c>
      <c r="I194" s="26" t="s">
        <v>149</v>
      </c>
      <c r="J194" s="26" t="s">
        <v>182</v>
      </c>
      <c r="K194" s="29">
        <v>0.47499999999999998</v>
      </c>
      <c r="L194" s="29">
        <v>0.4861111111111111</v>
      </c>
      <c r="M194" s="30">
        <f t="shared" ca="1" si="43"/>
        <v>1.1111111111111127E-2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0</v>
      </c>
      <c r="G195" s="34">
        <f t="shared" si="42"/>
        <v>0</v>
      </c>
      <c r="H195" s="33" t="s">
        <v>20</v>
      </c>
      <c r="I195" s="33" t="s">
        <v>149</v>
      </c>
      <c r="J195" s="26" t="s">
        <v>182</v>
      </c>
      <c r="K195" s="29">
        <v>0.50694444444444442</v>
      </c>
      <c r="L195" s="29">
        <v>0.53333333333333333</v>
      </c>
      <c r="M195" s="35">
        <f t="shared" ca="1" si="43"/>
        <v>2.6388888888888906E-2</v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0</v>
      </c>
      <c r="G196" s="28">
        <f t="shared" si="42"/>
        <v>0</v>
      </c>
      <c r="H196" s="26" t="s">
        <v>19</v>
      </c>
      <c r="I196" s="26" t="s">
        <v>47</v>
      </c>
      <c r="J196" s="26" t="s">
        <v>78</v>
      </c>
      <c r="K196" s="29">
        <v>0.58750000000000002</v>
      </c>
      <c r="L196" s="29">
        <v>0.59375</v>
      </c>
      <c r="M196" s="30">
        <f t="shared" ca="1" si="43"/>
        <v>6.2499999999999778E-3</v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>
        <v>2</v>
      </c>
      <c r="G197" s="34">
        <f t="shared" si="42"/>
        <v>8.4</v>
      </c>
      <c r="H197" s="33" t="s">
        <v>20</v>
      </c>
      <c r="I197" s="33" t="s">
        <v>47</v>
      </c>
      <c r="J197" s="33" t="s">
        <v>51</v>
      </c>
      <c r="K197" s="29">
        <v>0.6069444444444444</v>
      </c>
      <c r="L197" s="29">
        <v>0.61319444444444449</v>
      </c>
      <c r="M197" s="35">
        <f t="shared" ca="1" si="43"/>
        <v>6.2500000000000888E-3</v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>
        <v>3</v>
      </c>
      <c r="G198" s="28">
        <f t="shared" si="42"/>
        <v>12.600000000000001</v>
      </c>
      <c r="H198" s="26" t="s">
        <v>19</v>
      </c>
      <c r="I198" s="26" t="s">
        <v>47</v>
      </c>
      <c r="J198" s="33" t="s">
        <v>78</v>
      </c>
      <c r="K198" s="29">
        <v>0.625</v>
      </c>
      <c r="L198" s="29">
        <v>0.63194444444444442</v>
      </c>
      <c r="M198" s="30">
        <f t="shared" ca="1" si="43"/>
        <v>6.9444444444444198E-3</v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>
        <v>0</v>
      </c>
      <c r="G199" s="34">
        <f t="shared" si="42"/>
        <v>0</v>
      </c>
      <c r="H199" s="33" t="s">
        <v>19</v>
      </c>
      <c r="I199" s="33" t="s">
        <v>47</v>
      </c>
      <c r="J199" s="33" t="s">
        <v>78</v>
      </c>
      <c r="K199" s="29">
        <v>0.68402777777777779</v>
      </c>
      <c r="L199" s="29">
        <v>0.69097222222222221</v>
      </c>
      <c r="M199" s="35">
        <f t="shared" ca="1" si="43"/>
        <v>6.9444444444444198E-3</v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>
        <v>4</v>
      </c>
      <c r="G200" s="28">
        <f t="shared" si="42"/>
        <v>16.8</v>
      </c>
      <c r="H200" s="26" t="s">
        <v>20</v>
      </c>
      <c r="I200" s="26" t="s">
        <v>123</v>
      </c>
      <c r="J200" s="26" t="s">
        <v>114</v>
      </c>
      <c r="K200" s="29">
        <v>0.71666666666666667</v>
      </c>
      <c r="L200" s="29">
        <v>0.72499999999999998</v>
      </c>
      <c r="M200" s="30">
        <f t="shared" ca="1" si="43"/>
        <v>8.3333333333333037E-3</v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>
        <v>0</v>
      </c>
      <c r="G201" s="34">
        <f t="shared" si="42"/>
        <v>0</v>
      </c>
      <c r="H201" s="33" t="s">
        <v>20</v>
      </c>
      <c r="I201" s="33" t="s">
        <v>123</v>
      </c>
      <c r="J201" s="33" t="s">
        <v>114</v>
      </c>
      <c r="K201" s="29">
        <v>0.7368055555555556</v>
      </c>
      <c r="L201" s="29">
        <v>0.74444444444444446</v>
      </c>
      <c r="M201" s="35">
        <f t="shared" ca="1" si="43"/>
        <v>7.6388888888888618E-3</v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>
        <v>2</v>
      </c>
      <c r="G202" s="28">
        <f t="shared" si="42"/>
        <v>8.4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15</v>
      </c>
      <c r="G203" s="36">
        <f>SUM(G191:G202)</f>
        <v>63.000000000000007</v>
      </c>
      <c r="H203" s="37"/>
      <c r="I203" s="37"/>
      <c r="J203" s="37"/>
      <c r="K203" s="37"/>
      <c r="L203" s="37"/>
      <c r="M203" s="38">
        <f ca="1">IFERROR(SUM(M191:M202),"")</f>
        <v>0.16180555555555548</v>
      </c>
      <c r="N203" s="36" t="s">
        <v>235</v>
      </c>
      <c r="O203" s="39">
        <v>92510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249</v>
      </c>
      <c r="F204" s="27">
        <v>2</v>
      </c>
      <c r="G204" s="28">
        <f t="shared" ref="G204:G215" si="45">IF(F204="","",IF(E204="PC 17",F204*4.2,IF(E204="PC 19",F204*5,IF(E204="CB",F204*24,""))))</f>
        <v>8.4</v>
      </c>
      <c r="H204" s="26" t="s">
        <v>20</v>
      </c>
      <c r="I204" s="26" t="s">
        <v>47</v>
      </c>
      <c r="J204" s="26" t="s">
        <v>51</v>
      </c>
      <c r="K204" s="29">
        <v>0.79166666666666663</v>
      </c>
      <c r="L204" s="29">
        <v>0.79791666666666672</v>
      </c>
      <c r="M204" s="30">
        <f t="shared" ref="M204:M215" ca="1" si="46">IFERROR(IF(K204="","",IF(L204="",MOD(NOW()-K204,1),IF(L204&gt;=K204,L204-K204,L204+1-K204))),"")</f>
        <v>6.2500000000000888E-3</v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249</v>
      </c>
      <c r="F205" s="27">
        <v>6</v>
      </c>
      <c r="G205" s="34">
        <f t="shared" si="45"/>
        <v>25.200000000000003</v>
      </c>
      <c r="H205" s="33" t="s">
        <v>20</v>
      </c>
      <c r="I205" s="33" t="s">
        <v>47</v>
      </c>
      <c r="J205" s="33" t="s">
        <v>56</v>
      </c>
      <c r="K205" s="29">
        <v>0.80833333333333335</v>
      </c>
      <c r="L205" s="29">
        <v>0.85763888888888884</v>
      </c>
      <c r="M205" s="35">
        <f t="shared" ca="1" si="46"/>
        <v>4.9305555555555491E-2</v>
      </c>
      <c r="N205" s="27" t="s">
        <v>285</v>
      </c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249</v>
      </c>
      <c r="F206" s="27">
        <v>1</v>
      </c>
      <c r="G206" s="28">
        <f t="shared" si="45"/>
        <v>4.2</v>
      </c>
      <c r="H206" s="26" t="s">
        <v>20</v>
      </c>
      <c r="I206" s="26"/>
      <c r="J206" s="26" t="s">
        <v>74</v>
      </c>
      <c r="K206" s="29">
        <v>0.88680555555555551</v>
      </c>
      <c r="L206" s="29">
        <v>0.89930555555555558</v>
      </c>
      <c r="M206" s="30">
        <f t="shared" ca="1" si="46"/>
        <v>1.2500000000000067E-2</v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249</v>
      </c>
      <c r="F207" s="27">
        <v>5</v>
      </c>
      <c r="G207" s="34">
        <f t="shared" si="45"/>
        <v>21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249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249</v>
      </c>
      <c r="F209" s="27">
        <v>7</v>
      </c>
      <c r="G209" s="34">
        <f t="shared" si="45"/>
        <v>29.400000000000002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249</v>
      </c>
      <c r="F210" s="27">
        <v>4</v>
      </c>
      <c r="G210" s="28">
        <f t="shared" si="45"/>
        <v>16.8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249</v>
      </c>
      <c r="F211" s="27">
        <v>5</v>
      </c>
      <c r="G211" s="34">
        <f t="shared" si="45"/>
        <v>21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249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249</v>
      </c>
      <c r="F213" s="27">
        <v>3</v>
      </c>
      <c r="G213" s="34">
        <f t="shared" si="45"/>
        <v>12.600000000000001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249</v>
      </c>
      <c r="F214" s="27">
        <v>3</v>
      </c>
      <c r="G214" s="28">
        <f t="shared" si="45"/>
        <v>12.600000000000001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249</v>
      </c>
      <c r="F215" s="27">
        <v>3</v>
      </c>
      <c r="G215" s="34">
        <f t="shared" si="45"/>
        <v>12.600000000000001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46</v>
      </c>
      <c r="G216" s="36">
        <f>SUM(G204:G215)</f>
        <v>193.2</v>
      </c>
      <c r="H216" s="37"/>
      <c r="I216" s="37"/>
      <c r="J216" s="37"/>
      <c r="K216" s="37"/>
      <c r="L216" s="37"/>
      <c r="M216" s="38">
        <f ca="1">IFERROR(SUM(M204:M215),"")</f>
        <v>6.8055555555555647E-2</v>
      </c>
      <c r="N216" s="36" t="s">
        <v>235</v>
      </c>
      <c r="O216" s="39">
        <v>148720</v>
      </c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61</v>
      </c>
      <c r="G217" s="40">
        <f>G203+G216</f>
        <v>256.2</v>
      </c>
      <c r="H217" s="41"/>
      <c r="I217" s="41"/>
      <c r="J217" s="41"/>
      <c r="K217" s="41"/>
      <c r="L217" s="41"/>
      <c r="M217" s="42">
        <f ca="1">IFERROR(M203+M216,"")</f>
        <v>0.22986111111111113</v>
      </c>
      <c r="N217" s="40" t="s">
        <v>239</v>
      </c>
      <c r="O217" s="48">
        <f>IFERROR(O203+O216,"")</f>
        <v>241230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1" t="s">
        <v>234</v>
      </c>
      <c r="B230" s="102"/>
      <c r="C230" s="102"/>
      <c r="D230" s="102"/>
      <c r="E230" s="10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1" t="s">
        <v>234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1" t="s">
        <v>234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1" t="s">
        <v>237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/>
    </row>
    <row r="433" spans="1:15" ht="18" customHeight="1">
      <c r="A433" s="104" t="s">
        <v>238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1" t="s">
        <v>237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4" t="s">
        <v>238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4" t="s">
        <v>238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174" activePane="bottomLeft" state="frozen"/>
      <selection pane="bottomLeft" activeCell="O217" sqref="O217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235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249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249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286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249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257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249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130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274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249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130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287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249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249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249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161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288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249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249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1" t="s">
        <v>237</v>
      </c>
      <c r="B27" s="102"/>
      <c r="C27" s="102"/>
      <c r="D27" s="102"/>
      <c r="E27" s="103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235</v>
      </c>
      <c r="O27" s="39">
        <v>491520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239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249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249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249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249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249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249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249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249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249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249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1" t="s">
        <v>234</v>
      </c>
      <c r="B41" s="102"/>
      <c r="C41" s="102"/>
      <c r="D41" s="102"/>
      <c r="E41" s="103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235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249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249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289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249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249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249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249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249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249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249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235</v>
      </c>
      <c r="O54" s="39">
        <v>352430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239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249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206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249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290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249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130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291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249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249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249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249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249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249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235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216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292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249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249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130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274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249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249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206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249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249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249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249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235</v>
      </c>
      <c r="O81" s="39">
        <v>612410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239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249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162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235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162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130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274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235</v>
      </c>
      <c r="O108" s="39">
        <v>956070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239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162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216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221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221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162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293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235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206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294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260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130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274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235</v>
      </c>
      <c r="O135" s="39">
        <v>912240</v>
      </c>
    </row>
    <row r="136" spans="1:18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239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162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295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249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296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249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249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141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249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249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162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249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249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249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269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249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249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234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235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162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297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11</v>
      </c>
      <c r="G151" s="34">
        <f t="shared" si="33"/>
        <v>46.2</v>
      </c>
      <c r="H151" s="33" t="s">
        <v>16</v>
      </c>
      <c r="I151" s="33" t="s">
        <v>140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298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235</v>
      </c>
      <c r="O162" s="39">
        <v>573230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239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140</v>
      </c>
      <c r="J164" s="26" t="s">
        <v>134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249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162</v>
      </c>
      <c r="J165" s="33" t="s">
        <v>183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249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162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249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249</v>
      </c>
      <c r="F168" s="27">
        <v>10</v>
      </c>
      <c r="G168" s="28">
        <f t="shared" si="36"/>
        <v>42</v>
      </c>
      <c r="H168" s="26" t="s">
        <v>18</v>
      </c>
      <c r="I168" s="26" t="s">
        <v>57</v>
      </c>
      <c r="J168" s="26" t="s">
        <v>156</v>
      </c>
      <c r="K168" s="29">
        <v>0.46875</v>
      </c>
      <c r="L168" s="29">
        <v>0.49305555555555558</v>
      </c>
      <c r="M168" s="30">
        <f t="shared" ca="1" si="37"/>
        <v>2.430555555555558E-2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249</v>
      </c>
      <c r="F169" s="27">
        <v>14</v>
      </c>
      <c r="G169" s="34">
        <f t="shared" si="36"/>
        <v>58.800000000000004</v>
      </c>
      <c r="H169" s="33" t="s">
        <v>20</v>
      </c>
      <c r="I169" s="33" t="s">
        <v>141</v>
      </c>
      <c r="J169" s="33" t="s">
        <v>74</v>
      </c>
      <c r="K169" s="29">
        <v>0.52569444444444446</v>
      </c>
      <c r="L169" s="29">
        <v>0.55000000000000004</v>
      </c>
      <c r="M169" s="35">
        <f t="shared" ca="1" si="37"/>
        <v>2.430555555555558E-2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249</v>
      </c>
      <c r="F170" s="27">
        <v>18</v>
      </c>
      <c r="G170" s="28">
        <f t="shared" si="36"/>
        <v>75.600000000000009</v>
      </c>
      <c r="H170" s="26" t="s">
        <v>19</v>
      </c>
      <c r="I170" s="26" t="s">
        <v>162</v>
      </c>
      <c r="J170" s="26" t="s">
        <v>27</v>
      </c>
      <c r="K170" s="29">
        <v>0.62847222222222221</v>
      </c>
      <c r="L170" s="29">
        <v>0.64930555555555558</v>
      </c>
      <c r="M170" s="30">
        <f t="shared" ca="1" si="37"/>
        <v>2.083333333333337E-2</v>
      </c>
      <c r="N170" s="27" t="s">
        <v>299</v>
      </c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249</v>
      </c>
      <c r="F171" s="27">
        <v>17</v>
      </c>
      <c r="G171" s="34">
        <f t="shared" si="36"/>
        <v>71.400000000000006</v>
      </c>
      <c r="H171" s="33" t="s">
        <v>20</v>
      </c>
      <c r="I171" s="33" t="s">
        <v>141</v>
      </c>
      <c r="J171" s="33" t="s">
        <v>74</v>
      </c>
      <c r="K171" s="29">
        <v>0.69791666666666663</v>
      </c>
      <c r="L171" s="29">
        <v>0.71250000000000002</v>
      </c>
      <c r="M171" s="35">
        <f t="shared" ca="1" si="37"/>
        <v>1.4583333333333393E-2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249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249</v>
      </c>
      <c r="F173" s="27">
        <v>14</v>
      </c>
      <c r="G173" s="34">
        <f t="shared" si="36"/>
        <v>58.800000000000004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249</v>
      </c>
      <c r="F174" s="27">
        <v>15</v>
      </c>
      <c r="G174" s="28">
        <f t="shared" si="36"/>
        <v>63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249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162</v>
      </c>
      <c r="G176" s="36">
        <f>SUM(G164:G175)</f>
        <v>680.4</v>
      </c>
      <c r="H176" s="37"/>
      <c r="I176" s="37"/>
      <c r="J176" s="37"/>
      <c r="K176" s="61"/>
      <c r="L176" s="61"/>
      <c r="M176" s="38">
        <f ca="1">IFERROR(SUM(M164:M175),"")</f>
        <v>0.13263888888888897</v>
      </c>
      <c r="N176" s="36" t="s">
        <v>235</v>
      </c>
      <c r="O176" s="39">
        <v>659400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12</v>
      </c>
      <c r="G177" s="34">
        <f t="shared" ref="G177:G188" si="39">IF(F177="","",IF(E177="PC 17",F177*4.2,IF(E177="PC 19",F177*5,IF(E177="CB",F177*24,""))))</f>
        <v>50.400000000000006</v>
      </c>
      <c r="H177" s="33" t="s">
        <v>17</v>
      </c>
      <c r="I177" s="33"/>
      <c r="J177" s="33" t="s">
        <v>117</v>
      </c>
      <c r="K177" s="29">
        <v>0.8125</v>
      </c>
      <c r="L177" s="29">
        <v>0.84166666666666667</v>
      </c>
      <c r="M177" s="35">
        <f t="shared" ref="M177:M188" ca="1" si="40">IFERROR(IF(K177="","",IF(L177="",MOD(NOW()-K177,1),IF(L177&gt;=K177,L177-K177,L177+1-K177))),"")</f>
        <v>2.9166666666666674E-2</v>
      </c>
      <c r="N177" s="27" t="s">
        <v>300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249</v>
      </c>
      <c r="F178" s="27">
        <v>8</v>
      </c>
      <c r="G178" s="28">
        <f t="shared" si="39"/>
        <v>33.6</v>
      </c>
      <c r="H178" s="26" t="s">
        <v>18</v>
      </c>
      <c r="I178" s="26" t="s">
        <v>141</v>
      </c>
      <c r="J178" s="26" t="s">
        <v>130</v>
      </c>
      <c r="K178" s="29">
        <v>0.96805555555555556</v>
      </c>
      <c r="L178" s="29">
        <v>4.1666666666666664E-2</v>
      </c>
      <c r="M178" s="30">
        <f t="shared" ca="1" si="40"/>
        <v>7.3611111111111183E-2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6</v>
      </c>
      <c r="G179" s="34">
        <f t="shared" si="39"/>
        <v>25.200000000000003</v>
      </c>
      <c r="H179" s="33" t="s">
        <v>19</v>
      </c>
      <c r="I179" s="33" t="s">
        <v>162</v>
      </c>
      <c r="J179" s="26" t="s">
        <v>27</v>
      </c>
      <c r="K179" s="29">
        <v>0.1076388888888889</v>
      </c>
      <c r="L179" s="29">
        <v>0.12847222222222221</v>
      </c>
      <c r="M179" s="35">
        <f t="shared" ca="1" si="40"/>
        <v>2.0833333333333315E-2</v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249</v>
      </c>
      <c r="F180" s="27">
        <v>23</v>
      </c>
      <c r="G180" s="28">
        <f t="shared" si="39"/>
        <v>96.600000000000009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10</v>
      </c>
      <c r="G181" s="34">
        <f t="shared" si="39"/>
        <v>42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249</v>
      </c>
      <c r="F182" s="27">
        <v>13</v>
      </c>
      <c r="G182" s="28">
        <f t="shared" si="39"/>
        <v>54.6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16</v>
      </c>
      <c r="G183" s="34">
        <f t="shared" si="39"/>
        <v>67.2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249</v>
      </c>
      <c r="F184" s="27">
        <v>9</v>
      </c>
      <c r="G184" s="28">
        <f t="shared" si="39"/>
        <v>37.800000000000004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19</v>
      </c>
      <c r="G185" s="34">
        <f t="shared" si="39"/>
        <v>79.8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249</v>
      </c>
      <c r="F186" s="27">
        <v>20</v>
      </c>
      <c r="G186" s="28">
        <f t="shared" si="39"/>
        <v>84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18</v>
      </c>
      <c r="G187" s="34">
        <f t="shared" si="39"/>
        <v>75.600000000000009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249</v>
      </c>
      <c r="F188" s="27">
        <v>8</v>
      </c>
      <c r="G188" s="28">
        <f t="shared" si="39"/>
        <v>33.6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162</v>
      </c>
      <c r="G189" s="36">
        <f>SUM(G177:G188)</f>
        <v>680.40000000000009</v>
      </c>
      <c r="H189" s="37"/>
      <c r="I189" s="37"/>
      <c r="J189" s="37"/>
      <c r="K189" s="61"/>
      <c r="L189" s="61"/>
      <c r="M189" s="38">
        <f ca="1">IFERROR(SUM(M177:M188),"")</f>
        <v>0.12361111111111117</v>
      </c>
      <c r="N189" s="36" t="s">
        <v>235</v>
      </c>
      <c r="O189" s="39">
        <v>692750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324</v>
      </c>
      <c r="G190" s="40">
        <f>G176+G189</f>
        <v>1360.8000000000002</v>
      </c>
      <c r="H190" s="41"/>
      <c r="I190" s="41"/>
      <c r="J190" s="41"/>
      <c r="K190" s="63"/>
      <c r="L190" s="63"/>
      <c r="M190" s="42">
        <f ca="1">IFERROR(M176+M189,"")</f>
        <v>0.25625000000000014</v>
      </c>
      <c r="N190" s="40" t="s">
        <v>239</v>
      </c>
      <c r="O190" s="43">
        <f>IFERROR(O176+O189,"")</f>
        <v>1352150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15</v>
      </c>
      <c r="G191" s="34">
        <f t="shared" ref="G191:G202" si="42">IF(F191="","",IF(E191="PC 17",F191*4.2,IF(E191="PC 19",F191*5,IF(E191="CB",F191*24,""))))</f>
        <v>63</v>
      </c>
      <c r="H191" s="33" t="s">
        <v>19</v>
      </c>
      <c r="I191" s="33" t="s">
        <v>162</v>
      </c>
      <c r="J191" s="33" t="s">
        <v>27</v>
      </c>
      <c r="K191" s="29">
        <v>0.29166666666666669</v>
      </c>
      <c r="L191" s="29">
        <v>0.31111111111111112</v>
      </c>
      <c r="M191" s="35">
        <f t="shared" ref="M191:M202" ca="1" si="43">IFERROR(IF(K191="","",IF(L191="",MOD(NOW()-K191,1),IF(L191&gt;=K191,L191-K191,L191+1-K191))),"")</f>
        <v>1.9444444444444431E-2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15</v>
      </c>
      <c r="G192" s="28">
        <f t="shared" si="42"/>
        <v>63</v>
      </c>
      <c r="H192" s="26" t="s">
        <v>18</v>
      </c>
      <c r="I192" s="26" t="s">
        <v>52</v>
      </c>
      <c r="J192" s="33" t="s">
        <v>156</v>
      </c>
      <c r="K192" s="29">
        <v>0.55138888888888893</v>
      </c>
      <c r="L192" s="29">
        <v>0.58750000000000002</v>
      </c>
      <c r="M192" s="30">
        <f t="shared" ca="1" si="43"/>
        <v>3.6111111111111094E-2</v>
      </c>
      <c r="N192" s="27" t="s">
        <v>301</v>
      </c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14</v>
      </c>
      <c r="G193" s="34">
        <f t="shared" si="42"/>
        <v>58.800000000000004</v>
      </c>
      <c r="H193" s="33" t="s">
        <v>20</v>
      </c>
      <c r="I193" s="33" t="s">
        <v>57</v>
      </c>
      <c r="J193" s="33" t="s">
        <v>28</v>
      </c>
      <c r="K193" s="29">
        <v>0.67013888888888884</v>
      </c>
      <c r="L193" s="29">
        <v>0.67638888888888893</v>
      </c>
      <c r="M193" s="35">
        <f t="shared" ca="1" si="43"/>
        <v>6.2500000000000888E-3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18</v>
      </c>
      <c r="G194" s="28">
        <f t="shared" si="42"/>
        <v>75.600000000000009</v>
      </c>
      <c r="H194" s="26" t="s">
        <v>20</v>
      </c>
      <c r="I194" s="26" t="s">
        <v>157</v>
      </c>
      <c r="J194" s="26" t="s">
        <v>74</v>
      </c>
      <c r="K194" s="29">
        <v>0.69861111111111107</v>
      </c>
      <c r="L194" s="29">
        <v>0.70486111111111116</v>
      </c>
      <c r="M194" s="30">
        <f t="shared" ca="1" si="43"/>
        <v>6.2500000000000888E-3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10</v>
      </c>
      <c r="G195" s="34">
        <f t="shared" si="42"/>
        <v>42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17</v>
      </c>
      <c r="G196" s="28">
        <f t="shared" si="42"/>
        <v>71.400000000000006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>
        <v>0</v>
      </c>
      <c r="G197" s="34">
        <f t="shared" si="42"/>
        <v>0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>
        <v>16</v>
      </c>
      <c r="G198" s="28">
        <f t="shared" si="42"/>
        <v>67.2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>
        <v>17</v>
      </c>
      <c r="G199" s="34">
        <f t="shared" si="42"/>
        <v>71.400000000000006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>
        <v>20</v>
      </c>
      <c r="G200" s="28">
        <f t="shared" si="42"/>
        <v>84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>
        <v>10</v>
      </c>
      <c r="G201" s="34">
        <f t="shared" si="42"/>
        <v>42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>
        <v>9</v>
      </c>
      <c r="G202" s="28">
        <f t="shared" si="42"/>
        <v>37.800000000000004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161</v>
      </c>
      <c r="G203" s="36">
        <f>SUM(G191:G202)</f>
        <v>676.2</v>
      </c>
      <c r="H203" s="37"/>
      <c r="I203" s="37"/>
      <c r="J203" s="37"/>
      <c r="K203" s="61"/>
      <c r="L203" s="61"/>
      <c r="M203" s="38">
        <f ca="1">IFERROR(SUM(M191:M202),"")</f>
        <v>6.8055555555555702E-2</v>
      </c>
      <c r="N203" s="36" t="s">
        <v>235</v>
      </c>
      <c r="O203" s="45">
        <v>790070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249</v>
      </c>
      <c r="F204" s="27">
        <v>14</v>
      </c>
      <c r="G204" s="28">
        <f t="shared" ref="G204:G215" si="45">IF(F204="","",IF(E204="PC 17",F204*4.2,IF(E204="PC 19",F204*5,IF(E204="CB",F204*24,""))))</f>
        <v>58.800000000000004</v>
      </c>
      <c r="H204" s="26" t="s">
        <v>18</v>
      </c>
      <c r="I204" s="33" t="s">
        <v>57</v>
      </c>
      <c r="J204" s="26" t="s">
        <v>34</v>
      </c>
      <c r="K204" s="29">
        <v>0.8125</v>
      </c>
      <c r="L204" s="29">
        <v>2.7777777777777779E-3</v>
      </c>
      <c r="M204" s="30">
        <f t="shared" ref="M204:M215" ca="1" si="46">IFERROR(IF(K204="","",IF(L204="",MOD(NOW()-K204,1),IF(L204&gt;=K204,L204-K204,L204+1-K204))),"")</f>
        <v>0.19027777777777777</v>
      </c>
      <c r="N204" s="27" t="s">
        <v>302</v>
      </c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249</v>
      </c>
      <c r="F205" s="27">
        <v>6</v>
      </c>
      <c r="G205" s="34">
        <f t="shared" si="45"/>
        <v>25.200000000000003</v>
      </c>
      <c r="H205" s="33" t="s">
        <v>20</v>
      </c>
      <c r="I205" s="57" t="s">
        <v>303</v>
      </c>
      <c r="J205" s="33" t="s">
        <v>28</v>
      </c>
      <c r="K205" s="29">
        <v>0.85833333333333328</v>
      </c>
      <c r="L205" s="29">
        <v>0.86458333333333337</v>
      </c>
      <c r="M205" s="35">
        <f t="shared" ca="1" si="46"/>
        <v>6.2500000000000888E-3</v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249</v>
      </c>
      <c r="F206" s="27">
        <v>0</v>
      </c>
      <c r="G206" s="28">
        <f t="shared" si="45"/>
        <v>0</v>
      </c>
      <c r="H206" s="26" t="s">
        <v>20</v>
      </c>
      <c r="I206" s="26" t="s">
        <v>52</v>
      </c>
      <c r="J206" s="26" t="s">
        <v>36</v>
      </c>
      <c r="K206" s="29">
        <v>0.87708333333333333</v>
      </c>
      <c r="L206" s="29">
        <v>2.7777777777777779E-3</v>
      </c>
      <c r="M206" s="30">
        <f t="shared" ca="1" si="46"/>
        <v>0.12569444444444444</v>
      </c>
      <c r="N206" s="27" t="s">
        <v>304</v>
      </c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249</v>
      </c>
      <c r="F207" s="27">
        <v>0</v>
      </c>
      <c r="G207" s="34">
        <f t="shared" si="45"/>
        <v>0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249</v>
      </c>
      <c r="F208" s="27">
        <v>0</v>
      </c>
      <c r="G208" s="28">
        <f t="shared" si="45"/>
        <v>0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249</v>
      </c>
      <c r="F209" s="27">
        <v>20</v>
      </c>
      <c r="G209" s="34">
        <f t="shared" si="45"/>
        <v>84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249</v>
      </c>
      <c r="F210" s="27">
        <v>19</v>
      </c>
      <c r="G210" s="28">
        <v>77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249</v>
      </c>
      <c r="F211" s="27">
        <v>19</v>
      </c>
      <c r="G211" s="34">
        <f t="shared" si="45"/>
        <v>79.8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249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249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249</v>
      </c>
      <c r="F214" s="27">
        <v>17</v>
      </c>
      <c r="G214" s="28">
        <f t="shared" si="45"/>
        <v>71.400000000000006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249</v>
      </c>
      <c r="F215" s="27">
        <v>12</v>
      </c>
      <c r="G215" s="34">
        <f t="shared" si="45"/>
        <v>50.400000000000006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136</v>
      </c>
      <c r="G216" s="36">
        <f>SUM(G204:G215)</f>
        <v>568.4</v>
      </c>
      <c r="H216" s="37"/>
      <c r="I216" s="37"/>
      <c r="J216" s="37"/>
      <c r="K216" s="61"/>
      <c r="L216" s="61"/>
      <c r="M216" s="38">
        <f ca="1">IFERROR(SUM(M204:M215),"")</f>
        <v>0.3222222222222223</v>
      </c>
      <c r="N216" s="36" t="s">
        <v>235</v>
      </c>
      <c r="O216" s="45">
        <v>607180</v>
      </c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297</v>
      </c>
      <c r="G217" s="40">
        <f>G203+G216</f>
        <v>1244.5999999999999</v>
      </c>
      <c r="H217" s="41"/>
      <c r="I217" s="41"/>
      <c r="J217" s="41"/>
      <c r="K217" s="63"/>
      <c r="L217" s="63"/>
      <c r="M217" s="42">
        <f ca="1">IFERROR(M203+M216,"")</f>
        <v>0.390277777777778</v>
      </c>
      <c r="N217" s="40" t="s">
        <v>239</v>
      </c>
      <c r="O217" s="48">
        <f>IFERROR(O203+O216,"")</f>
        <v>1397250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1" t="s">
        <v>234</v>
      </c>
      <c r="B230" s="102"/>
      <c r="C230" s="102"/>
      <c r="D230" s="102"/>
      <c r="E230" s="10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1" t="s">
        <v>234</v>
      </c>
      <c r="B338" s="102"/>
      <c r="C338" s="102"/>
      <c r="D338" s="102"/>
      <c r="E338" s="103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234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1" t="s">
        <v>237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235</v>
      </c>
      <c r="O432" s="39"/>
    </row>
    <row r="433" spans="1:17" ht="18" customHeight="1">
      <c r="A433" s="104" t="s">
        <v>238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235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1" t="s">
        <v>237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4" t="s">
        <v>238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4" t="s">
        <v>238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239</v>
      </c>
      <c r="O838" s="48">
        <f>IFERROR(O824+O837,"")</f>
        <v>0</v>
      </c>
    </row>
  </sheetData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I206:I900 I2:I204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2026-08-09T10:55:59Z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