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0081" documentId="8_{AF585B22-221D-4780-BB9C-493D365A6A02}" xr6:coauthVersionLast="47" xr6:coauthVersionMax="47" xr10:uidLastSave="{60CAEC41-7C69-4EB1-BE9A-807E27C4692F}"/>
  <bookViews>
    <workbookView xWindow="-110" yWindow="-110" windowWidth="25820" windowHeight="15500" tabRatio="500" firstSheet="3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<sst xmlns="http://schemas.openxmlformats.org/spreadsheetml/2006/main" count="8770" uniqueCount="370">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</sst>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8" sqref="G18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726090</v>
      </c>
      <c r="D24" s="8">
        <f>IFERROR('Linha 1'!O568,"")</f>
        <v>1003230</v>
      </c>
      <c r="E24" s="8">
        <f>IFERROR('Linha 2'!O568,"")</f>
        <v>171920</v>
      </c>
      <c r="F24" s="8">
        <f>IFERROR('Linha 3'!O568,"")</f>
        <v>583380</v>
      </c>
      <c r="G24" s="9">
        <f t="shared" si="0"/>
        <v>1758530</v>
      </c>
    </row>
    <row r="25" spans="1:7" ht="15.75" customHeight="1">
      <c r="A25" s="10">
        <v>22</v>
      </c>
      <c r="B25" s="73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63111241</v>
      </c>
      <c r="D35" s="13">
        <f>IFERROR(SUM(D4:D34),"")</f>
        <v>24771590</v>
      </c>
      <c r="E35" s="13">
        <f>IFERROR(SUM(E4:E34),"")</f>
        <v>14012030</v>
      </c>
      <c r="F35" s="13">
        <f>IFERROR(SUM(F4:F34),"")</f>
        <v>28224620</v>
      </c>
      <c r="G35" s="13">
        <f>IFERROR(SUM(G4:G34),"")</f>
        <v>67008240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203</v>
      </c>
      <c r="L58" s="16"/>
      <c r="M58" s="16"/>
    </row>
    <row r="59" spans="1:13" ht="15" customHeight="1">
      <c r="H59" s="109"/>
      <c r="I59" s="17"/>
      <c r="J59" s="17"/>
      <c r="K59" s="17" t="s">
        <v>204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205</v>
      </c>
      <c r="L61" s="17"/>
      <c r="M61" s="17"/>
    </row>
    <row r="62" spans="1:13" ht="15" customHeight="1">
      <c r="H62" s="109"/>
      <c r="I62" s="16"/>
      <c r="J62" s="16"/>
      <c r="K62" s="16" t="s">
        <v>206</v>
      </c>
      <c r="L62" s="16"/>
      <c r="M62" s="16"/>
    </row>
    <row r="63" spans="1:13" ht="15" customHeight="1">
      <c r="H63" s="109"/>
      <c r="I63" s="17"/>
      <c r="J63" s="17"/>
      <c r="K63" s="17" t="s">
        <v>207</v>
      </c>
      <c r="L63" s="17"/>
      <c r="M63" s="17"/>
    </row>
    <row r="64" spans="1:13" ht="15" customHeight="1">
      <c r="H64" s="109"/>
      <c r="I64" s="16"/>
      <c r="J64" s="16"/>
      <c r="K64" s="16" t="s">
        <v>208</v>
      </c>
      <c r="L64" s="16"/>
      <c r="M64" s="16"/>
    </row>
    <row r="65" spans="8:13" ht="15" customHeight="1">
      <c r="H65" s="109"/>
      <c r="I65" s="17"/>
      <c r="J65" s="17"/>
      <c r="K65" s="17" t="s">
        <v>209</v>
      </c>
      <c r="L65" s="17"/>
      <c r="M65" s="17"/>
    </row>
    <row r="66" spans="8:13" ht="15" customHeight="1">
      <c r="H66" s="109"/>
      <c r="I66" s="16"/>
      <c r="J66" s="16"/>
      <c r="K66" s="16" t="s">
        <v>210</v>
      </c>
      <c r="L66" s="16"/>
      <c r="M66" s="16"/>
    </row>
    <row r="67" spans="8:13" ht="15" customHeight="1">
      <c r="H67" s="109"/>
      <c r="I67" s="17"/>
      <c r="J67" s="17"/>
      <c r="K67" s="17" t="s">
        <v>211</v>
      </c>
      <c r="L67" s="17"/>
      <c r="M67" s="17"/>
    </row>
    <row r="68" spans="8:13" ht="15" customHeight="1">
      <c r="H68" s="109"/>
      <c r="I68" s="16"/>
      <c r="J68" s="16"/>
      <c r="K68" s="16" t="s">
        <v>212</v>
      </c>
      <c r="L68" s="16"/>
      <c r="M68" s="16"/>
    </row>
    <row r="69" spans="8:13" ht="15" customHeight="1">
      <c r="H69" s="109"/>
      <c r="I69" s="17"/>
      <c r="J69" s="17"/>
      <c r="K69" s="17" t="s">
        <v>213</v>
      </c>
      <c r="L69" s="17"/>
      <c r="M69" s="17"/>
    </row>
    <row r="70" spans="8:13" ht="15" customHeight="1">
      <c r="H70" s="109"/>
      <c r="I70" s="16"/>
      <c r="J70" s="16"/>
      <c r="K70" s="16" t="s">
        <v>214</v>
      </c>
      <c r="L70" s="16"/>
      <c r="M70" s="16"/>
    </row>
    <row r="71" spans="8:13" ht="15" customHeight="1">
      <c r="H71" s="109"/>
      <c r="I71" s="17"/>
      <c r="J71" s="17"/>
      <c r="K71" s="17" t="s">
        <v>215</v>
      </c>
      <c r="L71" s="17"/>
      <c r="M71" s="17"/>
    </row>
    <row r="72" spans="8:13" ht="15" customHeight="1">
      <c r="H72" s="109"/>
      <c r="I72" s="16"/>
      <c r="J72" s="16"/>
      <c r="K72" s="16" t="s">
        <v>216</v>
      </c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530" activePane="bottomLeft" state="frozen"/>
      <selection pane="bottomLeft" activeCell="F556" sqref="F556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85.855468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227</v>
      </c>
      <c r="E2" s="59" t="s">
        <v>228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229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231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228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228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228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228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228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228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228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228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228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231</v>
      </c>
      <c r="O27" s="39">
        <v>1183060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234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228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228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235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228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228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228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228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228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228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231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228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228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228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228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228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228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228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228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228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228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231</v>
      </c>
      <c r="O54" s="39">
        <v>959290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234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228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228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228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228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228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228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228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228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228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228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228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228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231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228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228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236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228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228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228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228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228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228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228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231</v>
      </c>
      <c r="O81" s="39">
        <v>878050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234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237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228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228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231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238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1700000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234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228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228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228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228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228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228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228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228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228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228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228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228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231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231</v>
      </c>
      <c r="O135" s="39">
        <v>862330</v>
      </c>
    </row>
    <row r="136" spans="1:15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234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231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228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228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228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228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228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228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228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228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228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228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231</v>
      </c>
      <c r="O162" s="44">
        <v>1546080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234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228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228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228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228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228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228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228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228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228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228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228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231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228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228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228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228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228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228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228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228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228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228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228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228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>
        <v>2355810</v>
      </c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234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228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228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228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228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228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228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228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228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228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228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228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228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231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228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228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228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228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228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228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228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228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228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228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228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231</v>
      </c>
      <c r="O216" s="45">
        <v>2013260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234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228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239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228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228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228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228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228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228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228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228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228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228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230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231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228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228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228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228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228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228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228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228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228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231</v>
      </c>
      <c r="O243" s="39">
        <v>1545480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234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228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228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228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228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228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228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228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228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228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228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228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228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231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228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228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228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228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228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228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228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228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228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228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228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>
        <v>1182690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234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228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228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228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228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228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228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228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228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228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228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228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228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231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228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241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228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228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228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242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228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242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228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242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228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242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228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242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228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242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228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242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228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242</v>
      </c>
      <c r="O296" s="47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231</v>
      </c>
      <c r="O297" s="39">
        <v>1843460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234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228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243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228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228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244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228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228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228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228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228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228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228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231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245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228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245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245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245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228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245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>
        <v>1940000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234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228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246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228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228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228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228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228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228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228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228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228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230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231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228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228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228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228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228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228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228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228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228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228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228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228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231</v>
      </c>
      <c r="O351" s="39">
        <v>701874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234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228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247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228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228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228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228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228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228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228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228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228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228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228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230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231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228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228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228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228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228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228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228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228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228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228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228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231</v>
      </c>
      <c r="O378" s="39">
        <v>1088710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234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228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228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248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228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249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228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228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228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228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228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228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228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228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231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228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228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250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228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228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228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228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228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228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228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228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228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231</v>
      </c>
      <c r="O405" s="39">
        <v>1202270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234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228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251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228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228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252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228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228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228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228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228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253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253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228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231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228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228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228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228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228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228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228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228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228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228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228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232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>
        <v>1801910</v>
      </c>
    </row>
    <row r="433" spans="1:15" ht="18" customHeight="1">
      <c r="A433" s="102" t="s">
        <v>233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234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228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228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228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228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228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228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228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228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228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231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255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255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255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255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255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255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255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255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255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255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255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255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231</v>
      </c>
      <c r="O459" s="39">
        <v>2675000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234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>
        <v>2310070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228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228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228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228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228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231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228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228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228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228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228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228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228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228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228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228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228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232</v>
      </c>
      <c r="B513" s="100"/>
      <c r="C513" s="100"/>
      <c r="D513" s="100"/>
      <c r="E513" s="10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>
        <v>1298429</v>
      </c>
    </row>
    <row r="514" spans="1:15" ht="18" customHeight="1">
      <c r="A514" s="102" t="s">
        <v>233</v>
      </c>
      <c r="B514" s="103"/>
      <c r="C514" s="103"/>
      <c r="D514" s="103"/>
      <c r="E514" s="10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234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228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256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228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228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228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228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228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228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228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228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228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228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228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231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228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228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257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228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228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228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228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228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228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228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228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228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228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231</v>
      </c>
      <c r="O540" s="39">
        <v>1240140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234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228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206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258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228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228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228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228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228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228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228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228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228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228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228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231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228</v>
      </c>
      <c r="F555" s="27">
        <v>23</v>
      </c>
      <c r="G555" s="34">
        <f t="shared" ref="G555:G566" si="123">IF(F555="","",IF(E555="PC 17",F555*4.2,IF(E555="PC 19",F555*5,"")))</f>
        <v>115</v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228</v>
      </c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228</v>
      </c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228</v>
      </c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228</v>
      </c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228</v>
      </c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228</v>
      </c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228</v>
      </c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228</v>
      </c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228</v>
      </c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228</v>
      </c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228</v>
      </c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23</v>
      </c>
      <c r="G567" s="36">
        <f>SUM(G555:G566)</f>
        <v>115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153</v>
      </c>
      <c r="G568" s="40">
        <f>G554+G567</f>
        <v>765</v>
      </c>
      <c r="H568" s="41"/>
      <c r="I568" s="41"/>
      <c r="J568" s="41"/>
      <c r="K568" s="41"/>
      <c r="L568" s="41"/>
      <c r="M568" s="42">
        <f ca="1">IFERROR(M554+M567,"")</f>
        <v>0.32291666666666669</v>
      </c>
      <c r="N568" s="40" t="s">
        <v>234</v>
      </c>
      <c r="O568" s="48">
        <f>IFERROR(O554+O567,"")</f>
        <v>726090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59" t="s">
        <v>228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532" activePane="bottomLeft" state="frozen"/>
      <selection pane="bottomLeft" activeCell="L557" sqref="L55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231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231</v>
      </c>
      <c r="O27" s="77">
        <v>393200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234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259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231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260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255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84">
        <v>276360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234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261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262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231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231</v>
      </c>
      <c r="O81" s="54">
        <v>787860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234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231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265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266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231</v>
      </c>
      <c r="O108" s="54">
        <v>1087080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234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267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231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268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246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269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231</v>
      </c>
      <c r="O135" s="54">
        <v>794480</v>
      </c>
    </row>
    <row r="136" spans="1:15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234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271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231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231</v>
      </c>
      <c r="O162" s="54">
        <v>882280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234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231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231</v>
      </c>
      <c r="O189" s="77"/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234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231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275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276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231</v>
      </c>
      <c r="O216" s="77">
        <v>648410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234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277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278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230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231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273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231</v>
      </c>
      <c r="O243" s="77">
        <v>849060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234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231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231</v>
      </c>
      <c r="O270" s="77">
        <v>625070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234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281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282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231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231</v>
      </c>
      <c r="O297" s="77">
        <v>761660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234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284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231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286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231</v>
      </c>
      <c r="O324" s="77">
        <v>524410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234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255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255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255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255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255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255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255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255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230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231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288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289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231</v>
      </c>
      <c r="O351" s="77">
        <v>598420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234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230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231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0.63086678240506444</v>
      </c>
      <c r="N377" s="46"/>
      <c r="O377" s="47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0.78850567129395333</v>
      </c>
      <c r="N378" s="36" t="s">
        <v>231</v>
      </c>
      <c r="O378" s="77">
        <v>511980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0.89822789351617549</v>
      </c>
      <c r="N379" s="40" t="s">
        <v>234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273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290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231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255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291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246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231</v>
      </c>
      <c r="O405" s="77">
        <v>552440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234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255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231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0.60933900462987367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0.78017233796320706</v>
      </c>
      <c r="N432" s="36" t="s">
        <v>231</v>
      </c>
      <c r="O432" s="77">
        <v>484540</v>
      </c>
    </row>
    <row r="433" spans="1:15" ht="18" customHeight="1">
      <c r="A433" s="93" t="s">
        <v>233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0.92531122685209599</v>
      </c>
      <c r="N433" s="40" t="s">
        <v>234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294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231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295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231</v>
      </c>
      <c r="O459" s="77">
        <v>631190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234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296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297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298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231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299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231</v>
      </c>
      <c r="O486" s="77">
        <v>969510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234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300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231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231</v>
      </c>
      <c r="O513" s="77">
        <v>556040</v>
      </c>
    </row>
    <row r="514" spans="1:15" ht="18" customHeight="1">
      <c r="A514" s="93" t="s">
        <v>233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234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301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231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231</v>
      </c>
      <c r="O540" s="77">
        <v>548610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234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302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231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255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255</v>
      </c>
      <c r="F556" s="27"/>
      <c r="G556" s="28" t="str">
        <f t="shared" si="123"/>
        <v/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255</v>
      </c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255</v>
      </c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255</v>
      </c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255</v>
      </c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255</v>
      </c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255</v>
      </c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255</v>
      </c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255</v>
      </c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255</v>
      </c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255</v>
      </c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17</v>
      </c>
      <c r="G567" s="36">
        <f>SUM(G555:G566)</f>
        <v>71.400000000000006</v>
      </c>
      <c r="H567" s="37"/>
      <c r="I567" s="37"/>
      <c r="J567" s="37"/>
      <c r="K567" s="37"/>
      <c r="L567" s="37"/>
      <c r="M567" s="38">
        <f ca="1">IFERROR(SUM(M555:M566),"")</f>
        <v>1.9444444444444375E-2</v>
      </c>
      <c r="N567" s="36" t="s">
        <v>231</v>
      </c>
      <c r="O567" s="77"/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41"/>
      <c r="L568" s="41"/>
      <c r="M568" s="42">
        <f ca="1">IFERROR(M554+M567,"")</f>
        <v>0.10416666666666663</v>
      </c>
      <c r="N568" s="40" t="s">
        <v>234</v>
      </c>
      <c r="O568" s="83">
        <f>IFERROR(O554+O567,"")</f>
        <v>1003230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77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77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2" t="s">
        <v>233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530" zoomScale="50" zoomScaleNormal="50" workbookViewId="0">
      <selection activeCell="F556" sqref="F55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303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304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231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231</v>
      </c>
      <c r="O27" s="39">
        <v>308500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234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305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231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39">
        <v>124290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234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306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231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295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231</v>
      </c>
      <c r="O81" s="39">
        <v>396340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234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307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231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231</v>
      </c>
      <c r="O108" s="39">
        <v>41230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234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231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231</v>
      </c>
      <c r="O135" s="39">
        <v>381250</v>
      </c>
    </row>
    <row r="136" spans="1:15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234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308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272</v>
      </c>
      <c r="K141" s="29">
        <v>0.71597222222222223</v>
      </c>
      <c r="L141" s="29" t="s">
        <v>309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228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228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231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310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231</v>
      </c>
      <c r="O162" s="39">
        <v>337120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234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311</v>
      </c>
      <c r="N166" s="27" t="s">
        <v>312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231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231</v>
      </c>
      <c r="O189" s="39">
        <v>747210</v>
      </c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234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313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231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231</v>
      </c>
      <c r="O216" s="39">
        <v>468430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234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230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231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231</v>
      </c>
      <c r="O243" s="39">
        <v>575930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234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231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314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315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231</v>
      </c>
      <c r="O270" s="39">
        <v>483510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234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231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316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255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317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231</v>
      </c>
      <c r="O297" s="39">
        <v>487980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234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318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231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319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320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231</v>
      </c>
      <c r="O324" s="39">
        <v>609460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234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255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321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255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228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255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308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255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255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255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255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255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230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231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231</v>
      </c>
      <c r="O351" s="39">
        <v>437940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234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255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255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230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231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231</v>
      </c>
      <c r="O378" s="39">
        <v>473310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234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255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255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255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255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255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255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255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255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255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231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231</v>
      </c>
      <c r="O405" s="39">
        <v>507450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234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255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255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255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255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255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255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255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228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228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255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255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231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232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231</v>
      </c>
      <c r="O432" s="39">
        <v>229150</v>
      </c>
    </row>
    <row r="433" spans="1:15" ht="18" customHeight="1">
      <c r="A433" s="102" t="s">
        <v>233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234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322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231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231</v>
      </c>
      <c r="O459" s="39">
        <v>409980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234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228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228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228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228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231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231</v>
      </c>
      <c r="O486" s="39">
        <v>341550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234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323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228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231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232</v>
      </c>
      <c r="B513" s="100"/>
      <c r="C513" s="100"/>
      <c r="D513" s="100"/>
      <c r="E513" s="10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231</v>
      </c>
      <c r="O513" s="39">
        <v>276610</v>
      </c>
    </row>
    <row r="514" spans="1:15" ht="18" customHeight="1">
      <c r="A514" s="102" t="s">
        <v>233</v>
      </c>
      <c r="B514" s="103"/>
      <c r="C514" s="103"/>
      <c r="D514" s="103"/>
      <c r="E514" s="10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234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231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324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325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326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231</v>
      </c>
      <c r="O540" s="39">
        <v>194990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234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327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231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255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255</v>
      </c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255</v>
      </c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255</v>
      </c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255</v>
      </c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255</v>
      </c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255</v>
      </c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255</v>
      </c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255</v>
      </c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255</v>
      </c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255</v>
      </c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255</v>
      </c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14</v>
      </c>
      <c r="G567" s="36">
        <f>SUM(G555:G566)</f>
        <v>58.800000000000004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47</v>
      </c>
      <c r="G568" s="40">
        <f>G554+G567</f>
        <v>197.40000000000003</v>
      </c>
      <c r="H568" s="41"/>
      <c r="I568" s="41"/>
      <c r="J568" s="41"/>
      <c r="K568" s="41"/>
      <c r="L568" s="41"/>
      <c r="M568" s="42">
        <f ca="1">IFERROR(M554+M567,"")</f>
        <v>5.6944444444444464E-2</v>
      </c>
      <c r="N568" s="40" t="s">
        <v>234</v>
      </c>
      <c r="O568" s="48">
        <f>IFERROR(O554+O567,"")</f>
        <v>171920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2" t="s">
        <v>233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530" activePane="bottomLeft" state="frozen"/>
      <selection pane="bottomLeft" activeCell="F556" sqref="F556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328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295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231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329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231</v>
      </c>
      <c r="O27" s="39">
        <v>202230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234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330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331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231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231</v>
      </c>
      <c r="O54" s="39">
        <v>473910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234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332</v>
      </c>
      <c r="L58" s="29">
        <v>0.54097222222222219</v>
      </c>
      <c r="M58" s="30" t="str">
        <f t="shared" ca="1" si="13"/>
        <v/>
      </c>
      <c r="N58" s="27" t="s">
        <v>333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231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303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334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335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336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337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231</v>
      </c>
      <c r="O81" s="39">
        <v>565120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234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338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228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231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231</v>
      </c>
      <c r="O108" s="39">
        <v>558590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234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339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231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340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341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0.62114456018753117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270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0.82045011574308679</v>
      </c>
      <c r="N135" s="36" t="s">
        <v>231</v>
      </c>
      <c r="O135" s="39">
        <v>729290</v>
      </c>
    </row>
    <row r="136" spans="1:18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1.1878112268541978</v>
      </c>
      <c r="N136" s="40" t="s">
        <v>234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342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231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308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343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231</v>
      </c>
      <c r="O162" s="39">
        <v>697320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234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255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344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231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231</v>
      </c>
      <c r="O189" s="39">
        <v>973580</v>
      </c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234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345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346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231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347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231</v>
      </c>
      <c r="O216" s="45">
        <v>1060630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234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348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349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350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230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231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351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231</v>
      </c>
      <c r="O243" s="39">
        <v>982340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234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352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231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231</v>
      </c>
      <c r="O270" s="39">
        <v>1208450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234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231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231</v>
      </c>
      <c r="O297" s="39">
        <v>1049090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234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353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231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267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231</v>
      </c>
      <c r="O324" s="39">
        <v>1063720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234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255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295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255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255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255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255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255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255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255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255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255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230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231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354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355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231</v>
      </c>
      <c r="O351" s="39">
        <v>696140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234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308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231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255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255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255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356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231</v>
      </c>
      <c r="O378" s="39">
        <v>704750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234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357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344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231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358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359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231</v>
      </c>
      <c r="O405" s="39">
        <v>958130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234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255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231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360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232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231</v>
      </c>
      <c r="O432" s="39">
        <v>605220</v>
      </c>
    </row>
    <row r="433" spans="1:17" ht="18" customHeight="1">
      <c r="A433" s="102" t="s">
        <v>233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234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231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361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231</v>
      </c>
      <c r="O459" s="39">
        <v>615330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234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362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363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337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231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231</v>
      </c>
      <c r="O486" s="39">
        <v>1120830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234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337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228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228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228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255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255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255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255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255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231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364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232</v>
      </c>
      <c r="B513" s="100"/>
      <c r="C513" s="100"/>
      <c r="D513" s="100"/>
      <c r="E513" s="10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231</v>
      </c>
      <c r="O513" s="39">
        <v>416720</v>
      </c>
    </row>
    <row r="514" spans="1:15" ht="18" customHeight="1">
      <c r="A514" s="102" t="s">
        <v>233</v>
      </c>
      <c r="B514" s="103"/>
      <c r="C514" s="103"/>
      <c r="D514" s="103"/>
      <c r="E514" s="10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234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216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365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366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231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231</v>
      </c>
      <c r="O540" s="39">
        <v>404370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234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367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368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369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231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255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255</v>
      </c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5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255</v>
      </c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255</v>
      </c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255</v>
      </c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255</v>
      </c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255</v>
      </c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255</v>
      </c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255</v>
      </c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255</v>
      </c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255</v>
      </c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255</v>
      </c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2.7777777777777776E-2</v>
      </c>
      <c r="N567" s="36" t="s">
        <v>231</v>
      </c>
      <c r="O567" s="39"/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150</v>
      </c>
      <c r="G568" s="40">
        <f>G554+G567</f>
        <v>630</v>
      </c>
      <c r="H568" s="41"/>
      <c r="I568" s="41"/>
      <c r="J568" s="41"/>
      <c r="K568" s="63"/>
      <c r="L568" s="63"/>
      <c r="M568" s="42">
        <f ca="1">IFERROR(M554+M567,"")</f>
        <v>0.20694444444444438</v>
      </c>
      <c r="N568" s="40" t="s">
        <v>234</v>
      </c>
      <c r="O568" s="48">
        <f>IFERROR(O554+O567,"")</f>
        <v>583380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2" t="s">
        <v>233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2026-07-22T00:53:59Z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