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28" documentId="8_{C51EB6CB-002B-4D6B-B68F-DDEBDB4460C0}" xr6:coauthVersionLast="47" xr6:coauthVersionMax="47" xr10:uidLastSave="{794FB887-81DD-4E36-8E93-ADBEBDD88112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<sst xmlns="http://schemas.openxmlformats.org/spreadsheetml/2006/main" count="1828" uniqueCount="257">
  <si>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</si>
  <si>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</si>
  <si>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</si>
  <si>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</si>
  <si>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</si>
  <si>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</si>
  <si>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</si>
  <si>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</si>
  <si>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</si>
  <si>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</si>
  <si>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</si>
  <si>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</si>
  <si>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</si>
  <si>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</si>
  <si>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</si>
  <si>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</si>
  <si>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</si>
  <si>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</si>
  <si>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</si>
  <si>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</si>
  <si>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</si>
  <si>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</si>
  <si>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</si>
  <si>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</si>
  <si>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</si>
  <si>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</si>
  <si>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</si>
  <si>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</si>
  <si>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</si>
  <si>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</si>
  <si>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</si>
  <si>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</si>
  <si>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</si>
  <si>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</si>
  <si>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</si>
  <si>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</si>
  <si>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</si>
  <si>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</si>
  <si>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</si>
  <si>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</si>
  <si>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</si>
  <si>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</si>
  <si>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</si>
  <si>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</si>
  <si>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</si>
  <si>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</si>
  <si>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</si>
  <si>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</si>
  <si>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</si>
  <si>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</si>
  <si>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</si>
  <si>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</si>
  <si>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</si>
  <si>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</si>
  <si>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</si>
  <si>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</si>
  <si>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</si>
  <si>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</si>
  <si>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</si>
  <si>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</si>
  <si>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</si>
  <si>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</si>
  <si>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</si>
  <si>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</si>
  <si>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</si>
  <si>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</si>
  <si>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</si>
  <si>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</si>
  <si>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</si>
  <si>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</si>
  <si>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</si>
  <si>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</si>
  <si>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</si>
  <si>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</si>
  <si>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</si>
  <si>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</si>
  <si>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</si>
  <si>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</si>
  <si>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</si>
  <si>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</si>
  <si>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</si>
  <si>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</si>
  <si>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</si>
  <si>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</si>
  <si>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</si>
  <si>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</si>
  <si>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</si>
  <si>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</si>
  <si>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</si>
  <si>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</si>
  <si>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</si>
  <si>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</si>
  <si>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</si>
  <si>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</si>
  <si>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</si>
  <si>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</si>
  <si>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</si>
  <si>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</si>
  <si>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</si>
  <si>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</si>
  <si>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</si>
  <si>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</si>
  <si>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</si>
  <si>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</si>
  <si>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</si>
  <si>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</si>
  <si>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</si>
  <si>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</si>
  <si>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</si>
  <si>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</si>
  <si>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</si>
  <si>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</si>
  <si>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</si>
  <si>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</si>
  <si>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</si>
  <si>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</si>
  <si>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</si>
  <si>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</si>
  <si>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</si>
  <si>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</si>
  <si>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</si>
  <si>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</si>
  <si>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</si>
  <si>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</si>
  <si>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</si>
  <si>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</si>
  <si>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</si>
  <si>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</si>
  <si>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</si>
  <si>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</si>
  <si>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</si>
  <si>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</si>
  <si>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</si>
  <si>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</si>
  <si>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</si>
  <si>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</si>
  <si>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</si>
  <si>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</si>
  <si>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</si>
  <si>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</si>
  <si>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</si>
  <si>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</si>
  <si>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</si>
  <si>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</si>
  <si>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</si>
  <si>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</si>
  <si>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</si>
  <si>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</si>
  <si>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</si>
  <si>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</si>
  <si>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</si>
  <si>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</si>
  <si>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</si>
  <si>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</si>
  <si>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</si>
  <si>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</si>
  <si>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</si>
  <si>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</si>
  <si>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</si>
  <si>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</si>
  <si>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</si>
  <si>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</si>
  <si>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</si>
  <si>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</si>
  <si>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</si>
  <si>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</si>
  <si>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</si>
  <si>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</si>
  <si>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</si>
  <si>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</si>
  <si>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</si>
  <si>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</si>
  <si>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</si>
  <si>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</si>
  <si>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</si>
  <si>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</si>
  <si>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</si>
  <si>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</si>
  <si>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</si>
  <si>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</si>
  <si>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</si>
  <si>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</si>
  <si>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</si>
  <si>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</si>
  <si>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</si>
  <si>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</si>
  <si>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</si>
  <si>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</si>
  <si>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</si>
  <si>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</si>
  <si>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</si>
  <si>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</si>
  <si>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</si>
  <si>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</si>
  <si>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</si>
  <si>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</si>
  <si>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</si>
  <si>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</si>
  <si>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</si>
  <si>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</si>
  <si>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</si>
  <si>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</si>
  <si>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</si>
  <si>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</si>
  <si>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</si>
  <si>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</si>
  <si>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</si>
  <si>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</si>
  <si>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</si>
  <si>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</si>
  <si>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</si>
  <si>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</si>
  <si>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</si>
  <si>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</si>
  <si>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</si>
  <si>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</si>
  <si>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</si>
  <si>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</si>
  <si>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</si>
  <si>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</si>
  <si>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</si>
  <si>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</si>
  <si>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</si>
  <si>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</si>
  <si>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</si>
  <si>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</si>
  <si>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</si>
  <si>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</si>
  <si>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</si>
  <si>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</si>
  <si>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</si>
  <si>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</si>
  <si>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</si>
  <si>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</si>
  <si>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</si>
  <si>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</si>
  <si>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</si>
  <si>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</si>
  <si>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</si>
  <si>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</si>
  <si>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</si>
  <si>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</si>
  <si>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</si>
  <si>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</si>
  <si>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</si>
  <si>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</si>
  <si>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</si>
  <si>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</si>
  <si>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</si>
  <si>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</si>
  <si>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solda no queixo</t>
  </si>
  <si>
    <t>sem material no estoque</t>
  </si>
  <si>
    <t>troca de martelo</t>
  </si>
  <si>
    <t>processando blend</t>
  </si>
  <si>
    <t>colocar chapa na bica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</si>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</sst>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8" activePane="bottomLeft" state="frozen"/>
      <selection pane="bottomLeft" activeCell="L44" sqref="L4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>
        <v>27</v>
      </c>
      <c r="G46" s="34">
        <f t="shared" si="9"/>
        <v>135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227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227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227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227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227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227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72</v>
      </c>
      <c r="G54" s="36">
        <f>SUM(G42:G53)</f>
        <v>360</v>
      </c>
      <c r="H54" s="37"/>
      <c r="I54" s="37"/>
      <c r="J54" s="37"/>
      <c r="K54" s="37"/>
      <c r="L54" s="37"/>
      <c r="M54" s="38">
        <f ca="1">IFERROR(SUM(M42:M53),"")</f>
        <v>0.1444444444444444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325</v>
      </c>
      <c r="G55" s="40">
        <f>G41+G54</f>
        <v>1055</v>
      </c>
      <c r="H55" s="41"/>
      <c r="I55" s="41"/>
      <c r="J55" s="41"/>
      <c r="K55" s="41"/>
      <c r="L55" s="41"/>
      <c r="M55" s="42">
        <f ca="1">IFERROR(M41+M54,"")</f>
        <v>0.20416666666666658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8" activePane="bottomLeft" state="frozen"/>
      <selection pane="bottomLeft" activeCell="L50" sqref="L5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/>
      <c r="G50" s="34" t="str">
        <f t="shared" si="9"/>
        <v/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/>
      <c r="M50" s="30">
        <f t="shared" ca="1" si="11"/>
        <v>1.4718402780999895E-2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50</v>
      </c>
      <c r="G54" s="36">
        <f>SUM(G42:G53)</f>
        <v>210</v>
      </c>
      <c r="H54" s="37"/>
      <c r="I54" s="37"/>
      <c r="J54" s="37"/>
      <c r="K54" s="37"/>
      <c r="L54" s="37"/>
      <c r="M54" s="38">
        <f ca="1">IFERROR(SUM(M42:M53),"")</f>
        <v>9.0412847225444348E-2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130</v>
      </c>
      <c r="G55" s="40">
        <f>G41+G54</f>
        <v>533.4</v>
      </c>
      <c r="H55" s="41"/>
      <c r="I55" s="41"/>
      <c r="J55" s="41"/>
      <c r="K55" s="41"/>
      <c r="L55" s="41"/>
      <c r="M55" s="42">
        <f ca="1">IFERROR(M41+M54,"")</f>
        <v>0.17513506944766666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9" zoomScale="50" zoomScaleNormal="50" workbookViewId="0">
      <selection activeCell="E50" sqref="E5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/>
      <c r="M48" s="30">
        <f t="shared" ca="1" si="10"/>
        <v>2.9127314774086699E-3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30</v>
      </c>
      <c r="G54" s="36">
        <f>SUM(G42:G53)</f>
        <v>126</v>
      </c>
      <c r="H54" s="37"/>
      <c r="I54" s="37"/>
      <c r="J54" s="37"/>
      <c r="K54" s="37"/>
      <c r="L54" s="37"/>
      <c r="M54" s="38">
        <f ca="1">IFERROR(SUM(M42:M53),"")</f>
        <v>9.9440509255186479E-2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107</v>
      </c>
      <c r="G55" s="40">
        <f>G41+G54</f>
        <v>449.40000000000003</v>
      </c>
      <c r="H55" s="41"/>
      <c r="I55" s="41"/>
      <c r="J55" s="41"/>
      <c r="K55" s="41"/>
      <c r="L55" s="41"/>
      <c r="M55" s="42">
        <f ca="1">IFERROR(M41+M54,"")</f>
        <v>0.12027384258851985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" activePane="bottomLeft" state="frozen"/>
      <selection pane="bottomLeft" activeCell="L47" sqref="L4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254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253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50</v>
      </c>
      <c r="G54" s="36">
        <f>SUM(G42:G53)</f>
        <v>210</v>
      </c>
      <c r="H54" s="37"/>
      <c r="I54" s="37"/>
      <c r="J54" s="37"/>
      <c r="K54" s="61"/>
      <c r="L54" s="61"/>
      <c r="M54" s="38">
        <f ca="1">IFERROR(SUM(M42:M53),"")</f>
        <v>8.333333333333337E-2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191</v>
      </c>
      <c r="G55" s="40">
        <f>G41+G54</f>
        <v>768.6</v>
      </c>
      <c r="H55" s="41"/>
      <c r="I55" s="41"/>
      <c r="J55" s="41"/>
      <c r="K55" s="63"/>
      <c r="L55" s="63"/>
      <c r="M55" s="42">
        <f ca="1">IFERROR(M41+M54,"")</f>
        <v>9.4444444444444442E-2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2026-08-03T05:12:27Z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