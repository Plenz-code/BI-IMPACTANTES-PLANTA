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545" documentId="13_ncr:1_{A6DBCFB4-28D9-4249-9038-216934055CA6}" xr6:coauthVersionLast="47" xr6:coauthVersionMax="47" xr10:uidLastSave="{1097809C-560E-4158-A118-42E4EA4E47B9}"/>
  <bookViews>
    <workbookView xWindow="-120" yWindow="-12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K594" i="6" l="1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28" i="4" s="1"/>
  <c r="Q635" i="5"/>
  <c r="Q257" i="5"/>
  <c r="Q176" i="5"/>
  <c r="M621" i="3"/>
  <c r="M81" i="3"/>
  <c r="Q622" i="6"/>
  <c r="M486" i="3"/>
  <c r="M716" i="3"/>
  <c r="Q716" i="4"/>
  <c r="Q608" i="4"/>
  <c r="Q176" i="6"/>
  <c r="Q702" i="4"/>
  <c r="Q703" i="4" s="1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649" i="4" s="1"/>
  <c r="Q594" i="6"/>
  <c r="Q595" i="6" s="1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649" i="6" s="1"/>
  <c r="Q729" i="5"/>
  <c r="Q486" i="5"/>
  <c r="Q459" i="5"/>
  <c r="Q27" i="5"/>
  <c r="M837" i="3"/>
  <c r="M838" i="3" s="1"/>
  <c r="M324" i="3"/>
  <c r="Q662" i="4"/>
  <c r="Q513" i="5"/>
  <c r="Q149" i="5"/>
  <c r="Q135" i="5"/>
  <c r="M770" i="3"/>
  <c r="Q270" i="4"/>
  <c r="Q446" i="4"/>
  <c r="Q743" i="6"/>
  <c r="Q270" i="6"/>
  <c r="M729" i="3"/>
  <c r="M513" i="3"/>
  <c r="M514" i="3" s="1"/>
  <c r="M95" i="3"/>
  <c r="Q554" i="4"/>
  <c r="M392" i="3"/>
  <c r="M122" i="3"/>
  <c r="Q351" i="4"/>
  <c r="Q189" i="4"/>
  <c r="Q190" i="4" s="1"/>
  <c r="M797" i="3"/>
  <c r="M594" i="3"/>
  <c r="Q621" i="5"/>
  <c r="Q270" i="5"/>
  <c r="Q216" i="5"/>
  <c r="Q68" i="5"/>
  <c r="M783" i="3"/>
  <c r="M338" i="3"/>
  <c r="M352" i="3" s="1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Q568" i="5" s="1"/>
  <c r="M675" i="3"/>
  <c r="M189" i="3"/>
  <c r="M190" i="3" s="1"/>
  <c r="Q783" i="4"/>
  <c r="Q54" i="6"/>
  <c r="Q55" i="6" s="1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217" i="6" s="1"/>
  <c r="Q95" i="6"/>
  <c r="Q810" i="5"/>
  <c r="Q756" i="5"/>
  <c r="Q743" i="5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109" i="6" l="1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<sst xmlns="http://schemas.openxmlformats.org/spreadsheetml/2006/main" count="9960" uniqueCount="427">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</sst>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2">IFERROR(SUM(C4:C34),"")</f>
        <v>79841380</v>
      </c>
      <c r="D35" s="30">
        <f t="shared" si="2"/>
        <v>25386150</v>
      </c>
      <c r="E35" s="30">
        <f t="shared" si="2"/>
        <v>14583440</v>
      </c>
      <c r="F35" s="30">
        <f t="shared" si="2"/>
        <v>34414330</v>
      </c>
      <c r="G35" s="30">
        <f t="shared" si="2"/>
        <v>74383920</v>
      </c>
      <c r="H35" s="31">
        <f t="shared" si="2"/>
        <v>7206.0576326915125</v>
      </c>
      <c r="I35" s="31">
        <f t="shared" si="2"/>
        <v>4967.05</v>
      </c>
      <c r="J35" s="32">
        <f>I35/H35</f>
        <v>0.68928813134467992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I582" sqref="I582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4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4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4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4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4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4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4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4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4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4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4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4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4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4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4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4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4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4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/>
      <c r="M39" s="164"/>
      <c r="N39" s="40"/>
      <c r="O39" s="40"/>
      <c r="P39" s="40" t="s">
        <v>183</v>
      </c>
      <c r="Q39" s="40"/>
      <c r="R39" s="40" t="s">
        <v>184</v>
      </c>
    </row>
    <row r="40" spans="1:18" ht="15.75" customHeight="1">
      <c r="A40" s="37"/>
      <c r="C40" s="37"/>
      <c r="J40" s="37"/>
      <c r="L40" s="37"/>
      <c r="M40" s="164"/>
      <c r="N40" s="37"/>
      <c r="O40" s="37"/>
      <c r="P40" s="37" t="s">
        <v>185</v>
      </c>
      <c r="Q40" s="37"/>
      <c r="R40" s="37" t="s">
        <v>186</v>
      </c>
    </row>
    <row r="41" spans="1:18" ht="15.75" customHeight="1">
      <c r="A41" s="40"/>
      <c r="C41" s="40"/>
      <c r="J41" s="40"/>
      <c r="L41" s="40"/>
      <c r="M41" s="164"/>
      <c r="N41" s="40"/>
      <c r="O41" s="40"/>
      <c r="P41" s="40" t="s">
        <v>187</v>
      </c>
      <c r="Q41" s="40"/>
      <c r="R41" s="40" t="s">
        <v>188</v>
      </c>
    </row>
    <row r="42" spans="1:18" ht="15.75" customHeight="1">
      <c r="A42" s="37"/>
      <c r="C42" s="37"/>
      <c r="J42" s="37"/>
      <c r="L42" s="37"/>
      <c r="M42" s="164"/>
      <c r="N42" s="37"/>
      <c r="O42" s="37"/>
      <c r="P42" s="37" t="s">
        <v>189</v>
      </c>
      <c r="Q42" s="37"/>
      <c r="R42" s="37" t="s">
        <v>190</v>
      </c>
    </row>
    <row r="43" spans="1:18" ht="15.75" customHeight="1">
      <c r="A43" s="40"/>
      <c r="C43" s="40"/>
      <c r="J43" s="40"/>
      <c r="L43" s="40"/>
      <c r="M43" s="164"/>
      <c r="N43" s="40"/>
      <c r="O43" s="40"/>
      <c r="P43" s="40" t="s">
        <v>191</v>
      </c>
      <c r="Q43" s="40"/>
      <c r="R43" s="40" t="s">
        <v>192</v>
      </c>
    </row>
    <row r="44" spans="1:18" ht="15.75" customHeight="1">
      <c r="A44" s="37"/>
      <c r="C44" s="37"/>
      <c r="J44" s="37"/>
      <c r="L44" s="37"/>
      <c r="M44" s="164"/>
      <c r="N44" s="37"/>
      <c r="O44" s="37"/>
      <c r="P44" s="37" t="s">
        <v>193</v>
      </c>
      <c r="Q44" s="37"/>
      <c r="R44" s="37" t="s">
        <v>194</v>
      </c>
    </row>
    <row r="45" spans="1:18" ht="15.75" customHeight="1">
      <c r="A45" s="40"/>
      <c r="C45" s="40"/>
      <c r="J45" s="40"/>
      <c r="L45" s="40"/>
      <c r="M45" s="164"/>
      <c r="N45" s="40"/>
      <c r="O45" s="40"/>
      <c r="P45" s="40" t="s">
        <v>195</v>
      </c>
      <c r="Q45" s="40"/>
      <c r="R45" s="40" t="s">
        <v>196</v>
      </c>
    </row>
    <row r="46" spans="1:18" ht="15.75" customHeight="1">
      <c r="A46" s="37"/>
      <c r="C46" s="37"/>
      <c r="J46" s="37"/>
      <c r="L46" s="37"/>
      <c r="M46" s="164"/>
      <c r="N46" s="37"/>
      <c r="O46" s="37"/>
      <c r="P46" s="37" t="s">
        <v>197</v>
      </c>
      <c r="Q46" s="37"/>
      <c r="R46" s="37" t="s">
        <v>198</v>
      </c>
    </row>
    <row r="47" spans="1:18" ht="15.75" customHeight="1">
      <c r="A47" s="40"/>
      <c r="C47" s="40"/>
      <c r="J47" s="40"/>
      <c r="L47" s="40"/>
      <c r="M47" s="164"/>
      <c r="N47" s="40"/>
      <c r="O47" s="40"/>
      <c r="P47" s="40" t="s">
        <v>199</v>
      </c>
      <c r="Q47" s="40"/>
      <c r="R47" s="40" t="s">
        <v>200</v>
      </c>
    </row>
    <row r="48" spans="1:18" ht="15.75" customHeight="1">
      <c r="A48" s="37"/>
      <c r="C48" s="37"/>
      <c r="J48" s="37"/>
      <c r="L48" s="37"/>
      <c r="M48" s="164"/>
      <c r="N48" s="37"/>
      <c r="O48" s="37"/>
      <c r="P48" s="37" t="s">
        <v>201</v>
      </c>
      <c r="Q48" s="37"/>
      <c r="R48" s="37" t="s">
        <v>202</v>
      </c>
    </row>
    <row r="49" spans="1:18" ht="18" customHeight="1">
      <c r="M49" s="164"/>
      <c r="N49" s="40"/>
      <c r="O49" s="40"/>
      <c r="P49" s="40" t="s">
        <v>203</v>
      </c>
      <c r="Q49" s="40"/>
      <c r="R49" s="40" t="s">
        <v>204</v>
      </c>
    </row>
    <row r="50" spans="1:18" ht="21" customHeight="1">
      <c r="A50" s="52" t="s">
        <v>205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206</v>
      </c>
      <c r="Q50" s="37"/>
      <c r="R50" s="37" t="s">
        <v>207</v>
      </c>
    </row>
    <row r="51" spans="1:18" ht="24" customHeight="1">
      <c r="M51" s="164"/>
      <c r="N51" s="40"/>
      <c r="O51" s="40"/>
      <c r="P51" s="40" t="s">
        <v>208</v>
      </c>
      <c r="Q51" s="40"/>
      <c r="R51" s="40" t="s">
        <v>209</v>
      </c>
    </row>
    <row r="52" spans="1:18" ht="24" customHeight="1">
      <c r="M52" s="164"/>
      <c r="N52" s="37"/>
      <c r="O52" s="37"/>
      <c r="P52" s="37" t="s">
        <v>210</v>
      </c>
      <c r="Q52" s="37"/>
      <c r="R52" s="37" t="s">
        <v>211</v>
      </c>
    </row>
    <row r="53" spans="1:18" ht="36" customHeight="1">
      <c r="M53" s="164"/>
      <c r="N53" s="40"/>
      <c r="O53" s="40"/>
      <c r="P53" s="40" t="s">
        <v>212</v>
      </c>
      <c r="Q53" s="40"/>
      <c r="R53" s="40" t="s">
        <v>213</v>
      </c>
    </row>
    <row r="54" spans="1:18" ht="15" customHeight="1">
      <c r="M54" s="164"/>
      <c r="N54" s="37"/>
      <c r="O54" s="37"/>
      <c r="P54" s="37" t="s">
        <v>214</v>
      </c>
      <c r="Q54" s="37"/>
      <c r="R54" s="37" t="s">
        <v>215</v>
      </c>
    </row>
    <row r="55" spans="1:18" ht="15" customHeight="1">
      <c r="M55" s="164"/>
      <c r="N55" s="40"/>
      <c r="O55" s="40"/>
      <c r="P55" s="40" t="s">
        <v>216</v>
      </c>
      <c r="Q55" s="40"/>
      <c r="R55" s="40" t="s">
        <v>217</v>
      </c>
    </row>
    <row r="56" spans="1:18" ht="15" customHeight="1">
      <c r="M56" s="164"/>
      <c r="N56" s="37"/>
      <c r="O56" s="37"/>
      <c r="P56" s="37" t="s">
        <v>218</v>
      </c>
      <c r="Q56" s="37"/>
      <c r="R56" s="37" t="s">
        <v>219</v>
      </c>
    </row>
    <row r="57" spans="1:18" ht="15" customHeight="1">
      <c r="M57" s="164"/>
      <c r="N57" s="40"/>
      <c r="O57" s="40"/>
      <c r="P57" s="40" t="s">
        <v>59</v>
      </c>
      <c r="Q57" s="40"/>
      <c r="R57" s="40" t="s">
        <v>220</v>
      </c>
    </row>
    <row r="58" spans="1:18" ht="15" customHeight="1">
      <c r="M58" s="164"/>
      <c r="N58" s="37"/>
      <c r="O58" s="37"/>
      <c r="P58" s="37" t="s">
        <v>221</v>
      </c>
      <c r="Q58" s="37"/>
      <c r="R58" s="37" t="s">
        <v>222</v>
      </c>
    </row>
    <row r="59" spans="1:18" ht="15" customHeight="1">
      <c r="M59" s="164"/>
      <c r="N59" s="40"/>
      <c r="O59" s="40"/>
      <c r="P59" s="40" t="s">
        <v>223</v>
      </c>
      <c r="Q59" s="40"/>
      <c r="R59" s="40" t="s">
        <v>224</v>
      </c>
    </row>
    <row r="60" spans="1:18" ht="15" customHeight="1">
      <c r="M60" s="164"/>
      <c r="N60" s="37"/>
      <c r="O60" s="37"/>
      <c r="P60" s="53" t="s">
        <v>114</v>
      </c>
      <c r="Q60" s="37"/>
      <c r="R60" s="37"/>
    </row>
    <row r="61" spans="1:18" ht="15" customHeight="1">
      <c r="M61" s="164"/>
      <c r="N61" s="40"/>
      <c r="O61" s="40"/>
      <c r="P61" s="40" t="s">
        <v>225</v>
      </c>
      <c r="Q61" s="40"/>
      <c r="R61" s="40"/>
    </row>
    <row r="62" spans="1:18" ht="15" customHeight="1">
      <c r="M62" s="164"/>
      <c r="N62" s="37"/>
      <c r="O62" s="37"/>
      <c r="P62" s="37" t="s">
        <v>226</v>
      </c>
      <c r="Q62" s="37"/>
      <c r="R62" s="37"/>
    </row>
    <row r="63" spans="1:18" ht="15" customHeight="1">
      <c r="M63" s="164"/>
      <c r="N63" s="40"/>
      <c r="O63" s="40"/>
      <c r="P63" s="40" t="s">
        <v>227</v>
      </c>
      <c r="Q63" s="40"/>
      <c r="R63" s="40"/>
    </row>
    <row r="64" spans="1:18" ht="15" customHeight="1">
      <c r="M64" s="164"/>
      <c r="N64" s="37"/>
      <c r="O64" s="37"/>
      <c r="P64" s="37" t="s">
        <v>228</v>
      </c>
      <c r="Q64" s="37"/>
      <c r="R64" s="37"/>
    </row>
    <row r="65" spans="13:18" ht="15" customHeight="1">
      <c r="M65" s="164"/>
      <c r="N65" s="40"/>
      <c r="O65" s="40"/>
      <c r="P65" s="40" t="s">
        <v>229</v>
      </c>
      <c r="Q65" s="40"/>
      <c r="R65" s="40"/>
    </row>
    <row r="66" spans="13:18" ht="15" customHeight="1">
      <c r="M66" s="164"/>
      <c r="N66" s="37"/>
      <c r="O66" s="37"/>
      <c r="P66" s="37" t="s">
        <v>230</v>
      </c>
      <c r="Q66" s="37"/>
      <c r="R66" s="37"/>
    </row>
    <row r="67" spans="13:18" ht="15" customHeight="1">
      <c r="M67" s="164"/>
      <c r="N67" s="40"/>
      <c r="O67" s="40"/>
      <c r="P67" s="40" t="s">
        <v>231</v>
      </c>
      <c r="Q67" s="40"/>
      <c r="R67" s="40"/>
    </row>
    <row r="68" spans="13:18" ht="15" customHeight="1">
      <c r="M68" s="164"/>
      <c r="N68" s="37"/>
      <c r="O68" s="37"/>
      <c r="P68" s="37" t="s">
        <v>232</v>
      </c>
      <c r="Q68" s="37"/>
      <c r="R68" s="37"/>
    </row>
    <row r="69" spans="13:18" ht="15" customHeight="1">
      <c r="M69" s="164"/>
      <c r="N69" s="40"/>
      <c r="O69" s="40"/>
      <c r="P69" s="40" t="s">
        <v>233</v>
      </c>
      <c r="Q69" s="40"/>
      <c r="R69" s="40"/>
    </row>
    <row r="70" spans="13:18" ht="15" customHeight="1">
      <c r="M70" s="164"/>
      <c r="N70" s="37"/>
      <c r="O70" s="37"/>
      <c r="P70" s="37" t="s">
        <v>234</v>
      </c>
      <c r="Q70" s="37"/>
      <c r="R70" s="37"/>
    </row>
    <row r="71" spans="13:18" ht="15" customHeight="1">
      <c r="M71" s="164"/>
      <c r="N71" s="40"/>
      <c r="O71" s="40"/>
      <c r="P71" s="40" t="s">
        <v>235</v>
      </c>
      <c r="Q71" s="40"/>
      <c r="R71" s="40"/>
    </row>
    <row r="72" spans="13:18" ht="15" customHeight="1">
      <c r="M72" s="164"/>
      <c r="N72" s="37"/>
      <c r="O72" s="37"/>
      <c r="P72" s="37" t="s">
        <v>236</v>
      </c>
      <c r="Q72" s="37"/>
      <c r="R72" s="37"/>
    </row>
    <row r="73" spans="13:18" ht="15" customHeight="1">
      <c r="M73" s="164"/>
      <c r="N73" s="40"/>
      <c r="O73" s="40"/>
      <c r="P73" s="40" t="s">
        <v>237</v>
      </c>
      <c r="Q73" s="40"/>
      <c r="R73" s="40"/>
    </row>
    <row r="74" spans="13:18" ht="15" customHeight="1">
      <c r="M74" s="164"/>
      <c r="N74" s="37"/>
      <c r="O74" s="37"/>
      <c r="P74" s="37" t="s">
        <v>238</v>
      </c>
      <c r="Q74" s="37"/>
      <c r="R74" s="37"/>
    </row>
    <row r="75" spans="13:18" ht="15" customHeight="1">
      <c r="M75" s="164"/>
      <c r="N75" s="40"/>
      <c r="O75" s="40"/>
      <c r="P75" s="40" t="s">
        <v>239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240</v>
      </c>
      <c r="C1" s="138" t="s">
        <v>241</v>
      </c>
      <c r="D1" s="138" t="s">
        <v>19</v>
      </c>
      <c r="E1" s="138" t="s">
        <v>242</v>
      </c>
      <c r="F1" s="138" t="s">
        <v>243</v>
      </c>
      <c r="G1" s="138" t="s">
        <v>244</v>
      </c>
      <c r="H1" s="138" t="s">
        <v>245</v>
      </c>
      <c r="I1" s="138" t="s">
        <v>246</v>
      </c>
      <c r="J1" s="138" t="s">
        <v>247</v>
      </c>
      <c r="K1" s="138" t="s">
        <v>248</v>
      </c>
    </row>
    <row r="2" spans="1:11" ht="15.75" customHeight="1">
      <c r="A2" s="139">
        <v>46235</v>
      </c>
      <c r="B2" s="140" t="s">
        <v>249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250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6" t="s">
        <v>251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249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250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6" t="s">
        <v>251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249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250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6" t="s">
        <v>251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249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250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6" t="s">
        <v>251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249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250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6" t="s">
        <v>251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249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250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6" t="s">
        <v>251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249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250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6" t="s">
        <v>251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249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250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6" t="s">
        <v>251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249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250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6" t="s">
        <v>251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249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250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6" t="s">
        <v>251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249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250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6" t="s">
        <v>251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249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250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6" t="s">
        <v>251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249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250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6" t="s">
        <v>251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249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250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6" t="s">
        <v>251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249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250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6" t="s">
        <v>251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249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250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6" t="s">
        <v>251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249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250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6" t="s">
        <v>251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249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250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6" t="s">
        <v>251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249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250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6" t="s">
        <v>251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249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250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6" t="s">
        <v>251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249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250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6" t="s">
        <v>251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249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250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6" t="s">
        <v>251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249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250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6" t="s">
        <v>251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249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250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6" t="s">
        <v>251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249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250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6" t="s">
        <v>251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249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250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6" t="s">
        <v>251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249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250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6" t="s">
        <v>251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249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250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6" t="s">
        <v>251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249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250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6" t="s">
        <v>251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249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250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6" t="s">
        <v>251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249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250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6" t="s">
        <v>251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78" activePane="bottomLeft" state="frozen"/>
      <selection pane="bottomLeft" activeCell="J596" sqref="J596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57" t="s">
        <v>254</v>
      </c>
      <c r="G1" s="57" t="s">
        <v>255</v>
      </c>
      <c r="H1" s="57" t="s">
        <v>23</v>
      </c>
      <c r="I1" s="57" t="s">
        <v>24</v>
      </c>
      <c r="J1" s="57" t="s">
        <v>256</v>
      </c>
      <c r="K1" s="57" t="s">
        <v>257</v>
      </c>
      <c r="L1" s="57" t="s">
        <v>258</v>
      </c>
      <c r="M1" s="58" t="s">
        <v>259</v>
      </c>
      <c r="N1" s="57" t="s">
        <v>248</v>
      </c>
      <c r="O1" s="57" t="s">
        <v>260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261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261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261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261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261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261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261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261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261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261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261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261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7" t="s">
        <v>262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263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261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261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261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264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261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261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261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261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261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261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261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261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261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7" t="s">
        <v>265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263</v>
      </c>
      <c r="O27" s="74">
        <v>997910</v>
      </c>
    </row>
    <row r="28" spans="1:15" ht="18" customHeight="1">
      <c r="A28" s="168" t="s">
        <v>251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266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261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261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267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261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264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261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261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261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261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261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261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261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261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261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7" t="s">
        <v>262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263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261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268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261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261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261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261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261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261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261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261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261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261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7" t="s">
        <v>265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263</v>
      </c>
      <c r="O54" s="74">
        <v>981310</v>
      </c>
    </row>
    <row r="55" spans="1:15" ht="18" customHeight="1">
      <c r="A55" s="168" t="s">
        <v>251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266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261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261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261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261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261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261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261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261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261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261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261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261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7" t="s">
        <v>262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263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261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261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269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261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261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261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261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261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261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261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261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261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261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7" t="s">
        <v>265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263</v>
      </c>
      <c r="O81" s="74">
        <v>1547910</v>
      </c>
    </row>
    <row r="82" spans="1:15" ht="18" customHeight="1">
      <c r="A82" s="168" t="s">
        <v>251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266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261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261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261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270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261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261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261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261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261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261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261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261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261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7" t="s">
        <v>262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263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261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261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261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261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261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261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271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261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261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261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261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261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261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7" t="s">
        <v>265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263</v>
      </c>
      <c r="O108" s="74">
        <v>3156240</v>
      </c>
    </row>
    <row r="109" spans="1:15" ht="18" customHeight="1">
      <c r="A109" s="168" t="s">
        <v>251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266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261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261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261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261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261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261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261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261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261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261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261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261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7" t="s">
        <v>262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263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261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261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261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261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261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261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261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261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261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261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261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261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7" t="s">
        <v>265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263</v>
      </c>
      <c r="O135" s="74">
        <v>2875180</v>
      </c>
    </row>
    <row r="136" spans="1:15" ht="18" customHeight="1">
      <c r="A136" s="168" t="s">
        <v>251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266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261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272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261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261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261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261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261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261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261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261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261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261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261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7" t="s">
        <v>262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263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261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261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273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261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261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261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261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261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261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261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261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261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261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7" t="s">
        <v>265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263</v>
      </c>
      <c r="O162" s="79">
        <v>842000</v>
      </c>
    </row>
    <row r="163" spans="1:15" ht="18" customHeight="1">
      <c r="A163" s="168" t="s">
        <v>251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266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261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238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274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261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261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261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261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261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261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261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261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261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261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261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7" t="s">
        <v>262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263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261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275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261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261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261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261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261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261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261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276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261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261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261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7" t="s">
        <v>265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263</v>
      </c>
      <c r="O189" s="74">
        <v>1901630</v>
      </c>
    </row>
    <row r="190" spans="1:15" ht="18" customHeight="1">
      <c r="A190" s="168" t="s">
        <v>251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266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261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261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261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277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261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261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261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261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261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261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261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261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261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7" t="s">
        <v>262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263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261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261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261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261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261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261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261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261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261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261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261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261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7" t="s">
        <v>265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263</v>
      </c>
      <c r="O216" s="74">
        <v>1852295</v>
      </c>
    </row>
    <row r="217" spans="1:15" ht="18" customHeight="1">
      <c r="A217" s="168" t="s">
        <v>251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266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261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261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261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215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278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261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261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261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261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261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261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261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261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261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7" t="s">
        <v>262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263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261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215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261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261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279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279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279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279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279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279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279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279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279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7" t="s">
        <v>265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263</v>
      </c>
      <c r="O243" s="74">
        <v>991010</v>
      </c>
    </row>
    <row r="244" spans="1:15" ht="18" customHeight="1">
      <c r="A244" s="168" t="s">
        <v>251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266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261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220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261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261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261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261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280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261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261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261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261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261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261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261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7" t="s">
        <v>262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263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281</v>
      </c>
      <c r="E258" s="75" t="s">
        <v>261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281</v>
      </c>
      <c r="E259" s="75" t="s">
        <v>261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281</v>
      </c>
      <c r="E260" s="75" t="s">
        <v>261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281</v>
      </c>
      <c r="E261" s="75" t="s">
        <v>261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281</v>
      </c>
      <c r="E262" s="75" t="s">
        <v>261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281</v>
      </c>
      <c r="E263" s="75" t="s">
        <v>261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281</v>
      </c>
      <c r="E264" s="75" t="s">
        <v>261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281</v>
      </c>
      <c r="E265" s="75" t="s">
        <v>261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281</v>
      </c>
      <c r="E266" s="75" t="s">
        <v>261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281</v>
      </c>
      <c r="E267" s="75" t="s">
        <v>261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281</v>
      </c>
      <c r="E268" s="75" t="s">
        <v>261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281</v>
      </c>
      <c r="E269" s="75" t="s">
        <v>261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7" t="s">
        <v>265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263</v>
      </c>
      <c r="O270" s="74">
        <v>1544700</v>
      </c>
    </row>
    <row r="271" spans="1:15" ht="18" customHeight="1">
      <c r="A271" s="168" t="s">
        <v>251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266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281</v>
      </c>
      <c r="E272" s="62" t="s">
        <v>261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281</v>
      </c>
      <c r="E273" s="62" t="s">
        <v>261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281</v>
      </c>
      <c r="E274" s="62" t="s">
        <v>261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281</v>
      </c>
      <c r="E275" s="62" t="s">
        <v>261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220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281</v>
      </c>
      <c r="E276" s="62" t="s">
        <v>261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281</v>
      </c>
      <c r="E277" s="62" t="s">
        <v>261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282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281</v>
      </c>
      <c r="E278" s="62" t="s">
        <v>261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281</v>
      </c>
      <c r="E279" s="62" t="s">
        <v>261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281</v>
      </c>
      <c r="E280" s="62" t="s">
        <v>261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281</v>
      </c>
      <c r="E281" s="62" t="s">
        <v>261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281</v>
      </c>
      <c r="E282" s="62" t="s">
        <v>261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281</v>
      </c>
      <c r="E283" s="62" t="s">
        <v>261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7" t="s">
        <v>262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263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281</v>
      </c>
      <c r="E285" s="75" t="s">
        <v>276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281</v>
      </c>
      <c r="E286" s="75" t="s">
        <v>276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281</v>
      </c>
      <c r="E287" s="75" t="s">
        <v>276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281</v>
      </c>
      <c r="E288" s="75" t="s">
        <v>276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281</v>
      </c>
      <c r="E289" s="75" t="s">
        <v>276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281</v>
      </c>
      <c r="E290" s="75" t="s">
        <v>276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281</v>
      </c>
      <c r="E291" s="75" t="s">
        <v>276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281</v>
      </c>
      <c r="E292" s="75" t="s">
        <v>276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281</v>
      </c>
      <c r="E293" s="75" t="s">
        <v>276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281</v>
      </c>
      <c r="E294" s="75" t="s">
        <v>276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281</v>
      </c>
      <c r="E295" s="75" t="s">
        <v>276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281</v>
      </c>
      <c r="E296" s="75" t="s">
        <v>276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7" t="s">
        <v>265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263</v>
      </c>
      <c r="O297" s="74">
        <v>1715230</v>
      </c>
    </row>
    <row r="298" spans="1:15" ht="18" customHeight="1">
      <c r="A298" s="168" t="s">
        <v>251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266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261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238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261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261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261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283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261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261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261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261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261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261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261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261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7" t="s">
        <v>262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263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261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261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261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261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261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261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261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261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261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261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261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261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7" t="s">
        <v>265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263</v>
      </c>
      <c r="O324" s="74">
        <v>2216340</v>
      </c>
    </row>
    <row r="325" spans="1:15" ht="18" customHeight="1">
      <c r="A325" s="168" t="s">
        <v>251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266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215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284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261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261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261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285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261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261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261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261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7" t="s">
        <v>262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263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261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261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261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261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261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261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261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261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261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261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261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261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7" t="s">
        <v>265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263</v>
      </c>
      <c r="O351" s="74">
        <v>2154990</v>
      </c>
    </row>
    <row r="352" spans="1:15" ht="18" customHeight="1">
      <c r="A352" s="168" t="s">
        <v>251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266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261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261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261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261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261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261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276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261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261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261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261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261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7" t="s">
        <v>262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263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261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261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261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261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261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261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261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261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261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261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261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261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7" t="s">
        <v>265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263</v>
      </c>
      <c r="O378" s="74">
        <v>2614830</v>
      </c>
    </row>
    <row r="379" spans="1:15" ht="18" customHeight="1">
      <c r="A379" s="168" t="s">
        <v>251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266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261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261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261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261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261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261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261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261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261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261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261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261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7" t="s">
        <v>262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263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261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286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261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261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261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261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261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261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261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261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261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261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261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7" t="s">
        <v>265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263</v>
      </c>
      <c r="O405" s="74">
        <v>2612000</v>
      </c>
    </row>
    <row r="406" spans="1:15" ht="18" customHeight="1">
      <c r="A406" s="168" t="s">
        <v>251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266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261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261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261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261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261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261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261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261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261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261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261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261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7" t="s">
        <v>262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263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261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232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261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287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261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287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261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261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261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261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261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261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261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261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261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7" t="s">
        <v>265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263</v>
      </c>
      <c r="O432" s="74">
        <v>2266710</v>
      </c>
    </row>
    <row r="433" spans="1:15" ht="18" customHeight="1">
      <c r="A433" s="168" t="s">
        <v>251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266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261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261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261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261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261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261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261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261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261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261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261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261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7" t="s">
        <v>262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263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261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288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261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289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261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261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261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261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290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261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291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261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292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261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261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261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261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7" t="s">
        <v>265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263</v>
      </c>
      <c r="O459" s="74">
        <v>2361680</v>
      </c>
    </row>
    <row r="460" spans="1:15" ht="18" customHeight="1">
      <c r="A460" s="168" t="s">
        <v>251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266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261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293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261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261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261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261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261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261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261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261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261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261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261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7" t="s">
        <v>262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263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261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261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261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294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261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261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261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261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261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261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261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261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261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7" t="s">
        <v>265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263</v>
      </c>
      <c r="O486" s="74">
        <v>1798670</v>
      </c>
    </row>
    <row r="487" spans="1:15" ht="18" customHeight="1">
      <c r="A487" s="168" t="s">
        <v>251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266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261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261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295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261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261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261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261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261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261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261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261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261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261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7" t="s">
        <v>262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263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261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261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296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261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261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261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261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261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261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261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261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261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276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7" t="s">
        <v>265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263</v>
      </c>
      <c r="O513" s="74">
        <v>2435830</v>
      </c>
    </row>
    <row r="514" spans="1:15" ht="18" customHeight="1">
      <c r="A514" s="168" t="s">
        <v>251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266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261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261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261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261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261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276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276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276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276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276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276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276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7" t="s">
        <v>262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263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261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297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261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261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261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261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261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261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261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261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261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261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261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7" t="s">
        <v>265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263</v>
      </c>
      <c r="O540" s="74">
        <v>667100</v>
      </c>
    </row>
    <row r="541" spans="1:15" ht="18" customHeight="1">
      <c r="A541" s="168" t="s">
        <v>251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266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298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7" t="s">
        <v>262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263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261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298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261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264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261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299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261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261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300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261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261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301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261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261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261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261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261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7" t="s">
        <v>265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263</v>
      </c>
      <c r="O567" s="74">
        <v>1031030</v>
      </c>
    </row>
    <row r="568" spans="1:15" ht="18" customHeight="1">
      <c r="A568" s="168" t="s">
        <v>251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266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261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261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261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216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302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261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261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261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261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261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261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261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261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261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7" t="s">
        <v>262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263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261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303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261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304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261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261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261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261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261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261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261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261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261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261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7" t="s">
        <v>265</v>
      </c>
      <c r="B594" s="167"/>
      <c r="C594" s="167"/>
      <c r="D594" s="167"/>
      <c r="E594" s="167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263</v>
      </c>
      <c r="O594" s="74">
        <v>2100270</v>
      </c>
    </row>
    <row r="595" spans="1:15" ht="18" customHeight="1">
      <c r="A595" s="168" t="s">
        <v>251</v>
      </c>
      <c r="B595" s="168"/>
      <c r="C595" s="168"/>
      <c r="D595" s="168"/>
      <c r="E595" s="168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266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/>
      <c r="M596" s="66">
        <f t="shared" ref="M596:M607" ca="1" si="129">IFERROR(IF(K596="","",IF(L596="",MOD(NOW()-K596,1),IF(L596&gt;=K596,L596-K596,L596+1-K596))),"")</f>
        <v>1.4320717593363952E-2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7" t="s">
        <v>262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1.4320717593363952E-2</v>
      </c>
      <c r="N608" s="2" t="s">
        <v>263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7" t="s">
        <v>265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263</v>
      </c>
      <c r="O621" s="74"/>
    </row>
    <row r="622" spans="1:15" ht="18" customHeight="1">
      <c r="A622" s="168" t="s">
        <v>251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1.4320717593363952E-2</v>
      </c>
      <c r="N622" s="1" t="s">
        <v>266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7" t="s">
        <v>262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263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7" t="s">
        <v>265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263</v>
      </c>
      <c r="O648" s="74"/>
    </row>
    <row r="649" spans="1:15" ht="18" customHeight="1">
      <c r="A649" s="168" t="s">
        <v>251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266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7" t="s">
        <v>262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263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7" t="s">
        <v>265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263</v>
      </c>
      <c r="O675" s="74"/>
    </row>
    <row r="676" spans="1:15" ht="18" customHeight="1">
      <c r="A676" s="168" t="s">
        <v>251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266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7" t="s">
        <v>262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263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7" t="s">
        <v>265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263</v>
      </c>
      <c r="O702" s="74"/>
    </row>
    <row r="703" spans="1:15" ht="18" customHeight="1">
      <c r="A703" s="168" t="s">
        <v>251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266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7" t="s">
        <v>262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263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7" t="s">
        <v>265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263</v>
      </c>
      <c r="O729" s="74"/>
    </row>
    <row r="730" spans="1:15" ht="18" customHeight="1">
      <c r="A730" s="168" t="s">
        <v>251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266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7" t="s">
        <v>262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263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7" t="s">
        <v>265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263</v>
      </c>
      <c r="O756" s="74"/>
    </row>
    <row r="757" spans="1:15" ht="18" customHeight="1">
      <c r="A757" s="168" t="s">
        <v>251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266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7" t="s">
        <v>262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263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7" t="s">
        <v>265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263</v>
      </c>
      <c r="O783" s="74"/>
    </row>
    <row r="784" spans="1:15" ht="18" customHeight="1">
      <c r="A784" s="168" t="s">
        <v>251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266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7" t="s">
        <v>262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263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7" t="s">
        <v>265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263</v>
      </c>
      <c r="O810" s="74"/>
    </row>
    <row r="811" spans="1:15" ht="18" customHeight="1">
      <c r="A811" s="168" t="s">
        <v>251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266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7" t="s">
        <v>262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263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7" t="s">
        <v>265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263</v>
      </c>
      <c r="O837" s="74"/>
    </row>
    <row r="838" spans="1:15" ht="18" customHeight="1">
      <c r="A838" s="168" t="s">
        <v>251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266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73" activePane="bottomLeft" state="frozen"/>
      <selection pane="bottomLeft" activeCell="D598" sqref="D598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263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276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276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276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276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276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276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276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276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276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276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276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263</v>
      </c>
      <c r="S27" s="74">
        <v>549860</v>
      </c>
      <c r="T27" s="99"/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266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263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0.18445960647659376</v>
      </c>
      <c r="R53" s="80" t="s">
        <v>315</v>
      </c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0.32334849536548149</v>
      </c>
      <c r="R54" s="2" t="s">
        <v>263</v>
      </c>
      <c r="S54" s="113">
        <v>352430</v>
      </c>
      <c r="T54" s="114"/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0.4080707175877043</v>
      </c>
      <c r="R55" s="1" t="s">
        <v>266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263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198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213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276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263</v>
      </c>
      <c r="S81" s="115">
        <v>634210</v>
      </c>
      <c r="T81" s="116"/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266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276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225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263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317</v>
      </c>
      <c r="Q96" s="66" t="str">
        <f t="shared" ref="Q96:Q107" ca="1" si="22">IFERROR(IF(O96="","",IF(P96="",MOD(NOW()-O96,1),IF(P96&gt;=O96,P96-O96,P96+1-O96))),"")</f>
        <v/>
      </c>
      <c r="R96" s="80" t="s">
        <v>318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196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264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263</v>
      </c>
      <c r="S108" s="115">
        <v>456830</v>
      </c>
      <c r="T108" s="116"/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266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263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263</v>
      </c>
      <c r="S135" s="115">
        <v>756720</v>
      </c>
      <c r="T135" s="116"/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266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263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263</v>
      </c>
      <c r="S162" s="115">
        <v>501750</v>
      </c>
      <c r="T162" s="116"/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266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276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276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276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276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276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276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276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276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276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276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263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276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276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276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276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263</v>
      </c>
      <c r="S189" s="74">
        <v>362530</v>
      </c>
      <c r="T189" s="99"/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266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194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194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263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263</v>
      </c>
      <c r="S216" s="74">
        <v>609740</v>
      </c>
      <c r="T216" s="99"/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266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183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264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263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264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263</v>
      </c>
      <c r="S243" s="74">
        <v>825930</v>
      </c>
      <c r="T243" s="99"/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266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263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276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276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276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276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276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276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276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276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276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276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276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276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732130</v>
      </c>
      <c r="T270" s="99"/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266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276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276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276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276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261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276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261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261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276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276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261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261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261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261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261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990260</v>
      </c>
      <c r="T297" s="99"/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276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276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276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276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276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276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276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276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276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276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276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276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263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276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276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276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276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276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276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276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276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276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276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263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266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183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263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209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263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266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263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263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266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276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276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263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263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266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263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265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263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251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266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276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263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222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261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263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266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263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195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219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263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266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184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293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263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219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265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263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251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266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263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347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348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263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266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263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349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276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263</v>
      </c>
      <c r="S567" s="74">
        <v>0</v>
      </c>
      <c r="T567" s="99">
        <f>IFERROR(J567,"")</f>
        <v>0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266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276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263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23.705806451612901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4.9782193548387088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23.705806451612901</v>
      </c>
      <c r="I583" s="90">
        <f>IFERROR(IF($D583="","",VLOOKUP($D583,Cadastro!$C$4:$G$7,5,FALSE())),"")</f>
        <v>0.6</v>
      </c>
      <c r="J583" s="91">
        <f t="shared" si="150"/>
        <v>4.9782193548387088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136.30838709677417</v>
      </c>
      <c r="I584" s="90">
        <f>IFERROR(IF($D584="","",VLOOKUP($D584,Cadastro!$C$4:$G$7,5,FALSE())),"")</f>
        <v>0.6</v>
      </c>
      <c r="J584" s="91">
        <f t="shared" si="150"/>
        <v>28.624761290322571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53.33806451612903</v>
      </c>
      <c r="I585" s="90">
        <f>IFERROR(IF($D585="","",VLOOKUP($D585,Cadastro!$C$4:$G$7,5,FALSE())),"")</f>
        <v>0.6</v>
      </c>
      <c r="J585" s="91">
        <f t="shared" si="150"/>
        <v>11.200993548387096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350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23.705806451612901</v>
      </c>
      <c r="I586" s="90">
        <f>IFERROR(IF($D586="","",VLOOKUP($D586,Cadastro!$C$4:$G$7,5,FALSE())),"")</f>
        <v>0.6</v>
      </c>
      <c r="J586" s="91">
        <f t="shared" si="150"/>
        <v>4.9782193548387088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4</v>
      </c>
      <c r="H587" s="88">
        <f>IFERROR(IF($G587="","",$G587*$S$594/$G$594/Cadastro!$E$33),"")</f>
        <v>23.705806451612901</v>
      </c>
      <c r="I587" s="90">
        <f>IFERROR(IF($D587="","",VLOOKUP($D587,Cadastro!$C$4:$G$7,5,FALSE())),"")</f>
        <v>0.6</v>
      </c>
      <c r="J587" s="91">
        <f t="shared" si="150"/>
        <v>4.9782193548387088</v>
      </c>
      <c r="K587" s="69">
        <f t="shared" si="151"/>
        <v>16.8</v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35.558709677419358</v>
      </c>
      <c r="I588" s="90">
        <f>IFERROR(IF($D588="","",VLOOKUP($D588,Cadastro!$C$4:$G$7,5,FALSE())),"")</f>
        <v>0.6</v>
      </c>
      <c r="J588" s="91">
        <f t="shared" si="150"/>
        <v>7.4673290322580641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118.52903225806452</v>
      </c>
      <c r="I589" s="90">
        <f>IFERROR(IF($D589="","",VLOOKUP($D589,Cadastro!$C$4:$G$7,5,FALSE())),"")</f>
        <v>0.6</v>
      </c>
      <c r="J589" s="91">
        <f t="shared" si="150"/>
        <v>24.891096774193546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261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59.264516129032259</v>
      </c>
      <c r="I590" s="90">
        <f>IFERROR(IF($D590="","",VLOOKUP($D590,Cadastro!$C$4:$G$7,5,FALSE())),"")</f>
        <v>0.6</v>
      </c>
      <c r="J590" s="91">
        <f t="shared" si="150"/>
        <v>12.445548387096773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35.558709677419358</v>
      </c>
      <c r="I591" s="90">
        <f>IFERROR(IF($D591="","",VLOOKUP($D591,Cadastro!$C$4:$G$7,5,FALSE())),"")</f>
        <v>0.6</v>
      </c>
      <c r="J591" s="91">
        <f t="shared" si="150"/>
        <v>7.4673290322580641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17.779354838709679</v>
      </c>
      <c r="I592" s="90">
        <f>IFERROR(IF($D592="","",VLOOKUP($D592,Cadastro!$C$4:$G$7,5,FALSE())),"")</f>
        <v>0.6</v>
      </c>
      <c r="J592" s="91">
        <f t="shared" si="150"/>
        <v>3.7336645161290321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551.15999999999985</v>
      </c>
      <c r="I594" s="106"/>
      <c r="J594" s="107">
        <f>IFERROR(SUM(J582:J593),"")</f>
        <v>115.74359999999999</v>
      </c>
      <c r="K594" s="2">
        <f>SUM(K582:K593)</f>
        <v>398.60000000000008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263</v>
      </c>
      <c r="S594" s="74">
        <v>551160</v>
      </c>
      <c r="T594" s="99">
        <f>IFERROR(J594,"")</f>
        <v>115.74359999999999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142</v>
      </c>
      <c r="H595" s="108">
        <f>IFERROR(H581+H594,"")</f>
        <v>726.69999999999982</v>
      </c>
      <c r="I595" s="110"/>
      <c r="J595" s="111">
        <f>IFERROR(J581+J594,"")</f>
        <v>152.60699999999997</v>
      </c>
      <c r="K595" s="1">
        <f>K581+K594</f>
        <v>604.40000000000009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266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/>
      <c r="F596" s="101">
        <f>IFERROR(IF($D596="","",VLOOKUP($D596,Cadastro!$C$4:$E$7,3,FALSE())),"")</f>
        <v>0.35</v>
      </c>
      <c r="G596" s="89"/>
      <c r="H596" s="101" t="str">
        <f>IFERROR(IF($G596="","",$G596*$S$608/$G$608/Cadastro!$E$33),"")</f>
        <v/>
      </c>
      <c r="I596" s="102">
        <f>IFERROR(IF($D596="","",VLOOKUP($D596,Cadastro!$C$4:$G$7,5,FALSE())),"")</f>
        <v>0.6</v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/>
      <c r="F597" s="88">
        <f>IFERROR(IF($D597="","",VLOOKUP($D597,Cadastro!$C$4:$E$7,3,FALSE())),"")</f>
        <v>0.35</v>
      </c>
      <c r="G597" s="89"/>
      <c r="H597" s="88" t="str">
        <f>IFERROR(IF($G597="","",$G597*$S$608/$G$608/Cadastro!$E$33),"")</f>
        <v/>
      </c>
      <c r="I597" s="90">
        <f>IFERROR(IF($D597="","",VLOOKUP($D597,Cadastro!$C$4:$G$7,5,FALSE())),"")</f>
        <v>0.6</v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/>
      <c r="F598" s="88">
        <f>IFERROR(IF($D598="","",VLOOKUP($D598,Cadastro!$C$4:$E$7,3,FALSE())),"")</f>
        <v>0.35</v>
      </c>
      <c r="G598" s="89"/>
      <c r="H598" s="88" t="str">
        <f>IFERROR(IF($G598="","",$G598*$S$608/$G$608/Cadastro!$E$33),"")</f>
        <v/>
      </c>
      <c r="I598" s="90">
        <f>IFERROR(IF($D598="","",VLOOKUP($D598,Cadastro!$C$4:$G$7,5,FALSE())),"")</f>
        <v>0.6</v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266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113"/>
      <c r="T837" s="114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S595" sqref="S595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263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351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276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276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263</v>
      </c>
      <c r="S27" s="74">
        <v>358000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266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263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351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351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263</v>
      </c>
      <c r="S54" s="74">
        <v>279980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266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276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276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276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276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276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353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276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276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276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276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263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354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198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263</v>
      </c>
      <c r="S81" s="74">
        <v>185920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266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355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356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263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357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263</v>
      </c>
      <c r="S108" s="74">
        <v>434370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266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263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358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211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263</v>
      </c>
      <c r="S135" s="74">
        <v>416350</v>
      </c>
      <c r="T135" s="99">
        <f>IFERROR(J135,"")</f>
        <v>0</v>
      </c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266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359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217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263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263</v>
      </c>
      <c r="S162" s="74">
        <v>169760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266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360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263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361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263</v>
      </c>
      <c r="S189" s="74">
        <v>72220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266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194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194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263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362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263</v>
      </c>
      <c r="S216" s="74">
        <v>148720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266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364</v>
      </c>
      <c r="Q222" s="66" t="str">
        <f t="shared" ca="1" si="49"/>
        <v/>
      </c>
      <c r="R222" s="63" t="s">
        <v>365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263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263</v>
      </c>
      <c r="S243" s="74">
        <v>352720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266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366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261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261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263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276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276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276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276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276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276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276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276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276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276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276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276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327900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266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261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462190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211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211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196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263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263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266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367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276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263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263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266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263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217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263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266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368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263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263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266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369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263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370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263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266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371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371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263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222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211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372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263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266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263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195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373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263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266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276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358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263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374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211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375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263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266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376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263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316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377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263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266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378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224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263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211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211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219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316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209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211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379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261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351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261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263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266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316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263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374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261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263</v>
      </c>
      <c r="S594" s="74">
        <v>456490</v>
      </c>
      <c r="T594" s="99">
        <f>IFERROR(J594,"")</f>
        <v>95.862899999999996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266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580" activePane="bottomLeft" state="frozen"/>
      <selection pane="bottomLeft" activeCell="S595" sqref="S595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263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276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351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276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276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263</v>
      </c>
      <c r="S27" s="74">
        <v>491520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266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276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276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276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276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276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276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276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276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276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276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276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263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263</v>
      </c>
      <c r="S54" s="74">
        <v>352430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266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219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263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232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351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219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263</v>
      </c>
      <c r="S81" s="74">
        <v>612410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266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263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351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263</v>
      </c>
      <c r="S108" s="74">
        <v>956070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266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232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237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237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263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219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351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263</v>
      </c>
      <c r="S135" s="74">
        <v>912240</v>
      </c>
      <c r="T135" s="99">
        <f>IFERROR(J135,"")</f>
        <v>0</v>
      </c>
    </row>
    <row r="136" spans="1:22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266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262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263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263</v>
      </c>
      <c r="S162" s="74">
        <v>573230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266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196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263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263</v>
      </c>
      <c r="S189" s="74">
        <v>692750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266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263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263</v>
      </c>
      <c r="S216" s="74">
        <v>607180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266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263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263</v>
      </c>
      <c r="S243" s="74">
        <v>795250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266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 t="s">
        <v>286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263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276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276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276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276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276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276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276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276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276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276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276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276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263</v>
      </c>
      <c r="S270" s="74">
        <v>683360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266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276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263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263</v>
      </c>
      <c r="S297" s="74">
        <v>904710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266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196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263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263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266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276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263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263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266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262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263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263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266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276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263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232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263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266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239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263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263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266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276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263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213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263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266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263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373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263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266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263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210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415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276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263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266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263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261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276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263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266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416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417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263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418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419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211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420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421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422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423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406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263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266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407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424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263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425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426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373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263</v>
      </c>
      <c r="S594" s="74">
        <v>985680</v>
      </c>
      <c r="T594" s="99">
        <f>IFERROR(J594,"")</f>
        <v>206.99279999999996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266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266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2026-08-23T11:21:44Z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