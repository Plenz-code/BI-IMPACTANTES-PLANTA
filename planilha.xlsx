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05" documentId="8_{AF585B22-221D-4780-BB9C-493D365A6A02}" xr6:coauthVersionLast="47" xr6:coauthVersionMax="47" xr10:uidLastSave="{BCE62F24-B9EE-4934-8AB0-D205679A1898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" i="1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<sst xmlns="http://schemas.openxmlformats.org/spreadsheetml/2006/main" count="8958" uniqueCount="374">
  <si>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</si>
  <si>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</si>
  <si>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</si>
  <si>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</si>
  <si>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</si>
  <si>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</si>
  <si>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</si>
  <si>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</si>
  <si>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</si>
  <si>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</si>
  <si>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</si>
  <si>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</si>
  <si>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</si>
  <si>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</si>
  <si>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</si>
  <si>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</si>
  <si>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</si>
  <si>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</si>
  <si>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</si>
  <si>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</si>
  <si>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</si>
  <si>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</si>
  <si>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</si>
  <si>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</si>
  <si>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</si>
  <si>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</si>
  <si>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</si>
  <si>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</si>
  <si>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</si>
  <si>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</si>
  <si>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</si>
  <si>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</si>
  <si>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</si>
  <si>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</si>
  <si>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</si>
  <si>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</si>
  <si>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</si>
  <si>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</si>
  <si>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</si>
  <si>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</si>
  <si>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</si>
  <si>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</si>
  <si>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</si>
  <si>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</si>
  <si>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</si>
  <si>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</si>
  <si>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</si>
  <si>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</si>
  <si>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</si>
  <si>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</si>
  <si>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</si>
  <si>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</si>
  <si>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</si>
  <si>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</si>
  <si>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</si>
  <si>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</si>
  <si>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</si>
  <si>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</si>
  <si>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</si>
  <si>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</si>
  <si>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</si>
  <si>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</si>
  <si>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</si>
  <si>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</si>
  <si>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</si>
  <si>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</si>
  <si>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</si>
  <si>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</si>
  <si>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</si>
  <si>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</si>
  <si>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</si>
  <si>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</si>
  <si>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</si>
  <si>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</si>
  <si>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</si>
  <si>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</si>
  <si>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</si>
  <si>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</si>
  <si>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</si>
  <si>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</si>
  <si>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</si>
  <si>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</si>
  <si>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</si>
  <si>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</si>
  <si>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</si>
  <si>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</si>
  <si>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</si>
  <si>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</si>
  <si>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</si>
  <si>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</si>
  <si>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</si>
  <si>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</si>
  <si>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</si>
  <si>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</si>
  <si>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</si>
  <si>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</si>
  <si>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</si>
  <si>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</si>
  <si>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</si>
  <si>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</si>
  <si>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</si>
  <si>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</si>
  <si>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</si>
  <si>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</si>
  <si>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</si>
  <si>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</si>
  <si>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</si>
  <si>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</si>
  <si>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</si>
  <si>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</si>
  <si>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</si>
  <si>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</si>
  <si>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</si>
  <si>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</si>
  <si>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</si>
  <si>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</si>
  <si>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</si>
  <si>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</si>
  <si>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</si>
  <si>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</si>
  <si>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</si>
  <si>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</si>
  <si>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</si>
  <si>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</si>
  <si>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</si>
  <si>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</si>
  <si>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</si>
  <si>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</si>
  <si>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</si>
  <si>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</si>
  <si>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</si>
  <si>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</si>
  <si>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</si>
  <si>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</si>
  <si>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</si>
  <si>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</si>
  <si>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</si>
  <si>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</si>
  <si>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</si>
  <si>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</si>
  <si>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</si>
  <si>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</si>
  <si>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</si>
  <si>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</si>
  <si>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</si>
  <si>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</si>
  <si>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</si>
  <si>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</si>
  <si>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</si>
  <si>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</si>
  <si>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</si>
  <si>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</si>
  <si>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</si>
  <si>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</si>
  <si>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</si>
  <si>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</si>
  <si>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</si>
  <si>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</si>
  <si>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</si>
  <si>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</si>
  <si>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</si>
  <si>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</si>
  <si>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</si>
  <si>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</si>
  <si>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</si>
  <si>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</si>
  <si>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</si>
  <si>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</si>
  <si>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</si>
  <si>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</si>
  <si>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</si>
  <si>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</si>
  <si>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</si>
  <si>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</si>
  <si>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</si>
  <si>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</si>
  <si>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</si>
  <si>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</si>
  <si>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</si>
  <si>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</si>
  <si>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</si>
  <si>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</si>
  <si>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</si>
  <si>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</si>
  <si>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</si>
  <si>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</si>
  <si>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</si>
  <si>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</si>
  <si>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</si>
  <si>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</si>
  <si>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</si>
  <si>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</si>
  <si>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</si>
  <si>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</si>
  <si>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</si>
  <si>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</si>
  <si>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</si>
  <si>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</si>
  <si>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</si>
  <si>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</si>
  <si>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</si>
  <si>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</si>
  <si>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</si>
  <si>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</si>
  <si>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</si>
  <si>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</si>
  <si>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</si>
  <si>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</si>
  <si>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</si>
  <si>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</si>
  <si>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</si>
  <si>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</si>
  <si>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</si>
  <si>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</si>
  <si>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</si>
  <si>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</si>
  <si>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</si>
  <si>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</si>
  <si>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</si>
  <si>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</si>
  <si>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</si>
  <si>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</si>
  <si>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</si>
  <si>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</si>
  <si>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</si>
  <si>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</si>
  <si>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</si>
  <si>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</si>
  <si>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</si>
  <si>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</si>
  <si>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</si>
  <si>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</si>
  <si>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</si>
  <si>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</si>
  <si>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</si>
  <si>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</si>
  <si>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</si>
  <si>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</si>
  <si>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</si>
  <si>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</si>
  <si>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</si>
  <si>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</si>
  <si>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</si>
  <si>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</si>
  <si>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</si>
  <si>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</si>
  <si>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</si>
  <si>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</si>
  <si>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</si>
  <si>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</si>
  <si>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</si>
  <si>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</si>
  <si>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</si>
  <si>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</si>
  <si>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</si>
  <si>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</si>
  <si>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</si>
  <si>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</si>
  <si>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</si>
  <si>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</si>
  <si>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</si>
  <si>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</si>
  <si>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</si>
  <si>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</si>
  <si>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</si>
  <si>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</si>
  <si>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</si>
  <si>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</si>
  <si>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</si>
  <si>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</si>
  <si>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</si>
  <si>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</si>
  <si>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</si>
  <si>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</si>
  <si>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</si>
  <si>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</si>
  <si>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</si>
  <si>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</si>
  <si>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</si>
  <si>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</si>
  <si>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</si>
  <si>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</si>
  <si>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</si>
  <si>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</si>
  <si>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</si>
  <si>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</si>
  <si>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</si>
  <si>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</si>
  <si>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</si>
  <si>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</si>
  <si>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</si>
  <si>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</si>
  <si>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</si>
  <si>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</si>
  <si>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</si>
  <si>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</si>
  <si>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</si>
  <si>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</si>
  <si>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</si>
  <si>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</si>
  <si>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</si>
  <si>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</si>
  <si>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</si>
  <si>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</si>
  <si>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</si>
  <si>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</si>
  <si>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</si>
  <si>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</si>
  <si>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</si>
  <si>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</si>
  <si>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</si>
  <si>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</si>
  <si>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</si>
  <si>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</si>
  <si>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</si>
  <si>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</si>
  <si>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</si>
  <si>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</si>
  <si>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</si>
  <si>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</si>
  <si>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</si>
  <si>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</si>
  <si>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</si>
  <si>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</si>
  <si>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</si>
  <si>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</si>
  <si>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</si>
  <si>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</si>
  <si>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</si>
  <si>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</si>
  <si>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</si>
  <si>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</si>
  <si>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</si>
  <si>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</si>
  <si>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</si>
  <si>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</si>
  <si>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</si>
  <si>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</si>
  <si>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</si>
  <si>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</si>
  <si>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</si>
  <si>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</si>
  <si>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</si>
  <si>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</si>
  <si>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</si>
  <si>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</si>
  <si>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</si>
  <si>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</si>
  <si>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</si>
  <si>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</si>
  <si>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</si>
  <si>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</si>
  <si>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</si>
  <si>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</si>
  <si>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</si>
  <si>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</si>
  <si>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</si>
  <si>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</si>
  <si>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</si>
  <si>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</si>
  <si>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</si>
  <si>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</si>
  <si>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</si>
  <si>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</si>
  <si>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</si>
  <si>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</si>
  <si>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</si>
  <si>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</si>
  <si>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</si>
  <si>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</si>
  <si>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</si>
  <si>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</si>
  <si>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</si>
  <si>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 xml:space="preserve">colocado borracha para sanar vazamento nos moinhos,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</si>
</sst>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63" activePane="bottomLeft" state="frozen"/>
      <selection pane="bottomLeft" activeCell="I569" sqref="I5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20</v>
      </c>
      <c r="I569" s="33"/>
      <c r="J569" s="33"/>
      <c r="K569" s="29">
        <v>0.33333333333333331</v>
      </c>
      <c r="L569" s="29"/>
      <c r="M569" s="35">
        <f t="shared" ref="M569:M580" ca="1" si="127">IFERROR(IF(K569="","",IF(L569="",MOD(NOW()-K569,1),IF(L569&gt;=K569,L569-K569,L569+1-K569))),"")</f>
        <v>2.2947337958612479E-2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2.2947337958612479E-2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2.2947337958612479E-2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7" activePane="bottomLeft" state="frozen"/>
      <selection pane="bottomLeft" activeCell="I576" sqref="I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0.11669733795861248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0.27433622684750136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0.38405844906972353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9.5169560183421709E-2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0.2660028935167551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0.41114178240564397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30</v>
      </c>
      <c r="G581" s="36">
        <f>SUM(G569:G580)</f>
        <v>126</v>
      </c>
      <c r="H581" s="37"/>
      <c r="I581" s="37"/>
      <c r="J581" s="37"/>
      <c r="K581" s="37"/>
      <c r="L581" s="37"/>
      <c r="M581" s="38">
        <f ca="1">IFERROR(SUM(M569:M580),"")</f>
        <v>4.8611111111110938E-3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30</v>
      </c>
      <c r="G595" s="40">
        <f>G581+G594</f>
        <v>126</v>
      </c>
      <c r="H595" s="41"/>
      <c r="I595" s="41"/>
      <c r="J595" s="41"/>
      <c r="K595" s="41"/>
      <c r="L595" s="41"/>
      <c r="M595" s="42">
        <f ca="1">IFERROR(M581+M594,"")</f>
        <v>4.8611111111110938E-3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N576" sqref="N5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/>
      <c r="M570" s="30">
        <f t="shared" ca="1" si="127"/>
        <v>2.1558333333814517E-2</v>
      </c>
      <c r="N570" s="27" t="s">
        <v>267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6</v>
      </c>
      <c r="G581" s="36">
        <f>SUM(G569:G580)</f>
        <v>25.200000000000003</v>
      </c>
      <c r="H581" s="37"/>
      <c r="I581" s="37"/>
      <c r="J581" s="37"/>
      <c r="K581" s="37"/>
      <c r="L581" s="37"/>
      <c r="M581" s="38">
        <f ca="1">IFERROR(SUM(M569:M580),"")</f>
        <v>2.6419444444925611E-2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6</v>
      </c>
      <c r="G595" s="40">
        <f>G581+G594</f>
        <v>25.200000000000003</v>
      </c>
      <c r="H595" s="41"/>
      <c r="I595" s="41"/>
      <c r="J595" s="41"/>
      <c r="K595" s="41"/>
      <c r="L595" s="41"/>
      <c r="M595" s="42">
        <f ca="1">IFERROR(M581+M594,"")</f>
        <v>2.6419444444925611E-2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69" sqref="N56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334</v>
      </c>
      <c r="L58" s="29">
        <v>0.54097222222222219</v>
      </c>
      <c r="M58" s="30" t="str">
        <f t="shared" ca="1" si="13"/>
        <v/>
      </c>
      <c r="N58" s="27" t="s">
        <v>335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0.10697511574107921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0.30628067129663483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0.67364178240774586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6.4614004630129784E-2</v>
      </c>
      <c r="N569" s="27" t="s">
        <v>373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6.4614004630129784E-2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6.4614004630129784E-2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2026-07-22T12:33:30Z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