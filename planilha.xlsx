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601" documentId="8_{C51EB6CB-002B-4D6B-B68F-DDEBDB4460C0}" xr6:coauthVersionLast="47" xr6:coauthVersionMax="47" xr10:uidLastSave="{86B112FD-4DAE-485B-9F3D-CD3F28BD3BD3}"/>
  <bookViews>
    <workbookView xWindow="-108" yWindow="-108" windowWidth="23256" windowHeight="12456" tabRatio="500" firstSheet="2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6" i="1" l="1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54" i="3" l="1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<sst xmlns="http://schemas.openxmlformats.org/spreadsheetml/2006/main" count="3051" uniqueCount="275">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</sst>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8" sqref="G8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846660</v>
      </c>
      <c r="D8" s="8">
        <f>IFERROR('Linha 1'!O136,"")</f>
        <v>791070</v>
      </c>
      <c r="E8" s="8">
        <f>IFERROR('Linha 2'!O136,"")</f>
        <v>320370</v>
      </c>
      <c r="F8" s="8">
        <f>IFERROR('Linha 3'!O136,"")</f>
        <v>811580</v>
      </c>
      <c r="G8" s="9">
        <f t="shared" si="0"/>
        <v>1923020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13832305</v>
      </c>
      <c r="D35" s="13">
        <f>IFERROR(SUM(D4:D34),"")</f>
        <v>4591580</v>
      </c>
      <c r="E35" s="13">
        <f>IFERROR(SUM(E4:E34),"")</f>
        <v>2567780</v>
      </c>
      <c r="F35" s="13">
        <f>IFERROR(SUM(F4:F34),"")</f>
        <v>5816020</v>
      </c>
      <c r="G35" s="13">
        <f>IFERROR(SUM(G4:G34),"")</f>
        <v>12975380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3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3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3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3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3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3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3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3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3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3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3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3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3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3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3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3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3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3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3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3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3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3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3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3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3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3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3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13"/>
      <c r="I57" s="17"/>
      <c r="J57" s="17"/>
      <c r="K57" s="17" t="s">
        <v>50</v>
      </c>
      <c r="L57" s="17"/>
      <c r="M57" s="17"/>
    </row>
    <row r="58" spans="1:13" ht="15" customHeight="1">
      <c r="H58" s="113"/>
      <c r="I58" s="16"/>
      <c r="J58" s="16"/>
      <c r="K58" s="16" t="s">
        <v>204</v>
      </c>
      <c r="L58" s="16"/>
      <c r="M58" s="16"/>
    </row>
    <row r="59" spans="1:13" ht="15" customHeight="1">
      <c r="H59" s="113"/>
      <c r="I59" s="17"/>
      <c r="J59" s="17"/>
      <c r="K59" s="17" t="s">
        <v>205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206</v>
      </c>
      <c r="L61" s="17"/>
      <c r="M61" s="17"/>
    </row>
    <row r="62" spans="1:13" ht="15" customHeight="1">
      <c r="H62" s="113"/>
      <c r="I62" s="16"/>
      <c r="J62" s="16"/>
      <c r="K62" s="16" t="s">
        <v>207</v>
      </c>
      <c r="L62" s="16"/>
      <c r="M62" s="16"/>
    </row>
    <row r="63" spans="1:13" ht="15" customHeight="1">
      <c r="H63" s="113"/>
      <c r="I63" s="17"/>
      <c r="J63" s="17"/>
      <c r="K63" s="17" t="s">
        <v>208</v>
      </c>
      <c r="L63" s="17"/>
      <c r="M63" s="17"/>
    </row>
    <row r="64" spans="1:13" ht="15" customHeight="1">
      <c r="H64" s="113"/>
      <c r="I64" s="16"/>
      <c r="J64" s="16"/>
      <c r="K64" s="16" t="s">
        <v>209</v>
      </c>
      <c r="L64" s="16"/>
      <c r="M64" s="16"/>
    </row>
    <row r="65" spans="8:13" ht="15" customHeight="1">
      <c r="H65" s="113"/>
      <c r="I65" s="17"/>
      <c r="J65" s="17"/>
      <c r="K65" s="17" t="s">
        <v>210</v>
      </c>
      <c r="L65" s="17"/>
      <c r="M65" s="17"/>
    </row>
    <row r="66" spans="8:13" ht="15" customHeight="1">
      <c r="H66" s="113"/>
      <c r="I66" s="16"/>
      <c r="J66" s="16"/>
      <c r="K66" s="16" t="s">
        <v>211</v>
      </c>
      <c r="L66" s="16"/>
      <c r="M66" s="16"/>
    </row>
    <row r="67" spans="8:13" ht="15" customHeight="1">
      <c r="H67" s="113"/>
      <c r="I67" s="17"/>
      <c r="J67" s="17"/>
      <c r="K67" s="17" t="s">
        <v>212</v>
      </c>
      <c r="L67" s="17"/>
      <c r="M67" s="17"/>
    </row>
    <row r="68" spans="8:13" ht="15" customHeight="1">
      <c r="H68" s="113"/>
      <c r="I68" s="16"/>
      <c r="J68" s="16"/>
      <c r="K68" s="16" t="s">
        <v>213</v>
      </c>
      <c r="L68" s="16"/>
      <c r="M68" s="16"/>
    </row>
    <row r="69" spans="8:13" ht="15" customHeight="1">
      <c r="H69" s="113"/>
      <c r="I69" s="17"/>
      <c r="J69" s="17"/>
      <c r="K69" s="17" t="s">
        <v>214</v>
      </c>
      <c r="L69" s="17"/>
      <c r="M69" s="17"/>
    </row>
    <row r="70" spans="8:13" ht="15" customHeight="1">
      <c r="H70" s="113"/>
      <c r="I70" s="16"/>
      <c r="J70" s="16"/>
      <c r="K70" s="16" t="s">
        <v>215</v>
      </c>
      <c r="L70" s="16"/>
      <c r="M70" s="16"/>
    </row>
    <row r="71" spans="8:13" ht="15" customHeight="1">
      <c r="H71" s="113"/>
      <c r="I71" s="17"/>
      <c r="J71" s="17"/>
      <c r="K71" s="17" t="s">
        <v>216</v>
      </c>
      <c r="L71" s="17"/>
      <c r="M71" s="17"/>
    </row>
    <row r="72" spans="8:13" ht="15" customHeight="1">
      <c r="H72" s="113"/>
      <c r="I72" s="16"/>
      <c r="J72" s="16"/>
      <c r="K72" s="16" t="s">
        <v>217</v>
      </c>
      <c r="L72" s="16"/>
      <c r="M72" s="16"/>
    </row>
    <row r="73" spans="8:13" ht="15" customHeight="1">
      <c r="H73" s="113"/>
      <c r="I73" s="17"/>
      <c r="J73" s="17"/>
      <c r="K73" s="17" t="s">
        <v>218</v>
      </c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108" activePane="bottomLeft" state="frozen"/>
      <selection pane="bottomLeft" activeCell="G133" sqref="G133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229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229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229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229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229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229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229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229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229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229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229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229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6" t="s">
        <v>230</v>
      </c>
      <c r="B14" s="107"/>
      <c r="C14" s="107"/>
      <c r="D14" s="107"/>
      <c r="E14" s="108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231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229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229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229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232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229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229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229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229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229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229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229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229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229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6" t="s">
        <v>233</v>
      </c>
      <c r="B27" s="107"/>
      <c r="C27" s="107"/>
      <c r="D27" s="107"/>
      <c r="E27" s="108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231</v>
      </c>
      <c r="O27" s="39">
        <v>997910</v>
      </c>
    </row>
    <row r="28" spans="1:15" ht="18" customHeight="1">
      <c r="A28" s="103" t="s">
        <v>234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235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229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229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236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229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232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229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229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229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229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229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229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229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229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229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6" t="s">
        <v>230</v>
      </c>
      <c r="B41" s="107"/>
      <c r="C41" s="107"/>
      <c r="D41" s="107"/>
      <c r="E41" s="108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231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229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237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229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229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229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229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229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229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229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229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229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229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6" t="s">
        <v>233</v>
      </c>
      <c r="B54" s="107"/>
      <c r="C54" s="107"/>
      <c r="D54" s="107"/>
      <c r="E54" s="108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231</v>
      </c>
      <c r="O54" s="39">
        <v>981310</v>
      </c>
    </row>
    <row r="55" spans="1:15" ht="18" customHeight="1">
      <c r="A55" s="103" t="s">
        <v>234</v>
      </c>
      <c r="B55" s="104"/>
      <c r="C55" s="104"/>
      <c r="D55" s="104"/>
      <c r="E55" s="10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235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229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153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229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229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229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229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229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229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229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229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229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229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229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6" t="s">
        <v>230</v>
      </c>
      <c r="B68" s="107"/>
      <c r="C68" s="107"/>
      <c r="D68" s="107"/>
      <c r="E68" s="108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231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229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229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238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229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229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229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229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229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229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229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229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229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229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6" t="s">
        <v>233</v>
      </c>
      <c r="B81" s="107"/>
      <c r="C81" s="107"/>
      <c r="D81" s="107"/>
      <c r="E81" s="108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231</v>
      </c>
      <c r="O81" s="39">
        <v>1547910</v>
      </c>
    </row>
    <row r="82" spans="1:15" ht="18" customHeight="1">
      <c r="A82" s="103" t="s">
        <v>234</v>
      </c>
      <c r="B82" s="104"/>
      <c r="C82" s="104"/>
      <c r="D82" s="104"/>
      <c r="E82" s="10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235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229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229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131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229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142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239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229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229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229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229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229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229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229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229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229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6" t="s">
        <v>230</v>
      </c>
      <c r="B95" s="107"/>
      <c r="C95" s="107"/>
      <c r="D95" s="107"/>
      <c r="E95" s="108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231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229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229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229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229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229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229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240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229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229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229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229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229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229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6" t="s">
        <v>233</v>
      </c>
      <c r="B108" s="107"/>
      <c r="C108" s="107"/>
      <c r="D108" s="107"/>
      <c r="E108" s="108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231</v>
      </c>
      <c r="O108" s="39">
        <v>3156240</v>
      </c>
    </row>
    <row r="109" spans="1:15" ht="18" customHeight="1">
      <c r="A109" s="103" t="s">
        <v>234</v>
      </c>
      <c r="B109" s="104"/>
      <c r="C109" s="104"/>
      <c r="D109" s="104"/>
      <c r="E109" s="10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235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229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229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229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229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229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229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229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229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229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229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229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229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6" t="s">
        <v>230</v>
      </c>
      <c r="B122" s="107"/>
      <c r="C122" s="107"/>
      <c r="D122" s="107"/>
      <c r="E122" s="108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231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229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229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229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229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229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229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229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229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229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229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229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229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6" t="s">
        <v>233</v>
      </c>
      <c r="B135" s="107"/>
      <c r="C135" s="107"/>
      <c r="D135" s="107"/>
      <c r="E135" s="108">
        <f>SUM(E123:E134)</f>
        <v>0</v>
      </c>
      <c r="F135" s="36">
        <f>SUM(F123:F134)</f>
        <v>366</v>
      </c>
      <c r="G135" s="36">
        <f>SUM(G123:G134)</f>
        <v>1830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231</v>
      </c>
      <c r="O135" s="39"/>
    </row>
    <row r="136" spans="1:15" ht="18" customHeight="1">
      <c r="A136" s="103" t="s">
        <v>234</v>
      </c>
      <c r="B136" s="104"/>
      <c r="C136" s="104"/>
      <c r="D136" s="104"/>
      <c r="E136" s="105">
        <f>E122+E135</f>
        <v>0</v>
      </c>
      <c r="F136" s="40">
        <f>F122+F135</f>
        <v>488</v>
      </c>
      <c r="G136" s="40">
        <f>G122+G135</f>
        <v>2440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235</v>
      </c>
      <c r="O136" s="43">
        <f>IFERROR(O122+O135,"")</f>
        <v>846660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230</v>
      </c>
      <c r="B149" s="107"/>
      <c r="C149" s="107"/>
      <c r="D149" s="107"/>
      <c r="E149" s="10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231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233</v>
      </c>
      <c r="B162" s="107"/>
      <c r="C162" s="107"/>
      <c r="D162" s="107"/>
      <c r="E162" s="10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231</v>
      </c>
      <c r="O162" s="44"/>
    </row>
    <row r="163" spans="1:15" ht="18" customHeight="1">
      <c r="A163" s="103" t="s">
        <v>234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235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230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231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233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39"/>
    </row>
    <row r="190" spans="1:15" ht="18" customHeight="1">
      <c r="A190" s="103" t="s">
        <v>234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235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230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231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6" t="s">
        <v>233</v>
      </c>
      <c r="B216" s="107"/>
      <c r="C216" s="107"/>
      <c r="D216" s="107"/>
      <c r="E216" s="10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231</v>
      </c>
      <c r="O216" s="45"/>
    </row>
    <row r="217" spans="1:15" ht="18" customHeight="1">
      <c r="A217" s="103" t="s">
        <v>234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235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6" t="s">
        <v>230</v>
      </c>
      <c r="B230" s="107"/>
      <c r="C230" s="107"/>
      <c r="D230" s="107"/>
      <c r="E230" s="10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231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6" t="s">
        <v>233</v>
      </c>
      <c r="B243" s="107"/>
      <c r="C243" s="107"/>
      <c r="D243" s="107"/>
      <c r="E243" s="10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231</v>
      </c>
      <c r="O243" s="39"/>
    </row>
    <row r="244" spans="1:15" ht="18" customHeight="1">
      <c r="A244" s="103" t="s">
        <v>234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235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6" t="s">
        <v>230</v>
      </c>
      <c r="B257" s="107"/>
      <c r="C257" s="107"/>
      <c r="D257" s="107"/>
      <c r="E257" s="10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231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6" t="s">
        <v>233</v>
      </c>
      <c r="B270" s="107"/>
      <c r="C270" s="107"/>
      <c r="D270" s="107"/>
      <c r="E270" s="10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39"/>
    </row>
    <row r="271" spans="1:15" ht="18" customHeight="1">
      <c r="A271" s="103" t="s">
        <v>234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235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6" t="s">
        <v>230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231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6" t="s">
        <v>233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231</v>
      </c>
      <c r="O297" s="39"/>
    </row>
    <row r="298" spans="1:15" ht="18" customHeight="1">
      <c r="A298" s="103" t="s">
        <v>234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235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6" t="s">
        <v>230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231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6" t="s">
        <v>233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39"/>
    </row>
    <row r="325" spans="1:15" ht="18" customHeight="1">
      <c r="A325" s="103" t="s">
        <v>234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235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6" t="s">
        <v>230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231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6" t="s">
        <v>233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231</v>
      </c>
      <c r="O351" s="39"/>
    </row>
    <row r="352" spans="1:15" ht="18" customHeight="1">
      <c r="A352" s="103" t="s">
        <v>234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235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6" t="s">
        <v>230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231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6" t="s">
        <v>233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231</v>
      </c>
      <c r="O378" s="39"/>
    </row>
    <row r="379" spans="1:15" ht="18" customHeight="1">
      <c r="A379" s="103" t="s">
        <v>234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235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6" t="s">
        <v>230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231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6" t="s">
        <v>233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231</v>
      </c>
      <c r="O405" s="39"/>
    </row>
    <row r="406" spans="1:15" ht="18" customHeight="1">
      <c r="A406" s="103" t="s">
        <v>234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235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6" t="s">
        <v>230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231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6" t="s">
        <v>233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39"/>
    </row>
    <row r="433" spans="1:15" ht="18" customHeight="1">
      <c r="A433" s="103" t="s">
        <v>234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235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6" t="s">
        <v>230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231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6" t="s">
        <v>233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231</v>
      </c>
      <c r="O459" s="39"/>
    </row>
    <row r="460" spans="1:15" ht="18" customHeight="1">
      <c r="A460" s="103" t="s">
        <v>234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235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6" t="s">
        <v>230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6" t="s">
        <v>233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39"/>
    </row>
    <row r="487" spans="1:15" ht="18" customHeight="1">
      <c r="A487" s="103" t="s">
        <v>234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235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6" t="s">
        <v>230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231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6" t="s">
        <v>233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39"/>
    </row>
    <row r="514" spans="1:15" ht="18" customHeight="1">
      <c r="A514" s="103" t="s">
        <v>234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235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6" t="s">
        <v>230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231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6" t="s">
        <v>233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231</v>
      </c>
      <c r="O540" s="39"/>
    </row>
    <row r="541" spans="1:15" ht="18" customHeight="1">
      <c r="A541" s="103" t="s">
        <v>234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235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6" t="s">
        <v>230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6" t="s">
        <v>233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3" t="s">
        <v>234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235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6" t="s">
        <v>230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6" t="s">
        <v>233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3" t="s">
        <v>234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235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6" t="s">
        <v>230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6" t="s">
        <v>233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3" t="s">
        <v>234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235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6" t="s">
        <v>230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6" t="s">
        <v>233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3" t="s">
        <v>234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235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6" t="s">
        <v>230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6" t="s">
        <v>233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3" t="s">
        <v>234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235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6" t="s">
        <v>230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6" t="s">
        <v>233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3" t="s">
        <v>234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235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6" t="s">
        <v>230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6" t="s">
        <v>233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3" t="s">
        <v>234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235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6" t="s">
        <v>230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6" t="s">
        <v>233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3" t="s">
        <v>234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235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6" t="s">
        <v>230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6" t="s">
        <v>233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3" t="s">
        <v>234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235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6" t="s">
        <v>230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6" t="s">
        <v>233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0" t="s">
        <v>234</v>
      </c>
      <c r="B811" s="101"/>
      <c r="C811" s="101"/>
      <c r="D811" s="101"/>
      <c r="E811" s="102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235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6" t="s">
        <v>230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231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6" t="s">
        <v>233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231</v>
      </c>
      <c r="O837" s="39"/>
    </row>
    <row r="838" spans="1:15" ht="18" customHeight="1">
      <c r="A838" s="103" t="s">
        <v>234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235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tabSelected="1" zoomScale="50" zoomScaleNormal="50" workbookViewId="0">
      <pane ySplit="1" topLeftCell="A108" activePane="bottomLeft" state="frozen"/>
      <selection pane="bottomLeft" activeCell="L130" sqref="L130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242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241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241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241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243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241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244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241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241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241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241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241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241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241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6" t="s">
        <v>230</v>
      </c>
      <c r="B14" s="107"/>
      <c r="C14" s="107"/>
      <c r="D14" s="107"/>
      <c r="E14" s="108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231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241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241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241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241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241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245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241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246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241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241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241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241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241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241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6" t="s">
        <v>233</v>
      </c>
      <c r="B27" s="107"/>
      <c r="C27" s="107"/>
      <c r="D27" s="107"/>
      <c r="E27" s="108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231</v>
      </c>
      <c r="O27" s="77">
        <v>549860</v>
      </c>
    </row>
    <row r="28" spans="1:15" ht="18" customHeight="1">
      <c r="A28" s="103" t="s">
        <v>234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235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241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154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241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241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241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241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241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241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241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241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241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241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241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6" t="s">
        <v>230</v>
      </c>
      <c r="B41" s="107"/>
      <c r="C41" s="107"/>
      <c r="D41" s="107"/>
      <c r="E41" s="108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231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241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241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241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241</v>
      </c>
      <c r="F45" s="27">
        <v>3</v>
      </c>
      <c r="G45" s="28">
        <f t="shared" si="9"/>
        <v>12.600000000000001</v>
      </c>
      <c r="H45" s="33" t="s">
        <v>20</v>
      </c>
      <c r="I45" s="33" t="s">
        <v>156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241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241</v>
      </c>
      <c r="F47" s="27">
        <v>0</v>
      </c>
      <c r="G47" s="28">
        <f t="shared" si="9"/>
        <v>0</v>
      </c>
      <c r="H47" s="33" t="s">
        <v>20</v>
      </c>
      <c r="I47" s="33" t="s">
        <v>156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241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247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241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248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241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241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241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127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249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241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127</v>
      </c>
      <c r="K53" s="29">
        <v>0.12152777777777778</v>
      </c>
      <c r="L53" s="29"/>
      <c r="M53" s="30">
        <f t="shared" ca="1" si="11"/>
        <v>0.10102743055176688</v>
      </c>
      <c r="N53" s="46" t="s">
        <v>250</v>
      </c>
      <c r="O53" s="31"/>
    </row>
    <row r="54" spans="1:15" ht="15.75" customHeight="1">
      <c r="A54" s="106" t="s">
        <v>233</v>
      </c>
      <c r="B54" s="107"/>
      <c r="C54" s="107"/>
      <c r="D54" s="107"/>
      <c r="E54" s="108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0.23991631944065578</v>
      </c>
      <c r="N54" s="36" t="s">
        <v>231</v>
      </c>
      <c r="O54" s="84">
        <v>352430</v>
      </c>
    </row>
    <row r="55" spans="1:15" ht="18" customHeight="1">
      <c r="A55" s="103" t="s">
        <v>234</v>
      </c>
      <c r="B55" s="104"/>
      <c r="C55" s="104"/>
      <c r="D55" s="104"/>
      <c r="E55" s="105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0.32463854166287809</v>
      </c>
      <c r="N55" s="40" t="s">
        <v>235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241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241</v>
      </c>
      <c r="F57" s="27">
        <v>17</v>
      </c>
      <c r="G57" s="34">
        <f t="shared" si="12"/>
        <v>71.400000000000006</v>
      </c>
      <c r="H57" s="33" t="s">
        <v>20</v>
      </c>
      <c r="I57" s="33" t="s">
        <v>120</v>
      </c>
      <c r="J57" s="81" t="s">
        <v>113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241</v>
      </c>
      <c r="F58" s="27">
        <v>10</v>
      </c>
      <c r="G58" s="28">
        <f t="shared" si="12"/>
        <v>42</v>
      </c>
      <c r="H58" s="26" t="s">
        <v>20</v>
      </c>
      <c r="I58" s="80" t="s">
        <v>120</v>
      </c>
      <c r="J58" s="26" t="s">
        <v>113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241</v>
      </c>
      <c r="F59" s="27">
        <v>10</v>
      </c>
      <c r="G59" s="34">
        <f t="shared" si="12"/>
        <v>42</v>
      </c>
      <c r="H59" s="33" t="s">
        <v>20</v>
      </c>
      <c r="I59" s="33" t="s">
        <v>120</v>
      </c>
      <c r="J59" s="33" t="s">
        <v>113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241</v>
      </c>
      <c r="F60" s="27">
        <v>6</v>
      </c>
      <c r="G60" s="28">
        <f t="shared" si="12"/>
        <v>25.200000000000003</v>
      </c>
      <c r="H60" s="26" t="s">
        <v>20</v>
      </c>
      <c r="I60" s="26" t="s">
        <v>120</v>
      </c>
      <c r="J60" s="26" t="s">
        <v>113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241</v>
      </c>
      <c r="F61" s="27">
        <v>14</v>
      </c>
      <c r="G61" s="34">
        <f t="shared" si="12"/>
        <v>58.800000000000004</v>
      </c>
      <c r="H61" s="33" t="s">
        <v>20</v>
      </c>
      <c r="I61" s="33" t="s">
        <v>120</v>
      </c>
      <c r="J61" s="33" t="s">
        <v>113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241</v>
      </c>
      <c r="F62" s="27">
        <v>19</v>
      </c>
      <c r="G62" s="28">
        <f t="shared" si="12"/>
        <v>79.8</v>
      </c>
      <c r="H62" s="26" t="s">
        <v>20</v>
      </c>
      <c r="I62" s="26" t="s">
        <v>120</v>
      </c>
      <c r="J62" s="26" t="s">
        <v>113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241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242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241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241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241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241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6" t="s">
        <v>230</v>
      </c>
      <c r="B68" s="107"/>
      <c r="C68" s="107"/>
      <c r="D68" s="107"/>
      <c r="E68" s="108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231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241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146</v>
      </c>
      <c r="J69" s="26" t="s">
        <v>182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241</v>
      </c>
      <c r="F70" s="27">
        <v>14</v>
      </c>
      <c r="G70" s="28">
        <f t="shared" si="15"/>
        <v>58.800000000000004</v>
      </c>
      <c r="H70" s="26" t="s">
        <v>17</v>
      </c>
      <c r="I70" s="26" t="s">
        <v>132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241</v>
      </c>
      <c r="F71" s="27">
        <v>1</v>
      </c>
      <c r="G71" s="34">
        <f t="shared" si="15"/>
        <v>4.2</v>
      </c>
      <c r="H71" s="33" t="s">
        <v>20</v>
      </c>
      <c r="I71" s="33" t="s">
        <v>154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241</v>
      </c>
      <c r="F72" s="27">
        <v>5</v>
      </c>
      <c r="G72" s="28">
        <f t="shared" si="15"/>
        <v>21</v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241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241</v>
      </c>
      <c r="F74" s="27">
        <v>19</v>
      </c>
      <c r="G74" s="28">
        <f t="shared" si="15"/>
        <v>79.8</v>
      </c>
      <c r="H74" s="26" t="s">
        <v>20</v>
      </c>
      <c r="I74" s="26" t="s">
        <v>154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241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241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197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251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241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241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241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241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6" t="s">
        <v>233</v>
      </c>
      <c r="B81" s="107"/>
      <c r="C81" s="107"/>
      <c r="D81" s="107"/>
      <c r="E81" s="108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231</v>
      </c>
      <c r="O81" s="54">
        <v>634210</v>
      </c>
    </row>
    <row r="82" spans="1:15" ht="18" customHeight="1">
      <c r="A82" s="103" t="s">
        <v>234</v>
      </c>
      <c r="B82" s="104"/>
      <c r="C82" s="104"/>
      <c r="D82" s="104"/>
      <c r="E82" s="105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235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252</v>
      </c>
      <c r="E83" s="59" t="s">
        <v>241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135</v>
      </c>
      <c r="J83" s="33" t="s">
        <v>206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241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241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241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241</v>
      </c>
      <c r="F87" s="27">
        <v>14</v>
      </c>
      <c r="G87" s="28">
        <f t="shared" si="18"/>
        <v>58.800000000000004</v>
      </c>
      <c r="H87" s="33" t="s">
        <v>18</v>
      </c>
      <c r="I87" s="33" t="s">
        <v>135</v>
      </c>
      <c r="J87" s="33" t="s">
        <v>115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241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241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241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241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241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6" t="s">
        <v>230</v>
      </c>
      <c r="B95" s="107"/>
      <c r="C95" s="107"/>
      <c r="D95" s="107"/>
      <c r="E95" s="108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231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241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138</v>
      </c>
      <c r="J96" s="26" t="s">
        <v>115</v>
      </c>
      <c r="K96" s="29">
        <v>0.79166666666666663</v>
      </c>
      <c r="L96" s="29" t="s">
        <v>253</v>
      </c>
      <c r="M96" s="30" t="str">
        <f t="shared" ref="M96:M107" ca="1" si="22">IFERROR(IF(K96="","",IF(L96="",MOD(NOW()-K96,1),IF(L96&gt;=K96,L96-K96,L96+1-K96))),"")</f>
        <v/>
      </c>
      <c r="N96" s="46" t="s">
        <v>254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241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232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241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255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241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180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256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241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232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241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241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241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241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241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241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241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6" t="s">
        <v>233</v>
      </c>
      <c r="B108" s="107"/>
      <c r="C108" s="107"/>
      <c r="D108" s="107"/>
      <c r="E108" s="108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231</v>
      </c>
      <c r="O108" s="54">
        <v>456830</v>
      </c>
    </row>
    <row r="109" spans="1:15" ht="18" customHeight="1">
      <c r="A109" s="103" t="s">
        <v>234</v>
      </c>
      <c r="B109" s="104"/>
      <c r="C109" s="104"/>
      <c r="D109" s="104"/>
      <c r="E109" s="105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235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241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153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241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257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241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153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241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241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241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241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241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241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241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241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241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6" t="s">
        <v>230</v>
      </c>
      <c r="B122" s="107"/>
      <c r="C122" s="107"/>
      <c r="D122" s="107"/>
      <c r="E122" s="108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231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241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156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241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153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241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132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241</v>
      </c>
      <c r="F126" s="27">
        <v>20</v>
      </c>
      <c r="G126" s="28">
        <f t="shared" si="27"/>
        <v>84</v>
      </c>
      <c r="H126" s="26" t="s">
        <v>17</v>
      </c>
      <c r="I126" s="26" t="s">
        <v>132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241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120</v>
      </c>
      <c r="J127" s="33" t="s">
        <v>113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241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241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241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241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6" t="s">
        <v>233</v>
      </c>
      <c r="B135" s="107"/>
      <c r="C135" s="107"/>
      <c r="D135" s="107"/>
      <c r="E135" s="108">
        <f>SUM(E123:E134)</f>
        <v>0</v>
      </c>
      <c r="F135" s="36">
        <f>SUM(F123:F134)</f>
        <v>132</v>
      </c>
      <c r="G135" s="36">
        <f>SUM(G123:G134)</f>
        <v>554.4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231</v>
      </c>
      <c r="O135" s="54"/>
    </row>
    <row r="136" spans="1:15" ht="18" customHeight="1">
      <c r="A136" s="103" t="s">
        <v>234</v>
      </c>
      <c r="B136" s="104"/>
      <c r="C136" s="104"/>
      <c r="D136" s="104"/>
      <c r="E136" s="105">
        <f>E122+E135</f>
        <v>0</v>
      </c>
      <c r="F136" s="40">
        <f>F122+F135</f>
        <v>316</v>
      </c>
      <c r="G136" s="40">
        <f>G122+G135</f>
        <v>1327.2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235</v>
      </c>
      <c r="O136" s="82">
        <f>IFERROR(O122+O135,"")</f>
        <v>791070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6" t="s">
        <v>230</v>
      </c>
      <c r="B149" s="107"/>
      <c r="C149" s="107"/>
      <c r="D149" s="107"/>
      <c r="E149" s="10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231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6" t="s">
        <v>233</v>
      </c>
      <c r="B162" s="107"/>
      <c r="C162" s="107"/>
      <c r="D162" s="107"/>
      <c r="E162" s="10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231</v>
      </c>
      <c r="O162" s="54"/>
    </row>
    <row r="163" spans="1:15" ht="18" customHeight="1">
      <c r="A163" s="103" t="s">
        <v>234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235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6" t="s">
        <v>230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231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6" t="s">
        <v>233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77"/>
    </row>
    <row r="190" spans="1:15" ht="18" customHeight="1">
      <c r="A190" s="103" t="s">
        <v>234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235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6" t="s">
        <v>230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231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6" t="s">
        <v>233</v>
      </c>
      <c r="B216" s="107"/>
      <c r="C216" s="107"/>
      <c r="D216" s="107"/>
      <c r="E216" s="10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231</v>
      </c>
      <c r="O216" s="77"/>
    </row>
    <row r="217" spans="1:15" ht="18" customHeight="1">
      <c r="A217" s="103" t="s">
        <v>234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235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230</v>
      </c>
      <c r="B230" s="116"/>
      <c r="C230" s="116"/>
      <c r="D230" s="116"/>
      <c r="E230" s="11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231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6" t="s">
        <v>233</v>
      </c>
      <c r="B243" s="107"/>
      <c r="C243" s="107"/>
      <c r="D243" s="107"/>
      <c r="E243" s="10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231</v>
      </c>
      <c r="O243" s="77"/>
    </row>
    <row r="244" spans="1:15" ht="18" customHeight="1">
      <c r="A244" s="103" t="s">
        <v>234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235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6" t="s">
        <v>230</v>
      </c>
      <c r="B257" s="107"/>
      <c r="C257" s="107"/>
      <c r="D257" s="107"/>
      <c r="E257" s="10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231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6" t="s">
        <v>233</v>
      </c>
      <c r="B270" s="107"/>
      <c r="C270" s="107"/>
      <c r="D270" s="107"/>
      <c r="E270" s="10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77"/>
    </row>
    <row r="271" spans="1:15" ht="18" customHeight="1">
      <c r="A271" s="103" t="s">
        <v>234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235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6" t="s">
        <v>230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231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6" t="s">
        <v>233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231</v>
      </c>
      <c r="O297" s="77"/>
    </row>
    <row r="298" spans="1:15" ht="18" customHeight="1">
      <c r="A298" s="103" t="s">
        <v>234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235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6" t="s">
        <v>230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231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6" t="s">
        <v>233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77"/>
    </row>
    <row r="325" spans="1:15" ht="18" customHeight="1">
      <c r="A325" s="103" t="s">
        <v>234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235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6" t="s">
        <v>230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231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6" t="s">
        <v>233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231</v>
      </c>
      <c r="O351" s="77"/>
    </row>
    <row r="352" spans="1:15" ht="18" customHeight="1">
      <c r="A352" s="103" t="s">
        <v>234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235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6" t="s">
        <v>230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231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6" t="s">
        <v>233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231</v>
      </c>
      <c r="O378" s="77"/>
    </row>
    <row r="379" spans="1:15" ht="18" customHeight="1">
      <c r="A379" s="103" t="s">
        <v>234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235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6" t="s">
        <v>230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231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6" t="s">
        <v>233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231</v>
      </c>
      <c r="O405" s="77"/>
    </row>
    <row r="406" spans="1:15" ht="18" customHeight="1">
      <c r="A406" s="103" t="s">
        <v>234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235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6" t="s">
        <v>230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231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233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77"/>
    </row>
    <row r="433" spans="1:15" ht="18" customHeight="1">
      <c r="A433" s="92" t="s">
        <v>234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235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6" t="s">
        <v>230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231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6" t="s">
        <v>233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231</v>
      </c>
      <c r="O459" s="77"/>
    </row>
    <row r="460" spans="1:15" ht="18" customHeight="1">
      <c r="A460" s="103" t="s">
        <v>234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235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6" t="s">
        <v>230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6" t="s">
        <v>233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77"/>
    </row>
    <row r="487" spans="1:15" ht="18" customHeight="1">
      <c r="A487" s="103" t="s">
        <v>234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235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6" t="s">
        <v>230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231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233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77"/>
    </row>
    <row r="514" spans="1:15" ht="18" customHeight="1">
      <c r="A514" s="92" t="s">
        <v>234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235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6" t="s">
        <v>230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231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6" t="s">
        <v>233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231</v>
      </c>
      <c r="O540" s="77"/>
    </row>
    <row r="541" spans="1:15" ht="18" customHeight="1">
      <c r="A541" s="103" t="s">
        <v>234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235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6" t="s">
        <v>230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6" t="s">
        <v>233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77"/>
    </row>
    <row r="568" spans="1:15" ht="18" customHeight="1">
      <c r="A568" s="103" t="s">
        <v>234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235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6" t="s">
        <v>230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6" t="s">
        <v>233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77"/>
    </row>
    <row r="595" spans="1:15" ht="18" customHeight="1">
      <c r="A595" s="103" t="s">
        <v>234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235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6" t="s">
        <v>230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6" t="s">
        <v>233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77"/>
    </row>
    <row r="622" spans="1:15" ht="18" customHeight="1">
      <c r="A622" s="103" t="s">
        <v>234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235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6" t="s">
        <v>230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6" t="s">
        <v>233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77"/>
    </row>
    <row r="649" spans="1:15" ht="18" customHeight="1">
      <c r="A649" s="103" t="s">
        <v>234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235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6" t="s">
        <v>230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6" t="s">
        <v>233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77"/>
    </row>
    <row r="676" spans="1:15" ht="18" customHeight="1">
      <c r="A676" s="103" t="s">
        <v>234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235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6" t="s">
        <v>230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6" t="s">
        <v>233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77"/>
    </row>
    <row r="703" spans="1:15" ht="18" customHeight="1">
      <c r="A703" s="103" t="s">
        <v>234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235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6" t="s">
        <v>230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6" t="s">
        <v>233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77"/>
    </row>
    <row r="730" spans="1:15" ht="18" customHeight="1">
      <c r="A730" s="103" t="s">
        <v>234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235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6" t="s">
        <v>230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6" t="s">
        <v>233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3" t="s">
        <v>234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235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6" t="s">
        <v>230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6" t="s">
        <v>233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3" t="s">
        <v>234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235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6" t="s">
        <v>230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6" t="s">
        <v>233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3" t="s">
        <v>234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235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6" t="s">
        <v>230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231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6" t="s">
        <v>233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231</v>
      </c>
      <c r="O837" s="84"/>
    </row>
    <row r="838" spans="1:15" ht="18" customHeight="1">
      <c r="A838" s="103" t="s">
        <v>234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235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117" zoomScale="50" zoomScaleNormal="50" workbookViewId="0">
      <selection activeCell="F132" sqref="F132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241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241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241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241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241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241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241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241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241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241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241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6" t="s">
        <v>230</v>
      </c>
      <c r="B14" s="107"/>
      <c r="C14" s="107"/>
      <c r="D14" s="107"/>
      <c r="E14" s="108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231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241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258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241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241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241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245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241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259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241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241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241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241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241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241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241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6" t="s">
        <v>233</v>
      </c>
      <c r="B27" s="107"/>
      <c r="C27" s="107"/>
      <c r="D27" s="107"/>
      <c r="E27" s="108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231</v>
      </c>
      <c r="O27" s="39">
        <v>358000</v>
      </c>
    </row>
    <row r="28" spans="1:15" ht="18" customHeight="1">
      <c r="A28" s="103" t="s">
        <v>234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235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241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241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241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241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241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241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241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241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241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241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241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6" t="s">
        <v>230</v>
      </c>
      <c r="B41" s="107"/>
      <c r="C41" s="107"/>
      <c r="D41" s="107"/>
      <c r="E41" s="108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231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241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164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241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258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241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241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241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241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241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241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241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258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241</v>
      </c>
      <c r="F51" s="27">
        <v>0</v>
      </c>
      <c r="G51" s="28">
        <f t="shared" si="9"/>
        <v>0</v>
      </c>
      <c r="H51" s="33" t="s">
        <v>20</v>
      </c>
      <c r="I51" s="33" t="s">
        <v>154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241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241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131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6" t="s">
        <v>233</v>
      </c>
      <c r="B54" s="107"/>
      <c r="C54" s="107"/>
      <c r="D54" s="107"/>
      <c r="E54" s="108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231</v>
      </c>
      <c r="O54" s="39">
        <v>279980</v>
      </c>
    </row>
    <row r="55" spans="1:15" ht="18" customHeight="1">
      <c r="A55" s="103" t="s">
        <v>234</v>
      </c>
      <c r="B55" s="104"/>
      <c r="C55" s="104"/>
      <c r="D55" s="104"/>
      <c r="E55" s="105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235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241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120</v>
      </c>
      <c r="J56" s="26" t="s">
        <v>113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241</v>
      </c>
      <c r="F57" s="27">
        <v>4</v>
      </c>
      <c r="G57" s="34">
        <f t="shared" si="12"/>
        <v>16.8</v>
      </c>
      <c r="H57" s="33" t="s">
        <v>20</v>
      </c>
      <c r="I57" s="33" t="s">
        <v>120</v>
      </c>
      <c r="J57" s="26" t="s">
        <v>113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241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241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241</v>
      </c>
      <c r="F60" s="27">
        <v>5</v>
      </c>
      <c r="G60" s="28">
        <f t="shared" si="12"/>
        <v>21</v>
      </c>
      <c r="H60" s="26" t="s">
        <v>20</v>
      </c>
      <c r="I60" s="26" t="s">
        <v>120</v>
      </c>
      <c r="J60" s="26" t="s">
        <v>113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241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241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127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260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241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241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241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241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241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6" t="s">
        <v>230</v>
      </c>
      <c r="B68" s="107"/>
      <c r="C68" s="107"/>
      <c r="D68" s="107"/>
      <c r="E68" s="108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231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241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261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241</v>
      </c>
      <c r="F70" s="27">
        <v>9</v>
      </c>
      <c r="G70" s="28">
        <f t="shared" si="15"/>
        <v>37.800000000000004</v>
      </c>
      <c r="H70" s="26" t="s">
        <v>20</v>
      </c>
      <c r="I70" s="26" t="s">
        <v>146</v>
      </c>
      <c r="J70" s="26" t="s">
        <v>182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241</v>
      </c>
      <c r="F71" s="27">
        <v>9</v>
      </c>
      <c r="G71" s="34">
        <f t="shared" si="15"/>
        <v>37.800000000000004</v>
      </c>
      <c r="H71" s="33" t="s">
        <v>20</v>
      </c>
      <c r="I71" s="33" t="s">
        <v>154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241</v>
      </c>
      <c r="F72" s="27">
        <v>0</v>
      </c>
      <c r="G72" s="28">
        <f t="shared" si="15"/>
        <v>0</v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241</v>
      </c>
      <c r="F73" s="27">
        <v>7</v>
      </c>
      <c r="G73" s="34">
        <f t="shared" si="15"/>
        <v>29.400000000000002</v>
      </c>
      <c r="H73" s="33" t="s">
        <v>20</v>
      </c>
      <c r="I73" s="33" t="s">
        <v>154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241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241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241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241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6" t="s">
        <v>233</v>
      </c>
      <c r="B81" s="107"/>
      <c r="C81" s="107"/>
      <c r="D81" s="107"/>
      <c r="E81" s="108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231</v>
      </c>
      <c r="O81" s="39">
        <v>185920</v>
      </c>
    </row>
    <row r="82" spans="1:15" ht="18" customHeight="1">
      <c r="A82" s="103" t="s">
        <v>234</v>
      </c>
      <c r="B82" s="104"/>
      <c r="C82" s="104"/>
      <c r="D82" s="104"/>
      <c r="E82" s="105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235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241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262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241</v>
      </c>
      <c r="F84" s="27">
        <v>0</v>
      </c>
      <c r="G84" s="34">
        <f t="shared" si="18"/>
        <v>0</v>
      </c>
      <c r="H84" s="26" t="s">
        <v>18</v>
      </c>
      <c r="I84" s="26" t="s">
        <v>135</v>
      </c>
      <c r="J84" s="26" t="s">
        <v>115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263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241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241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241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241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241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241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241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241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241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6" t="s">
        <v>230</v>
      </c>
      <c r="B95" s="107"/>
      <c r="C95" s="107"/>
      <c r="D95" s="107"/>
      <c r="E95" s="108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231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241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135</v>
      </c>
      <c r="J96" s="26" t="s">
        <v>115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241</v>
      </c>
      <c r="F97" s="27">
        <v>0</v>
      </c>
      <c r="G97" s="28">
        <f t="shared" si="21"/>
        <v>0</v>
      </c>
      <c r="H97" s="33" t="s">
        <v>18</v>
      </c>
      <c r="I97" s="33" t="s">
        <v>135</v>
      </c>
      <c r="J97" s="33" t="s">
        <v>115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264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241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241</v>
      </c>
      <c r="F99" s="27">
        <v>7</v>
      </c>
      <c r="G99" s="28">
        <f t="shared" si="21"/>
        <v>29.400000000000002</v>
      </c>
      <c r="H99" s="33" t="s">
        <v>20</v>
      </c>
      <c r="I99" s="33" t="s">
        <v>154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241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241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241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241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241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241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241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241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6" t="s">
        <v>233</v>
      </c>
      <c r="B108" s="107"/>
      <c r="C108" s="107"/>
      <c r="D108" s="107"/>
      <c r="E108" s="108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231</v>
      </c>
      <c r="O108" s="39">
        <v>434370</v>
      </c>
    </row>
    <row r="109" spans="1:15" ht="18" customHeight="1">
      <c r="A109" s="103" t="s">
        <v>234</v>
      </c>
      <c r="B109" s="104"/>
      <c r="C109" s="104"/>
      <c r="D109" s="104"/>
      <c r="E109" s="105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235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241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241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241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241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241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241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241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241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241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241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241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241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6" t="s">
        <v>230</v>
      </c>
      <c r="B122" s="107"/>
      <c r="C122" s="107"/>
      <c r="D122" s="107"/>
      <c r="E122" s="108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231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241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154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241</v>
      </c>
      <c r="F124" s="27">
        <v>9</v>
      </c>
      <c r="G124" s="28">
        <f t="shared" si="27"/>
        <v>37.800000000000004</v>
      </c>
      <c r="H124" s="26" t="s">
        <v>20</v>
      </c>
      <c r="I124" s="26" t="s">
        <v>154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241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265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241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241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132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241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241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128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241</v>
      </c>
      <c r="F130" s="27">
        <v>7</v>
      </c>
      <c r="G130" s="28">
        <f t="shared" si="27"/>
        <v>29.400000000000002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241</v>
      </c>
      <c r="F131" s="27">
        <v>10</v>
      </c>
      <c r="G131" s="34">
        <f t="shared" si="27"/>
        <v>42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6" t="s">
        <v>233</v>
      </c>
      <c r="B135" s="107"/>
      <c r="C135" s="107"/>
      <c r="D135" s="107"/>
      <c r="E135" s="108">
        <f>SUM(E123:E134)</f>
        <v>0</v>
      </c>
      <c r="F135" s="36">
        <f>SUM(F123:F134)</f>
        <v>88</v>
      </c>
      <c r="G135" s="36">
        <f>SUM(G123:G134)</f>
        <v>369.6</v>
      </c>
      <c r="H135" s="37"/>
      <c r="I135" s="37"/>
      <c r="J135" s="37"/>
      <c r="K135" s="37"/>
      <c r="L135" s="37"/>
      <c r="M135" s="38">
        <f ca="1">IFERROR(SUM(M123:M134),"")</f>
        <v>6.666666666666668E-2</v>
      </c>
      <c r="N135" s="36" t="s">
        <v>231</v>
      </c>
      <c r="O135" s="39"/>
    </row>
    <row r="136" spans="1:15" ht="18" customHeight="1">
      <c r="A136" s="103" t="s">
        <v>234</v>
      </c>
      <c r="B136" s="104"/>
      <c r="C136" s="104"/>
      <c r="D136" s="104"/>
      <c r="E136" s="105">
        <f>E122+E135</f>
        <v>0</v>
      </c>
      <c r="F136" s="40">
        <f>F122+F135</f>
        <v>166</v>
      </c>
      <c r="G136" s="40">
        <f>G122+G135</f>
        <v>697.2</v>
      </c>
      <c r="H136" s="41"/>
      <c r="I136" s="41"/>
      <c r="J136" s="41"/>
      <c r="K136" s="41"/>
      <c r="L136" s="41"/>
      <c r="M136" s="42">
        <f ca="1">IFERROR(M122+M135,"")</f>
        <v>6.666666666666668E-2</v>
      </c>
      <c r="N136" s="40" t="s">
        <v>235</v>
      </c>
      <c r="O136" s="43">
        <f>IFERROR(O122+O135,"")</f>
        <v>320370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230</v>
      </c>
      <c r="B149" s="107"/>
      <c r="C149" s="107"/>
      <c r="D149" s="107"/>
      <c r="E149" s="10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231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233</v>
      </c>
      <c r="B162" s="107"/>
      <c r="C162" s="107"/>
      <c r="D162" s="107"/>
      <c r="E162" s="10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231</v>
      </c>
      <c r="O162" s="39"/>
    </row>
    <row r="163" spans="1:15" ht="18" customHeight="1">
      <c r="A163" s="103" t="s">
        <v>234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235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230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231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233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39"/>
    </row>
    <row r="190" spans="1:15" ht="18" customHeight="1">
      <c r="A190" s="103" t="s">
        <v>234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235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230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231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6" t="s">
        <v>233</v>
      </c>
      <c r="B216" s="107"/>
      <c r="C216" s="107"/>
      <c r="D216" s="107"/>
      <c r="E216" s="10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231</v>
      </c>
      <c r="O216" s="39"/>
    </row>
    <row r="217" spans="1:15" ht="18" customHeight="1">
      <c r="A217" s="103" t="s">
        <v>234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235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6" t="s">
        <v>230</v>
      </c>
      <c r="B230" s="107"/>
      <c r="C230" s="107"/>
      <c r="D230" s="107"/>
      <c r="E230" s="10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231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6" t="s">
        <v>233</v>
      </c>
      <c r="B243" s="107"/>
      <c r="C243" s="107"/>
      <c r="D243" s="107"/>
      <c r="E243" s="10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231</v>
      </c>
      <c r="O243" s="39"/>
    </row>
    <row r="244" spans="1:15" ht="18" customHeight="1">
      <c r="A244" s="103" t="s">
        <v>234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235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6" t="s">
        <v>230</v>
      </c>
      <c r="B257" s="107"/>
      <c r="C257" s="107"/>
      <c r="D257" s="107"/>
      <c r="E257" s="10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231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6" t="s">
        <v>233</v>
      </c>
      <c r="B270" s="107"/>
      <c r="C270" s="107"/>
      <c r="D270" s="107"/>
      <c r="E270" s="10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39"/>
    </row>
    <row r="271" spans="1:15" ht="18" customHeight="1">
      <c r="A271" s="103" t="s">
        <v>234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235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6" t="s">
        <v>230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231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6" t="s">
        <v>233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231</v>
      </c>
      <c r="O297" s="39"/>
    </row>
    <row r="298" spans="1:15" ht="18" customHeight="1">
      <c r="A298" s="103" t="s">
        <v>234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235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6" t="s">
        <v>230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231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6" t="s">
        <v>233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39"/>
    </row>
    <row r="325" spans="1:15" ht="18" customHeight="1">
      <c r="A325" s="103" t="s">
        <v>234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235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6" t="s">
        <v>230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231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6" t="s">
        <v>233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231</v>
      </c>
      <c r="O351" s="39"/>
    </row>
    <row r="352" spans="1:15" ht="18" customHeight="1">
      <c r="A352" s="103" t="s">
        <v>234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235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6" t="s">
        <v>230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231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6" t="s">
        <v>233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231</v>
      </c>
      <c r="O378" s="39"/>
    </row>
    <row r="379" spans="1:15" ht="18" customHeight="1">
      <c r="A379" s="103" t="s">
        <v>234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235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6" t="s">
        <v>230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231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6" t="s">
        <v>233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231</v>
      </c>
      <c r="O405" s="39"/>
    </row>
    <row r="406" spans="1:15" ht="18" customHeight="1">
      <c r="A406" s="103" t="s">
        <v>234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235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6" t="s">
        <v>230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231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6" t="s">
        <v>233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39"/>
    </row>
    <row r="433" spans="1:15" ht="18" customHeight="1">
      <c r="A433" s="103" t="s">
        <v>234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235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6" t="s">
        <v>230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231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6" t="s">
        <v>233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231</v>
      </c>
      <c r="O459" s="39"/>
    </row>
    <row r="460" spans="1:15" ht="18" customHeight="1">
      <c r="A460" s="103" t="s">
        <v>234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235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6" t="s">
        <v>230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6" t="s">
        <v>233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39"/>
    </row>
    <row r="487" spans="1:15" ht="18" customHeight="1">
      <c r="A487" s="103" t="s">
        <v>234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235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6" t="s">
        <v>230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231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6" t="s">
        <v>233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39"/>
    </row>
    <row r="514" spans="1:15" ht="18" customHeight="1">
      <c r="A514" s="103" t="s">
        <v>234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235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6" t="s">
        <v>230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231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6" t="s">
        <v>233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231</v>
      </c>
      <c r="O540" s="39"/>
    </row>
    <row r="541" spans="1:15" ht="18" customHeight="1">
      <c r="A541" s="103" t="s">
        <v>234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235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6" t="s">
        <v>230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6" t="s">
        <v>233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3" t="s">
        <v>234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235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6" t="s">
        <v>230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6" t="s">
        <v>233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3" t="s">
        <v>234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235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6" t="s">
        <v>230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6" t="s">
        <v>233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3" t="s">
        <v>234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235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6" t="s">
        <v>230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6" t="s">
        <v>233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3" t="s">
        <v>234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235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6" t="s">
        <v>230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6" t="s">
        <v>233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3" t="s">
        <v>234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235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6" t="s">
        <v>230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6" t="s">
        <v>233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3" t="s">
        <v>234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235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6" t="s">
        <v>230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6" t="s">
        <v>233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3" t="s">
        <v>234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235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6" t="s">
        <v>230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6" t="s">
        <v>233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3" t="s">
        <v>234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235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6" t="s">
        <v>230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6" t="s">
        <v>233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3" t="s">
        <v>234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235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6" t="s">
        <v>230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6" t="s">
        <v>233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3" t="s">
        <v>234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235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6" t="s">
        <v>230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231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6" t="s">
        <v>233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231</v>
      </c>
      <c r="O837" s="39"/>
    </row>
    <row r="838" spans="1:15" ht="18" customHeight="1">
      <c r="A838" s="103" t="s">
        <v>234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235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119" activePane="bottomLeft" state="frozen"/>
      <selection pane="bottomLeft" activeCell="F132" sqref="F132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241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241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241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241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241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241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241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241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241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241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241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6" t="s">
        <v>230</v>
      </c>
      <c r="B14" s="107"/>
      <c r="C14" s="107"/>
      <c r="D14" s="107"/>
      <c r="E14" s="108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231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241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241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266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241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248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241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258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241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267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241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241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241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268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241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241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241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241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6" t="s">
        <v>233</v>
      </c>
      <c r="B27" s="107"/>
      <c r="C27" s="107"/>
      <c r="D27" s="107"/>
      <c r="E27" s="108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231</v>
      </c>
      <c r="O27" s="39">
        <v>491520</v>
      </c>
    </row>
    <row r="28" spans="1:15" ht="18" customHeight="1">
      <c r="A28" s="103" t="s">
        <v>234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235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241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241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241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241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241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241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241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241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241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241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241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6" t="s">
        <v>230</v>
      </c>
      <c r="B41" s="107"/>
      <c r="C41" s="107"/>
      <c r="D41" s="107"/>
      <c r="E41" s="108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231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241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241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241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241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269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241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241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241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241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241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241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241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241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6" t="s">
        <v>233</v>
      </c>
      <c r="B54" s="107"/>
      <c r="C54" s="107"/>
      <c r="D54" s="107"/>
      <c r="E54" s="108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231</v>
      </c>
      <c r="O54" s="39">
        <v>352430</v>
      </c>
    </row>
    <row r="55" spans="1:15" ht="18" customHeight="1">
      <c r="A55" s="103" t="s">
        <v>234</v>
      </c>
      <c r="B55" s="104"/>
      <c r="C55" s="104"/>
      <c r="D55" s="104"/>
      <c r="E55" s="105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235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241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241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241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203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241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270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241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127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271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241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241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241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241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241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241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241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6" t="s">
        <v>230</v>
      </c>
      <c r="B68" s="107"/>
      <c r="C68" s="107"/>
      <c r="D68" s="107"/>
      <c r="E68" s="108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231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241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213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272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241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241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241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127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258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241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241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203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241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241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241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241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241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6" t="s">
        <v>233</v>
      </c>
      <c r="B81" s="107"/>
      <c r="C81" s="107"/>
      <c r="D81" s="107"/>
      <c r="E81" s="108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231</v>
      </c>
      <c r="O81" s="39">
        <v>612410</v>
      </c>
    </row>
    <row r="82" spans="1:15" ht="18" customHeight="1">
      <c r="A82" s="103" t="s">
        <v>234</v>
      </c>
      <c r="B82" s="104"/>
      <c r="C82" s="104"/>
      <c r="D82" s="104"/>
      <c r="E82" s="105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235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241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159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241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241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241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241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241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241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241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241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241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241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241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6" t="s">
        <v>230</v>
      </c>
      <c r="B95" s="107"/>
      <c r="C95" s="107"/>
      <c r="D95" s="107"/>
      <c r="E95" s="108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231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241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159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241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127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258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241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241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241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241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241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241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241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241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241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241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6" t="s">
        <v>233</v>
      </c>
      <c r="B108" s="107"/>
      <c r="C108" s="107"/>
      <c r="D108" s="107"/>
      <c r="E108" s="108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231</v>
      </c>
      <c r="O108" s="39">
        <v>956070</v>
      </c>
    </row>
    <row r="109" spans="1:15" ht="18" customHeight="1">
      <c r="A109" s="103" t="s">
        <v>234</v>
      </c>
      <c r="B109" s="104"/>
      <c r="C109" s="104"/>
      <c r="D109" s="104"/>
      <c r="E109" s="105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235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241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159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241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213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241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218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241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218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241</v>
      </c>
      <c r="F114" s="27">
        <v>14</v>
      </c>
      <c r="G114" s="28">
        <f t="shared" si="24"/>
        <v>58.800000000000004</v>
      </c>
      <c r="H114" s="26" t="s">
        <v>19</v>
      </c>
      <c r="I114" s="26" t="s">
        <v>159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273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241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241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241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241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241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241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241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6" t="s">
        <v>230</v>
      </c>
      <c r="B122" s="107"/>
      <c r="C122" s="107"/>
      <c r="D122" s="107"/>
      <c r="E122" s="108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231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241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203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241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274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241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241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241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251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241</v>
      </c>
      <c r="F128" s="27">
        <v>16</v>
      </c>
      <c r="G128" s="28">
        <f t="shared" si="27"/>
        <v>67.2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241</v>
      </c>
      <c r="F129" s="27">
        <v>25</v>
      </c>
      <c r="G129" s="34">
        <f t="shared" si="27"/>
        <v>105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241</v>
      </c>
      <c r="F130" s="27">
        <v>13</v>
      </c>
      <c r="G130" s="28">
        <f t="shared" si="27"/>
        <v>54.6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241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6" t="s">
        <v>233</v>
      </c>
      <c r="B135" s="107"/>
      <c r="C135" s="107"/>
      <c r="D135" s="107"/>
      <c r="E135" s="108">
        <f>SUM(E123:E134)</f>
        <v>0</v>
      </c>
      <c r="F135" s="36">
        <f>SUM(F123:F134)</f>
        <v>161</v>
      </c>
      <c r="G135" s="36">
        <f>SUM(G123:G134)</f>
        <v>575.40000000000009</v>
      </c>
      <c r="H135" s="37"/>
      <c r="I135" s="37"/>
      <c r="J135" s="37"/>
      <c r="K135" s="61"/>
      <c r="L135" s="61"/>
      <c r="M135" s="38">
        <f ca="1">IFERROR(SUM(M123:M134),"")</f>
        <v>3.8888888888888973E-2</v>
      </c>
      <c r="N135" s="36" t="s">
        <v>231</v>
      </c>
      <c r="O135" s="39"/>
    </row>
    <row r="136" spans="1:18" ht="18" customHeight="1">
      <c r="A136" s="103" t="s">
        <v>234</v>
      </c>
      <c r="B136" s="104"/>
      <c r="C136" s="104"/>
      <c r="D136" s="104"/>
      <c r="E136" s="105">
        <f>E122+E135</f>
        <v>0</v>
      </c>
      <c r="F136" s="40">
        <f>F122+F135</f>
        <v>331</v>
      </c>
      <c r="G136" s="40">
        <f>G122+G135</f>
        <v>1289.4000000000001</v>
      </c>
      <c r="H136" s="41"/>
      <c r="I136" s="41"/>
      <c r="J136" s="41"/>
      <c r="K136" s="63"/>
      <c r="L136" s="63"/>
      <c r="M136" s="42">
        <f ca="1">IFERROR(M122+M135,"")</f>
        <v>0.1631944444444447</v>
      </c>
      <c r="N136" s="40" t="s">
        <v>235</v>
      </c>
      <c r="O136" s="48">
        <f>IFERROR(O122+O135,"")</f>
        <v>811580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230</v>
      </c>
      <c r="B149" s="107"/>
      <c r="C149" s="107"/>
      <c r="D149" s="107"/>
      <c r="E149" s="10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231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233</v>
      </c>
      <c r="B162" s="107"/>
      <c r="C162" s="107"/>
      <c r="D162" s="107"/>
      <c r="E162" s="10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231</v>
      </c>
      <c r="O162" s="39"/>
    </row>
    <row r="163" spans="1:15" ht="18" customHeight="1">
      <c r="A163" s="103" t="s">
        <v>234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235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230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231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233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231</v>
      </c>
      <c r="O189" s="39"/>
    </row>
    <row r="190" spans="1:15" ht="18" customHeight="1">
      <c r="A190" s="103" t="s">
        <v>234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235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230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231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6" t="s">
        <v>233</v>
      </c>
      <c r="B216" s="107"/>
      <c r="C216" s="107"/>
      <c r="D216" s="107"/>
      <c r="E216" s="10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231</v>
      </c>
      <c r="O216" s="45"/>
    </row>
    <row r="217" spans="1:15" ht="18" customHeight="1">
      <c r="A217" s="103" t="s">
        <v>234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235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6" t="s">
        <v>230</v>
      </c>
      <c r="B230" s="107"/>
      <c r="C230" s="107"/>
      <c r="D230" s="107"/>
      <c r="E230" s="10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231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6" t="s">
        <v>233</v>
      </c>
      <c r="B243" s="107"/>
      <c r="C243" s="107"/>
      <c r="D243" s="107"/>
      <c r="E243" s="10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231</v>
      </c>
      <c r="O243" s="39"/>
    </row>
    <row r="244" spans="1:15" ht="18" customHeight="1">
      <c r="A244" s="103" t="s">
        <v>234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235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6" t="s">
        <v>230</v>
      </c>
      <c r="B257" s="107"/>
      <c r="C257" s="107"/>
      <c r="D257" s="107"/>
      <c r="E257" s="10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231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6" t="s">
        <v>233</v>
      </c>
      <c r="B270" s="107"/>
      <c r="C270" s="107"/>
      <c r="D270" s="107"/>
      <c r="E270" s="10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231</v>
      </c>
      <c r="O270" s="39"/>
    </row>
    <row r="271" spans="1:15" ht="18" customHeight="1">
      <c r="A271" s="103" t="s">
        <v>234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235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6" t="s">
        <v>230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231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6" t="s">
        <v>233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231</v>
      </c>
      <c r="O297" s="39"/>
    </row>
    <row r="298" spans="1:15" ht="18" customHeight="1">
      <c r="A298" s="103" t="s">
        <v>234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235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6" t="s">
        <v>230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231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6" t="s">
        <v>233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231</v>
      </c>
      <c r="O324" s="39"/>
    </row>
    <row r="325" spans="1:15" ht="18" customHeight="1">
      <c r="A325" s="103" t="s">
        <v>234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235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6" t="s">
        <v>230</v>
      </c>
      <c r="B338" s="107"/>
      <c r="C338" s="107"/>
      <c r="D338" s="107"/>
      <c r="E338" s="108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231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6" t="s">
        <v>233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231</v>
      </c>
      <c r="O351" s="39"/>
    </row>
    <row r="352" spans="1:15" ht="18" customHeight="1">
      <c r="A352" s="103" t="s">
        <v>234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235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230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231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6" t="s">
        <v>233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231</v>
      </c>
      <c r="O378" s="39"/>
    </row>
    <row r="379" spans="1:15" ht="18" customHeight="1">
      <c r="A379" s="103" t="s">
        <v>234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235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6" t="s">
        <v>230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231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6" t="s">
        <v>233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231</v>
      </c>
      <c r="O405" s="39"/>
    </row>
    <row r="406" spans="1:15" ht="18" customHeight="1">
      <c r="A406" s="103" t="s">
        <v>234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235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6" t="s">
        <v>230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231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6" t="s">
        <v>233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231</v>
      </c>
      <c r="O432" s="39"/>
    </row>
    <row r="433" spans="1:17" ht="18" customHeight="1">
      <c r="A433" s="103" t="s">
        <v>234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235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6" t="s">
        <v>230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231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6" t="s">
        <v>233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231</v>
      </c>
      <c r="O459" s="39"/>
    </row>
    <row r="460" spans="1:15" ht="18" customHeight="1">
      <c r="A460" s="103" t="s">
        <v>234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235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6" t="s">
        <v>230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231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6" t="s">
        <v>233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231</v>
      </c>
      <c r="O486" s="39"/>
    </row>
    <row r="487" spans="1:15" ht="18" customHeight="1">
      <c r="A487" s="103" t="s">
        <v>234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235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6" t="s">
        <v>230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231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6" t="s">
        <v>233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231</v>
      </c>
      <c r="O513" s="39"/>
    </row>
    <row r="514" spans="1:15" ht="18" customHeight="1">
      <c r="A514" s="103" t="s">
        <v>234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235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6" t="s">
        <v>230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231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6" t="s">
        <v>233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231</v>
      </c>
      <c r="O540" s="39"/>
    </row>
    <row r="541" spans="1:15" ht="18" customHeight="1">
      <c r="A541" s="103" t="s">
        <v>234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235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6" t="s">
        <v>230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6" t="s">
        <v>233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3" t="s">
        <v>234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235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6" t="s">
        <v>230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6" t="s">
        <v>233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3" t="s">
        <v>234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235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6" t="s">
        <v>230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6" t="s">
        <v>233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3" t="s">
        <v>234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235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6" t="s">
        <v>230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6" t="s">
        <v>233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3" t="s">
        <v>234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235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6" t="s">
        <v>230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6" t="s">
        <v>233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3" t="s">
        <v>234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235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6" t="s">
        <v>230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6" t="s">
        <v>233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3" t="s">
        <v>234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235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6" t="s">
        <v>230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6" t="s">
        <v>233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3" t="s">
        <v>234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235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6" t="s">
        <v>230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6" t="s">
        <v>233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3" t="s">
        <v>234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235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6" t="s">
        <v>230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6" t="s">
        <v>233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3" t="s">
        <v>234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235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6" t="s">
        <v>230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6" t="s">
        <v>233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3" t="s">
        <v>234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235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6" t="s">
        <v>230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231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6" t="s">
        <v>233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231</v>
      </c>
      <c r="O837" s="39"/>
    </row>
    <row r="838" spans="1:15" ht="18" customHeight="1">
      <c r="A838" s="103" t="s">
        <v>234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235</v>
      </c>
      <c r="O838" s="48">
        <f>IFERROR(O824+O837,"")</f>
        <v>0</v>
      </c>
    </row>
  </sheetData>
  <mergeCells count="92"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2026-08-06T09:20:40Z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