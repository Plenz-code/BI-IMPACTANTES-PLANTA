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92" documentId="8_{C51EB6CB-002B-4D6B-B68F-DDEBDB4460C0}" xr6:coauthVersionLast="47" xr6:coauthVersionMax="47" xr10:uidLastSave="{ED6F46C6-45EC-431E-AF59-0ED6B05EDB28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<sst xmlns="http://schemas.openxmlformats.org/spreadsheetml/2006/main" count="5502" uniqueCount="335">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</sst>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92" sqref="F29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206</v>
      </c>
      <c r="G297" s="36">
        <f>SUM(G285:G296)</f>
        <v>865.2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469</v>
      </c>
      <c r="G298" s="40">
        <f>G284+G297</f>
        <v>2180.1999999999998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60" activePane="bottomLeft" state="frozen"/>
      <selection pane="bottomLeft" activeCell="J285" sqref="J28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0.98819178240228212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1.127080671291171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1.2118028935133933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/>
      <c r="M285" s="35">
        <f t="shared" ref="M285:M296" ca="1" si="64">IFERROR(IF(K285="","",IF(L285="",MOD(NOW()-K285,1),IF(L285&gt;=K285,L285-K285,L285+1-K285))),"")</f>
        <v>6.9178240664768964E-4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93</v>
      </c>
      <c r="G297" s="36">
        <f>SUM(G285:G296)</f>
        <v>431.4</v>
      </c>
      <c r="H297" s="37"/>
      <c r="I297" s="37"/>
      <c r="J297" s="37"/>
      <c r="K297" s="37"/>
      <c r="L297" s="37"/>
      <c r="M297" s="38">
        <f ca="1">IFERROR(SUM(M285:M296),"")</f>
        <v>6.9178240664768964E-4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215</v>
      </c>
      <c r="G298" s="40">
        <f>G284+G297</f>
        <v>920</v>
      </c>
      <c r="H298" s="41"/>
      <c r="I298" s="41"/>
      <c r="J298" s="41"/>
      <c r="K298" s="41"/>
      <c r="L298" s="41"/>
      <c r="M298" s="42">
        <f ca="1">IFERROR(M284+M297,"")</f>
        <v>0.12152511573998109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2" sqref="F29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0.91527511573804077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0.97708067129359633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1.0381917824047076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44</v>
      </c>
      <c r="G297" s="36">
        <f>SUM(G285:G296)</f>
        <v>215.2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139</v>
      </c>
      <c r="G298" s="40">
        <f>G284+G297</f>
        <v>622.20000000000005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9" activePane="bottomLeft" state="frozen"/>
      <selection pane="bottomLeft" activeCell="F292" sqref="F29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102</v>
      </c>
      <c r="G297" s="36">
        <f>SUM(G285:G296)</f>
        <v>488.4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274</v>
      </c>
      <c r="G298" s="40">
        <f>G284+G297</f>
        <v>1210.8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2026-08-12T06:38:05Z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