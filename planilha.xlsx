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37" documentId="13_ncr:1_{A6DBCFB4-28D9-4249-9038-216934055CA6}" xr6:coauthVersionLast="47" xr6:coauthVersionMax="47" xr10:uidLastSave="{14D1DDE5-2A98-47CB-8527-05CD4D23C535}"/>
  <bookViews>
    <workbookView xWindow="-110" yWindow="-110" windowWidth="25820" windowHeight="15500" tabRatio="500" firstSheet="6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73" i="5" l="1"/>
  <c r="J574" i="5"/>
  <c r="J575" i="5"/>
  <c r="J576" i="5"/>
  <c r="J577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<sst xmlns="http://schemas.openxmlformats.org/spreadsheetml/2006/main" count="9857" uniqueCount="423">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</sst>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E34" sqref="E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2640170</v>
      </c>
      <c r="D25" s="26">
        <f>IFERROR('Linha 1'!S595,"")</f>
        <v>175540</v>
      </c>
      <c r="E25" s="26">
        <f>IFERROR('Linha 2'!S595,"")</f>
        <v>631330</v>
      </c>
      <c r="F25" s="26">
        <f>IFERROR('Linha 3'!S595,"")</f>
        <v>759800</v>
      </c>
      <c r="G25" s="27">
        <f t="shared" si="0"/>
        <v>1566670</v>
      </c>
      <c r="H25" s="21">
        <f>IFERROR('Linha 1'!T595+'Linha 2'!T595+'Linha 3'!T595,0)</f>
        <v>329.00069999999994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77741110</v>
      </c>
      <c r="D35" s="30">
        <f t="shared" si="2"/>
        <v>24834990</v>
      </c>
      <c r="E35" s="30">
        <f t="shared" si="2"/>
        <v>14126950</v>
      </c>
      <c r="F35" s="30">
        <f t="shared" si="2"/>
        <v>33428650</v>
      </c>
      <c r="G35" s="30">
        <f t="shared" si="2"/>
        <v>72390590</v>
      </c>
      <c r="H35" s="31">
        <f t="shared" si="2"/>
        <v>6787.4583326915117</v>
      </c>
      <c r="I35" s="31">
        <f t="shared" si="2"/>
        <v>4967.05</v>
      </c>
      <c r="J35" s="32">
        <f>I35/H35</f>
        <v>0.73179823087479001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9" activePane="bottomLeft" state="frozen"/>
      <selection pane="bottomLeft" activeCell="F584" sqref="F584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215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301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262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260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260</v>
      </c>
      <c r="F583" s="63">
        <v>40</v>
      </c>
      <c r="G583" s="69">
        <f t="shared" si="125"/>
        <v>200</v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260</v>
      </c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260</v>
      </c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260</v>
      </c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260</v>
      </c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/>
      <c r="E588" s="62" t="s">
        <v>260</v>
      </c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/>
      <c r="E589" s="62" t="s">
        <v>260</v>
      </c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/>
      <c r="E590" s="62" t="s">
        <v>260</v>
      </c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/>
      <c r="E591" s="62" t="s">
        <v>260</v>
      </c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/>
      <c r="E592" s="62" t="s">
        <v>260</v>
      </c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/>
      <c r="E593" s="62" t="s">
        <v>260</v>
      </c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90</v>
      </c>
      <c r="G594" s="2">
        <f>SUM(G582:G593)</f>
        <v>450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468</v>
      </c>
      <c r="G595" s="1">
        <f>G581+G594</f>
        <v>2340</v>
      </c>
      <c r="H595" s="76"/>
      <c r="I595" s="76"/>
      <c r="J595" s="76"/>
      <c r="K595" s="76"/>
      <c r="L595" s="76"/>
      <c r="M595" s="77">
        <f ca="1">IFERROR(M581+M594,"")</f>
        <v>7.7083333333333282E-2</v>
      </c>
      <c r="N595" s="1" t="s">
        <v>265</v>
      </c>
      <c r="O595" s="82">
        <f>IFERROR(O581+O594,"")</f>
        <v>2640170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73" activePane="bottomLeft" state="frozen"/>
      <selection pane="bottomLeft" activeCell="K587" sqref="K587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304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305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306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307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308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309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310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311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0.78169236110989004</v>
      </c>
      <c r="R53" s="80" t="s">
        <v>312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0.92058124999877777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1.0053034722210006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304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313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314</v>
      </c>
      <c r="Q96" s="66" t="str">
        <f t="shared" ref="Q96:Q107" ca="1" si="22">IFERROR(IF(O96="","",IF(P96="",MOD(NOW()-O96,1),IF(P96&gt;=O96,P96-O96,P96+1-O96))),"")</f>
        <v/>
      </c>
      <c r="R96" s="80" t="s">
        <v>315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316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317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318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319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320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321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323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324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325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318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313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327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328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329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330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331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332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333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325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320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313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334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335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336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337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338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339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340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341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342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343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320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344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345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346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262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16.8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33.6</v>
      </c>
      <c r="L594" s="72"/>
      <c r="M594" s="72"/>
      <c r="N594" s="72"/>
      <c r="O594" s="72"/>
      <c r="P594" s="72"/>
      <c r="Q594" s="73">
        <f ca="1">IFERROR(SUM(Q582:Q593),"")</f>
        <v>7.2222222222222299E-2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57</v>
      </c>
      <c r="H595" s="108">
        <f>IFERROR(H581+H594,"")</f>
        <v>175.53999999999996</v>
      </c>
      <c r="I595" s="110"/>
      <c r="J595" s="111">
        <f>IFERROR(J581+J594,"")</f>
        <v>36.863399999999999</v>
      </c>
      <c r="K595" s="1">
        <f>K581+K594</f>
        <v>239.4</v>
      </c>
      <c r="L595" s="76"/>
      <c r="M595" s="76"/>
      <c r="N595" s="76"/>
      <c r="O595" s="76"/>
      <c r="P595" s="76"/>
      <c r="Q595" s="77">
        <f ca="1">IFERROR(Q581+Q594,"")</f>
        <v>0.47638888888888892</v>
      </c>
      <c r="R595" s="1" t="s">
        <v>265</v>
      </c>
      <c r="S595" s="82">
        <f>IFERROR(S581+S594,"")</f>
        <v>175540</v>
      </c>
      <c r="T595" s="118">
        <f>IFERROR(J595,"")</f>
        <v>36.863399999999999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75" activePane="bottomLeft" state="frozen"/>
      <selection pane="bottomLeft" activeCell="P583" sqref="P58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307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313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321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313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324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331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332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313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335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313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313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313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313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262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0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47"/>
        <v>0</v>
      </c>
      <c r="K583" s="69">
        <f t="shared" si="148"/>
        <v>21</v>
      </c>
      <c r="L583" s="70" t="s">
        <v>29</v>
      </c>
      <c r="M583" s="70" t="s">
        <v>136</v>
      </c>
      <c r="N583" s="70" t="s">
        <v>123</v>
      </c>
      <c r="O583" s="65">
        <v>0.82638888888888884</v>
      </c>
      <c r="P583" s="65"/>
      <c r="Q583" s="71">
        <f t="shared" ca="1" si="149"/>
        <v>7.6831250000395812E-2</v>
      </c>
      <c r="R583" s="63" t="s">
        <v>370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275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/>
      <c r="F588" s="88">
        <f>IFERROR(IF($D588="","",VLOOKUP($D588,Cadastro!$C$4:$E$7,3,FALSE())),"")</f>
        <v>0.35</v>
      </c>
      <c r="G588" s="89"/>
      <c r="H588" s="88" t="str">
        <f>IFERROR(IF($G588="","",$G588*$S$594/$G$594/Cadastro!$E$33),"")</f>
        <v/>
      </c>
      <c r="I588" s="90">
        <f>IFERROR(IF($D588="","",VLOOKUP($D588,Cadastro!$C$4:$G$7,5,FALSE())),"")</f>
        <v>0.6</v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/>
      <c r="F589" s="88">
        <f>IFERROR(IF($D589="","",VLOOKUP($D589,Cadastro!$C$4:$E$7,3,FALSE())),"")</f>
        <v>0.35</v>
      </c>
      <c r="G589" s="89"/>
      <c r="H589" s="88" t="str">
        <f>IFERROR(IF($G589="","",$G589*$S$594/$G$594/Cadastro!$E$33),"")</f>
        <v/>
      </c>
      <c r="I589" s="90">
        <f>IFERROR(IF($D589="","",VLOOKUP($D589,Cadastro!$C$4:$G$7,5,FALSE())),"")</f>
        <v>0.6</v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/>
      <c r="F590" s="88">
        <f>IFERROR(IF($D590="","",VLOOKUP($D590,Cadastro!$C$4:$E$7,3,FALSE())),"")</f>
        <v>0.35</v>
      </c>
      <c r="G590" s="89"/>
      <c r="H590" s="88" t="str">
        <f>IFERROR(IF($G590="","",$G590*$S$594/$G$594/Cadastro!$E$33),"")</f>
        <v/>
      </c>
      <c r="I590" s="90">
        <f>IFERROR(IF($D590="","",VLOOKUP($D590,Cadastro!$C$4:$G$7,5,FALSE())),"")</f>
        <v>0.6</v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/>
      <c r="F591" s="88">
        <f>IFERROR(IF($D591="","",VLOOKUP($D591,Cadastro!$C$4:$E$7,3,FALSE())),"")</f>
        <v>0.35</v>
      </c>
      <c r="G591" s="89"/>
      <c r="H591" s="88" t="str">
        <f>IFERROR(IF($G591="","",$G591*$S$594/$G$594/Cadastro!$E$33),"")</f>
        <v/>
      </c>
      <c r="I591" s="90">
        <f>IFERROR(IF($D591="","",VLOOKUP($D591,Cadastro!$C$4:$G$7,5,FALSE())),"")</f>
        <v>0.6</v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/>
      <c r="F592" s="88">
        <f>IFERROR(IF($D592="","",VLOOKUP($D592,Cadastro!$C$4:$E$7,3,FALSE())),"")</f>
        <v>0.35</v>
      </c>
      <c r="G592" s="89"/>
      <c r="H592" s="88" t="str">
        <f>IFERROR(IF($G592="","",$G592*$S$594/$G$594/Cadastro!$E$33),"")</f>
        <v/>
      </c>
      <c r="I592" s="90">
        <f>IFERROR(IF($D592="","",VLOOKUP($D592,Cadastro!$C$4:$G$7,5,FALSE())),"")</f>
        <v>0.6</v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/>
      <c r="F593" s="92">
        <f>IFERROR(IF($D593="","",VLOOKUP($D593,Cadastro!$C$4:$E$7,3,FALSE())),"")</f>
        <v>0.35</v>
      </c>
      <c r="G593" s="89"/>
      <c r="H593" s="92" t="str">
        <f>IFERROR(IF($G593="","",$G593*$S$594/$G$594/Cadastro!$E$33),"")</f>
        <v/>
      </c>
      <c r="I593" s="93">
        <f>IFERROR(IF($D593="","",VLOOKUP($D593,Cadastro!$C$4:$G$7,5,FALSE())),"")</f>
        <v>0.6</v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9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37.799999999999997</v>
      </c>
      <c r="L594" s="72"/>
      <c r="M594" s="72"/>
      <c r="N594" s="72"/>
      <c r="O594" s="72"/>
      <c r="P594" s="72"/>
      <c r="Q594" s="73">
        <f ca="1">IFERROR(SUM(Q582:Q593),"")</f>
        <v>9.0025694444840321E-2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172</v>
      </c>
      <c r="H595" s="108">
        <f>IFERROR(H581+H594,"")</f>
        <v>631.32999999999993</v>
      </c>
      <c r="I595" s="110"/>
      <c r="J595" s="111">
        <f>IFERROR(J581+J594,"")</f>
        <v>132.57929999999996</v>
      </c>
      <c r="K595" s="1">
        <f>K581+K594</f>
        <v>731.2</v>
      </c>
      <c r="L595" s="76"/>
      <c r="M595" s="76"/>
      <c r="N595" s="76"/>
      <c r="O595" s="76"/>
      <c r="P595" s="76"/>
      <c r="Q595" s="77">
        <f ca="1">IFERROR(Q581+Q594,"")</f>
        <v>0.24627569444484032</v>
      </c>
      <c r="R595" s="1" t="s">
        <v>265</v>
      </c>
      <c r="S595" s="82">
        <f>IFERROR(S581+S594,"")</f>
        <v>631330</v>
      </c>
      <c r="T595" s="118">
        <f>IFERROR(J595,"")</f>
        <v>132.57929999999996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74" activePane="bottomLeft" state="frozen"/>
      <selection pane="bottomLeft" activeCell="R585" sqref="R585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302</v>
      </c>
      <c r="I1" s="86" t="s">
        <v>22</v>
      </c>
      <c r="J1" s="86" t="s">
        <v>303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303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310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313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321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335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168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262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275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0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0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275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0</v>
      </c>
      <c r="I583" s="90">
        <f>IFERROR(IF($D583="","",VLOOKUP($D583,Cadastro!$C$4:$G$7,5,FALSE())),"")</f>
        <v>0.6</v>
      </c>
      <c r="J583" s="91">
        <f t="shared" si="150"/>
        <v>0</v>
      </c>
      <c r="K583" s="69">
        <f t="shared" si="151"/>
        <v>50.400000000000006</v>
      </c>
      <c r="L583" s="70" t="s">
        <v>29</v>
      </c>
      <c r="M583" s="70" t="s">
        <v>173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275</v>
      </c>
      <c r="F584" s="88">
        <f>IFERROR(IF($D584="","",VLOOKUP($D584,Cadastro!$C$4:$E$7,3,FALSE())),"")</f>
        <v>0.35</v>
      </c>
      <c r="G584" s="89"/>
      <c r="H584" s="88" t="str">
        <f>IFERROR(IF($G584="","",$G584*$S$594/$G$594/Cadastro!$E$33),"")</f>
        <v/>
      </c>
      <c r="I584" s="90">
        <f>IFERROR(IF($D584="","",VLOOKUP($D584,Cadastro!$C$4:$G$7,5,FALSE())),"")</f>
        <v>0.6</v>
      </c>
      <c r="J584" s="91" t="str">
        <f t="shared" si="150"/>
        <v/>
      </c>
      <c r="K584" s="64" t="str">
        <f t="shared" si="151"/>
        <v/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422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275</v>
      </c>
      <c r="F585" s="88">
        <f>IFERROR(IF($D585="","",VLOOKUP($D585,Cadastro!$C$4:$E$7,3,FALSE())),"")</f>
        <v>0.35</v>
      </c>
      <c r="G585" s="89"/>
      <c r="H585" s="88" t="str">
        <f>IFERROR(IF($G585="","",$G585*$S$594/$G$594/Cadastro!$E$33),"")</f>
        <v/>
      </c>
      <c r="I585" s="90">
        <f>IFERROR(IF($D585="","",VLOOKUP($D585,Cadastro!$C$4:$G$7,5,FALSE())),"")</f>
        <v>0.6</v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275</v>
      </c>
      <c r="F586" s="88">
        <f>IFERROR(IF($D586="","",VLOOKUP($D586,Cadastro!$C$4:$E$7,3,FALSE())),"")</f>
        <v>0.35</v>
      </c>
      <c r="G586" s="89"/>
      <c r="H586" s="88" t="str">
        <f>IFERROR(IF($G586="","",$G586*$S$594/$G$594/Cadastro!$E$33),"")</f>
        <v/>
      </c>
      <c r="I586" s="90">
        <f>IFERROR(IF($D586="","",VLOOKUP($D586,Cadastro!$C$4:$G$7,5,FALSE())),"")</f>
        <v>0.6</v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/>
      <c r="E587" s="87" t="s">
        <v>275</v>
      </c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/>
      <c r="E588" s="87" t="s">
        <v>275</v>
      </c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/>
      <c r="E589" s="87" t="s">
        <v>275</v>
      </c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/>
      <c r="E590" s="87" t="s">
        <v>275</v>
      </c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/>
      <c r="E591" s="87" t="s">
        <v>275</v>
      </c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/>
      <c r="E592" s="87" t="s">
        <v>275</v>
      </c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/>
      <c r="E593" s="87" t="s">
        <v>275</v>
      </c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28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117.60000000000001</v>
      </c>
      <c r="L594" s="72"/>
      <c r="M594" s="72"/>
      <c r="N594" s="72"/>
      <c r="O594" s="134"/>
      <c r="P594" s="134"/>
      <c r="Q594" s="73">
        <f ca="1">IFERROR(SUM(Q582:Q593),"")</f>
        <v>4.2361111111111072E-2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230</v>
      </c>
      <c r="H595" s="108">
        <f>IFERROR(H581+H594,"")</f>
        <v>759.8</v>
      </c>
      <c r="I595" s="110"/>
      <c r="J595" s="111">
        <f>IFERROR(J581+J594,"")</f>
        <v>159.55799999999996</v>
      </c>
      <c r="K595" s="1">
        <f>K581+K594</f>
        <v>982.00000000000011</v>
      </c>
      <c r="L595" s="76"/>
      <c r="M595" s="76"/>
      <c r="N595" s="76"/>
      <c r="O595" s="135"/>
      <c r="P595" s="135"/>
      <c r="Q595" s="77">
        <f ca="1">IFERROR(Q581+Q594,"")</f>
        <v>0.17638888888888893</v>
      </c>
      <c r="R595" s="1" t="s">
        <v>265</v>
      </c>
      <c r="S595" s="82">
        <f>IFERROR(S581+S594,"")</f>
        <v>759800</v>
      </c>
      <c r="T595" s="118">
        <f>IFERROR(J595,"")</f>
        <v>159.55799999999996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2026-08-23T01:41:09Z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