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62" documentId="8_{AF585B22-221D-4780-BB9C-493D365A6A02}" xr6:coauthVersionLast="47" xr6:coauthVersionMax="47" xr10:uidLastSave="{72D26FF6-5141-43A3-893D-CB0591DB0753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7" i="3" l="1"/>
  <c r="G18" i="3"/>
  <c r="G19" i="3"/>
  <c r="G20" i="3"/>
  <c r="G21" i="3"/>
  <c r="G22" i="3"/>
  <c r="G23" i="3"/>
  <c r="G24" i="3"/>
  <c r="G25" i="3"/>
  <c r="G26" i="3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<sst xmlns="http://schemas.openxmlformats.org/spreadsheetml/2006/main" count="1308" uniqueCount="211">
  <si>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</si>
  <si>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</si>
  <si>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</si>
  <si>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</si>
  <si>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</si>
  <si>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</si>
  <si>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</si>
  <si>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</si>
  <si>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</si>
  <si>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</si>
  <si>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</si>
  <si>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</si>
  <si>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</si>
  <si>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</si>
  <si>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</si>
  <si>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</si>
  <si>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</si>
  <si>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</si>
  <si>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</si>
  <si>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</si>
  <si>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</si>
  <si>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</si>
  <si>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</si>
  <si>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</si>
  <si>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</si>
  <si>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</si>
  <si>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</si>
  <si>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</si>
  <si>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</si>
  <si>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</si>
  <si>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</si>
  <si>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</si>
  <si>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</si>
  <si>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</si>
  <si>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</si>
  <si>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</si>
  <si>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</si>
  <si>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</si>
  <si>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</si>
  <si>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</si>
  <si>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</si>
  <si>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</si>
  <si>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</si>
  <si>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</si>
  <si>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</si>
  <si>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</si>
  <si>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</si>
  <si>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</si>
  <si>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</si>
  <si>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</si>
  <si>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</si>
  <si>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</si>
  <si>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</si>
  <si>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</si>
  <si>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</si>
  <si>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</si>
  <si>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</si>
  <si>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</si>
  <si>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</si>
  <si>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</si>
  <si>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</si>
  <si>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</si>
  <si>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</si>
  <si>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</si>
  <si>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</si>
  <si>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</si>
  <si>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</si>
  <si>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</si>
  <si>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</si>
  <si>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</si>
  <si>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</si>
  <si>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</si>
  <si>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</si>
  <si>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</si>
  <si>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</si>
  <si>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</si>
  <si>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</si>
  <si>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</si>
  <si>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</si>
  <si>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</si>
  <si>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</si>
  <si>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</si>
  <si>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</si>
  <si>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</si>
  <si>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</si>
  <si>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</si>
  <si>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</si>
  <si>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</si>
  <si>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</si>
  <si>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</si>
  <si>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</si>
  <si>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</si>
  <si>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</si>
  <si>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</si>
  <si>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</si>
  <si>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</si>
  <si>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</si>
  <si>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</si>
  <si>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</si>
  <si>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</si>
  <si>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</si>
  <si>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</si>
  <si>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</si>
  <si>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</si>
  <si>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</si>
  <si>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</si>
  <si>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</si>
  <si>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</si>
  <si>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</si>
  <si>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</si>
  <si>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</si>
  <si>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</si>
  <si>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</si>
  <si>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</si>
  <si>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</si>
  <si>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</si>
  <si>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</si>
  <si>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</si>
  <si>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</si>
  <si>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</si>
  <si>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</si>
  <si>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</si>
  <si>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</si>
  <si>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</si>
  <si>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</si>
  <si>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</si>
  <si>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</si>
  <si>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</si>
  <si>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</si>
  <si>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</si>
  <si>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</si>
  <si>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</si>
  <si>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</si>
  <si>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</si>
  <si>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</si>
  <si>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</si>
  <si>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</si>
  <si>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</si>
  <si>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</si>
  <si>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</si>
  <si>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</si>
  <si>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</si>
  <si>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</si>
  <si>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</si>
  <si>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</si>
  <si>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</si>
  <si>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</si>
  <si>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</si>
  <si>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</si>
  <si>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</si>
  <si>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</si>
  <si>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</si>
  <si>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</si>
  <si>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</si>
  <si>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</si>
  <si>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</si>
  <si>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</si>
  <si>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</si>
  <si>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</si>
  <si>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</si>
  <si>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</si>
  <si>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</si>
  <si>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</si>
  <si>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</si>
  <si>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</si>
  <si>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</si>
  <si>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</si>
  <si>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</si>
  <si>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</si>
  <si>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</si>
  <si>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</si>
  <si>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</si>
  <si>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</si>
  <si>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</si>
  <si>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</si>
  <si>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</si>
  <si>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</si>
  <si>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</si>
  <si>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</si>
  <si>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</si>
  <si>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</si>
  <si>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</si>
  <si>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</si>
  <si>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</si>
  <si>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</si>
  <si>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</si>
  <si>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</si>
  <si>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</si>
  <si>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</si>
  <si>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</si>
  <si>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</si>
  <si>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</si>
  <si>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PC 20</t>
  </si>
  <si>
    <t>PC 21</t>
  </si>
  <si>
    <t>PC 22</t>
  </si>
  <si>
    <t>PC 23</t>
  </si>
  <si>
    <t>PC 24</t>
  </si>
  <si>
    <t>PC 25</t>
  </si>
  <si>
    <t>PC 26</t>
  </si>
  <si>
    <t>PC 27</t>
  </si>
  <si>
    <t>PC 28</t>
  </si>
  <si>
    <t>PC 29</t>
  </si>
  <si>
    <t>PC 30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</si>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</sst>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192</v>
      </c>
      <c r="F16" s="27"/>
      <c r="G16" s="28"/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203</v>
      </c>
      <c r="B27" s="78"/>
      <c r="C27" s="78"/>
      <c r="D27" s="78"/>
      <c r="E27" s="79"/>
      <c r="F27" s="36">
        <f>SUM(F15:F26)</f>
        <v>12</v>
      </c>
      <c r="G27" s="36">
        <f>SUM(G15:G26)</f>
        <v>60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204</v>
      </c>
      <c r="B28" s="81"/>
      <c r="C28" s="81"/>
      <c r="D28" s="81"/>
      <c r="E28" s="82"/>
      <c r="F28" s="40">
        <f>F14+F27</f>
        <v>284</v>
      </c>
      <c r="G28" s="40">
        <f>G14+G27</f>
        <v>1420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205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203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204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205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203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204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205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203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204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205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203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204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205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203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204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203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204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203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204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203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204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203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204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203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204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203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204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203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204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203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204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203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204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203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204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203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204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203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204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203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204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203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204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203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204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203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204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203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204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203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204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203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204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203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204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203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204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203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204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203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204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203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204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17</v>
      </c>
      <c r="G15" s="34">
        <f t="shared" ref="G15:G26" si="3">IF(F15="","",IF(E15="PC 17",F15*4.2,IF(E15="PC 19",F15*5,"")))</f>
        <v>71.400000000000006</v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203</v>
      </c>
      <c r="B27" s="78"/>
      <c r="C27" s="78"/>
      <c r="D27" s="78"/>
      <c r="E27" s="79"/>
      <c r="F27" s="36">
        <f>SUM(F15:F26)</f>
        <v>17</v>
      </c>
      <c r="G27" s="36">
        <f>SUM(G15:G26)</f>
        <v>71.400000000000006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204</v>
      </c>
      <c r="B28" s="81"/>
      <c r="C28" s="81"/>
      <c r="D28" s="81"/>
      <c r="E28" s="82"/>
      <c r="F28" s="40">
        <f>F14+F27</f>
        <v>165</v>
      </c>
      <c r="G28" s="40">
        <f>G14+G27</f>
        <v>693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205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203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204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205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203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204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205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203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204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205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203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204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205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203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204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203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204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203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204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203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204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203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204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203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204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203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204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203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204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203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204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203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204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203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204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203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204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203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204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203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204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203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204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203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204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203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204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203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204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203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204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203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204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203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204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203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204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203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204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203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204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203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204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E26" sqref="E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203</v>
      </c>
      <c r="B27" s="78"/>
      <c r="C27" s="78"/>
      <c r="D27" s="78"/>
      <c r="E27" s="79"/>
      <c r="F27" s="36">
        <f>SUM(F15:F26)</f>
        <v>10</v>
      </c>
      <c r="G27" s="36">
        <f>SUM(G15:G26)</f>
        <v>42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204</v>
      </c>
      <c r="B28" s="81"/>
      <c r="C28" s="81"/>
      <c r="D28" s="81"/>
      <c r="E28" s="82"/>
      <c r="F28" s="40">
        <f>F14+F27</f>
        <v>69</v>
      </c>
      <c r="G28" s="40">
        <f>G14+G27</f>
        <v>289.8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205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203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204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205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203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204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205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203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204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205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203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204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205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203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204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203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204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203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204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203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204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203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204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203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204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203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204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203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204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203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204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203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204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203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204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203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204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203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204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203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204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203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204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203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204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203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204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203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204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203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204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203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204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203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204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203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204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203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204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203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204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203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204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9" activePane="bottomLeft" state="frozen"/>
      <selection pane="bottomLeft" activeCell="E26" sqref="E2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/>
      <c r="M15" s="35">
        <f t="shared" ref="M15:M26" ca="1" si="4">IFERROR(IF(K15="","",IF(L15="",MOD(NOW()-K15,1),IF(L15&gt;=K15,L15-K15,L15+1-K15))),"")</f>
        <v>4.5796064812748227E-2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203</v>
      </c>
      <c r="B27" s="78"/>
      <c r="C27" s="78"/>
      <c r="D27" s="78"/>
      <c r="E27" s="79"/>
      <c r="F27" s="36">
        <f>SUM(F15:F26)</f>
        <v>5</v>
      </c>
      <c r="G27" s="36">
        <f>SUM(G15:G26)</f>
        <v>21</v>
      </c>
      <c r="H27" s="37"/>
      <c r="I27" s="37"/>
      <c r="J27" s="37"/>
      <c r="K27" s="61"/>
      <c r="L27" s="61"/>
      <c r="M27" s="38">
        <f ca="1">IFERROR(SUM(M15:M26),"")</f>
        <v>4.5796064812748227E-2</v>
      </c>
      <c r="N27" s="36" t="s">
        <v>191</v>
      </c>
      <c r="O27" s="39"/>
    </row>
    <row r="28" spans="1:15" ht="18" customHeight="1">
      <c r="A28" s="80" t="s">
        <v>204</v>
      </c>
      <c r="B28" s="81"/>
      <c r="C28" s="81"/>
      <c r="D28" s="81"/>
      <c r="E28" s="82"/>
      <c r="F28" s="40">
        <f>F14+F27</f>
        <v>69</v>
      </c>
      <c r="G28" s="40">
        <f>G14+G27</f>
        <v>289.79999999999995</v>
      </c>
      <c r="H28" s="41"/>
      <c r="I28" s="41"/>
      <c r="J28" s="41"/>
      <c r="K28" s="63"/>
      <c r="L28" s="63"/>
      <c r="M28" s="42">
        <f ca="1">IFERROR(M14+M27,"")</f>
        <v>0.2666293981460815</v>
      </c>
      <c r="N28" s="40" t="s">
        <v>205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203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204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205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203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204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205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203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204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205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203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204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205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203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204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203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204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203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204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203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204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203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204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203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204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203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204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203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204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203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204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203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204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203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204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203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204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203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204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203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204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203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204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203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204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203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204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203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204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203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204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203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204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203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204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203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204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203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204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203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204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203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204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2026-07-02T01:02:00Z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