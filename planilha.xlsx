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862" documentId="8_{AF585B22-221D-4780-BB9C-493D365A6A02}" xr6:coauthVersionLast="47" xr6:coauthVersionMax="47" xr10:uidLastSave="{A8B6530A-4D55-45E2-9E30-ED147CA9E517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<sst xmlns="http://schemas.openxmlformats.org/spreadsheetml/2006/main" count="10973" uniqueCount="409">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</sst>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01" activePane="bottomLeft" state="frozen"/>
      <selection pane="bottomLeft" activeCell="F727" sqref="F7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30</v>
      </c>
      <c r="G726" s="28">
        <f t="shared" si="159"/>
        <v>150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197</v>
      </c>
      <c r="G729" s="36">
        <f>SUM(G717:G728)</f>
        <v>961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500</v>
      </c>
      <c r="G730" s="40">
        <f>G716+G729</f>
        <v>2476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7" activePane="bottomLeft" state="frozen"/>
      <selection pane="bottomLeft" activeCell="F727" sqref="F7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0.97562627314619021</v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1.1332651620350791</v>
      </c>
      <c r="N378" s="36" t="s">
        <v>234</v>
      </c>
      <c r="O378" s="77">
        <v>511980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1.2429873842573014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0.95409849537099944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1.1249318287043328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1.2700707175932218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>
        <v>12</v>
      </c>
      <c r="G726" s="28">
        <f t="shared" si="159"/>
        <v>50.400000000000006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142</v>
      </c>
      <c r="G729" s="36">
        <f>SUM(G717:G728)</f>
        <v>615.6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259</v>
      </c>
      <c r="G730" s="40">
        <f>G716+G729</f>
        <v>1107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F727" sqref="F7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6</v>
      </c>
      <c r="G726" s="28">
        <f t="shared" si="159"/>
        <v>25.200000000000003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33</v>
      </c>
      <c r="G729" s="36">
        <f>SUM(G717:G728)</f>
        <v>143.4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109</v>
      </c>
      <c r="G730" s="40">
        <f>G716+G729</f>
        <v>462.6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F727" sqref="F72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0.96590405092865694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1.1652096064842126</v>
      </c>
      <c r="N135" s="36" t="s">
        <v>234</v>
      </c>
      <c r="O135" s="39">
        <v>729290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1.5325707175953236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233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/>
      <c r="I723" s="33" t="s">
        <v>52</v>
      </c>
      <c r="J723" s="33"/>
      <c r="K723" s="29">
        <v>0.2013888888888889</v>
      </c>
      <c r="L723" s="29"/>
      <c r="M723" s="35">
        <f t="shared" ca="1" si="160"/>
        <v>1.3820717591443099E-2</v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11</v>
      </c>
      <c r="G726" s="28">
        <f t="shared" si="159"/>
        <v>46.2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157</v>
      </c>
      <c r="G729" s="36">
        <f>SUM(G717:G728)</f>
        <v>685</v>
      </c>
      <c r="H729" s="37"/>
      <c r="I729" s="37"/>
      <c r="J729" s="37"/>
      <c r="K729" s="61"/>
      <c r="L729" s="61"/>
      <c r="M729" s="38">
        <f ca="1">IFERROR(SUM(M717:M728),"")</f>
        <v>7.284849536922075E-2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289</v>
      </c>
      <c r="G730" s="40">
        <f>G716+G729</f>
        <v>1239.4000000000001</v>
      </c>
      <c r="H730" s="41"/>
      <c r="I730" s="41"/>
      <c r="J730" s="41"/>
      <c r="K730" s="63"/>
      <c r="L730" s="63"/>
      <c r="M730" s="42">
        <f ca="1">IFERROR(M716+M729,"")</f>
        <v>0.27909849536922071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2026-07-28T09:10:14Z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