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19" documentId="8_{C51EB6CB-002B-4D6B-B68F-DDEBDB4460C0}" xr6:coauthVersionLast="47" xr6:coauthVersionMax="47" xr10:uidLastSave="{A36240C2-4EE7-43D8-8343-DFA247BF25CA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<sst xmlns="http://schemas.openxmlformats.org/spreadsheetml/2006/main" count="5505" uniqueCount="335">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</sst>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571950</v>
      </c>
      <c r="E14" s="8">
        <f>IFERROR('Linha 2'!O298,"")</f>
        <v>373120</v>
      </c>
      <c r="F14" s="8">
        <f>IFERROR('Linha 3'!O298,"")</f>
        <v>762600</v>
      </c>
      <c r="G14" s="9">
        <f t="shared" si="0"/>
        <v>1707670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37430140</v>
      </c>
      <c r="D35" s="13">
        <f>IFERROR(SUM(D4:D34),"")</f>
        <v>11855370</v>
      </c>
      <c r="E35" s="13">
        <f>IFERROR(SUM(E4:E34),"")</f>
        <v>5810400</v>
      </c>
      <c r="F35" s="13">
        <f>IFERROR(SUM(F4:F34),"")</f>
        <v>14648740</v>
      </c>
      <c r="G35" s="13">
        <f>IFERROR(SUM(G4:G34),"")</f>
        <v>32314510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60" activePane="bottomLeft" state="frozen"/>
      <selection pane="bottomLeft" activeCell="O298" sqref="O298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61" activePane="bottomLeft" state="frozen"/>
      <selection pane="bottomLeft" activeCell="F297" sqref="F29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0.16639918980945367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0.30528807869834257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0.39001030092056488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571950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9" zoomScale="68" zoomScaleNormal="68" workbookViewId="0">
      <selection activeCell="F297" sqref="F29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9.3482523145212326E-2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0.15528807870076788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0.21639918981187906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373120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59" activePane="bottomLeft" state="frozen"/>
      <selection pane="bottomLeft" activeCell="F297" sqref="F297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334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2026-08-12T10:55:09Z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