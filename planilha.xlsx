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634" documentId="8_{C51EB6CB-002B-4D6B-B68F-DDEBDB4460C0}" xr6:coauthVersionLast="47" xr6:coauthVersionMax="47" xr10:uidLastSave="{5D1761E6-D695-4F2B-8446-790DFB75FDB7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<sst xmlns="http://schemas.openxmlformats.org/spreadsheetml/2006/main" count="3906" uniqueCount="298">
  <si>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</si>
  <si>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</si>
  <si>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</si>
  <si>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</si>
  <si>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</si>
  <si>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</si>
  <si>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</si>
  <si>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</si>
  <si>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</si>
  <si>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</si>
  <si>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</si>
  <si>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</si>
  <si>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</si>
  <si>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</si>
  <si>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</si>
  <si>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</si>
  <si>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</si>
  <si>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</si>
  <si>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</si>
  <si>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</si>
  <si>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</si>
  <si>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</si>
  <si>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</si>
  <si>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</si>
  <si>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</si>
  <si>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</si>
  <si>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</si>
  <si>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</si>
  <si>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</si>
  <si>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</si>
  <si>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</si>
  <si>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</si>
  <si>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</si>
  <si>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</si>
  <si>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</si>
  <si>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</si>
  <si>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</si>
  <si>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</si>
  <si>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</si>
  <si>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</si>
  <si>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</si>
  <si>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</si>
  <si>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</si>
  <si>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</si>
  <si>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</si>
  <si>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</si>
  <si>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</si>
  <si>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</si>
  <si>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</si>
  <si>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</si>
  <si>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</si>
  <si>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</si>
  <si>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</si>
  <si>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</si>
  <si>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</si>
  <si>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</si>
  <si>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</si>
  <si>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</si>
  <si>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</si>
  <si>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</si>
  <si>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</si>
  <si>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</si>
  <si>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</si>
  <si>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</si>
  <si>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</si>
  <si>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</si>
  <si>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</si>
  <si>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</si>
  <si>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</si>
  <si>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</si>
  <si>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</si>
  <si>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</si>
  <si>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</si>
  <si>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</si>
  <si>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</si>
  <si>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</si>
  <si>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</si>
  <si>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</si>
  <si>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</si>
  <si>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</si>
  <si>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</si>
  <si>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</si>
  <si>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</si>
  <si>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</si>
  <si>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</si>
  <si>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</si>
  <si>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</si>
  <si>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</si>
  <si>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</si>
  <si>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</si>
  <si>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</si>
  <si>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</si>
  <si>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</si>
  <si>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</si>
  <si>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</si>
  <si>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</si>
  <si>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</si>
  <si>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</si>
  <si>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</si>
  <si>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</si>
  <si>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</si>
  <si>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</si>
  <si>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</si>
  <si>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</si>
  <si>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</si>
  <si>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</si>
  <si>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</si>
  <si>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</si>
  <si>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</si>
  <si>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</si>
  <si>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</si>
  <si>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</si>
  <si>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</si>
  <si>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</si>
  <si>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</si>
  <si>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</si>
  <si>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</si>
  <si>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</si>
  <si>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</si>
  <si>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</si>
  <si>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</si>
  <si>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</si>
  <si>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</si>
  <si>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</si>
  <si>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</si>
  <si>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</si>
  <si>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</si>
  <si>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</si>
  <si>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</si>
  <si>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</si>
  <si>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</si>
  <si>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</si>
  <si>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</si>
  <si>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</si>
  <si>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</si>
  <si>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</si>
  <si>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</si>
  <si>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</si>
  <si>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</si>
  <si>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</si>
  <si>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</si>
  <si>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</si>
  <si>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</si>
  <si>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</si>
  <si>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</si>
  <si>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</si>
  <si>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</si>
  <si>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</si>
  <si>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</si>
  <si>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</si>
  <si>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</si>
  <si>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</si>
  <si>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</si>
  <si>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</si>
  <si>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</si>
  <si>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</si>
  <si>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</si>
  <si>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</si>
  <si>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</si>
  <si>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</si>
  <si>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</si>
  <si>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</si>
  <si>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</si>
  <si>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</si>
  <si>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</si>
  <si>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</si>
  <si>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</si>
  <si>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</si>
  <si>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</si>
  <si>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</si>
  <si>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</si>
  <si>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</si>
  <si>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</si>
  <si>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</si>
  <si>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</si>
  <si>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</si>
  <si>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</si>
  <si>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</si>
  <si>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</si>
  <si>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</si>
  <si>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</si>
  <si>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</si>
  <si>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</si>
  <si>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</si>
  <si>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</si>
  <si>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</si>
  <si>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</si>
  <si>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</si>
  <si>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</si>
  <si>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</si>
  <si>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</si>
  <si>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</si>
  <si>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</si>
  <si>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</si>
  <si>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</si>
  <si>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</si>
  <si>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</si>
  <si>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</si>
  <si>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</si>
  <si>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</si>
  <si>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</si>
  <si>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</si>
  <si>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</si>
  <si>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</si>
  <si>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</si>
  <si>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</si>
  <si>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</si>
  <si>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</si>
  <si>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</si>
  <si>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</si>
  <si>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</si>
  <si>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</si>
  <si>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</si>
  <si>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</si>
  <si>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</si>
  <si>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</si>
  <si>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</si>
  <si>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</si>
  <si>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</si>
  <si>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</si>
  <si>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</si>
  <si>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</si>
  <si>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</si>
  <si>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</si>
  <si>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</si>
  <si>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</si>
  <si>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</si>
  <si>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</si>
  <si>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</si>
  <si>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</si>
  <si>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</si>
  <si>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</si>
  <si>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</si>
  <si>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</si>
  <si>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</si>
  <si>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</si>
  <si>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</si>
  <si>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</si>
  <si>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</si>
  <si>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</si>
  <si>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</si>
  <si>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</si>
  <si>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</si>
  <si>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</si>
  <si>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</si>
  <si>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</si>
  <si>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</si>
  <si>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</si>
  <si>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</si>
  <si>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</si>
  <si>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</si>
  <si>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</si>
  <si>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</si>
  <si>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</si>
  <si>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</si>
  <si>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</si>
  <si>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</si>
  <si>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</si>
  <si>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</si>
  <si>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</si>
  <si>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</si>
  <si>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</si>
  <si>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</si>
  <si>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</si>
  <si>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</si>
  <si>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</si>
  <si>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</si>
  <si>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</si>
  <si>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</si>
  <si>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</si>
  <si>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</si>
  <si>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</si>
  <si>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</si>
  <si>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</si>
  <si>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</si>
  <si>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</si>
  <si>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</si>
  <si>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</si>
  <si>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</si>
  <si>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</si>
  <si>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</si>
  <si>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</si>
  <si>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>desobstrucao nos bicos do hidrociclone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</si>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</sst>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6" sqref="G1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2934820</v>
      </c>
      <c r="D10" s="8">
        <f>IFERROR('Linha 1'!O190,"")</f>
        <v>366290</v>
      </c>
      <c r="E10" s="8">
        <f>IFERROR('Linha 2'!O190,"")</f>
        <v>271350</v>
      </c>
      <c r="F10" s="8">
        <f>IFERROR('Linha 3'!O190,"")</f>
        <v>659400</v>
      </c>
      <c r="G10" s="9">
        <f t="shared" si="0"/>
        <v>1297040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22134655</v>
      </c>
      <c r="D35" s="13">
        <f>IFERROR(SUM(D4:D34),"")</f>
        <v>6750200</v>
      </c>
      <c r="E35" s="13">
        <f>IFERROR(SUM(E4:E34),"")</f>
        <v>3564130</v>
      </c>
      <c r="F35" s="13">
        <f>IFERROR(SUM(F4:F34),"")</f>
        <v>8758750</v>
      </c>
      <c r="G35" s="13">
        <f>IFERROR(SUM(G4:G34),"")</f>
        <v>19073080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59" activePane="bottomLeft" state="frozen"/>
      <selection pane="bottomLeft" activeCell="F186" sqref="F18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315</v>
      </c>
      <c r="G189" s="36">
        <f>SUM(G177:G188)</f>
        <v>1537.4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717</v>
      </c>
      <c r="G190" s="40">
        <f>G176+G189</f>
        <v>3547.4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2934820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60" activePane="bottomLeft" state="frozen"/>
      <selection pane="bottomLeft" activeCell="F186" sqref="F18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250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251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252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253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254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255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256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257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4.9284143518889323E-2</v>
      </c>
      <c r="N53" s="46" t="s">
        <v>258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0.18817303240777822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0.27289525463000053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250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259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260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261</v>
      </c>
      <c r="M96" s="30" t="str">
        <f t="shared" ref="M96:M107" ca="1" si="22">IFERROR(IF(K96="","",IF(L96="",MOD(NOW()-K96,1),IF(L96&gt;=K96,L96-K96,L96+1-K96))),"")</f>
        <v/>
      </c>
      <c r="N96" s="46" t="s">
        <v>262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263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264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265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266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267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268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269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270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74</v>
      </c>
      <c r="G189" s="36">
        <f>SUM(G177:G188)</f>
        <v>310.80000000000007</v>
      </c>
      <c r="H189" s="37"/>
      <c r="I189" s="37"/>
      <c r="J189" s="37"/>
      <c r="K189" s="37"/>
      <c r="L189" s="37"/>
      <c r="M189" s="38">
        <f ca="1">IFERROR(SUM(M177:M188),"")</f>
        <v>0.19861111111111129</v>
      </c>
      <c r="N189" s="36" t="s">
        <v>235</v>
      </c>
      <c r="O189" s="77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143</v>
      </c>
      <c r="G190" s="40">
        <f>G176+G189</f>
        <v>600.60000000000014</v>
      </c>
      <c r="H190" s="41"/>
      <c r="I190" s="41"/>
      <c r="J190" s="41"/>
      <c r="K190" s="41"/>
      <c r="L190" s="41"/>
      <c r="M190" s="42">
        <f ca="1">IFERROR(M176+M189,"")</f>
        <v>0.28125000000000022</v>
      </c>
      <c r="N190" s="40" t="s">
        <v>239</v>
      </c>
      <c r="O190" s="82">
        <f>IFERROR(O176+O189,"")</f>
        <v>366290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77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157" zoomScale="50" zoomScaleNormal="50" workbookViewId="0">
      <selection activeCell="L184" sqref="L18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271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253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272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271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271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273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274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275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276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278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279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268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259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280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281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282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12</v>
      </c>
      <c r="G189" s="36">
        <f>SUM(G177:G188)</f>
        <v>50.4</v>
      </c>
      <c r="H189" s="37"/>
      <c r="I189" s="37"/>
      <c r="J189" s="37"/>
      <c r="K189" s="37"/>
      <c r="L189" s="37"/>
      <c r="M189" s="38">
        <f ca="1">IFERROR(SUM(M177:M188),"")</f>
        <v>0.26180555555555562</v>
      </c>
      <c r="N189" s="36" t="s">
        <v>235</v>
      </c>
      <c r="O189" s="39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77</v>
      </c>
      <c r="G190" s="40">
        <f>G176+G189</f>
        <v>323.39999999999998</v>
      </c>
      <c r="H190" s="41"/>
      <c r="I190" s="41"/>
      <c r="J190" s="41"/>
      <c r="K190" s="41"/>
      <c r="L190" s="41"/>
      <c r="M190" s="42">
        <f ca="1">IFERROR(M176+M189,"")</f>
        <v>0.34652777777777788</v>
      </c>
      <c r="N190" s="40" t="s">
        <v>239</v>
      </c>
      <c r="O190" s="43">
        <f>IFERROR(O176+O189,"")</f>
        <v>271350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39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54" activePane="bottomLeft" state="frozen"/>
      <selection pane="bottomLeft" activeCell="F186" sqref="F18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283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256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271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286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287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288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289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271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271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290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291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259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271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292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293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268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294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296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/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297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116</v>
      </c>
      <c r="G189" s="36">
        <f>SUM(G177:G188)</f>
        <v>487.20000000000005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116</v>
      </c>
      <c r="G190" s="40">
        <f>G176+G189</f>
        <v>1167.5999999999999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659400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2026-08-08T08:06:31Z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