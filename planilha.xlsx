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04" documentId="13_ncr:1_{A6DBCFB4-28D9-4249-9038-216934055CA6}" xr6:coauthVersionLast="47" xr6:coauthVersionMax="47" xr10:uidLastSave="{ACA66A26-6998-4667-B7AF-3854ED33ADD9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0" i="4" l="1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<sst xmlns="http://schemas.openxmlformats.org/spreadsheetml/2006/main" count="9428" uniqueCount="415">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</sst>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L558" sqref="L558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/>
      <c r="M558" s="66">
        <f t="shared" ca="1" si="120"/>
        <v>1.8788541667163372E-2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41</v>
      </c>
      <c r="G567" s="2">
        <f>SUM(G555:G566)</f>
        <v>205</v>
      </c>
      <c r="H567" s="72"/>
      <c r="I567" s="72"/>
      <c r="J567" s="72"/>
      <c r="K567" s="72"/>
      <c r="L567" s="72"/>
      <c r="M567" s="73">
        <f ca="1">IFERROR(SUM(M555:M566),"")</f>
        <v>0.20976076388938569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41</v>
      </c>
      <c r="G568" s="1">
        <f>G554+G567</f>
        <v>205</v>
      </c>
      <c r="H568" s="76"/>
      <c r="I568" s="76"/>
      <c r="J568" s="76"/>
      <c r="K568" s="76"/>
      <c r="L568" s="76"/>
      <c r="M568" s="77">
        <f ca="1">IFERROR(M554+M567,"")</f>
        <v>0.70976076388938569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E560" sqref="E56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0.95698298610659549</v>
      </c>
      <c r="R53" s="80" t="s">
        <v>309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1.0958718749954832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1.180594097217706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311</v>
      </c>
      <c r="Q96" s="66" t="str">
        <f t="shared" ref="Q96:Q107" ca="1" si="22">IFERROR(IF(O96="","",IF(P96="",MOD(NOW()-O96,1),IF(P96&gt;=O96,P96-O96,P96+1-O96))),"")</f>
        <v/>
      </c>
      <c r="R96" s="80" t="s">
        <v>312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0.28684409722336568</v>
      </c>
      <c r="R555" s="80" t="s">
        <v>343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0.28684409722336568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0.60837187500114331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42" activePane="bottomLeft" state="frozen"/>
      <selection pane="bottomLeft" activeCell="R564" sqref="R56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357</v>
      </c>
      <c r="Q222" s="66" t="str">
        <f t="shared" ca="1" si="49"/>
        <v/>
      </c>
      <c r="R222" s="63" t="s">
        <v>358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69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305</v>
      </c>
      <c r="L567" s="72"/>
      <c r="M567" s="72"/>
      <c r="N567" s="72"/>
      <c r="O567" s="72"/>
      <c r="P567" s="72"/>
      <c r="Q567" s="73">
        <f ca="1">IFERROR(SUM(Q555:Q566),"")</f>
        <v>4.5138888888889013E-2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78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342.8</v>
      </c>
      <c r="L568" s="76"/>
      <c r="M568" s="76"/>
      <c r="N568" s="76"/>
      <c r="O568" s="76"/>
      <c r="P568" s="76"/>
      <c r="Q568" s="77">
        <f ca="1">IFERROR(Q554+Q567,"")</f>
        <v>0.45555555555555571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2" activePane="bottomLeft" state="frozen"/>
      <selection pane="bottomLeft" activeCell="O564" sqref="O56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372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373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374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375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376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377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378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379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380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381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382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383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385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387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388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389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390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391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392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393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394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395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396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397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398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399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400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401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402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403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404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405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399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406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407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408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409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410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411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412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413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414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>
        <v>6.1111111111111109E-2</v>
      </c>
      <c r="P563" s="65"/>
      <c r="Q563" s="71">
        <f t="shared" ca="1" si="145"/>
        <v>1.7399652773747221E-2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49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208.20000000000002</v>
      </c>
      <c r="L567" s="72"/>
      <c r="M567" s="72"/>
      <c r="N567" s="72"/>
      <c r="O567" s="134"/>
      <c r="P567" s="134"/>
      <c r="Q567" s="73">
        <f ca="1">IFERROR(SUM(Q555:Q566),"")</f>
        <v>0.11531631944041376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180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758.40000000000009</v>
      </c>
      <c r="L568" s="76"/>
      <c r="M568" s="76"/>
      <c r="N568" s="76"/>
      <c r="O568" s="135"/>
      <c r="P568" s="135"/>
      <c r="Q568" s="77">
        <f ca="1">IFERROR(Q554+Q567,"")</f>
        <v>0.27156631944041382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2026-08-22T05:53:37Z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