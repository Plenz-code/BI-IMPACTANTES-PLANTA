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49" documentId="8_{AF585B22-221D-4780-BB9C-493D365A6A02}" xr6:coauthVersionLast="47" xr6:coauthVersionMax="47" xr10:uidLastSave="{B0F62649-56A3-4583-BFCC-AD5532ED3D83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<sst xmlns="http://schemas.openxmlformats.org/spreadsheetml/2006/main" count="12575" uniqueCount="445">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</sst>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33" sqref="F83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234</v>
      </c>
      <c r="B662" s="114"/>
      <c r="C662" s="114"/>
      <c r="D662" s="114"/>
      <c r="E662" s="11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>
        <v>9.930555555555555E-2</v>
      </c>
      <c r="M826" s="78">
        <f ca="1">IFERROR(IF(K826="","",IF(L826="",MOD(NOW()-K826,1),IF(L826&gt;=K826,L826-K826,L826+1-K826))),"")</f>
        <v>5.5555555555555497E-3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>
        <v>20</v>
      </c>
      <c r="G832" s="101">
        <f>IF(F832="","",IF(E832="PC 17",F832*4.2,IF(E832="PC 19",F832*5,"")))</f>
        <v>100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194</v>
      </c>
      <c r="G837" s="109">
        <f>SUM(G825:G836)</f>
        <v>970</v>
      </c>
      <c r="H837" s="37"/>
      <c r="I837" s="37"/>
      <c r="J837" s="37"/>
      <c r="K837" s="37"/>
      <c r="L837" s="37"/>
      <c r="M837" s="110">
        <f ca="1">IFERROR(SUM(M825:M836),"")</f>
        <v>1.3194444444444522E-2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327</v>
      </c>
      <c r="G838" s="111">
        <f>G824+G837</f>
        <v>970</v>
      </c>
      <c r="H838" s="41"/>
      <c r="I838" s="41"/>
      <c r="J838" s="41"/>
      <c r="K838" s="41"/>
      <c r="L838" s="41"/>
      <c r="M838" s="112">
        <f ca="1">IFERROR(M824+M837,"")</f>
        <v>0.17291666666666672</v>
      </c>
      <c r="N838" s="111" t="s">
        <v>240</v>
      </c>
      <c r="O838" s="83">
        <f>IFERROR(O824+O837,"")</f>
        <v>656110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11" activePane="bottomLeft" state="frozen"/>
      <selection pane="bottomLeft" activeCell="F833" sqref="F8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0.8877325231442228</v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1.0453714120331117</v>
      </c>
      <c r="N378" s="36" t="s">
        <v>237</v>
      </c>
      <c r="O378" s="77">
        <v>511980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1.155093634255334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0.86620474536903203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1.0370380787023654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1.1821769675912543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>
        <v>0.10208333333333333</v>
      </c>
      <c r="M829" s="79">
        <f ca="1">IFERROR(IF(K829="","",IF(L829="",MOD(NOW()-K829,1),IF(L829&gt;=K829,L829-K829,L829+1-K829))),"")</f>
        <v>1.3194444444444439E-2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17</v>
      </c>
      <c r="G832" s="104">
        <f>IF(F832="","",IF(E832="PC 17",F832*4.2,IF(E832="PC 19",F832*5,"")))</f>
        <v>71.400000000000006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160</v>
      </c>
      <c r="G837" s="109">
        <f>SUM(G825:G836)</f>
        <v>684.80000000000007</v>
      </c>
      <c r="H837" s="37"/>
      <c r="I837" s="37"/>
      <c r="J837" s="37"/>
      <c r="K837" s="37"/>
      <c r="L837" s="37"/>
      <c r="M837" s="110">
        <f ca="1">IFERROR(SUM(M825:M836),"")</f>
        <v>4.0972222222222146E-2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329</v>
      </c>
      <c r="G838" s="111">
        <f>G824+G837</f>
        <v>1394.6000000000001</v>
      </c>
      <c r="H838" s="41"/>
      <c r="I838" s="41"/>
      <c r="J838" s="41"/>
      <c r="K838" s="41"/>
      <c r="L838" s="41"/>
      <c r="M838" s="112">
        <f ca="1">IFERROR(M824+M837,"")</f>
        <v>0.14583333333333326</v>
      </c>
      <c r="N838" s="111" t="s">
        <v>240</v>
      </c>
      <c r="O838" s="82">
        <f>IFERROR(O824+O837,"")</f>
        <v>741170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622:E622"/>
    <mergeCell ref="A635:E635"/>
    <mergeCell ref="A810:E810"/>
    <mergeCell ref="A811:E811"/>
    <mergeCell ref="A730:E730"/>
    <mergeCell ref="A743:E743"/>
    <mergeCell ref="A756:E756"/>
    <mergeCell ref="A757:E757"/>
    <mergeCell ref="A770:E770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95" zoomScale="50" zoomScaleNormal="50" workbookViewId="0">
      <selection activeCell="F833" sqref="F8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15</v>
      </c>
      <c r="G832" s="104">
        <f>IF(F832="","",IF(E832="PC 17",F832*4.2,IF(E832="PC 19",F832*5,"")))</f>
        <v>63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/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106</v>
      </c>
      <c r="G837" s="109">
        <f>SUM(G825:G836)</f>
        <v>454</v>
      </c>
      <c r="H837" s="37"/>
      <c r="I837" s="37"/>
      <c r="J837" s="37"/>
      <c r="K837" s="37"/>
      <c r="L837" s="37"/>
      <c r="M837" s="110">
        <f ca="1">IFERROR(SUM(M825:M836),"")</f>
        <v>2.0833333333333259E-3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201</v>
      </c>
      <c r="G838" s="111">
        <f>G824+G837</f>
        <v>853</v>
      </c>
      <c r="H838" s="41"/>
      <c r="I838" s="41"/>
      <c r="J838" s="41"/>
      <c r="K838" s="41"/>
      <c r="L838" s="41"/>
      <c r="M838" s="112">
        <f ca="1">IFERROR(M824+M837,"")</f>
        <v>5.9722222222222232E-2</v>
      </c>
      <c r="N838" s="111" t="s">
        <v>240</v>
      </c>
      <c r="O838" s="82">
        <f>IFERROR(O824+O837,"")</f>
        <v>441270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12" activePane="bottomLeft" state="frozen"/>
      <selection pane="bottomLeft" activeCell="F833" sqref="F83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0.87801030092668952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1.0773158564822451</v>
      </c>
      <c r="N135" s="36" t="s">
        <v>237</v>
      </c>
      <c r="O135" s="39">
        <v>729290</v>
      </c>
    </row>
    <row r="136" spans="1:18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1.4446769675933562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3" t="s">
        <v>236</v>
      </c>
      <c r="B338" s="114"/>
      <c r="C338" s="114"/>
      <c r="D338" s="114"/>
      <c r="E338" s="11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>
        <v>10</v>
      </c>
      <c r="G832" s="104">
        <f>IF(F832="","",IF(E832="PC 17",F832*4.2,IF(E832="PC 19",F832*5,"")))</f>
        <v>42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89</v>
      </c>
      <c r="G837" s="109">
        <f>SUM(G825:G836)</f>
        <v>373.8</v>
      </c>
      <c r="H837" s="37"/>
      <c r="I837" s="37"/>
      <c r="J837" s="37"/>
      <c r="K837" s="37"/>
      <c r="L837" s="37"/>
      <c r="M837" s="110">
        <f ca="1">IFERROR(SUM(M825:M836),"")</f>
        <v>4.8611111111111119E-2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208</v>
      </c>
      <c r="G838" s="111">
        <f>G824+G837</f>
        <v>873.60000000000014</v>
      </c>
      <c r="H838" s="41"/>
      <c r="I838" s="41"/>
      <c r="J838" s="41"/>
      <c r="K838" s="41"/>
      <c r="L838" s="41"/>
      <c r="M838" s="112">
        <f ca="1">IFERROR(M824+M837,"")</f>
        <v>0.16458333333333325</v>
      </c>
      <c r="N838" s="111" t="s">
        <v>240</v>
      </c>
      <c r="O838" s="82">
        <f>IFERROR(O824+O837,"")</f>
        <v>545810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2026-08-01T07:03:28Z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