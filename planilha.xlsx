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484" documentId="8_{AF585B22-221D-4780-BB9C-493D365A6A02}" xr6:coauthVersionLast="47" xr6:coauthVersionMax="47" xr10:uidLastSave="{83EDFC90-5B71-4944-BE22-51202E675F45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40" i="3" l="1"/>
  <c r="M623" i="4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<sst xmlns="http://schemas.openxmlformats.org/spreadsheetml/2006/main" count="9965" uniqueCount="388">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</sst>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75156798</v>
      </c>
      <c r="D35" s="13">
        <f>IFERROR(SUM(D4:D34),"")</f>
        <v>29481690</v>
      </c>
      <c r="E35" s="13">
        <f>IFERROR(SUM(E4:E34),"")</f>
        <v>17063770</v>
      </c>
      <c r="F35" s="13">
        <f>IFERROR(SUM(F4:F34),"")</f>
        <v>31043010</v>
      </c>
      <c r="G35" s="13">
        <f>IFERROR(SUM(G4:G34),"")</f>
        <v>77588470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E656" sqref="E65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40" activePane="bottomLeft" state="frozen"/>
      <selection pane="bottomLeft" activeCell="N651" sqref="N65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8.6735995369963348E-2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0.24437488425885223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0.3540971064810744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6.5208217594772577E-2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0.23604155092810594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0.38118043981699479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0.77013888888888893</v>
      </c>
      <c r="M625" s="35">
        <f t="shared" ref="M625:M634" ca="1" si="140">IFERROR(IF(K625="","",IF(L625="",MOD(NOW()-K625,1),IF(L625&gt;=K625,L625-K625,L625+1-K625))),"")</f>
        <v>1.736111111111116E-2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0.97569444444444431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1.0687499999999999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/>
      <c r="G650" s="28" t="str">
        <f t="shared" ref="G650:G661" si="144">IF(F650="","",IF(E650="PC 17",F650*4.2,IF(E650="PC 19",F650*5,"")))</f>
        <v/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/>
      <c r="M650" s="30">
        <f t="shared" ref="M650:M661" ca="1" si="145">IFERROR(IF(K650="","",IF(L650="",MOD(NOW()-K650,1),IF(L650&gt;=K650,L650-K650,L650+1-K650))),"")</f>
        <v>2.354155093053123E-2</v>
      </c>
      <c r="N650" s="46" t="s">
        <v>311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/>
      <c r="G651" s="34" t="str">
        <f t="shared" si="144"/>
        <v/>
      </c>
      <c r="H651" s="33" t="s">
        <v>19</v>
      </c>
      <c r="I651" s="33" t="s">
        <v>31</v>
      </c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257</v>
      </c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2.354155093053123E-2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2.354155093053123E-2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29" zoomScale="50" zoomScaleNormal="50" workbookViewId="0">
      <selection activeCell="G658" sqref="G65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312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313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315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316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318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320</v>
      </c>
      <c r="N166" s="27" t="s">
        <v>321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322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323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324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328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332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333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334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335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336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337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338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33" activePane="bottomLeft" state="frozen"/>
      <selection pane="bottomLeft" activeCell="N651" sqref="N65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345</v>
      </c>
      <c r="L58" s="29">
        <v>0.54097222222222219</v>
      </c>
      <c r="M58" s="30" t="str">
        <f t="shared" ca="1" si="13"/>
        <v/>
      </c>
      <c r="N58" s="27" t="s">
        <v>346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312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7.7013773152430076E-2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0.2763193287079857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0.64368043981909673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/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/>
      <c r="M650" s="30">
        <f t="shared" ref="M650:M661" ca="1" si="145">IFERROR(IF(K650="","",IF(L650="",MOD(NOW()-K650,1),IF(L650&gt;=K650,L650-K650,L650+1-K650))),"")</f>
        <v>3.4652662041480653E-2</v>
      </c>
      <c r="N650" s="27" t="s">
        <v>387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3.4652662041480653E-2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3.4652662041480653E-2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2026-07-25T11:49:55Z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