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887" documentId="8_{AF585B22-221D-4780-BB9C-493D365A6A02}" xr6:coauthVersionLast="47" xr6:coauthVersionMax="47" xr10:uidLastSave="{876057E2-A93F-43A5-8B69-D52A2805C4F9}"/>
  <bookViews>
    <workbookView xWindow="-110" yWindow="-110" windowWidth="25820" windowHeight="15500" tabRatio="500" firstSheet="2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16" i="6" l="1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F784" i="5" s="1"/>
  <c r="G782" i="5"/>
  <c r="G781" i="5"/>
  <c r="G783" i="5" s="1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70" i="5" s="1"/>
  <c r="G784" i="5" s="1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43" i="5" s="1"/>
  <c r="G757" i="5" s="1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29" i="5" s="1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G730" i="5" s="1"/>
  <c r="F702" i="5"/>
  <c r="F703" i="5" s="1"/>
  <c r="G701" i="5"/>
  <c r="G702" i="5" s="1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89" i="5" s="1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2" i="5" s="1"/>
  <c r="G676" i="5" s="1"/>
  <c r="G660" i="5"/>
  <c r="G659" i="5"/>
  <c r="G658" i="5"/>
  <c r="G657" i="5"/>
  <c r="G656" i="5"/>
  <c r="G655" i="5"/>
  <c r="G654" i="5"/>
  <c r="G653" i="5"/>
  <c r="G652" i="5"/>
  <c r="G651" i="5"/>
  <c r="G650" i="5"/>
  <c r="F648" i="5"/>
  <c r="F649" i="5" s="1"/>
  <c r="G647" i="5"/>
  <c r="G646" i="5"/>
  <c r="G645" i="5"/>
  <c r="G644" i="5"/>
  <c r="G643" i="5"/>
  <c r="G642" i="5"/>
  <c r="G641" i="5"/>
  <c r="G648" i="5" s="1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2" i="5"/>
  <c r="G621" i="5"/>
  <c r="F621" i="5"/>
  <c r="G620" i="5"/>
  <c r="G619" i="5"/>
  <c r="G618" i="5"/>
  <c r="G617" i="5"/>
  <c r="G616" i="5"/>
  <c r="G614" i="5"/>
  <c r="G613" i="5"/>
  <c r="G612" i="5"/>
  <c r="G611" i="5"/>
  <c r="G610" i="5"/>
  <c r="G609" i="5"/>
  <c r="F608" i="5"/>
  <c r="G607" i="5"/>
  <c r="G606" i="5"/>
  <c r="G605" i="5"/>
  <c r="G604" i="5"/>
  <c r="G603" i="5"/>
  <c r="G602" i="5"/>
  <c r="G601" i="5"/>
  <c r="G600" i="5"/>
  <c r="G608" i="5" s="1"/>
  <c r="G622" i="5" s="1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G581" i="5"/>
  <c r="G595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F567" i="5"/>
  <c r="F568" i="5" s="1"/>
  <c r="G566" i="5"/>
  <c r="G565" i="5"/>
  <c r="G564" i="5"/>
  <c r="G563" i="5"/>
  <c r="G562" i="5"/>
  <c r="G561" i="5"/>
  <c r="G567" i="5" s="1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1" i="5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G526" i="5"/>
  <c r="G525" i="5"/>
  <c r="G524" i="5"/>
  <c r="G523" i="5"/>
  <c r="G522" i="5"/>
  <c r="G521" i="5"/>
  <c r="G527" i="5" s="1"/>
  <c r="G520" i="5"/>
  <c r="G519" i="5"/>
  <c r="G518" i="5"/>
  <c r="G517" i="5"/>
  <c r="G516" i="5"/>
  <c r="G515" i="5"/>
  <c r="F513" i="5"/>
  <c r="F514" i="5" s="1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F487" i="5" s="1"/>
  <c r="G485" i="5"/>
  <c r="G484" i="5"/>
  <c r="G483" i="5"/>
  <c r="G482" i="5"/>
  <c r="G486" i="5" s="1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6" i="5" s="1"/>
  <c r="G460" i="5" s="1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32" i="5" s="1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G433" i="5" s="1"/>
  <c r="F405" i="5"/>
  <c r="F406" i="5" s="1"/>
  <c r="G404" i="5"/>
  <c r="G403" i="5"/>
  <c r="G405" i="5" s="1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92" i="5" s="1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5" i="5" s="1"/>
  <c r="G362" i="5"/>
  <c r="G361" i="5"/>
  <c r="G360" i="5"/>
  <c r="G359" i="5"/>
  <c r="G358" i="5"/>
  <c r="G357" i="5"/>
  <c r="G356" i="5"/>
  <c r="G355" i="5"/>
  <c r="G354" i="5"/>
  <c r="G353" i="5"/>
  <c r="F351" i="5"/>
  <c r="F352" i="5" s="1"/>
  <c r="G350" i="5"/>
  <c r="G349" i="5"/>
  <c r="G348" i="5"/>
  <c r="G347" i="5"/>
  <c r="G346" i="5"/>
  <c r="G345" i="5"/>
  <c r="G344" i="5"/>
  <c r="G343" i="5"/>
  <c r="G351" i="5" s="1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G324" i="5"/>
  <c r="F324" i="5"/>
  <c r="F325" i="5" s="1"/>
  <c r="G323" i="5"/>
  <c r="G322" i="5"/>
  <c r="G321" i="5"/>
  <c r="G320" i="5"/>
  <c r="G319" i="5"/>
  <c r="G318" i="5"/>
  <c r="G317" i="5"/>
  <c r="G316" i="5"/>
  <c r="G315" i="5"/>
  <c r="G314" i="5"/>
  <c r="G313" i="5"/>
  <c r="G312" i="5"/>
  <c r="F311" i="5"/>
  <c r="G310" i="5"/>
  <c r="G309" i="5"/>
  <c r="G308" i="5"/>
  <c r="G307" i="5"/>
  <c r="G306" i="5"/>
  <c r="G305" i="5"/>
  <c r="G304" i="5"/>
  <c r="G303" i="5"/>
  <c r="G311" i="5" s="1"/>
  <c r="G325" i="5" s="1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G284" i="5"/>
  <c r="G298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F270" i="5"/>
  <c r="F271" i="5" s="1"/>
  <c r="G269" i="5"/>
  <c r="G268" i="5"/>
  <c r="G267" i="5"/>
  <c r="G266" i="5"/>
  <c r="G265" i="5"/>
  <c r="G264" i="5"/>
  <c r="G270" i="5" s="1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4" i="5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G229" i="5"/>
  <c r="G228" i="5"/>
  <c r="G227" i="5"/>
  <c r="G226" i="5"/>
  <c r="G225" i="5"/>
  <c r="G224" i="5"/>
  <c r="G230" i="5" s="1"/>
  <c r="G244" i="5" s="1"/>
  <c r="G223" i="5"/>
  <c r="G222" i="5"/>
  <c r="G221" i="5"/>
  <c r="G220" i="5"/>
  <c r="G219" i="5"/>
  <c r="G218" i="5"/>
  <c r="F216" i="5"/>
  <c r="F217" i="5" s="1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90" i="5"/>
  <c r="F189" i="5"/>
  <c r="G188" i="5"/>
  <c r="G187" i="5"/>
  <c r="G186" i="5"/>
  <c r="G185" i="5"/>
  <c r="G189" i="5" s="1"/>
  <c r="G184" i="5"/>
  <c r="G183" i="5"/>
  <c r="G182" i="5"/>
  <c r="G181" i="5"/>
  <c r="G180" i="5"/>
  <c r="G179" i="5"/>
  <c r="G178" i="5"/>
  <c r="G177" i="5"/>
  <c r="F176" i="5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9" i="5" s="1"/>
  <c r="G163" i="5" s="1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35" i="5" s="1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F109" i="5" s="1"/>
  <c r="G107" i="5"/>
  <c r="G106" i="5"/>
  <c r="G108" i="5" s="1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95" i="5" s="1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8" i="5" s="1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54" i="5" s="1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G55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60" i="5"/>
  <c r="B761" i="5" s="1"/>
  <c r="B762" i="5" s="1"/>
  <c r="B763" i="5" s="1"/>
  <c r="B764" i="5" s="1"/>
  <c r="B765" i="5" s="1"/>
  <c r="B766" i="5" s="1"/>
  <c r="B767" i="5" s="1"/>
  <c r="B768" i="5" s="1"/>
  <c r="B769" i="5" s="1"/>
  <c r="B759" i="5"/>
  <c r="E757" i="5"/>
  <c r="E756" i="5"/>
  <c r="B746" i="5"/>
  <c r="B747" i="5" s="1"/>
  <c r="B748" i="5" s="1"/>
  <c r="B749" i="5" s="1"/>
  <c r="B750" i="5" s="1"/>
  <c r="B751" i="5" s="1"/>
  <c r="B752" i="5" s="1"/>
  <c r="B753" i="5" s="1"/>
  <c r="B754" i="5" s="1"/>
  <c r="B755" i="5" s="1"/>
  <c r="B745" i="5"/>
  <c r="E743" i="5"/>
  <c r="B734" i="5"/>
  <c r="B735" i="5" s="1"/>
  <c r="B736" i="5" s="1"/>
  <c r="B737" i="5" s="1"/>
  <c r="B738" i="5" s="1"/>
  <c r="B739" i="5" s="1"/>
  <c r="B740" i="5" s="1"/>
  <c r="B741" i="5" s="1"/>
  <c r="B742" i="5" s="1"/>
  <c r="B732" i="5"/>
  <c r="B733" i="5" s="1"/>
  <c r="E729" i="5"/>
  <c r="E730" i="5" s="1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E703" i="5" s="1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E649" i="5" s="1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2" i="5"/>
  <c r="E621" i="5"/>
  <c r="B616" i="5"/>
  <c r="B617" i="5" s="1"/>
  <c r="B618" i="5" s="1"/>
  <c r="B619" i="5" s="1"/>
  <c r="B620" i="5" s="1"/>
  <c r="B610" i="5"/>
  <c r="B611" i="5" s="1"/>
  <c r="B612" i="5" s="1"/>
  <c r="B613" i="5" s="1"/>
  <c r="B614" i="5" s="1"/>
  <c r="B615" i="5" s="1"/>
  <c r="E608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5" i="5"/>
  <c r="B586" i="5" s="1"/>
  <c r="B587" i="5" s="1"/>
  <c r="B588" i="5" s="1"/>
  <c r="B589" i="5" s="1"/>
  <c r="B590" i="5" s="1"/>
  <c r="B591" i="5" s="1"/>
  <c r="B592" i="5" s="1"/>
  <c r="B593" i="5" s="1"/>
  <c r="B584" i="5"/>
  <c r="B583" i="5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4" i="5"/>
  <c r="B545" i="5" s="1"/>
  <c r="B546" i="5" s="1"/>
  <c r="B547" i="5" s="1"/>
  <c r="B548" i="5" s="1"/>
  <c r="B549" i="5" s="1"/>
  <c r="B550" i="5" s="1"/>
  <c r="B551" i="5" s="1"/>
  <c r="B552" i="5" s="1"/>
  <c r="B553" i="5" s="1"/>
  <c r="B543" i="5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E514" i="5" s="1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E487" i="5" s="1"/>
  <c r="B480" i="5"/>
  <c r="B481" i="5" s="1"/>
  <c r="B482" i="5" s="1"/>
  <c r="B483" i="5" s="1"/>
  <c r="B484" i="5" s="1"/>
  <c r="B485" i="5" s="1"/>
  <c r="B475" i="5"/>
  <c r="B476" i="5" s="1"/>
  <c r="B477" i="5" s="1"/>
  <c r="B478" i="5" s="1"/>
  <c r="B479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E460" i="5" s="1"/>
  <c r="B449" i="5"/>
  <c r="B450" i="5" s="1"/>
  <c r="B451" i="5" s="1"/>
  <c r="B452" i="5" s="1"/>
  <c r="B453" i="5" s="1"/>
  <c r="B454" i="5" s="1"/>
  <c r="B455" i="5" s="1"/>
  <c r="B456" i="5" s="1"/>
  <c r="B457" i="5" s="1"/>
  <c r="B458" i="5" s="1"/>
  <c r="B448" i="5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9" i="5"/>
  <c r="B410" i="5" s="1"/>
  <c r="B411" i="5" s="1"/>
  <c r="B412" i="5" s="1"/>
  <c r="B413" i="5" s="1"/>
  <c r="B414" i="5" s="1"/>
  <c r="B415" i="5" s="1"/>
  <c r="B416" i="5" s="1"/>
  <c r="B417" i="5" s="1"/>
  <c r="B418" i="5" s="1"/>
  <c r="B408" i="5"/>
  <c r="E405" i="5"/>
  <c r="B395" i="5"/>
  <c r="B396" i="5" s="1"/>
  <c r="B397" i="5" s="1"/>
  <c r="B398" i="5" s="1"/>
  <c r="B399" i="5" s="1"/>
  <c r="B400" i="5" s="1"/>
  <c r="B401" i="5" s="1"/>
  <c r="B402" i="5" s="1"/>
  <c r="B403" i="5" s="1"/>
  <c r="B404" i="5" s="1"/>
  <c r="B394" i="5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5" i="5"/>
  <c r="B356" i="5" s="1"/>
  <c r="B357" i="5" s="1"/>
  <c r="B358" i="5" s="1"/>
  <c r="B359" i="5" s="1"/>
  <c r="B360" i="5" s="1"/>
  <c r="B361" i="5" s="1"/>
  <c r="B362" i="5" s="1"/>
  <c r="B363" i="5" s="1"/>
  <c r="B364" i="5" s="1"/>
  <c r="B354" i="5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E325" i="5" s="1"/>
  <c r="B315" i="5"/>
  <c r="B316" i="5" s="1"/>
  <c r="B317" i="5" s="1"/>
  <c r="B318" i="5" s="1"/>
  <c r="B319" i="5" s="1"/>
  <c r="B320" i="5" s="1"/>
  <c r="B321" i="5" s="1"/>
  <c r="B322" i="5" s="1"/>
  <c r="B323" i="5" s="1"/>
  <c r="B314" i="5"/>
  <c r="B313" i="5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8" i="5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E271" i="5" s="1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E244" i="5" s="1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3" i="5"/>
  <c r="E162" i="5"/>
  <c r="B152" i="5"/>
  <c r="B153" i="5" s="1"/>
  <c r="B154" i="5" s="1"/>
  <c r="B155" i="5" s="1"/>
  <c r="B156" i="5" s="1"/>
  <c r="B157" i="5" s="1"/>
  <c r="B158" i="5" s="1"/>
  <c r="B159" i="5" s="1"/>
  <c r="B160" i="5" s="1"/>
  <c r="B161" i="5" s="1"/>
  <c r="B151" i="5"/>
  <c r="E149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E136" i="5" s="1"/>
  <c r="B129" i="5"/>
  <c r="B130" i="5" s="1"/>
  <c r="B131" i="5" s="1"/>
  <c r="B132" i="5" s="1"/>
  <c r="B133" i="5" s="1"/>
  <c r="B134" i="5" s="1"/>
  <c r="B124" i="5"/>
  <c r="B125" i="5" s="1"/>
  <c r="B126" i="5" s="1"/>
  <c r="B127" i="5" s="1"/>
  <c r="B128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E109" i="5" s="1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9" i="5"/>
  <c r="B20" i="5" s="1"/>
  <c r="B21" i="5" s="1"/>
  <c r="B22" i="5" s="1"/>
  <c r="B23" i="5" s="1"/>
  <c r="B24" i="5" s="1"/>
  <c r="B25" i="5" s="1"/>
  <c r="B26" i="5" s="1"/>
  <c r="B16" i="5"/>
  <c r="B17" i="5" s="1"/>
  <c r="B18" i="5" s="1"/>
  <c r="B4" i="5"/>
  <c r="B5" i="5" s="1"/>
  <c r="B6" i="5" s="1"/>
  <c r="B7" i="5" s="1"/>
  <c r="B8" i="5" s="1"/>
  <c r="B9" i="5" s="1"/>
  <c r="B10" i="5" s="1"/>
  <c r="B11" i="5" s="1"/>
  <c r="B12" i="5" s="1"/>
  <c r="B13" i="5" s="1"/>
  <c r="B3" i="5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6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G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5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8" i="4"/>
  <c r="M57" i="4"/>
  <c r="M56" i="4"/>
  <c r="O55" i="4"/>
  <c r="M53" i="4"/>
  <c r="M52" i="4"/>
  <c r="M51" i="4"/>
  <c r="M50" i="4"/>
  <c r="M49" i="4"/>
  <c r="M48" i="4"/>
  <c r="M47" i="4"/>
  <c r="M46" i="4"/>
  <c r="M45" i="4"/>
  <c r="M44" i="4"/>
  <c r="M43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O109" i="3"/>
  <c r="C7" i="1" s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52" i="3"/>
  <c r="M51" i="3"/>
  <c r="M50" i="3"/>
  <c r="M49" i="3"/>
  <c r="M48" i="3"/>
  <c r="M47" i="3"/>
  <c r="M46" i="3"/>
  <c r="M45" i="3"/>
  <c r="M44" i="3"/>
  <c r="M43" i="3"/>
  <c r="M42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G31" i="1" s="1"/>
  <c r="C31" i="1"/>
  <c r="E30" i="1"/>
  <c r="F29" i="1"/>
  <c r="E29" i="1"/>
  <c r="E28" i="1"/>
  <c r="F27" i="1"/>
  <c r="E27" i="1"/>
  <c r="C27" i="1"/>
  <c r="F26" i="1"/>
  <c r="E26" i="1"/>
  <c r="C26" i="1"/>
  <c r="F25" i="1"/>
  <c r="E25" i="1"/>
  <c r="D25" i="1"/>
  <c r="C25" i="1"/>
  <c r="D24" i="1"/>
  <c r="G24" i="1" s="1"/>
  <c r="F23" i="1"/>
  <c r="E23" i="1"/>
  <c r="E22" i="1"/>
  <c r="E21" i="1"/>
  <c r="D21" i="1"/>
  <c r="C21" i="1"/>
  <c r="F20" i="1"/>
  <c r="E20" i="1"/>
  <c r="G20" i="1" s="1"/>
  <c r="C20" i="1"/>
  <c r="F19" i="1"/>
  <c r="E19" i="1"/>
  <c r="D19" i="1"/>
  <c r="G19" i="1" s="1"/>
  <c r="C19" i="1"/>
  <c r="E18" i="1"/>
  <c r="D18" i="1"/>
  <c r="G18" i="1" s="1"/>
  <c r="C18" i="1"/>
  <c r="D17" i="1"/>
  <c r="F16" i="1"/>
  <c r="C16" i="1"/>
  <c r="E15" i="1"/>
  <c r="D15" i="1"/>
  <c r="F14" i="1"/>
  <c r="E14" i="1"/>
  <c r="D14" i="1"/>
  <c r="F13" i="1"/>
  <c r="D13" i="1"/>
  <c r="G13" i="1" s="1"/>
  <c r="C13" i="1"/>
  <c r="G12" i="1"/>
  <c r="C12" i="1"/>
  <c r="G11" i="1"/>
  <c r="F11" i="1"/>
  <c r="E10" i="1"/>
  <c r="D10" i="1"/>
  <c r="F9" i="1"/>
  <c r="E9" i="1"/>
  <c r="D9" i="1"/>
  <c r="G9" i="1" s="1"/>
  <c r="F8" i="1"/>
  <c r="E8" i="1"/>
  <c r="D8" i="1"/>
  <c r="C8" i="1"/>
  <c r="D7" i="1"/>
  <c r="F6" i="1"/>
  <c r="D6" i="1"/>
  <c r="G6" i="1" s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G783" i="6" s="1"/>
  <c r="B776" i="6"/>
  <c r="B777" i="6" s="1"/>
  <c r="B778" i="6" s="1"/>
  <c r="B779" i="6" s="1"/>
  <c r="B780" i="6" s="1"/>
  <c r="B781" i="6" s="1"/>
  <c r="B782" i="6" s="1"/>
  <c r="M775" i="6"/>
  <c r="G775" i="6"/>
  <c r="M774" i="6"/>
  <c r="G774" i="6"/>
  <c r="B774" i="6"/>
  <c r="B775" i="6" s="1"/>
  <c r="M773" i="6"/>
  <c r="G773" i="6"/>
  <c r="B773" i="6"/>
  <c r="M772" i="6"/>
  <c r="G772" i="6"/>
  <c r="B772" i="6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G770" i="6" s="1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E757" i="6" s="1"/>
  <c r="M755" i="6"/>
  <c r="G755" i="6"/>
  <c r="M754" i="6"/>
  <c r="G754" i="6"/>
  <c r="M753" i="6"/>
  <c r="G753" i="6"/>
  <c r="M752" i="6"/>
  <c r="G752" i="6"/>
  <c r="B752" i="6"/>
  <c r="B753" i="6" s="1"/>
  <c r="B754" i="6" s="1"/>
  <c r="B755" i="6" s="1"/>
  <c r="M751" i="6"/>
  <c r="G751" i="6"/>
  <c r="M750" i="6"/>
  <c r="G750" i="6"/>
  <c r="M749" i="6"/>
  <c r="G749" i="6"/>
  <c r="M748" i="6"/>
  <c r="G748" i="6"/>
  <c r="M747" i="6"/>
  <c r="G747" i="6"/>
  <c r="B747" i="6"/>
  <c r="B748" i="6" s="1"/>
  <c r="B749" i="6" s="1"/>
  <c r="B750" i="6" s="1"/>
  <c r="B751" i="6" s="1"/>
  <c r="M746" i="6"/>
  <c r="G746" i="6"/>
  <c r="B746" i="6"/>
  <c r="M745" i="6"/>
  <c r="G745" i="6"/>
  <c r="B745" i="6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B739" i="6"/>
  <c r="B740" i="6" s="1"/>
  <c r="B741" i="6" s="1"/>
  <c r="B742" i="6" s="1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M731" i="6"/>
  <c r="G731" i="6"/>
  <c r="O730" i="6"/>
  <c r="F30" i="1" s="1"/>
  <c r="E730" i="6"/>
  <c r="G729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B721" i="6"/>
  <c r="B722" i="6" s="1"/>
  <c r="B723" i="6" s="1"/>
  <c r="B724" i="6" s="1"/>
  <c r="B725" i="6" s="1"/>
  <c r="B726" i="6" s="1"/>
  <c r="B727" i="6" s="1"/>
  <c r="B728" i="6" s="1"/>
  <c r="M720" i="6"/>
  <c r="G720" i="6"/>
  <c r="M719" i="6"/>
  <c r="G719" i="6"/>
  <c r="M718" i="6"/>
  <c r="G718" i="6"/>
  <c r="B718" i="6"/>
  <c r="B719" i="6" s="1"/>
  <c r="B720" i="6" s="1"/>
  <c r="M717" i="6"/>
  <c r="G717" i="6"/>
  <c r="F716" i="6"/>
  <c r="F730" i="6" s="1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B706" i="6"/>
  <c r="B707" i="6" s="1"/>
  <c r="B708" i="6" s="1"/>
  <c r="B709" i="6" s="1"/>
  <c r="B710" i="6" s="1"/>
  <c r="B711" i="6" s="1"/>
  <c r="B712" i="6" s="1"/>
  <c r="B713" i="6" s="1"/>
  <c r="B714" i="6" s="1"/>
  <c r="B715" i="6" s="1"/>
  <c r="M705" i="6"/>
  <c r="G705" i="6"/>
  <c r="B705" i="6"/>
  <c r="M704" i="6"/>
  <c r="G704" i="6"/>
  <c r="G716" i="6" s="1"/>
  <c r="O703" i="6"/>
  <c r="E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B693" i="6"/>
  <c r="B694" i="6" s="1"/>
  <c r="B695" i="6" s="1"/>
  <c r="B696" i="6" s="1"/>
  <c r="B697" i="6" s="1"/>
  <c r="B698" i="6" s="1"/>
  <c r="B699" i="6" s="1"/>
  <c r="B700" i="6" s="1"/>
  <c r="B701" i="6" s="1"/>
  <c r="M692" i="6"/>
  <c r="G692" i="6"/>
  <c r="B692" i="6"/>
  <c r="M691" i="6"/>
  <c r="G691" i="6"/>
  <c r="B691" i="6"/>
  <c r="M690" i="6"/>
  <c r="G690" i="6"/>
  <c r="F689" i="6"/>
  <c r="E689" i="6"/>
  <c r="M688" i="6"/>
  <c r="G688" i="6"/>
  <c r="M687" i="6"/>
  <c r="G687" i="6"/>
  <c r="M686" i="6"/>
  <c r="G686" i="6"/>
  <c r="M685" i="6"/>
  <c r="G685" i="6"/>
  <c r="M684" i="6"/>
  <c r="G684" i="6"/>
  <c r="B684" i="6"/>
  <c r="B685" i="6" s="1"/>
  <c r="B686" i="6" s="1"/>
  <c r="B687" i="6" s="1"/>
  <c r="B688" i="6" s="1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M677" i="6"/>
  <c r="G677" i="6"/>
  <c r="O676" i="6"/>
  <c r="F28" i="1" s="1"/>
  <c r="F676" i="6"/>
  <c r="E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B668" i="6"/>
  <c r="B669" i="6" s="1"/>
  <c r="B670" i="6" s="1"/>
  <c r="B671" i="6" s="1"/>
  <c r="B672" i="6" s="1"/>
  <c r="B673" i="6" s="1"/>
  <c r="B674" i="6" s="1"/>
  <c r="M667" i="6"/>
  <c r="G667" i="6"/>
  <c r="B667" i="6"/>
  <c r="M666" i="6"/>
  <c r="G666" i="6"/>
  <c r="B666" i="6"/>
  <c r="M665" i="6"/>
  <c r="G665" i="6"/>
  <c r="B665" i="6"/>
  <c r="M664" i="6"/>
  <c r="G664" i="6"/>
  <c r="B664" i="6"/>
  <c r="M663" i="6"/>
  <c r="G663" i="6"/>
  <c r="F662" i="6"/>
  <c r="E662" i="6"/>
  <c r="M661" i="6"/>
  <c r="G661" i="6"/>
  <c r="M660" i="6"/>
  <c r="G660" i="6"/>
  <c r="B660" i="6"/>
  <c r="B661" i="6" s="1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B653" i="6"/>
  <c r="B654" i="6" s="1"/>
  <c r="B655" i="6" s="1"/>
  <c r="B656" i="6" s="1"/>
  <c r="B657" i="6" s="1"/>
  <c r="B658" i="6" s="1"/>
  <c r="B659" i="6" s="1"/>
  <c r="M652" i="6"/>
  <c r="G652" i="6"/>
  <c r="B652" i="6"/>
  <c r="M651" i="6"/>
  <c r="G651" i="6"/>
  <c r="B651" i="6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B644" i="6"/>
  <c r="B645" i="6" s="1"/>
  <c r="B646" i="6" s="1"/>
  <c r="B647" i="6" s="1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622" i="6"/>
  <c r="E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B616" i="6"/>
  <c r="B617" i="6" s="1"/>
  <c r="B618" i="6" s="1"/>
  <c r="B619" i="6" s="1"/>
  <c r="B620" i="6" s="1"/>
  <c r="M615" i="6"/>
  <c r="M614" i="6"/>
  <c r="G614" i="6"/>
  <c r="B614" i="6"/>
  <c r="B615" i="6" s="1"/>
  <c r="M613" i="6"/>
  <c r="G613" i="6"/>
  <c r="M612" i="6"/>
  <c r="G612" i="6"/>
  <c r="M611" i="6"/>
  <c r="G611" i="6"/>
  <c r="G621" i="6" s="1"/>
  <c r="M610" i="6"/>
  <c r="G610" i="6"/>
  <c r="B610" i="6"/>
  <c r="B611" i="6" s="1"/>
  <c r="B612" i="6" s="1"/>
  <c r="B613" i="6" s="1"/>
  <c r="M609" i="6"/>
  <c r="G609" i="6"/>
  <c r="F608" i="6"/>
  <c r="E608" i="6"/>
  <c r="M607" i="6"/>
  <c r="G607" i="6"/>
  <c r="B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M596" i="6"/>
  <c r="G596" i="6"/>
  <c r="O595" i="6"/>
  <c r="E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M580" i="6"/>
  <c r="G580" i="6"/>
  <c r="M579" i="6"/>
  <c r="G579" i="6"/>
  <c r="M578" i="6"/>
  <c r="G578" i="6"/>
  <c r="M577" i="6"/>
  <c r="G577" i="6"/>
  <c r="M576" i="6"/>
  <c r="G576" i="6"/>
  <c r="G575" i="6"/>
  <c r="B575" i="6"/>
  <c r="B576" i="6" s="1"/>
  <c r="B577" i="6" s="1"/>
  <c r="B578" i="6" s="1"/>
  <c r="B579" i="6" s="1"/>
  <c r="B580" i="6" s="1"/>
  <c r="M574" i="6"/>
  <c r="G574" i="6"/>
  <c r="G581" i="6" s="1"/>
  <c r="G595" i="6" s="1"/>
  <c r="M573" i="6"/>
  <c r="G573" i="6"/>
  <c r="M572" i="6"/>
  <c r="G572" i="6"/>
  <c r="B572" i="6"/>
  <c r="B573" i="6" s="1"/>
  <c r="B574" i="6" s="1"/>
  <c r="M571" i="6"/>
  <c r="G571" i="6"/>
  <c r="B571" i="6"/>
  <c r="M570" i="6"/>
  <c r="G570" i="6"/>
  <c r="B570" i="6"/>
  <c r="M569" i="6"/>
  <c r="G569" i="6"/>
  <c r="O568" i="6"/>
  <c r="F24" i="1" s="1"/>
  <c r="F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B557" i="6"/>
  <c r="B558" i="6" s="1"/>
  <c r="B559" i="6" s="1"/>
  <c r="B560" i="6" s="1"/>
  <c r="B561" i="6" s="1"/>
  <c r="B562" i="6" s="1"/>
  <c r="B563" i="6" s="1"/>
  <c r="B564" i="6" s="1"/>
  <c r="B565" i="6" s="1"/>
  <c r="B566" i="6" s="1"/>
  <c r="M556" i="6"/>
  <c r="G556" i="6"/>
  <c r="G567" i="6" s="1"/>
  <c r="B556" i="6"/>
  <c r="M555" i="6"/>
  <c r="G555" i="6"/>
  <c r="F554" i="6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G554" i="6" s="1"/>
  <c r="G568" i="6" s="1"/>
  <c r="M546" i="6"/>
  <c r="G546" i="6"/>
  <c r="B546" i="6"/>
  <c r="B547" i="6" s="1"/>
  <c r="B548" i="6" s="1"/>
  <c r="B549" i="6" s="1"/>
  <c r="B550" i="6" s="1"/>
  <c r="B551" i="6" s="1"/>
  <c r="B552" i="6" s="1"/>
  <c r="B553" i="6" s="1"/>
  <c r="M545" i="6"/>
  <c r="G545" i="6"/>
  <c r="M544" i="6"/>
  <c r="G544" i="6"/>
  <c r="M543" i="6"/>
  <c r="G543" i="6"/>
  <c r="B543" i="6"/>
  <c r="B544" i="6" s="1"/>
  <c r="B545" i="6" s="1"/>
  <c r="M542" i="6"/>
  <c r="G542" i="6"/>
  <c r="O541" i="6"/>
  <c r="F541" i="6"/>
  <c r="F540" i="6"/>
  <c r="E540" i="6"/>
  <c r="E541" i="6" s="1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B518" i="6"/>
  <c r="B519" i="6" s="1"/>
  <c r="B520" i="6" s="1"/>
  <c r="B521" i="6" s="1"/>
  <c r="B522" i="6" s="1"/>
  <c r="B523" i="6" s="1"/>
  <c r="B524" i="6" s="1"/>
  <c r="B525" i="6" s="1"/>
  <c r="B526" i="6" s="1"/>
  <c r="M517" i="6"/>
  <c r="G517" i="6"/>
  <c r="B517" i="6"/>
  <c r="M516" i="6"/>
  <c r="G516" i="6"/>
  <c r="B516" i="6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B481" i="6"/>
  <c r="B482" i="6" s="1"/>
  <c r="B483" i="6" s="1"/>
  <c r="B484" i="6" s="1"/>
  <c r="B485" i="6" s="1"/>
  <c r="M480" i="6"/>
  <c r="G480" i="6"/>
  <c r="M479" i="6"/>
  <c r="G479" i="6"/>
  <c r="M478" i="6"/>
  <c r="G478" i="6"/>
  <c r="M477" i="6"/>
  <c r="G477" i="6"/>
  <c r="M476" i="6"/>
  <c r="G476" i="6"/>
  <c r="B476" i="6"/>
  <c r="B477" i="6" s="1"/>
  <c r="B478" i="6" s="1"/>
  <c r="B479" i="6" s="1"/>
  <c r="B480" i="6" s="1"/>
  <c r="M475" i="6"/>
  <c r="G475" i="6"/>
  <c r="B475" i="6"/>
  <c r="M474" i="6"/>
  <c r="G474" i="6"/>
  <c r="F473" i="6"/>
  <c r="F487" i="6" s="1"/>
  <c r="E473" i="6"/>
  <c r="E487" i="6" s="1"/>
  <c r="M472" i="6"/>
  <c r="G472" i="6"/>
  <c r="G473" i="6" s="1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B465" i="6"/>
  <c r="B466" i="6" s="1"/>
  <c r="B467" i="6" s="1"/>
  <c r="B468" i="6" s="1"/>
  <c r="B469" i="6" s="1"/>
  <c r="B470" i="6" s="1"/>
  <c r="B471" i="6" s="1"/>
  <c r="B472" i="6" s="1"/>
  <c r="M464" i="6"/>
  <c r="G464" i="6"/>
  <c r="B464" i="6"/>
  <c r="M463" i="6"/>
  <c r="G463" i="6"/>
  <c r="B463" i="6"/>
  <c r="M462" i="6"/>
  <c r="G462" i="6"/>
  <c r="B462" i="6"/>
  <c r="M461" i="6"/>
  <c r="G461" i="6"/>
  <c r="O460" i="6"/>
  <c r="F459" i="6"/>
  <c r="F460" i="6" s="1"/>
  <c r="E459" i="6"/>
  <c r="E460" i="6" s="1"/>
  <c r="M458" i="6"/>
  <c r="G458" i="6"/>
  <c r="M457" i="6"/>
  <c r="G457" i="6"/>
  <c r="M456" i="6"/>
  <c r="G456" i="6"/>
  <c r="M455" i="6"/>
  <c r="G455" i="6"/>
  <c r="M454" i="6"/>
  <c r="G454" i="6"/>
  <c r="M453" i="6"/>
  <c r="G453" i="6"/>
  <c r="B453" i="6"/>
  <c r="B454" i="6" s="1"/>
  <c r="B455" i="6" s="1"/>
  <c r="B456" i="6" s="1"/>
  <c r="B457" i="6" s="1"/>
  <c r="B458" i="6" s="1"/>
  <c r="M452" i="6"/>
  <c r="G452" i="6"/>
  <c r="M451" i="6"/>
  <c r="G451" i="6"/>
  <c r="M450" i="6"/>
  <c r="G450" i="6"/>
  <c r="B450" i="6"/>
  <c r="B451" i="6" s="1"/>
  <c r="B452" i="6" s="1"/>
  <c r="M449" i="6"/>
  <c r="G449" i="6"/>
  <c r="G459" i="6" s="1"/>
  <c r="M448" i="6"/>
  <c r="G448" i="6"/>
  <c r="B448" i="6"/>
  <c r="B449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B442" i="6"/>
  <c r="B443" i="6" s="1"/>
  <c r="B444" i="6" s="1"/>
  <c r="B445" i="6" s="1"/>
  <c r="M441" i="6"/>
  <c r="G441" i="6"/>
  <c r="M440" i="6"/>
  <c r="G440" i="6"/>
  <c r="M439" i="6"/>
  <c r="G439" i="6"/>
  <c r="M438" i="6"/>
  <c r="G438" i="6"/>
  <c r="M437" i="6"/>
  <c r="G437" i="6"/>
  <c r="M436" i="6"/>
  <c r="G436" i="6"/>
  <c r="B436" i="6"/>
  <c r="B437" i="6" s="1"/>
  <c r="B438" i="6" s="1"/>
  <c r="B439" i="6" s="1"/>
  <c r="B440" i="6" s="1"/>
  <c r="B441" i="6" s="1"/>
  <c r="M435" i="6"/>
  <c r="G435" i="6"/>
  <c r="B435" i="6"/>
  <c r="M434" i="6"/>
  <c r="G434" i="6"/>
  <c r="G446" i="6" s="1"/>
  <c r="O433" i="6"/>
  <c r="E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B424" i="6"/>
  <c r="B425" i="6" s="1"/>
  <c r="B426" i="6" s="1"/>
  <c r="B427" i="6" s="1"/>
  <c r="B428" i="6" s="1"/>
  <c r="B429" i="6" s="1"/>
  <c r="B430" i="6" s="1"/>
  <c r="B431" i="6" s="1"/>
  <c r="M423" i="6"/>
  <c r="G423" i="6"/>
  <c r="M422" i="6"/>
  <c r="G422" i="6"/>
  <c r="M421" i="6"/>
  <c r="G421" i="6"/>
  <c r="B421" i="6"/>
  <c r="B422" i="6" s="1"/>
  <c r="B423" i="6" s="1"/>
  <c r="M420" i="6"/>
  <c r="G420" i="6"/>
  <c r="F419" i="6"/>
  <c r="F433" i="6" s="1"/>
  <c r="E419" i="6"/>
  <c r="M418" i="6"/>
  <c r="G418" i="6"/>
  <c r="M417" i="6"/>
  <c r="G417" i="6"/>
  <c r="M416" i="6"/>
  <c r="G416" i="6"/>
  <c r="B416" i="6"/>
  <c r="B417" i="6" s="1"/>
  <c r="B418" i="6" s="1"/>
  <c r="M415" i="6"/>
  <c r="G415" i="6"/>
  <c r="M414" i="6"/>
  <c r="G414" i="6"/>
  <c r="M413" i="6"/>
  <c r="G413" i="6"/>
  <c r="M412" i="6"/>
  <c r="G412" i="6"/>
  <c r="M411" i="6"/>
  <c r="G411" i="6"/>
  <c r="M410" i="6"/>
  <c r="G410" i="6"/>
  <c r="B410" i="6"/>
  <c r="B411" i="6" s="1"/>
  <c r="B412" i="6" s="1"/>
  <c r="B413" i="6" s="1"/>
  <c r="B414" i="6" s="1"/>
  <c r="B415" i="6" s="1"/>
  <c r="M409" i="6"/>
  <c r="G409" i="6"/>
  <c r="M408" i="6"/>
  <c r="G408" i="6"/>
  <c r="B408" i="6"/>
  <c r="B409" i="6" s="1"/>
  <c r="M407" i="6"/>
  <c r="G407" i="6"/>
  <c r="O406" i="6"/>
  <c r="F18" i="1" s="1"/>
  <c r="F406" i="6"/>
  <c r="F405" i="6"/>
  <c r="E405" i="6"/>
  <c r="M404" i="6"/>
  <c r="G404" i="6"/>
  <c r="M403" i="6"/>
  <c r="G403" i="6"/>
  <c r="M402" i="6"/>
  <c r="G402" i="6"/>
  <c r="M401" i="6"/>
  <c r="G401" i="6"/>
  <c r="B401" i="6"/>
  <c r="B402" i="6" s="1"/>
  <c r="B403" i="6" s="1"/>
  <c r="B404" i="6" s="1"/>
  <c r="M400" i="6"/>
  <c r="G400" i="6"/>
  <c r="M399" i="6"/>
  <c r="G399" i="6"/>
  <c r="M398" i="6"/>
  <c r="G398" i="6"/>
  <c r="M397" i="6"/>
  <c r="G397" i="6"/>
  <c r="M396" i="6"/>
  <c r="G396" i="6"/>
  <c r="M395" i="6"/>
  <c r="G395" i="6"/>
  <c r="B395" i="6"/>
  <c r="B396" i="6" s="1"/>
  <c r="B397" i="6" s="1"/>
  <c r="B398" i="6" s="1"/>
  <c r="B399" i="6" s="1"/>
  <c r="B400" i="6" s="1"/>
  <c r="M394" i="6"/>
  <c r="G394" i="6"/>
  <c r="B394" i="6"/>
  <c r="M393" i="6"/>
  <c r="G393" i="6"/>
  <c r="F392" i="6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B385" i="6"/>
  <c r="B386" i="6" s="1"/>
  <c r="B387" i="6" s="1"/>
  <c r="B388" i="6" s="1"/>
  <c r="B389" i="6" s="1"/>
  <c r="B390" i="6" s="1"/>
  <c r="B391" i="6" s="1"/>
  <c r="M384" i="6"/>
  <c r="G384" i="6"/>
  <c r="B384" i="6"/>
  <c r="M383" i="6"/>
  <c r="G383" i="6"/>
  <c r="M382" i="6"/>
  <c r="G382" i="6"/>
  <c r="M381" i="6"/>
  <c r="G381" i="6"/>
  <c r="B381" i="6"/>
  <c r="B382" i="6" s="1"/>
  <c r="B383" i="6" s="1"/>
  <c r="M380" i="6"/>
  <c r="G380" i="6"/>
  <c r="O379" i="6"/>
  <c r="F17" i="1" s="1"/>
  <c r="F379" i="6"/>
  <c r="E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B370" i="6"/>
  <c r="B371" i="6" s="1"/>
  <c r="B372" i="6" s="1"/>
  <c r="B373" i="6" s="1"/>
  <c r="B374" i="6" s="1"/>
  <c r="B375" i="6" s="1"/>
  <c r="B376" i="6" s="1"/>
  <c r="B377" i="6" s="1"/>
  <c r="M369" i="6"/>
  <c r="G369" i="6"/>
  <c r="M368" i="6"/>
  <c r="G368" i="6"/>
  <c r="M367" i="6"/>
  <c r="G367" i="6"/>
  <c r="G378" i="6" s="1"/>
  <c r="B367" i="6"/>
  <c r="B368" i="6" s="1"/>
  <c r="B369" i="6" s="1"/>
  <c r="M366" i="6"/>
  <c r="G366" i="6"/>
  <c r="F365" i="6"/>
  <c r="E365" i="6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B358" i="6"/>
  <c r="B359" i="6" s="1"/>
  <c r="B360" i="6" s="1"/>
  <c r="B361" i="6" s="1"/>
  <c r="B362" i="6" s="1"/>
  <c r="B363" i="6" s="1"/>
  <c r="B364" i="6" s="1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M353" i="6"/>
  <c r="G353" i="6"/>
  <c r="O352" i="6"/>
  <c r="F352" i="6"/>
  <c r="F351" i="6"/>
  <c r="E351" i="6"/>
  <c r="E352" i="6" s="1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B341" i="6"/>
  <c r="B342" i="6" s="1"/>
  <c r="B343" i="6" s="1"/>
  <c r="B344" i="6" s="1"/>
  <c r="B345" i="6" s="1"/>
  <c r="B346" i="6" s="1"/>
  <c r="B347" i="6" s="1"/>
  <c r="B348" i="6" s="1"/>
  <c r="B349" i="6" s="1"/>
  <c r="B350" i="6" s="1"/>
  <c r="M340" i="6"/>
  <c r="G340" i="6"/>
  <c r="B340" i="6"/>
  <c r="M339" i="6"/>
  <c r="G339" i="6"/>
  <c r="F338" i="6"/>
  <c r="E338" i="6"/>
  <c r="M337" i="6"/>
  <c r="G337" i="6"/>
  <c r="M336" i="6"/>
  <c r="G336" i="6"/>
  <c r="M335" i="6"/>
  <c r="G335" i="6"/>
  <c r="M334" i="6"/>
  <c r="G334" i="6"/>
  <c r="B334" i="6"/>
  <c r="B335" i="6" s="1"/>
  <c r="B336" i="6" s="1"/>
  <c r="B337" i="6" s="1"/>
  <c r="M333" i="6"/>
  <c r="G333" i="6"/>
  <c r="M332" i="6"/>
  <c r="G332" i="6"/>
  <c r="M331" i="6"/>
  <c r="G331" i="6"/>
  <c r="M330" i="6"/>
  <c r="G330" i="6"/>
  <c r="M329" i="6"/>
  <c r="G329" i="6"/>
  <c r="M328" i="6"/>
  <c r="G328" i="6"/>
  <c r="B328" i="6"/>
  <c r="B329" i="6" s="1"/>
  <c r="B330" i="6" s="1"/>
  <c r="B331" i="6" s="1"/>
  <c r="B332" i="6" s="1"/>
  <c r="B333" i="6" s="1"/>
  <c r="M327" i="6"/>
  <c r="G327" i="6"/>
  <c r="B327" i="6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B315" i="6"/>
  <c r="B316" i="6" s="1"/>
  <c r="B317" i="6" s="1"/>
  <c r="B318" i="6" s="1"/>
  <c r="B319" i="6" s="1"/>
  <c r="B320" i="6" s="1"/>
  <c r="B321" i="6" s="1"/>
  <c r="B322" i="6" s="1"/>
  <c r="B323" i="6" s="1"/>
  <c r="M314" i="6"/>
  <c r="G314" i="6"/>
  <c r="M313" i="6"/>
  <c r="G313" i="6"/>
  <c r="B313" i="6"/>
  <c r="B314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B303" i="6"/>
  <c r="B304" i="6" s="1"/>
  <c r="B305" i="6" s="1"/>
  <c r="B306" i="6" s="1"/>
  <c r="B307" i="6" s="1"/>
  <c r="B308" i="6" s="1"/>
  <c r="B309" i="6" s="1"/>
  <c r="B310" i="6" s="1"/>
  <c r="M302" i="6"/>
  <c r="G302" i="6"/>
  <c r="M301" i="6"/>
  <c r="G301" i="6"/>
  <c r="B301" i="6"/>
  <c r="B302" i="6" s="1"/>
  <c r="M300" i="6"/>
  <c r="G300" i="6"/>
  <c r="B300" i="6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B276" i="6"/>
  <c r="B277" i="6" s="1"/>
  <c r="B278" i="6" s="1"/>
  <c r="B279" i="6" s="1"/>
  <c r="B280" i="6" s="1"/>
  <c r="B281" i="6" s="1"/>
  <c r="B282" i="6" s="1"/>
  <c r="B283" i="6" s="1"/>
  <c r="M275" i="6"/>
  <c r="G275" i="6"/>
  <c r="M274" i="6"/>
  <c r="G274" i="6"/>
  <c r="M273" i="6"/>
  <c r="G273" i="6"/>
  <c r="B273" i="6"/>
  <c r="B274" i="6" s="1"/>
  <c r="B275" i="6" s="1"/>
  <c r="M272" i="6"/>
  <c r="G272" i="6"/>
  <c r="O271" i="6"/>
  <c r="E271" i="6"/>
  <c r="F270" i="6"/>
  <c r="F271" i="6" s="1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G270" i="6" s="1"/>
  <c r="M260" i="6"/>
  <c r="G260" i="6"/>
  <c r="B260" i="6"/>
  <c r="B261" i="6" s="1"/>
  <c r="B262" i="6" s="1"/>
  <c r="B263" i="6" s="1"/>
  <c r="B264" i="6" s="1"/>
  <c r="B265" i="6" s="1"/>
  <c r="B266" i="6" s="1"/>
  <c r="B267" i="6" s="1"/>
  <c r="B268" i="6" s="1"/>
  <c r="B269" i="6" s="1"/>
  <c r="M259" i="6"/>
  <c r="G259" i="6"/>
  <c r="B259" i="6"/>
  <c r="M258" i="6"/>
  <c r="G258" i="6"/>
  <c r="F257" i="6"/>
  <c r="E257" i="6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B247" i="6"/>
  <c r="B248" i="6" s="1"/>
  <c r="B249" i="6" s="1"/>
  <c r="B250" i="6" s="1"/>
  <c r="B251" i="6" s="1"/>
  <c r="B252" i="6" s="1"/>
  <c r="B253" i="6" s="1"/>
  <c r="B254" i="6" s="1"/>
  <c r="B255" i="6" s="1"/>
  <c r="B256" i="6" s="1"/>
  <c r="M246" i="6"/>
  <c r="G246" i="6"/>
  <c r="B246" i="6"/>
  <c r="M245" i="6"/>
  <c r="G245" i="6"/>
  <c r="O244" i="6"/>
  <c r="F12" i="1" s="1"/>
  <c r="E244" i="6"/>
  <c r="F243" i="6"/>
  <c r="E243" i="6"/>
  <c r="M242" i="6"/>
  <c r="G242" i="6"/>
  <c r="M241" i="6"/>
  <c r="G241" i="6"/>
  <c r="M240" i="6"/>
  <c r="G240" i="6"/>
  <c r="M239" i="6"/>
  <c r="G239" i="6"/>
  <c r="M238" i="6"/>
  <c r="G238" i="6"/>
  <c r="G243" i="6" s="1"/>
  <c r="B238" i="6"/>
  <c r="B239" i="6" s="1"/>
  <c r="B240" i="6" s="1"/>
  <c r="B241" i="6" s="1"/>
  <c r="B242" i="6" s="1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M231" i="6"/>
  <c r="G231" i="6"/>
  <c r="F230" i="6"/>
  <c r="F244" i="6" s="1"/>
  <c r="E230" i="6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G230" i="6" s="1"/>
  <c r="G244" i="6" s="1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E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B210" i="6"/>
  <c r="B211" i="6" s="1"/>
  <c r="B212" i="6" s="1"/>
  <c r="B213" i="6" s="1"/>
  <c r="B214" i="6" s="1"/>
  <c r="B215" i="6" s="1"/>
  <c r="M209" i="6"/>
  <c r="G209" i="6"/>
  <c r="M208" i="6"/>
  <c r="G208" i="6"/>
  <c r="M207" i="6"/>
  <c r="G207" i="6"/>
  <c r="B207" i="6"/>
  <c r="B208" i="6" s="1"/>
  <c r="B209" i="6" s="1"/>
  <c r="M206" i="6"/>
  <c r="G206" i="6"/>
  <c r="B206" i="6"/>
  <c r="M205" i="6"/>
  <c r="G205" i="6"/>
  <c r="B205" i="6"/>
  <c r="M204" i="6"/>
  <c r="G204" i="6"/>
  <c r="F203" i="6"/>
  <c r="F217" i="6" s="1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E190" i="6"/>
  <c r="F189" i="6"/>
  <c r="E189" i="6"/>
  <c r="M188" i="6"/>
  <c r="G188" i="6"/>
  <c r="M187" i="6"/>
  <c r="G187" i="6"/>
  <c r="M186" i="6"/>
  <c r="G186" i="6"/>
  <c r="M185" i="6"/>
  <c r="G185" i="6"/>
  <c r="B185" i="6"/>
  <c r="B186" i="6" s="1"/>
  <c r="B187" i="6" s="1"/>
  <c r="B188" i="6" s="1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M177" i="6"/>
  <c r="G177" i="6"/>
  <c r="G176" i="6"/>
  <c r="F176" i="6"/>
  <c r="F190" i="6" s="1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B170" i="6"/>
  <c r="B171" i="6" s="1"/>
  <c r="B172" i="6" s="1"/>
  <c r="B173" i="6" s="1"/>
  <c r="B174" i="6" s="1"/>
  <c r="B175" i="6" s="1"/>
  <c r="M169" i="6"/>
  <c r="G169" i="6"/>
  <c r="B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M164" i="6"/>
  <c r="G164" i="6"/>
  <c r="O163" i="6"/>
  <c r="F162" i="6"/>
  <c r="E162" i="6"/>
  <c r="E163" i="6" s="1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B154" i="6"/>
  <c r="B155" i="6" s="1"/>
  <c r="B156" i="6" s="1"/>
  <c r="B157" i="6" s="1"/>
  <c r="B158" i="6" s="1"/>
  <c r="B159" i="6" s="1"/>
  <c r="B160" i="6" s="1"/>
  <c r="B161" i="6" s="1"/>
  <c r="M153" i="6"/>
  <c r="G153" i="6"/>
  <c r="M152" i="6"/>
  <c r="G152" i="6"/>
  <c r="M151" i="6"/>
  <c r="G151" i="6"/>
  <c r="B151" i="6"/>
  <c r="B152" i="6" s="1"/>
  <c r="B153" i="6" s="1"/>
  <c r="M150" i="6"/>
  <c r="G150" i="6"/>
  <c r="G149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F136" i="6" s="1"/>
  <c r="E135" i="6"/>
  <c r="M134" i="6"/>
  <c r="G134" i="6"/>
  <c r="M133" i="6"/>
  <c r="G133" i="6"/>
  <c r="M132" i="6"/>
  <c r="G132" i="6"/>
  <c r="B132" i="6"/>
  <c r="B133" i="6" s="1"/>
  <c r="B134" i="6" s="1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B114" i="6"/>
  <c r="B115" i="6" s="1"/>
  <c r="B116" i="6" s="1"/>
  <c r="B117" i="6" s="1"/>
  <c r="B118" i="6" s="1"/>
  <c r="B119" i="6" s="1"/>
  <c r="B120" i="6" s="1"/>
  <c r="B121" i="6" s="1"/>
  <c r="M113" i="6"/>
  <c r="G113" i="6"/>
  <c r="M112" i="6"/>
  <c r="G112" i="6"/>
  <c r="M111" i="6"/>
  <c r="G111" i="6"/>
  <c r="B111" i="6"/>
  <c r="B112" i="6" s="1"/>
  <c r="B113" i="6" s="1"/>
  <c r="M110" i="6"/>
  <c r="G110" i="6"/>
  <c r="O109" i="6"/>
  <c r="F7" i="1" s="1"/>
  <c r="F108" i="6"/>
  <c r="E108" i="6"/>
  <c r="M107" i="6"/>
  <c r="G107" i="6"/>
  <c r="M106" i="6"/>
  <c r="G106" i="6"/>
  <c r="M105" i="6"/>
  <c r="G105" i="6"/>
  <c r="M104" i="6"/>
  <c r="G104" i="6"/>
  <c r="M103" i="6"/>
  <c r="G103" i="6"/>
  <c r="B103" i="6"/>
  <c r="B104" i="6" s="1"/>
  <c r="B105" i="6" s="1"/>
  <c r="B106" i="6" s="1"/>
  <c r="B107" i="6" s="1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M96" i="6"/>
  <c r="G96" i="6"/>
  <c r="G95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B87" i="6"/>
  <c r="B88" i="6" s="1"/>
  <c r="B89" i="6" s="1"/>
  <c r="B90" i="6" s="1"/>
  <c r="B91" i="6" s="1"/>
  <c r="B92" i="6" s="1"/>
  <c r="B93" i="6" s="1"/>
  <c r="B94" i="6" s="1"/>
  <c r="M86" i="6"/>
  <c r="G86" i="6"/>
  <c r="M85" i="6"/>
  <c r="G85" i="6"/>
  <c r="M84" i="6"/>
  <c r="G84" i="6"/>
  <c r="B84" i="6"/>
  <c r="B85" i="6" s="1"/>
  <c r="B86" i="6" s="1"/>
  <c r="M83" i="6"/>
  <c r="G83" i="6"/>
  <c r="O82" i="6"/>
  <c r="G81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B73" i="6"/>
  <c r="B74" i="6" s="1"/>
  <c r="B75" i="6" s="1"/>
  <c r="B76" i="6" s="1"/>
  <c r="B77" i="6" s="1"/>
  <c r="B78" i="6" s="1"/>
  <c r="B79" i="6" s="1"/>
  <c r="B80" i="6" s="1"/>
  <c r="M72" i="6"/>
  <c r="G72" i="6"/>
  <c r="M71" i="6"/>
  <c r="G71" i="6"/>
  <c r="M70" i="6"/>
  <c r="G70" i="6"/>
  <c r="B70" i="6"/>
  <c r="B71" i="6" s="1"/>
  <c r="B72" i="6" s="1"/>
  <c r="M69" i="6"/>
  <c r="G69" i="6"/>
  <c r="F68" i="6"/>
  <c r="E68" i="6"/>
  <c r="E82" i="6" s="1"/>
  <c r="M67" i="6"/>
  <c r="G67" i="6"/>
  <c r="M66" i="6"/>
  <c r="G66" i="6"/>
  <c r="M65" i="6"/>
  <c r="G65" i="6"/>
  <c r="M64" i="6"/>
  <c r="G64" i="6"/>
  <c r="B64" i="6"/>
  <c r="B65" i="6" s="1"/>
  <c r="B66" i="6" s="1"/>
  <c r="B67" i="6" s="1"/>
  <c r="M63" i="6"/>
  <c r="G63" i="6"/>
  <c r="M62" i="6"/>
  <c r="G62" i="6"/>
  <c r="M61" i="6"/>
  <c r="G61" i="6"/>
  <c r="M60" i="6"/>
  <c r="G60" i="6"/>
  <c r="B60" i="6"/>
  <c r="B61" i="6" s="1"/>
  <c r="B62" i="6" s="1"/>
  <c r="B63" i="6" s="1"/>
  <c r="M59" i="6"/>
  <c r="G59" i="6"/>
  <c r="B59" i="6"/>
  <c r="M58" i="6"/>
  <c r="G58" i="6"/>
  <c r="B58" i="6"/>
  <c r="M57" i="6"/>
  <c r="G57" i="6"/>
  <c r="B57" i="6"/>
  <c r="M56" i="6"/>
  <c r="G56" i="6"/>
  <c r="G68" i="6" s="1"/>
  <c r="O55" i="6"/>
  <c r="F5" i="1" s="1"/>
  <c r="G5" i="1" s="1"/>
  <c r="F54" i="6"/>
  <c r="E54" i="6"/>
  <c r="M53" i="6"/>
  <c r="G53" i="6"/>
  <c r="M52" i="6"/>
  <c r="G52" i="6"/>
  <c r="M51" i="6"/>
  <c r="G51" i="6"/>
  <c r="M50" i="6"/>
  <c r="G50" i="6"/>
  <c r="M49" i="6"/>
  <c r="G49" i="6"/>
  <c r="M48" i="6"/>
  <c r="G48" i="6"/>
  <c r="M47" i="6"/>
  <c r="G47" i="6"/>
  <c r="B47" i="6"/>
  <c r="B48" i="6" s="1"/>
  <c r="B49" i="6" s="1"/>
  <c r="B50" i="6" s="1"/>
  <c r="B51" i="6" s="1"/>
  <c r="B52" i="6" s="1"/>
  <c r="B53" i="6" s="1"/>
  <c r="M46" i="6"/>
  <c r="G46" i="6"/>
  <c r="M45" i="6"/>
  <c r="G45" i="6"/>
  <c r="M44" i="6"/>
  <c r="G44" i="6"/>
  <c r="B44" i="6"/>
  <c r="B45" i="6" s="1"/>
  <c r="B46" i="6" s="1"/>
  <c r="M43" i="6"/>
  <c r="G43" i="6"/>
  <c r="B43" i="6"/>
  <c r="M42" i="6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B31" i="6"/>
  <c r="B32" i="6" s="1"/>
  <c r="B33" i="6" s="1"/>
  <c r="B34" i="6" s="1"/>
  <c r="B35" i="6" s="1"/>
  <c r="B36" i="6" s="1"/>
  <c r="B37" i="6" s="1"/>
  <c r="B38" i="6" s="1"/>
  <c r="B39" i="6" s="1"/>
  <c r="B40" i="6" s="1"/>
  <c r="M30" i="6"/>
  <c r="G30" i="6"/>
  <c r="B30" i="6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B19" i="6"/>
  <c r="B20" i="6" s="1"/>
  <c r="B21" i="6" s="1"/>
  <c r="B22" i="6" s="1"/>
  <c r="B23" i="6" s="1"/>
  <c r="B24" i="6" s="1"/>
  <c r="B25" i="6" s="1"/>
  <c r="B26" i="6" s="1"/>
  <c r="M18" i="6"/>
  <c r="G18" i="6"/>
  <c r="B18" i="6"/>
  <c r="M17" i="6"/>
  <c r="G17" i="6"/>
  <c r="B17" i="6"/>
  <c r="G16" i="6"/>
  <c r="B16" i="6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E55" i="5" l="1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G406" i="6" s="1"/>
  <c r="M392" i="3"/>
  <c r="M162" i="6"/>
  <c r="G514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109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G757" i="6" s="1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G541" i="6" s="1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352" i="4" l="1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<sst xmlns="http://schemas.openxmlformats.org/spreadsheetml/2006/main" count="1486" uniqueCount="206">
  <si>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</si>
  <si>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</si>
  <si>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</si>
  <si>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</si>
  <si>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</si>
  <si>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</si>
  <si>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</si>
  <si>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</si>
  <si>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</si>
  <si>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</si>
  <si>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</si>
  <si>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</si>
  <si>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</si>
  <si>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</si>
  <si>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</si>
  <si>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</si>
  <si>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</si>
  <si>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</si>
  <si>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</si>
  <si>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</si>
  <si>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</si>
  <si>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</si>
  <si>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</si>
  <si>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</si>
  <si>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</si>
  <si>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</si>
  <si>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</si>
  <si>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</si>
  <si>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</si>
  <si>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</si>
  <si>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</si>
  <si>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</si>
  <si>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</si>
  <si>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</si>
  <si>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</si>
  <si>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</si>
  <si>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</si>
  <si>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</si>
  <si>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</si>
  <si>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</si>
  <si>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</si>
  <si>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</si>
  <si>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</si>
  <si>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</si>
  <si>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</si>
  <si>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</si>
  <si>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</si>
  <si>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</si>
  <si>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</si>
  <si>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</si>
  <si>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</si>
  <si>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</si>
  <si>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</si>
  <si>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</si>
  <si>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</si>
  <si>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</si>
  <si>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</si>
  <si>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</si>
  <si>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</si>
  <si>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</si>
  <si>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</si>
  <si>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</si>
  <si>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</si>
  <si>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</si>
  <si>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</si>
  <si>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</si>
  <si>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</si>
  <si>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</si>
  <si>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</si>
  <si>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</si>
  <si>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</si>
  <si>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</si>
  <si>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</si>
  <si>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</si>
  <si>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</si>
  <si>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</si>
  <si>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</si>
  <si>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</si>
  <si>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</si>
  <si>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</si>
  <si>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</si>
  <si>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</si>
  <si>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</si>
  <si>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</si>
  <si>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</si>
  <si>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</si>
  <si>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</si>
  <si>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</si>
  <si>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</si>
  <si>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</si>
  <si>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</si>
  <si>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</si>
  <si>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</si>
  <si>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</si>
  <si>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</si>
  <si>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</si>
  <si>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</si>
  <si>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</si>
  <si>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</si>
  <si>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</si>
  <si>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</si>
  <si>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</si>
  <si>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</si>
  <si>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</si>
  <si>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</si>
  <si>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</si>
  <si>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</si>
  <si>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</si>
  <si>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</si>
  <si>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</si>
  <si>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</si>
  <si>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</si>
  <si>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</si>
  <si>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</si>
  <si>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</si>
  <si>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</si>
  <si>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</si>
  <si>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</si>
  <si>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</si>
  <si>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</si>
  <si>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</si>
  <si>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</si>
  <si>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</si>
  <si>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</si>
  <si>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</si>
  <si>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</si>
  <si>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</si>
  <si>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</si>
  <si>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</si>
  <si>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</si>
  <si>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</si>
  <si>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</si>
  <si>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</si>
  <si>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</si>
  <si>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</si>
  <si>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</si>
  <si>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</si>
  <si>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</si>
  <si>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</si>
  <si>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</si>
  <si>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</si>
  <si>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</si>
  <si>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</si>
  <si>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</si>
  <si>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</si>
  <si>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</si>
  <si>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</si>
  <si>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</si>
  <si>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</si>
  <si>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</si>
  <si>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</si>
  <si>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</si>
  <si>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</si>
  <si>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</si>
  <si>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</si>
  <si>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</si>
  <si>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</si>
  <si>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</si>
  <si>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</si>
  <si>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</si>
  <si>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</si>
  <si>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</si>
  <si>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</si>
  <si>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</si>
  <si>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</si>
  <si>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</si>
  <si>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</si>
  <si>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</si>
  <si>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</si>
  <si>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</si>
  <si>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</si>
  <si>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fazendo um servico de solda no cavalete da tc02</t>
  </si>
  <si>
    <t>emenda da tc 03</t>
  </si>
  <si>
    <t>reforço de solda nas orelhas dos martelos</t>
  </si>
  <si>
    <t>TC3 travada</t>
  </si>
  <si>
    <t>ℹ  Cada coluna corresponde a um Tipo de Parada. Adicione descrições nas linhas vazias de cada coluna.</t>
  </si>
  <si>
    <t>anel de vedaçao encostando na trampa</t>
  </si>
  <si>
    <t>solda na luva do moinho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</si>
  <si>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</si>
  <si>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</si>
  <si>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</si>
  <si>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</si>
  <si>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</si>
  <si>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</si>
  <si>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</si>
  <si>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</si>
  <si>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</si>
  <si>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</si>
  <si>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</si>
  <si>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</si>
  <si>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</si>
  <si>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</si>
  <si>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</si>
  <si>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</si>
  <si>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</si>
  <si>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</si>
  <si>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PC 17</t>
  </si>
  <si>
    <t>9;06</t>
  </si>
  <si>
    <t>martelo soltou, troca de martelo, aperto de parafuso do mancal, manutenção bomba de rejeito</t>
  </si>
  <si>
    <t>solda na grelha</t>
  </si>
  <si>
    <t>solda na tampa do moinho</t>
  </si>
  <si>
    <t>troca de grelha e martelo, manutenção bomba de rejeito</t>
  </si>
  <si>
    <t>manutençao no rolamento do moinho 4</t>
  </si>
  <si>
    <t>troca de martelo</t>
  </si>
  <si>
    <t>OBS: APENAS MM 05 EM OPERACÃO</t>
  </si>
  <si>
    <t>bola 4 entupido, acoplamento do bola 3 solto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</si>
</sst>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1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92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B3" sqref="B3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83" t="s">
        <v>0</v>
      </c>
      <c r="B1" s="83"/>
      <c r="C1" s="83"/>
      <c r="D1" s="83"/>
      <c r="E1" s="83"/>
      <c r="F1" s="83"/>
      <c r="G1" s="83"/>
    </row>
    <row r="2" spans="1:7" ht="24.75" customHeight="1">
      <c r="A2" s="84"/>
      <c r="B2" s="84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0</v>
      </c>
      <c r="D5" s="11">
        <f>IFERROR('Linha 1'!O55,"")</f>
        <v>0</v>
      </c>
      <c r="E5" s="11">
        <f>IFERROR('Linha 2'!O55,"")</f>
        <v>0</v>
      </c>
      <c r="F5" s="11">
        <f>IFERROR('Linha 3'!O55,"")</f>
        <v>0</v>
      </c>
      <c r="G5" s="12">
        <f t="shared" si="0"/>
        <v>0</v>
      </c>
    </row>
    <row r="6" spans="1:7" ht="15.75" customHeight="1">
      <c r="A6" s="7">
        <v>3</v>
      </c>
      <c r="B6" s="73">
        <v>46206</v>
      </c>
      <c r="C6" s="8">
        <f>IFERROR(Britador!O82,"")</f>
        <v>0</v>
      </c>
      <c r="D6" s="8">
        <f>IFERROR('Linha 1'!O82,"")</f>
        <v>0</v>
      </c>
      <c r="E6" s="8">
        <f>IFERROR('Linha 2'!O82,"")</f>
        <v>0</v>
      </c>
      <c r="F6" s="8">
        <f>IFERROR('Linha 3'!O82,"")</f>
        <v>0</v>
      </c>
      <c r="G6" s="9">
        <f t="shared" si="0"/>
        <v>0</v>
      </c>
    </row>
    <row r="7" spans="1:7" ht="15.75" customHeight="1">
      <c r="A7" s="10">
        <v>4</v>
      </c>
      <c r="B7" s="74">
        <v>46207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>
      <c r="A8" s="7">
        <v>5</v>
      </c>
      <c r="B8" s="73">
        <v>46208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4">
        <v>46209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3">
        <v>46210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4">
        <v>46211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85" t="s">
        <v>9</v>
      </c>
      <c r="B35" s="85"/>
      <c r="C35" s="13">
        <f>IFERROR(SUM(C4:C34),"")</f>
        <v>2672480</v>
      </c>
      <c r="D35" s="13">
        <f>IFERROR(SUM(D4:D34),"")</f>
        <v>1020460</v>
      </c>
      <c r="E35" s="13">
        <f>IFERROR(SUM(E4:E34),"")</f>
        <v>601030</v>
      </c>
      <c r="F35" s="13">
        <f>IFERROR(SUM(F4:F34),"")</f>
        <v>529300</v>
      </c>
      <c r="G35" s="13">
        <f>IFERROR(SUM(G4:G34),"")</f>
        <v>2150790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14" zoomScale="85" zoomScaleNormal="85" workbookViewId="0">
      <selection activeCell="K52" sqref="K52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86" t="s">
        <v>10</v>
      </c>
      <c r="B1" s="86"/>
      <c r="C1" s="86"/>
      <c r="D1" s="86"/>
      <c r="E1" s="86"/>
      <c r="F1" s="86"/>
      <c r="G1" s="86"/>
      <c r="H1" s="87"/>
      <c r="I1" s="88" t="s">
        <v>11</v>
      </c>
      <c r="J1" s="88"/>
      <c r="K1" s="88"/>
      <c r="L1" s="88"/>
      <c r="M1" s="88"/>
    </row>
    <row r="2" spans="1:13" ht="4.5" customHeight="1">
      <c r="H2" s="87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87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87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87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87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87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87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87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87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87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87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87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87"/>
      <c r="I14" s="16"/>
      <c r="J14" s="16" t="s">
        <v>86</v>
      </c>
      <c r="K14" s="16" t="s">
        <v>87</v>
      </c>
      <c r="L14" s="16" t="s">
        <v>88</v>
      </c>
      <c r="M14" s="16" t="s">
        <v>89</v>
      </c>
    </row>
    <row r="15" spans="1:13" ht="15.75" customHeight="1">
      <c r="A15" s="17"/>
      <c r="C15" s="17"/>
      <c r="E15" s="17"/>
      <c r="G15" s="17" t="s">
        <v>90</v>
      </c>
      <c r="H15" s="87"/>
      <c r="I15" s="17"/>
      <c r="J15" s="17" t="s">
        <v>91</v>
      </c>
      <c r="K15" s="17" t="s">
        <v>92</v>
      </c>
      <c r="L15" s="17" t="s">
        <v>93</v>
      </c>
      <c r="M15" s="17" t="s">
        <v>94</v>
      </c>
    </row>
    <row r="16" spans="1:13" ht="15.75" customHeight="1">
      <c r="A16" s="16"/>
      <c r="C16" s="16"/>
      <c r="E16" s="16"/>
      <c r="G16" s="16" t="s">
        <v>95</v>
      </c>
      <c r="H16" s="87"/>
      <c r="I16" s="16"/>
      <c r="J16" s="16"/>
      <c r="K16" s="16" t="s">
        <v>96</v>
      </c>
      <c r="L16" s="16" t="s">
        <v>97</v>
      </c>
      <c r="M16" s="16" t="s">
        <v>98</v>
      </c>
    </row>
    <row r="17" spans="1:13" ht="15.75" customHeight="1">
      <c r="A17" s="17"/>
      <c r="C17" s="17"/>
      <c r="E17" s="17"/>
      <c r="G17" s="17" t="s">
        <v>99</v>
      </c>
      <c r="H17" s="87"/>
      <c r="I17" s="17"/>
      <c r="J17" s="17"/>
      <c r="K17" s="17" t="s">
        <v>100</v>
      </c>
      <c r="L17" s="17" t="s">
        <v>101</v>
      </c>
      <c r="M17" s="17" t="s">
        <v>102</v>
      </c>
    </row>
    <row r="18" spans="1:13" ht="15.75" customHeight="1">
      <c r="A18" s="16"/>
      <c r="C18" s="16"/>
      <c r="E18" s="16"/>
      <c r="G18" s="16" t="s">
        <v>103</v>
      </c>
      <c r="H18" s="87"/>
      <c r="I18" s="16"/>
      <c r="J18" s="16"/>
      <c r="K18" s="16" t="s">
        <v>104</v>
      </c>
      <c r="L18" s="16" t="s">
        <v>105</v>
      </c>
      <c r="M18" s="16" t="s">
        <v>106</v>
      </c>
    </row>
    <row r="19" spans="1:13" ht="15.75" customHeight="1">
      <c r="A19" s="17"/>
      <c r="C19" s="17"/>
      <c r="E19" s="17"/>
      <c r="G19" s="17" t="s">
        <v>107</v>
      </c>
      <c r="H19" s="87"/>
      <c r="I19" s="17"/>
      <c r="J19" s="17"/>
      <c r="K19" s="17" t="s">
        <v>108</v>
      </c>
      <c r="L19" s="17"/>
      <c r="M19" s="17" t="s">
        <v>109</v>
      </c>
    </row>
    <row r="20" spans="1:13" ht="15.75" customHeight="1">
      <c r="A20" s="16"/>
      <c r="C20" s="16"/>
      <c r="E20" s="16"/>
      <c r="G20" s="16" t="s">
        <v>110</v>
      </c>
      <c r="H20" s="87"/>
      <c r="I20" s="16"/>
      <c r="J20" s="16"/>
      <c r="K20" s="16" t="s">
        <v>111</v>
      </c>
      <c r="L20" s="16"/>
      <c r="M20" s="16" t="s">
        <v>112</v>
      </c>
    </row>
    <row r="21" spans="1:13" ht="15.75" customHeight="1">
      <c r="A21" s="17"/>
      <c r="C21" s="17"/>
      <c r="E21" s="17"/>
      <c r="G21" s="17" t="s">
        <v>113</v>
      </c>
      <c r="H21" s="87"/>
      <c r="I21" s="17"/>
      <c r="J21" s="17"/>
      <c r="K21" s="17" t="s">
        <v>114</v>
      </c>
      <c r="L21" s="17"/>
      <c r="M21" s="17" t="s">
        <v>115</v>
      </c>
    </row>
    <row r="22" spans="1:13" ht="15.75" customHeight="1">
      <c r="A22" s="16"/>
      <c r="C22" s="16"/>
      <c r="E22" s="16"/>
      <c r="G22" s="16" t="s">
        <v>116</v>
      </c>
      <c r="H22" s="87"/>
      <c r="I22" s="16"/>
      <c r="J22" s="16"/>
      <c r="K22" s="16" t="s">
        <v>117</v>
      </c>
      <c r="L22" s="16"/>
      <c r="M22" s="16" t="s">
        <v>118</v>
      </c>
    </row>
    <row r="23" spans="1:13" ht="15.75" customHeight="1">
      <c r="A23" s="17"/>
      <c r="C23" s="17"/>
      <c r="E23" s="17"/>
      <c r="G23" s="17" t="s">
        <v>119</v>
      </c>
      <c r="H23" s="87"/>
      <c r="I23" s="17"/>
      <c r="J23" s="17"/>
      <c r="K23" s="17" t="s">
        <v>120</v>
      </c>
      <c r="L23" s="17"/>
      <c r="M23" s="17" t="s">
        <v>121</v>
      </c>
    </row>
    <row r="24" spans="1:13" ht="15.75" customHeight="1">
      <c r="A24" s="16"/>
      <c r="C24" s="16"/>
      <c r="E24" s="16"/>
      <c r="G24" s="16" t="s">
        <v>122</v>
      </c>
      <c r="H24" s="87"/>
      <c r="I24" s="16"/>
      <c r="J24" s="16"/>
      <c r="K24" s="16" t="s">
        <v>123</v>
      </c>
      <c r="L24" s="16"/>
      <c r="M24" s="16" t="s">
        <v>124</v>
      </c>
    </row>
    <row r="25" spans="1:13" ht="15.75" customHeight="1">
      <c r="A25" s="17"/>
      <c r="C25" s="17"/>
      <c r="E25" s="17"/>
      <c r="G25" s="17" t="s">
        <v>125</v>
      </c>
      <c r="H25" s="87"/>
      <c r="I25" s="17"/>
      <c r="J25" s="17"/>
      <c r="K25" s="17" t="s">
        <v>126</v>
      </c>
      <c r="L25" s="17"/>
      <c r="M25" s="17" t="s">
        <v>127</v>
      </c>
    </row>
    <row r="26" spans="1:13" ht="15.75" customHeight="1">
      <c r="A26" s="16"/>
      <c r="C26" s="16"/>
      <c r="E26" s="16"/>
      <c r="G26" s="16" t="s">
        <v>128</v>
      </c>
      <c r="H26" s="87"/>
      <c r="I26" s="16"/>
      <c r="J26" s="16"/>
      <c r="K26" s="16" t="s">
        <v>129</v>
      </c>
      <c r="L26" s="16"/>
      <c r="M26" s="16"/>
    </row>
    <row r="27" spans="1:13" ht="15.75" customHeight="1">
      <c r="A27" s="17"/>
      <c r="C27" s="17"/>
      <c r="E27" s="17"/>
      <c r="G27" s="17" t="s">
        <v>130</v>
      </c>
      <c r="H27" s="87"/>
      <c r="I27" s="17"/>
      <c r="J27" s="17"/>
      <c r="K27" s="17" t="s">
        <v>121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131</v>
      </c>
      <c r="H28" s="87"/>
      <c r="I28" s="16"/>
      <c r="J28" s="16"/>
      <c r="K28" s="16" t="s">
        <v>124</v>
      </c>
      <c r="L28" s="16"/>
      <c r="M28" s="16" t="s">
        <v>132</v>
      </c>
    </row>
    <row r="29" spans="1:13" ht="15.75" customHeight="1">
      <c r="A29" s="17"/>
      <c r="C29" s="17"/>
      <c r="E29" s="17"/>
      <c r="G29" s="17" t="s">
        <v>133</v>
      </c>
      <c r="H29" s="87"/>
      <c r="I29" s="17"/>
      <c r="J29" s="17"/>
      <c r="K29" s="17" t="s">
        <v>134</v>
      </c>
      <c r="L29" s="17"/>
      <c r="M29" s="17" t="s">
        <v>135</v>
      </c>
    </row>
    <row r="30" spans="1:13" ht="15.75" customHeight="1">
      <c r="A30" s="16"/>
      <c r="C30" s="16"/>
      <c r="E30" s="16"/>
      <c r="G30" s="16" t="s">
        <v>136</v>
      </c>
      <c r="H30" s="87"/>
      <c r="I30" s="16"/>
      <c r="J30" s="16"/>
      <c r="K30" s="16" t="s">
        <v>137</v>
      </c>
      <c r="L30" s="16"/>
      <c r="M30" s="16" t="s">
        <v>138</v>
      </c>
    </row>
    <row r="31" spans="1:13" ht="15.75" customHeight="1">
      <c r="A31" s="17"/>
      <c r="C31" s="17"/>
      <c r="E31" s="17"/>
      <c r="G31" s="17" t="s">
        <v>139</v>
      </c>
      <c r="H31" s="87"/>
      <c r="I31" s="17"/>
      <c r="J31" s="17"/>
      <c r="K31" s="18" t="s">
        <v>140</v>
      </c>
      <c r="L31" s="17"/>
      <c r="M31" s="17" t="s">
        <v>141</v>
      </c>
    </row>
    <row r="32" spans="1:13" ht="15.75" customHeight="1">
      <c r="A32" s="16"/>
      <c r="C32" s="16"/>
      <c r="E32" s="16"/>
      <c r="G32" s="16" t="s">
        <v>142</v>
      </c>
      <c r="H32" s="87"/>
      <c r="I32" s="16"/>
      <c r="J32" s="16"/>
      <c r="K32" s="16" t="s">
        <v>143</v>
      </c>
      <c r="L32" s="16"/>
      <c r="M32" t="s">
        <v>144</v>
      </c>
    </row>
    <row r="33" spans="1:13" ht="15.75" customHeight="1">
      <c r="A33" s="17"/>
      <c r="C33" s="17"/>
      <c r="E33" s="17"/>
      <c r="G33" s="17" t="s">
        <v>145</v>
      </c>
      <c r="H33" s="87"/>
      <c r="I33" s="17"/>
      <c r="J33" s="17"/>
      <c r="K33" s="18" t="s">
        <v>146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147</v>
      </c>
      <c r="H34" s="87"/>
      <c r="I34" s="16"/>
      <c r="J34" s="16"/>
      <c r="K34" s="16" t="s">
        <v>79</v>
      </c>
      <c r="L34" s="16"/>
      <c r="M34" s="16" t="s">
        <v>148</v>
      </c>
    </row>
    <row r="35" spans="1:13" ht="15.75" customHeight="1">
      <c r="A35" s="17"/>
      <c r="C35" s="17"/>
      <c r="E35" s="17"/>
      <c r="G35" s="17" t="s">
        <v>149</v>
      </c>
      <c r="H35" s="87"/>
      <c r="I35" s="17"/>
      <c r="J35" s="17"/>
      <c r="K35" s="17" t="s">
        <v>150</v>
      </c>
      <c r="L35" s="17"/>
      <c r="M35" s="17" t="s">
        <v>151</v>
      </c>
    </row>
    <row r="36" spans="1:13" ht="15.75" customHeight="1">
      <c r="A36" s="16"/>
      <c r="C36" s="16"/>
      <c r="E36" s="16"/>
      <c r="G36" s="16" t="s">
        <v>152</v>
      </c>
      <c r="H36" s="87"/>
      <c r="I36" s="16"/>
      <c r="J36" s="16"/>
      <c r="K36" s="16" t="s">
        <v>153</v>
      </c>
      <c r="L36" s="16"/>
      <c r="M36" s="16" t="s">
        <v>154</v>
      </c>
    </row>
    <row r="37" spans="1:13" ht="15.75" customHeight="1">
      <c r="A37" s="17"/>
      <c r="C37" s="17"/>
      <c r="E37" s="17"/>
      <c r="G37" s="17" t="s">
        <v>155</v>
      </c>
      <c r="H37" s="87"/>
      <c r="I37" s="17"/>
      <c r="J37" s="17"/>
      <c r="K37" s="17" t="s">
        <v>156</v>
      </c>
      <c r="L37" s="17"/>
      <c r="M37" s="17" t="s">
        <v>157</v>
      </c>
    </row>
    <row r="38" spans="1:13" ht="15.75" customHeight="1">
      <c r="A38" s="16"/>
      <c r="C38" s="16"/>
      <c r="E38" s="16"/>
      <c r="G38" s="16"/>
      <c r="H38" s="87"/>
      <c r="I38" s="16"/>
      <c r="J38" s="16"/>
      <c r="K38" s="16" t="s">
        <v>158</v>
      </c>
      <c r="L38" s="16"/>
      <c r="M38" s="16" t="s">
        <v>159</v>
      </c>
    </row>
    <row r="39" spans="1:13" ht="15.75" customHeight="1">
      <c r="A39" s="17"/>
      <c r="C39" s="17"/>
      <c r="E39" s="17"/>
      <c r="G39" s="17"/>
      <c r="H39" s="87"/>
      <c r="I39" s="17"/>
      <c r="J39" s="17"/>
      <c r="K39" s="17" t="s">
        <v>160</v>
      </c>
      <c r="L39" s="17"/>
      <c r="M39" s="17" t="s">
        <v>161</v>
      </c>
    </row>
    <row r="40" spans="1:13" ht="15.75" customHeight="1">
      <c r="A40" s="16"/>
      <c r="C40" s="16"/>
      <c r="E40" s="16"/>
      <c r="G40" s="16"/>
      <c r="H40" s="87"/>
      <c r="I40" s="16"/>
      <c r="J40" s="16"/>
      <c r="K40" s="16" t="s">
        <v>162</v>
      </c>
      <c r="L40" s="16"/>
      <c r="M40" s="16" t="s">
        <v>163</v>
      </c>
    </row>
    <row r="41" spans="1:13" ht="15.75" customHeight="1">
      <c r="A41" s="17"/>
      <c r="C41" s="17"/>
      <c r="E41" s="17"/>
      <c r="G41" s="17"/>
      <c r="H41" s="87"/>
      <c r="I41" s="17"/>
      <c r="J41" s="17"/>
      <c r="K41" s="17" t="s">
        <v>164</v>
      </c>
      <c r="L41" s="17"/>
      <c r="M41" s="17" t="s">
        <v>165</v>
      </c>
    </row>
    <row r="42" spans="1:13" ht="15.75" customHeight="1">
      <c r="A42" s="16"/>
      <c r="C42" s="16"/>
      <c r="E42" s="16"/>
      <c r="G42" s="16"/>
      <c r="H42" s="87"/>
      <c r="I42" s="16"/>
      <c r="J42" s="16"/>
      <c r="K42" s="16" t="s">
        <v>166</v>
      </c>
      <c r="L42" s="16"/>
      <c r="M42" s="16" t="s">
        <v>167</v>
      </c>
    </row>
    <row r="43" spans="1:13" ht="15.75" customHeight="1">
      <c r="A43" s="17"/>
      <c r="C43" s="17"/>
      <c r="E43" s="17"/>
      <c r="G43" s="17"/>
      <c r="H43" s="87"/>
      <c r="I43" s="17"/>
      <c r="J43" s="17"/>
      <c r="K43" s="17" t="s">
        <v>168</v>
      </c>
      <c r="L43" s="17"/>
      <c r="M43" s="17" t="s">
        <v>169</v>
      </c>
    </row>
    <row r="44" spans="1:13" ht="15.75" customHeight="1">
      <c r="A44" s="16"/>
      <c r="C44" s="16"/>
      <c r="E44" s="16"/>
      <c r="G44" s="16"/>
      <c r="H44" s="87"/>
      <c r="I44" s="16"/>
      <c r="J44" s="16"/>
      <c r="K44" s="16" t="s">
        <v>170</v>
      </c>
      <c r="L44" s="16"/>
      <c r="M44" s="16"/>
    </row>
    <row r="45" spans="1:13" ht="15.75" customHeight="1">
      <c r="A45" s="17"/>
      <c r="C45" s="17"/>
      <c r="E45" s="17"/>
      <c r="G45" s="17"/>
      <c r="H45" s="87"/>
      <c r="I45" s="17"/>
      <c r="J45" s="17"/>
      <c r="K45" s="17"/>
      <c r="L45" s="17"/>
      <c r="M45" s="17"/>
    </row>
    <row r="46" spans="1:13" ht="15.75" customHeight="1">
      <c r="A46" s="16"/>
      <c r="C46" s="16"/>
      <c r="E46" s="16"/>
      <c r="G46" s="16"/>
      <c r="H46" s="87"/>
      <c r="I46" s="16"/>
      <c r="J46" s="16"/>
      <c r="K46" s="16" t="s">
        <v>171</v>
      </c>
      <c r="L46" s="16"/>
      <c r="M46" s="16"/>
    </row>
    <row r="47" spans="1:13" ht="15.75" customHeight="1">
      <c r="A47" s="17"/>
      <c r="C47" s="17"/>
      <c r="E47" s="17"/>
      <c r="G47" s="17"/>
      <c r="H47" s="87"/>
      <c r="I47" s="17"/>
      <c r="J47" s="17"/>
      <c r="K47" s="17" t="s">
        <v>172</v>
      </c>
      <c r="L47" s="17"/>
      <c r="M47" s="17"/>
    </row>
    <row r="48" spans="1:13" ht="15.75" customHeight="1">
      <c r="A48" s="16"/>
      <c r="C48" s="16"/>
      <c r="E48" s="16"/>
      <c r="G48" s="16"/>
      <c r="H48" s="87"/>
      <c r="I48" s="16"/>
      <c r="J48" s="16"/>
      <c r="K48" s="16" t="s">
        <v>173</v>
      </c>
      <c r="L48" s="16"/>
      <c r="M48" s="16"/>
    </row>
    <row r="49" spans="1:13" ht="18" customHeight="1">
      <c r="H49" s="87"/>
      <c r="I49" s="17"/>
      <c r="J49" s="17"/>
      <c r="K49" s="17" t="s">
        <v>174</v>
      </c>
      <c r="L49" s="17"/>
      <c r="M49" s="17"/>
    </row>
    <row r="50" spans="1:13" ht="21" customHeight="1">
      <c r="A50" s="19" t="s">
        <v>175</v>
      </c>
      <c r="B50" s="19"/>
      <c r="C50" s="19"/>
      <c r="D50" s="19"/>
      <c r="E50" s="19"/>
      <c r="F50" s="19"/>
      <c r="G50" s="19"/>
      <c r="H50" s="87"/>
      <c r="I50" s="16"/>
      <c r="J50" s="16"/>
      <c r="K50" s="16" t="s">
        <v>176</v>
      </c>
      <c r="L50" s="16"/>
      <c r="M50" s="16"/>
    </row>
    <row r="51" spans="1:13" ht="24" customHeight="1">
      <c r="H51" s="87"/>
      <c r="I51" s="17"/>
      <c r="J51" s="17"/>
      <c r="K51" s="17" t="s">
        <v>177</v>
      </c>
      <c r="L51" s="17"/>
      <c r="M51" s="17"/>
    </row>
    <row r="52" spans="1:13" ht="24" customHeight="1">
      <c r="H52" s="87"/>
      <c r="I52" s="16"/>
      <c r="J52" s="16"/>
      <c r="K52" s="16"/>
      <c r="L52" s="16"/>
      <c r="M52" s="16"/>
    </row>
    <row r="53" spans="1:13" ht="36" customHeight="1">
      <c r="H53" s="87"/>
      <c r="I53" s="17"/>
      <c r="J53" s="17"/>
      <c r="K53" s="17"/>
      <c r="L53" s="17"/>
      <c r="M53" s="17"/>
    </row>
    <row r="54" spans="1:13" ht="15" customHeight="1">
      <c r="H54" s="87"/>
      <c r="I54" s="16"/>
      <c r="J54" s="16"/>
      <c r="K54" s="16"/>
      <c r="L54" s="16"/>
      <c r="M54" s="16"/>
    </row>
    <row r="55" spans="1:13" ht="15" customHeight="1">
      <c r="H55" s="87"/>
      <c r="I55" s="17"/>
      <c r="J55" s="17"/>
      <c r="K55" s="17"/>
      <c r="L55" s="17"/>
      <c r="M55" s="17"/>
    </row>
    <row r="56" spans="1:13" ht="15" customHeight="1">
      <c r="H56" s="87"/>
      <c r="I56" s="16"/>
      <c r="J56" s="16"/>
      <c r="K56" s="16"/>
      <c r="L56" s="16"/>
      <c r="M56" s="16"/>
    </row>
    <row r="57" spans="1:13" ht="15" customHeight="1">
      <c r="H57" s="87"/>
      <c r="I57" s="17"/>
      <c r="J57" s="17"/>
      <c r="K57" s="17"/>
      <c r="L57" s="17"/>
      <c r="M57" s="17"/>
    </row>
    <row r="58" spans="1:13" ht="15" customHeight="1">
      <c r="H58" s="87"/>
      <c r="I58" s="16"/>
      <c r="J58" s="16"/>
      <c r="K58" s="16"/>
      <c r="L58" s="16"/>
      <c r="M58" s="16"/>
    </row>
    <row r="59" spans="1:13" ht="15" customHeight="1">
      <c r="H59" s="87"/>
      <c r="I59" s="17"/>
      <c r="J59" s="17"/>
      <c r="K59" s="17"/>
      <c r="L59" s="17"/>
      <c r="M59" s="17"/>
    </row>
    <row r="60" spans="1:13" ht="15" customHeight="1">
      <c r="H60" s="87"/>
      <c r="I60" s="16"/>
      <c r="J60" s="16"/>
      <c r="K60" s="16"/>
      <c r="L60" s="16"/>
      <c r="M60" s="16"/>
    </row>
    <row r="61" spans="1:13" ht="15" customHeight="1">
      <c r="H61" s="87"/>
      <c r="I61" s="17"/>
      <c r="J61" s="17"/>
      <c r="K61" s="17"/>
      <c r="L61" s="17"/>
      <c r="M61" s="17"/>
    </row>
    <row r="62" spans="1:13" ht="15" customHeight="1">
      <c r="H62" s="87"/>
      <c r="I62" s="16"/>
      <c r="J62" s="16"/>
      <c r="K62" s="16"/>
      <c r="L62" s="16"/>
      <c r="M62" s="16"/>
    </row>
    <row r="63" spans="1:13" ht="15" customHeight="1">
      <c r="H63" s="87"/>
      <c r="I63" s="17"/>
      <c r="J63" s="17"/>
      <c r="K63" s="17"/>
      <c r="L63" s="17"/>
      <c r="M63" s="17"/>
    </row>
    <row r="64" spans="1:13" ht="15" customHeight="1">
      <c r="H64" s="87"/>
      <c r="I64" s="16"/>
      <c r="J64" s="16"/>
      <c r="K64" s="16"/>
      <c r="L64" s="16"/>
      <c r="M64" s="16"/>
    </row>
    <row r="65" spans="8:13" ht="15" customHeight="1">
      <c r="H65" s="87"/>
      <c r="I65" s="17"/>
      <c r="J65" s="17"/>
      <c r="K65" s="17"/>
      <c r="L65" s="17"/>
      <c r="M65" s="17"/>
    </row>
    <row r="66" spans="8:13" ht="15" customHeight="1">
      <c r="H66" s="87"/>
      <c r="I66" s="16"/>
      <c r="J66" s="16"/>
      <c r="K66" s="16"/>
      <c r="L66" s="16"/>
      <c r="M66" s="16"/>
    </row>
    <row r="67" spans="8:13" ht="15" customHeight="1">
      <c r="H67" s="87"/>
      <c r="I67" s="17"/>
      <c r="J67" s="17"/>
      <c r="K67" s="17"/>
      <c r="L67" s="17"/>
      <c r="M67" s="17"/>
    </row>
    <row r="68" spans="8:13" ht="15" customHeight="1">
      <c r="H68" s="87"/>
      <c r="I68" s="16"/>
      <c r="J68" s="16"/>
      <c r="K68" s="16"/>
      <c r="L68" s="16"/>
      <c r="M68" s="16"/>
    </row>
    <row r="69" spans="8:13" ht="15" customHeight="1">
      <c r="H69" s="87"/>
      <c r="I69" s="17"/>
      <c r="J69" s="17"/>
      <c r="K69" s="17"/>
      <c r="L69" s="17"/>
      <c r="M69" s="17"/>
    </row>
    <row r="70" spans="8:13" ht="15" customHeight="1">
      <c r="H70" s="87"/>
      <c r="I70" s="16"/>
      <c r="J70" s="16"/>
      <c r="K70" s="16"/>
      <c r="L70" s="16"/>
      <c r="M70" s="16"/>
    </row>
    <row r="71" spans="8:13" ht="15" customHeight="1">
      <c r="H71" s="87"/>
      <c r="I71" s="17"/>
      <c r="J71" s="17"/>
      <c r="K71" s="17"/>
      <c r="L71" s="17"/>
      <c r="M71" s="17"/>
    </row>
    <row r="72" spans="8:13" ht="15" customHeight="1">
      <c r="H72" s="87"/>
      <c r="I72" s="16"/>
      <c r="J72" s="16"/>
      <c r="K72" s="16"/>
      <c r="L72" s="16"/>
      <c r="M72" s="16"/>
    </row>
    <row r="73" spans="8:13" ht="15" customHeight="1">
      <c r="H73" s="87"/>
      <c r="I73" s="17"/>
      <c r="J73" s="17"/>
      <c r="K73" s="17"/>
      <c r="L73" s="17"/>
      <c r="M73" s="17"/>
    </row>
    <row r="74" spans="8:13" ht="15" customHeight="1">
      <c r="H74" s="87"/>
      <c r="I74" s="16"/>
      <c r="J74" s="16"/>
      <c r="K74" s="16"/>
      <c r="L74" s="16"/>
      <c r="M74" s="16"/>
    </row>
    <row r="75" spans="8:13" ht="15" customHeight="1">
      <c r="H75" s="87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2" activePane="bottomLeft" state="frozen"/>
      <selection pane="bottomLeft" activeCell="J30" sqref="J30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178</v>
      </c>
      <c r="C1" s="23" t="s">
        <v>12</v>
      </c>
      <c r="D1" s="22" t="s">
        <v>13</v>
      </c>
      <c r="E1" s="22" t="s">
        <v>179</v>
      </c>
      <c r="F1" s="23" t="s">
        <v>180</v>
      </c>
      <c r="G1" s="23" t="s">
        <v>181</v>
      </c>
      <c r="H1" s="23" t="s">
        <v>14</v>
      </c>
      <c r="I1" s="23" t="s">
        <v>15</v>
      </c>
      <c r="J1" s="23" t="s">
        <v>182</v>
      </c>
      <c r="K1" s="23" t="s">
        <v>183</v>
      </c>
      <c r="L1" s="23" t="s">
        <v>184</v>
      </c>
      <c r="M1" s="24" t="s">
        <v>185</v>
      </c>
      <c r="N1" s="23" t="s">
        <v>186</v>
      </c>
      <c r="O1" s="23" t="s">
        <v>187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188</v>
      </c>
      <c r="E2" s="59" t="s">
        <v>189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101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190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189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135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189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189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189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189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189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189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189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189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189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189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77" t="s">
        <v>191</v>
      </c>
      <c r="B14" s="78"/>
      <c r="C14" s="78"/>
      <c r="D14" s="78"/>
      <c r="E14" s="79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192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189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189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189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189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189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189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189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189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189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189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189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189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77" t="s">
        <v>193</v>
      </c>
      <c r="B27" s="78"/>
      <c r="C27" s="78"/>
      <c r="D27" s="78"/>
      <c r="E27" s="79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192</v>
      </c>
      <c r="O27" s="39">
        <v>1183060</v>
      </c>
    </row>
    <row r="28" spans="1:15" ht="18" customHeight="1">
      <c r="A28" s="80" t="s">
        <v>194</v>
      </c>
      <c r="B28" s="81"/>
      <c r="C28" s="81"/>
      <c r="D28" s="81"/>
      <c r="E28" s="82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195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189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189</v>
      </c>
      <c r="F30" s="27"/>
      <c r="G30" s="34" t="str">
        <f t="shared" si="6"/>
        <v/>
      </c>
      <c r="H30" s="26" t="s">
        <v>18</v>
      </c>
      <c r="I30" s="26" t="s">
        <v>23</v>
      </c>
      <c r="J30" s="26" t="s">
        <v>172</v>
      </c>
      <c r="K30" s="29">
        <v>0.37916666666666665</v>
      </c>
      <c r="L30" s="29"/>
      <c r="M30" s="30">
        <f t="shared" ca="1" si="7"/>
        <v>4.0350810188101605E-2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189</v>
      </c>
      <c r="F31" s="27"/>
      <c r="G31" s="28" t="str">
        <f t="shared" si="6"/>
        <v/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189</v>
      </c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189</v>
      </c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189</v>
      </c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189</v>
      </c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189</v>
      </c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189</v>
      </c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189</v>
      </c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189</v>
      </c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189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77" t="s">
        <v>191</v>
      </c>
      <c r="B41" s="78"/>
      <c r="C41" s="78"/>
      <c r="D41" s="78"/>
      <c r="E41" s="79">
        <f>SUM(E29:E40)</f>
        <v>0</v>
      </c>
      <c r="F41" s="36">
        <f>SUM(F29:F40)</f>
        <v>11</v>
      </c>
      <c r="G41" s="36">
        <f>SUM(G29:G40)</f>
        <v>55</v>
      </c>
      <c r="H41" s="37"/>
      <c r="I41" s="37"/>
      <c r="J41" s="37"/>
      <c r="K41" s="37"/>
      <c r="L41" s="37"/>
      <c r="M41" s="38">
        <f ca="1">IFERROR(SUM(M29:M40),"")</f>
        <v>8.7573032410323826E-2</v>
      </c>
      <c r="N41" s="36" t="s">
        <v>192</v>
      </c>
      <c r="O41" s="39"/>
    </row>
    <row r="42" spans="1:15" ht="15" customHeight="1">
      <c r="A42" s="70">
        <v>46205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19",F42*5,"")))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77" t="s">
        <v>193</v>
      </c>
      <c r="B54" s="78"/>
      <c r="C54" s="78"/>
      <c r="D54" s="78"/>
      <c r="E54" s="79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192</v>
      </c>
      <c r="O54" s="39"/>
    </row>
    <row r="55" spans="1:15" ht="18" customHeight="1">
      <c r="A55" s="80" t="s">
        <v>194</v>
      </c>
      <c r="B55" s="81"/>
      <c r="C55" s="81"/>
      <c r="D55" s="81"/>
      <c r="E55" s="82">
        <f>E41+E54</f>
        <v>0</v>
      </c>
      <c r="F55" s="40">
        <f>F41+F54</f>
        <v>11</v>
      </c>
      <c r="G55" s="40">
        <f>G41+G54</f>
        <v>55</v>
      </c>
      <c r="H55" s="41"/>
      <c r="I55" s="41"/>
      <c r="J55" s="41"/>
      <c r="K55" s="41"/>
      <c r="L55" s="41"/>
      <c r="M55" s="42">
        <f ca="1">IFERROR(M41+M54,"")</f>
        <v>8.7573032410323826E-2</v>
      </c>
      <c r="N55" s="40" t="s">
        <v>195</v>
      </c>
      <c r="O55" s="43">
        <f>IFERROR(O41+O54,"")</f>
        <v>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77" t="s">
        <v>191</v>
      </c>
      <c r="B68" s="78"/>
      <c r="C68" s="78"/>
      <c r="D68" s="78"/>
      <c r="E68" s="7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192</v>
      </c>
      <c r="O68" s="39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77" t="s">
        <v>193</v>
      </c>
      <c r="B81" s="78"/>
      <c r="C81" s="78"/>
      <c r="D81" s="78"/>
      <c r="E81" s="79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192</v>
      </c>
      <c r="O81" s="39"/>
    </row>
    <row r="82" spans="1:15" ht="18" customHeight="1">
      <c r="A82" s="80" t="s">
        <v>194</v>
      </c>
      <c r="B82" s="81"/>
      <c r="C82" s="81"/>
      <c r="D82" s="81"/>
      <c r="E82" s="82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195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77" t="s">
        <v>191</v>
      </c>
      <c r="B95" s="78"/>
      <c r="C95" s="78"/>
      <c r="D95" s="78"/>
      <c r="E95" s="79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192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77" t="s">
        <v>193</v>
      </c>
      <c r="B108" s="78"/>
      <c r="C108" s="78"/>
      <c r="D108" s="78"/>
      <c r="E108" s="7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192</v>
      </c>
      <c r="O108" s="39"/>
    </row>
    <row r="109" spans="1:15" ht="18" customHeight="1">
      <c r="A109" s="80" t="s">
        <v>194</v>
      </c>
      <c r="B109" s="81"/>
      <c r="C109" s="81"/>
      <c r="D109" s="81"/>
      <c r="E109" s="82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195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77" t="s">
        <v>191</v>
      </c>
      <c r="B122" s="78"/>
      <c r="C122" s="78"/>
      <c r="D122" s="78"/>
      <c r="E122" s="79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192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77" t="s">
        <v>193</v>
      </c>
      <c r="B135" s="78"/>
      <c r="C135" s="78"/>
      <c r="D135" s="78"/>
      <c r="E135" s="79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192</v>
      </c>
      <c r="O135" s="39"/>
    </row>
    <row r="136" spans="1:15" ht="18" customHeight="1">
      <c r="A136" s="80" t="s">
        <v>194</v>
      </c>
      <c r="B136" s="81"/>
      <c r="C136" s="81"/>
      <c r="D136" s="81"/>
      <c r="E136" s="82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195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77" t="s">
        <v>191</v>
      </c>
      <c r="B149" s="78"/>
      <c r="C149" s="78"/>
      <c r="D149" s="78"/>
      <c r="E149" s="79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192</v>
      </c>
      <c r="O149" s="4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77" t="s">
        <v>193</v>
      </c>
      <c r="B162" s="78"/>
      <c r="C162" s="78"/>
      <c r="D162" s="78"/>
      <c r="E162" s="7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192</v>
      </c>
      <c r="O162" s="44"/>
    </row>
    <row r="163" spans="1:15" ht="18" customHeight="1">
      <c r="A163" s="80" t="s">
        <v>194</v>
      </c>
      <c r="B163" s="81"/>
      <c r="C163" s="81"/>
      <c r="D163" s="81"/>
      <c r="E163" s="82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195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77" t="s">
        <v>191</v>
      </c>
      <c r="B176" s="78"/>
      <c r="C176" s="78"/>
      <c r="D176" s="78"/>
      <c r="E176" s="7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192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77" t="s">
        <v>193</v>
      </c>
      <c r="B189" s="78"/>
      <c r="C189" s="78"/>
      <c r="D189" s="78"/>
      <c r="E189" s="7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192</v>
      </c>
      <c r="O189" s="39"/>
    </row>
    <row r="190" spans="1:15" ht="18" customHeight="1">
      <c r="A190" s="80" t="s">
        <v>194</v>
      </c>
      <c r="B190" s="81"/>
      <c r="C190" s="81"/>
      <c r="D190" s="81"/>
      <c r="E190" s="8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195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77" t="s">
        <v>191</v>
      </c>
      <c r="B203" s="78"/>
      <c r="C203" s="78"/>
      <c r="D203" s="78"/>
      <c r="E203" s="7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192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77" t="s">
        <v>193</v>
      </c>
      <c r="B216" s="78"/>
      <c r="C216" s="78"/>
      <c r="D216" s="78"/>
      <c r="E216" s="7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192</v>
      </c>
      <c r="O216" s="45"/>
    </row>
    <row r="217" spans="1:15" ht="18" customHeight="1">
      <c r="A217" s="80" t="s">
        <v>194</v>
      </c>
      <c r="B217" s="81"/>
      <c r="C217" s="81"/>
      <c r="D217" s="81"/>
      <c r="E217" s="8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195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77" t="s">
        <v>191</v>
      </c>
      <c r="B230" s="78"/>
      <c r="C230" s="78"/>
      <c r="D230" s="78"/>
      <c r="E230" s="7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192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77" t="s">
        <v>193</v>
      </c>
      <c r="B243" s="78"/>
      <c r="C243" s="78"/>
      <c r="D243" s="78"/>
      <c r="E243" s="7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192</v>
      </c>
      <c r="O243" s="39"/>
    </row>
    <row r="244" spans="1:15" ht="18" customHeight="1">
      <c r="A244" s="80" t="s">
        <v>194</v>
      </c>
      <c r="B244" s="81"/>
      <c r="C244" s="81"/>
      <c r="D244" s="81"/>
      <c r="E244" s="8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195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77" t="s">
        <v>191</v>
      </c>
      <c r="B257" s="78"/>
      <c r="C257" s="78"/>
      <c r="D257" s="78"/>
      <c r="E257" s="7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192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77" t="s">
        <v>193</v>
      </c>
      <c r="B270" s="78"/>
      <c r="C270" s="78"/>
      <c r="D270" s="78"/>
      <c r="E270" s="7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192</v>
      </c>
      <c r="O270" s="39"/>
    </row>
    <row r="271" spans="1:15" ht="18" customHeight="1">
      <c r="A271" s="80" t="s">
        <v>194</v>
      </c>
      <c r="B271" s="81"/>
      <c r="C271" s="81"/>
      <c r="D271" s="81"/>
      <c r="E271" s="8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195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77" t="s">
        <v>191</v>
      </c>
      <c r="B284" s="78"/>
      <c r="C284" s="78"/>
      <c r="D284" s="78"/>
      <c r="E284" s="7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192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77" t="s">
        <v>193</v>
      </c>
      <c r="B297" s="78"/>
      <c r="C297" s="78"/>
      <c r="D297" s="78"/>
      <c r="E297" s="7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192</v>
      </c>
      <c r="O297" s="39"/>
    </row>
    <row r="298" spans="1:15" ht="18" customHeight="1">
      <c r="A298" s="80" t="s">
        <v>194</v>
      </c>
      <c r="B298" s="81"/>
      <c r="C298" s="81"/>
      <c r="D298" s="81"/>
      <c r="E298" s="8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195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77" t="s">
        <v>191</v>
      </c>
      <c r="B311" s="78"/>
      <c r="C311" s="78"/>
      <c r="D311" s="78"/>
      <c r="E311" s="7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192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77" t="s">
        <v>193</v>
      </c>
      <c r="B324" s="78"/>
      <c r="C324" s="78"/>
      <c r="D324" s="78"/>
      <c r="E324" s="7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192</v>
      </c>
      <c r="O324" s="39"/>
    </row>
    <row r="325" spans="1:15" ht="18" customHeight="1">
      <c r="A325" s="80" t="s">
        <v>194</v>
      </c>
      <c r="B325" s="81"/>
      <c r="C325" s="81"/>
      <c r="D325" s="81"/>
      <c r="E325" s="8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195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77" t="s">
        <v>191</v>
      </c>
      <c r="B338" s="78"/>
      <c r="C338" s="78"/>
      <c r="D338" s="78"/>
      <c r="E338" s="7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192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77" t="s">
        <v>193</v>
      </c>
      <c r="B351" s="78"/>
      <c r="C351" s="78"/>
      <c r="D351" s="78"/>
      <c r="E351" s="7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192</v>
      </c>
      <c r="O351" s="39"/>
    </row>
    <row r="352" spans="1:15" ht="18" customHeight="1">
      <c r="A352" s="80" t="s">
        <v>194</v>
      </c>
      <c r="B352" s="81"/>
      <c r="C352" s="81"/>
      <c r="D352" s="81"/>
      <c r="E352" s="8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195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77" t="s">
        <v>191</v>
      </c>
      <c r="B365" s="78"/>
      <c r="C365" s="78"/>
      <c r="D365" s="78"/>
      <c r="E365" s="7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192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77" t="s">
        <v>193</v>
      </c>
      <c r="B378" s="78"/>
      <c r="C378" s="78"/>
      <c r="D378" s="78"/>
      <c r="E378" s="7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192</v>
      </c>
      <c r="O378" s="39"/>
    </row>
    <row r="379" spans="1:15" ht="18" customHeight="1">
      <c r="A379" s="80" t="s">
        <v>194</v>
      </c>
      <c r="B379" s="81"/>
      <c r="C379" s="81"/>
      <c r="D379" s="81"/>
      <c r="E379" s="8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195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77" t="s">
        <v>191</v>
      </c>
      <c r="B392" s="78"/>
      <c r="C392" s="78"/>
      <c r="D392" s="78"/>
      <c r="E392" s="7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192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77" t="s">
        <v>193</v>
      </c>
      <c r="B405" s="78"/>
      <c r="C405" s="78"/>
      <c r="D405" s="78"/>
      <c r="E405" s="7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192</v>
      </c>
      <c r="O405" s="39"/>
    </row>
    <row r="406" spans="1:15" ht="18" customHeight="1">
      <c r="A406" s="80" t="s">
        <v>194</v>
      </c>
      <c r="B406" s="81"/>
      <c r="C406" s="81"/>
      <c r="D406" s="81"/>
      <c r="E406" s="8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195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77" t="s">
        <v>191</v>
      </c>
      <c r="B419" s="78"/>
      <c r="C419" s="78"/>
      <c r="D419" s="78"/>
      <c r="E419" s="7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192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77" t="s">
        <v>193</v>
      </c>
      <c r="B432" s="78"/>
      <c r="C432" s="78"/>
      <c r="D432" s="78"/>
      <c r="E432" s="7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192</v>
      </c>
      <c r="O432" s="39"/>
    </row>
    <row r="433" spans="1:15" ht="18" customHeight="1">
      <c r="A433" s="80" t="s">
        <v>194</v>
      </c>
      <c r="B433" s="81"/>
      <c r="C433" s="81"/>
      <c r="D433" s="81"/>
      <c r="E433" s="8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195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77" t="s">
        <v>191</v>
      </c>
      <c r="B446" s="78"/>
      <c r="C446" s="78"/>
      <c r="D446" s="78"/>
      <c r="E446" s="7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192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77" t="s">
        <v>193</v>
      </c>
      <c r="B459" s="78"/>
      <c r="C459" s="78"/>
      <c r="D459" s="78"/>
      <c r="E459" s="7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192</v>
      </c>
      <c r="O459" s="39"/>
    </row>
    <row r="460" spans="1:15" ht="18" customHeight="1">
      <c r="A460" s="80" t="s">
        <v>194</v>
      </c>
      <c r="B460" s="81"/>
      <c r="C460" s="81"/>
      <c r="D460" s="81"/>
      <c r="E460" s="8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195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77" t="s">
        <v>191</v>
      </c>
      <c r="B473" s="78"/>
      <c r="C473" s="78"/>
      <c r="D473" s="78"/>
      <c r="E473" s="7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192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77" t="s">
        <v>193</v>
      </c>
      <c r="B486" s="78"/>
      <c r="C486" s="78"/>
      <c r="D486" s="78"/>
      <c r="E486" s="7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192</v>
      </c>
      <c r="O486" s="39"/>
    </row>
    <row r="487" spans="1:15" ht="18" customHeight="1">
      <c r="A487" s="80" t="s">
        <v>194</v>
      </c>
      <c r="B487" s="81"/>
      <c r="C487" s="81"/>
      <c r="D487" s="81"/>
      <c r="E487" s="8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195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77" t="s">
        <v>191</v>
      </c>
      <c r="B500" s="78"/>
      <c r="C500" s="78"/>
      <c r="D500" s="78"/>
      <c r="E500" s="7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192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77" t="s">
        <v>193</v>
      </c>
      <c r="B513" s="78"/>
      <c r="C513" s="78"/>
      <c r="D513" s="78"/>
      <c r="E513" s="7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192</v>
      </c>
      <c r="O513" s="39"/>
    </row>
    <row r="514" spans="1:15" ht="18" customHeight="1">
      <c r="A514" s="80" t="s">
        <v>194</v>
      </c>
      <c r="B514" s="81"/>
      <c r="C514" s="81"/>
      <c r="D514" s="81"/>
      <c r="E514" s="8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195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77" t="s">
        <v>191</v>
      </c>
      <c r="B527" s="78"/>
      <c r="C527" s="78"/>
      <c r="D527" s="78"/>
      <c r="E527" s="7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192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77" t="s">
        <v>193</v>
      </c>
      <c r="B540" s="78"/>
      <c r="C540" s="78"/>
      <c r="D540" s="78"/>
      <c r="E540" s="7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192</v>
      </c>
      <c r="O540" s="39"/>
    </row>
    <row r="541" spans="1:15" ht="18" customHeight="1">
      <c r="A541" s="80" t="s">
        <v>194</v>
      </c>
      <c r="B541" s="81"/>
      <c r="C541" s="81"/>
      <c r="D541" s="81"/>
      <c r="E541" s="8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195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77" t="s">
        <v>191</v>
      </c>
      <c r="B554" s="78"/>
      <c r="C554" s="78"/>
      <c r="D554" s="78"/>
      <c r="E554" s="7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192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77" t="s">
        <v>193</v>
      </c>
      <c r="B567" s="78"/>
      <c r="C567" s="78"/>
      <c r="D567" s="78"/>
      <c r="E567" s="7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192</v>
      </c>
      <c r="O567" s="39"/>
    </row>
    <row r="568" spans="1:15" ht="18" customHeight="1">
      <c r="A568" s="80" t="s">
        <v>194</v>
      </c>
      <c r="B568" s="81"/>
      <c r="C568" s="81"/>
      <c r="D568" s="81"/>
      <c r="E568" s="8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195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77" t="s">
        <v>191</v>
      </c>
      <c r="B581" s="78"/>
      <c r="C581" s="78"/>
      <c r="D581" s="78"/>
      <c r="E581" s="7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192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77" t="s">
        <v>193</v>
      </c>
      <c r="B594" s="78"/>
      <c r="C594" s="78"/>
      <c r="D594" s="78"/>
      <c r="E594" s="7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192</v>
      </c>
      <c r="O594" s="39"/>
    </row>
    <row r="595" spans="1:15" ht="18" customHeight="1">
      <c r="A595" s="80" t="s">
        <v>194</v>
      </c>
      <c r="B595" s="81"/>
      <c r="C595" s="81"/>
      <c r="D595" s="81"/>
      <c r="E595" s="8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195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77" t="s">
        <v>191</v>
      </c>
      <c r="B608" s="78"/>
      <c r="C608" s="78"/>
      <c r="D608" s="78"/>
      <c r="E608" s="7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192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77" t="s">
        <v>193</v>
      </c>
      <c r="B621" s="78"/>
      <c r="C621" s="78"/>
      <c r="D621" s="78"/>
      <c r="E621" s="7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192</v>
      </c>
      <c r="O621" s="39"/>
    </row>
    <row r="622" spans="1:15" ht="18" customHeight="1">
      <c r="A622" s="80" t="s">
        <v>194</v>
      </c>
      <c r="B622" s="81"/>
      <c r="C622" s="81"/>
      <c r="D622" s="81"/>
      <c r="E622" s="8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195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77" t="s">
        <v>191</v>
      </c>
      <c r="B635" s="78"/>
      <c r="C635" s="78"/>
      <c r="D635" s="78"/>
      <c r="E635" s="7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192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77" t="s">
        <v>193</v>
      </c>
      <c r="B648" s="78"/>
      <c r="C648" s="78"/>
      <c r="D648" s="78"/>
      <c r="E648" s="7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192</v>
      </c>
      <c r="O648" s="39"/>
    </row>
    <row r="649" spans="1:15" ht="18" customHeight="1">
      <c r="A649" s="80" t="s">
        <v>194</v>
      </c>
      <c r="B649" s="81"/>
      <c r="C649" s="81"/>
      <c r="D649" s="81"/>
      <c r="E649" s="8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195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77" t="s">
        <v>191</v>
      </c>
      <c r="B662" s="78"/>
      <c r="C662" s="78"/>
      <c r="D662" s="78"/>
      <c r="E662" s="7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192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77" t="s">
        <v>193</v>
      </c>
      <c r="B675" s="78"/>
      <c r="C675" s="78"/>
      <c r="D675" s="78"/>
      <c r="E675" s="7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192</v>
      </c>
      <c r="O675" s="39"/>
    </row>
    <row r="676" spans="1:15" ht="18" customHeight="1">
      <c r="A676" s="80" t="s">
        <v>194</v>
      </c>
      <c r="B676" s="81"/>
      <c r="C676" s="81"/>
      <c r="D676" s="81"/>
      <c r="E676" s="8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195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77" t="s">
        <v>191</v>
      </c>
      <c r="B689" s="78"/>
      <c r="C689" s="78"/>
      <c r="D689" s="78"/>
      <c r="E689" s="7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192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77" t="s">
        <v>193</v>
      </c>
      <c r="B702" s="78"/>
      <c r="C702" s="78"/>
      <c r="D702" s="78"/>
      <c r="E702" s="7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192</v>
      </c>
      <c r="O702" s="39"/>
    </row>
    <row r="703" spans="1:15" ht="18" customHeight="1">
      <c r="A703" s="80" t="s">
        <v>194</v>
      </c>
      <c r="B703" s="81"/>
      <c r="C703" s="81"/>
      <c r="D703" s="81"/>
      <c r="E703" s="8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195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77" t="s">
        <v>191</v>
      </c>
      <c r="B716" s="78"/>
      <c r="C716" s="78"/>
      <c r="D716" s="78"/>
      <c r="E716" s="7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192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77" t="s">
        <v>193</v>
      </c>
      <c r="B729" s="78"/>
      <c r="C729" s="78"/>
      <c r="D729" s="78"/>
      <c r="E729" s="7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192</v>
      </c>
      <c r="O729" s="39"/>
    </row>
    <row r="730" spans="1:15" ht="18" customHeight="1">
      <c r="A730" s="80" t="s">
        <v>194</v>
      </c>
      <c r="B730" s="81"/>
      <c r="C730" s="81"/>
      <c r="D730" s="81"/>
      <c r="E730" s="8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195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77" t="s">
        <v>191</v>
      </c>
      <c r="B743" s="78"/>
      <c r="C743" s="78"/>
      <c r="D743" s="78"/>
      <c r="E743" s="7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192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77" t="s">
        <v>193</v>
      </c>
      <c r="B756" s="78"/>
      <c r="C756" s="78"/>
      <c r="D756" s="78"/>
      <c r="E756" s="7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192</v>
      </c>
      <c r="O756" s="39"/>
    </row>
    <row r="757" spans="1:15" ht="18" customHeight="1">
      <c r="A757" s="80" t="s">
        <v>194</v>
      </c>
      <c r="B757" s="81"/>
      <c r="C757" s="81"/>
      <c r="D757" s="81"/>
      <c r="E757" s="8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195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77" t="s">
        <v>191</v>
      </c>
      <c r="B770" s="78"/>
      <c r="C770" s="78"/>
      <c r="D770" s="78"/>
      <c r="E770" s="7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192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77" t="s">
        <v>193</v>
      </c>
      <c r="B783" s="78"/>
      <c r="C783" s="78"/>
      <c r="D783" s="78"/>
      <c r="E783" s="7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192</v>
      </c>
      <c r="O783" s="39"/>
    </row>
    <row r="784" spans="1:15" ht="18" customHeight="1">
      <c r="A784" s="80" t="s">
        <v>194</v>
      </c>
      <c r="B784" s="81"/>
      <c r="C784" s="81"/>
      <c r="D784" s="81"/>
      <c r="E784" s="8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195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77" t="s">
        <v>191</v>
      </c>
      <c r="B797" s="78"/>
      <c r="C797" s="78"/>
      <c r="D797" s="78"/>
      <c r="E797" s="7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192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77" t="s">
        <v>193</v>
      </c>
      <c r="B810" s="78"/>
      <c r="C810" s="78"/>
      <c r="D810" s="78"/>
      <c r="E810" s="7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192</v>
      </c>
      <c r="O810" s="39"/>
    </row>
    <row r="811" spans="1:15" ht="18" customHeight="1">
      <c r="A811" s="80" t="s">
        <v>194</v>
      </c>
      <c r="B811" s="81"/>
      <c r="C811" s="81"/>
      <c r="D811" s="81"/>
      <c r="E811" s="8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195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9:E811 E2:E13 E15:E26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2" activePane="bottomLeft" state="frozen"/>
      <selection pane="bottomLeft" activeCell="L31" sqref="L31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4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178</v>
      </c>
      <c r="C1" s="23" t="s">
        <v>12</v>
      </c>
      <c r="D1" s="22" t="s">
        <v>13</v>
      </c>
      <c r="E1" s="22" t="s">
        <v>179</v>
      </c>
      <c r="F1" s="23" t="s">
        <v>180</v>
      </c>
      <c r="G1" s="23" t="s">
        <v>181</v>
      </c>
      <c r="H1" s="23" t="s">
        <v>14</v>
      </c>
      <c r="I1" s="23" t="s">
        <v>15</v>
      </c>
      <c r="J1" s="23" t="s">
        <v>182</v>
      </c>
      <c r="K1" s="23" t="s">
        <v>183</v>
      </c>
      <c r="L1" s="23" t="s">
        <v>184</v>
      </c>
      <c r="M1" s="24" t="s">
        <v>185</v>
      </c>
      <c r="N1" s="23" t="s">
        <v>186</v>
      </c>
      <c r="O1" s="23" t="s">
        <v>187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196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196</v>
      </c>
      <c r="F3" s="27">
        <v>10</v>
      </c>
      <c r="G3" s="34">
        <f t="shared" si="0"/>
        <v>42</v>
      </c>
      <c r="H3" s="33" t="s">
        <v>19</v>
      </c>
      <c r="I3" s="33" t="s">
        <v>149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196</v>
      </c>
      <c r="F4" s="27">
        <v>8</v>
      </c>
      <c r="G4" s="28">
        <f t="shared" si="0"/>
        <v>33.6</v>
      </c>
      <c r="H4" s="26" t="s">
        <v>19</v>
      </c>
      <c r="I4" s="26" t="s">
        <v>149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196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196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196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196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196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196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196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196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196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77" t="s">
        <v>191</v>
      </c>
      <c r="B14" s="78"/>
      <c r="C14" s="78"/>
      <c r="D14" s="78"/>
      <c r="E14" s="79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192</v>
      </c>
      <c r="O14" s="90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196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149</v>
      </c>
      <c r="J15" s="33" t="s">
        <v>156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196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196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196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196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196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196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196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196</v>
      </c>
      <c r="F23" s="89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196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196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196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77" t="s">
        <v>193</v>
      </c>
      <c r="B27" s="78"/>
      <c r="C27" s="78"/>
      <c r="D27" s="78"/>
      <c r="E27" s="79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192</v>
      </c>
      <c r="O27" s="90">
        <v>393200</v>
      </c>
    </row>
    <row r="28" spans="1:15" ht="18" customHeight="1">
      <c r="A28" s="80" t="s">
        <v>194</v>
      </c>
      <c r="B28" s="81"/>
      <c r="C28" s="81"/>
      <c r="D28" s="81"/>
      <c r="E28" s="82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195</v>
      </c>
      <c r="O28" s="4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196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 t="s">
        <v>197</v>
      </c>
      <c r="M29" s="35" t="str">
        <f t="shared" ref="M29:M40" ca="1" si="7">IFERROR(IF(K29="","",IF(L29="",MOD(NOW()-K29,1),IF(L29&gt;=K29,L29-K29,L29+1-K29))),"")</f>
        <v/>
      </c>
      <c r="N29" s="46" t="s">
        <v>198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196</v>
      </c>
      <c r="F30" s="27"/>
      <c r="G30" s="34" t="str">
        <f t="shared" si="6"/>
        <v/>
      </c>
      <c r="H30" s="26" t="s">
        <v>18</v>
      </c>
      <c r="I30" s="26" t="s">
        <v>31</v>
      </c>
      <c r="J30" s="26" t="s">
        <v>177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196</v>
      </c>
      <c r="F31" s="27"/>
      <c r="G31" s="28" t="str">
        <f t="shared" si="6"/>
        <v/>
      </c>
      <c r="H31" s="33"/>
      <c r="I31" s="33"/>
      <c r="J31" s="33"/>
      <c r="K31" s="29"/>
      <c r="L31" s="29"/>
      <c r="M31" s="35" t="str">
        <f t="shared" ca="1" si="7"/>
        <v/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196</v>
      </c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196</v>
      </c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196</v>
      </c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196</v>
      </c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196</v>
      </c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196</v>
      </c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196</v>
      </c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196</v>
      </c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196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77" t="s">
        <v>191</v>
      </c>
      <c r="B41" s="78"/>
      <c r="C41" s="78"/>
      <c r="D41" s="78"/>
      <c r="E41" s="79">
        <f>SUM(E29:E40)</f>
        <v>0</v>
      </c>
      <c r="F41" s="36">
        <f>SUM(F29:F40)</f>
        <v>11</v>
      </c>
      <c r="G41" s="36">
        <f>SUM(G29:G40)</f>
        <v>46.2</v>
      </c>
      <c r="H41" s="37"/>
      <c r="I41" s="37"/>
      <c r="J41" s="37"/>
      <c r="K41" s="37"/>
      <c r="L41" s="37"/>
      <c r="M41" s="38">
        <f ca="1">IFERROR(SUM(M29:M40),"")</f>
        <v>2.2916666666666641E-2</v>
      </c>
      <c r="N41" s="36" t="s">
        <v>192</v>
      </c>
      <c r="O41" s="54"/>
    </row>
    <row r="42" spans="1:15" ht="15" customHeight="1">
      <c r="A42" s="70">
        <v>46205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19",F42*5,"")))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46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46"/>
      <c r="O43" s="31"/>
    </row>
    <row r="44" spans="1:15" ht="15" customHeight="1">
      <c r="A44" s="70">
        <v>46205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46"/>
      <c r="O44" s="31"/>
    </row>
    <row r="45" spans="1:15" ht="15" customHeight="1">
      <c r="A45" s="69">
        <v>46205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46"/>
      <c r="O45" s="31"/>
    </row>
    <row r="46" spans="1:15" ht="15" customHeight="1">
      <c r="A46" s="70">
        <v>46205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46"/>
      <c r="O46" s="31"/>
    </row>
    <row r="47" spans="1:15" ht="15" customHeight="1">
      <c r="A47" s="69">
        <v>46205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46"/>
      <c r="O47" s="31"/>
    </row>
    <row r="48" spans="1:15" ht="15" customHeight="1">
      <c r="A48" s="70">
        <v>46205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46"/>
      <c r="O48" s="31"/>
    </row>
    <row r="49" spans="1:15" ht="15" customHeight="1">
      <c r="A49" s="69">
        <v>46205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46"/>
      <c r="O49" s="31"/>
    </row>
    <row r="50" spans="1:15" ht="15" customHeight="1">
      <c r="A50" s="70">
        <v>46205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46"/>
      <c r="O50" s="31"/>
    </row>
    <row r="51" spans="1:15" ht="15" customHeight="1">
      <c r="A51" s="69">
        <v>46205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46"/>
      <c r="O51" s="31"/>
    </row>
    <row r="52" spans="1:15" ht="15" customHeight="1">
      <c r="A52" s="70">
        <v>46205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46"/>
      <c r="O52" s="31"/>
    </row>
    <row r="53" spans="1:15" ht="15" customHeight="1">
      <c r="A53" s="69">
        <v>46205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46"/>
      <c r="O53" s="31"/>
    </row>
    <row r="54" spans="1:15" ht="15.75" customHeight="1">
      <c r="A54" s="77" t="s">
        <v>193</v>
      </c>
      <c r="B54" s="78"/>
      <c r="C54" s="78"/>
      <c r="D54" s="78"/>
      <c r="E54" s="79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192</v>
      </c>
      <c r="O54" s="54"/>
    </row>
    <row r="55" spans="1:15" ht="18" customHeight="1">
      <c r="A55" s="80" t="s">
        <v>194</v>
      </c>
      <c r="B55" s="81"/>
      <c r="C55" s="81"/>
      <c r="D55" s="81"/>
      <c r="E55" s="82">
        <f>E41+E54</f>
        <v>0</v>
      </c>
      <c r="F55" s="40">
        <f>F41+F54</f>
        <v>11</v>
      </c>
      <c r="G55" s="40">
        <f>G41+G54</f>
        <v>46.2</v>
      </c>
      <c r="H55" s="41"/>
      <c r="I55" s="41"/>
      <c r="J55" s="41"/>
      <c r="K55" s="41"/>
      <c r="L55" s="41"/>
      <c r="M55" s="42">
        <f ca="1">IFERROR(M41+M54,"")</f>
        <v>2.2916666666666641E-2</v>
      </c>
      <c r="N55" s="40" t="s">
        <v>195</v>
      </c>
      <c r="O55" s="43">
        <f>IFERROR(O41+O54,"")</f>
        <v>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5" t="str">
        <f t="shared" ref="M56:M67" ca="1" si="13">IFERROR(IF(K56="","",IF(L56="",MOD(NOW()-K56,1),IF(L56&gt;=K56,L56-K56,L56+1-K56))),"")</f>
        <v/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0" t="str">
        <f t="shared" ca="1" si="13"/>
        <v/>
      </c>
      <c r="N57" s="46"/>
      <c r="O57" s="31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5" t="str">
        <f t="shared" ca="1" si="13"/>
        <v/>
      </c>
      <c r="N58" s="46"/>
      <c r="O58" s="31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77" t="s">
        <v>191</v>
      </c>
      <c r="B68" s="78"/>
      <c r="C68" s="78"/>
      <c r="D68" s="78"/>
      <c r="E68" s="7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192</v>
      </c>
      <c r="O68" s="54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0" t="str">
        <f t="shared" ref="M69:M80" ca="1" si="16">IFERROR(IF(K69="","",IF(L69="",MOD(NOW()-K69,1),IF(L69&gt;=K69,L69-K69,L69+1-K69))),"")</f>
        <v/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5" t="str">
        <f t="shared" ca="1" si="16"/>
        <v/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77" t="s">
        <v>193</v>
      </c>
      <c r="B81" s="78"/>
      <c r="C81" s="78"/>
      <c r="D81" s="78"/>
      <c r="E81" s="79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192</v>
      </c>
      <c r="O81" s="54"/>
    </row>
    <row r="82" spans="1:15" ht="18" customHeight="1">
      <c r="A82" s="80" t="s">
        <v>194</v>
      </c>
      <c r="B82" s="81"/>
      <c r="C82" s="81"/>
      <c r="D82" s="81"/>
      <c r="E82" s="82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195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46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77" t="s">
        <v>191</v>
      </c>
      <c r="B95" s="78"/>
      <c r="C95" s="78"/>
      <c r="D95" s="78"/>
      <c r="E95" s="79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192</v>
      </c>
      <c r="O95" s="54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77" t="s">
        <v>193</v>
      </c>
      <c r="B108" s="78"/>
      <c r="C108" s="78"/>
      <c r="D108" s="78"/>
      <c r="E108" s="7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192</v>
      </c>
      <c r="O108" s="54"/>
    </row>
    <row r="109" spans="1:15" ht="18" customHeight="1">
      <c r="A109" s="80" t="s">
        <v>194</v>
      </c>
      <c r="B109" s="81"/>
      <c r="C109" s="81"/>
      <c r="D109" s="81"/>
      <c r="E109" s="82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195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77" t="s">
        <v>191</v>
      </c>
      <c r="B122" s="78"/>
      <c r="C122" s="78"/>
      <c r="D122" s="78"/>
      <c r="E122" s="79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192</v>
      </c>
      <c r="O122" s="54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4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77" t="s">
        <v>193</v>
      </c>
      <c r="B135" s="78"/>
      <c r="C135" s="78"/>
      <c r="D135" s="78"/>
      <c r="E135" s="79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192</v>
      </c>
      <c r="O135" s="54"/>
    </row>
    <row r="136" spans="1:15" ht="18" customHeight="1">
      <c r="A136" s="80" t="s">
        <v>194</v>
      </c>
      <c r="B136" s="81"/>
      <c r="C136" s="81"/>
      <c r="D136" s="81"/>
      <c r="E136" s="82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195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77" t="s">
        <v>191</v>
      </c>
      <c r="B149" s="78"/>
      <c r="C149" s="78"/>
      <c r="D149" s="78"/>
      <c r="E149" s="79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192</v>
      </c>
      <c r="O149" s="5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77" t="s">
        <v>193</v>
      </c>
      <c r="B162" s="78"/>
      <c r="C162" s="78"/>
      <c r="D162" s="78"/>
      <c r="E162" s="7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192</v>
      </c>
      <c r="O162" s="54"/>
    </row>
    <row r="163" spans="1:15" ht="18" customHeight="1">
      <c r="A163" s="80" t="s">
        <v>194</v>
      </c>
      <c r="B163" s="81"/>
      <c r="C163" s="81"/>
      <c r="D163" s="81"/>
      <c r="E163" s="82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195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77" t="s">
        <v>191</v>
      </c>
      <c r="B176" s="78"/>
      <c r="C176" s="78"/>
      <c r="D176" s="78"/>
      <c r="E176" s="7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192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77" t="s">
        <v>193</v>
      </c>
      <c r="B189" s="78"/>
      <c r="C189" s="78"/>
      <c r="D189" s="78"/>
      <c r="E189" s="7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192</v>
      </c>
      <c r="O189" s="39"/>
    </row>
    <row r="190" spans="1:15" ht="18" customHeight="1">
      <c r="A190" s="80" t="s">
        <v>194</v>
      </c>
      <c r="B190" s="81"/>
      <c r="C190" s="81"/>
      <c r="D190" s="81"/>
      <c r="E190" s="8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195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77" t="s">
        <v>191</v>
      </c>
      <c r="B203" s="78"/>
      <c r="C203" s="78"/>
      <c r="D203" s="78"/>
      <c r="E203" s="7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192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77" t="s">
        <v>193</v>
      </c>
      <c r="B216" s="78"/>
      <c r="C216" s="78"/>
      <c r="D216" s="78"/>
      <c r="E216" s="7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192</v>
      </c>
      <c r="O216" s="45"/>
    </row>
    <row r="217" spans="1:15" ht="18" customHeight="1">
      <c r="A217" s="80" t="s">
        <v>194</v>
      </c>
      <c r="B217" s="81"/>
      <c r="C217" s="81"/>
      <c r="D217" s="81"/>
      <c r="E217" s="8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195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77" t="s">
        <v>191</v>
      </c>
      <c r="B230" s="78"/>
      <c r="C230" s="78"/>
      <c r="D230" s="78"/>
      <c r="E230" s="7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192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77" t="s">
        <v>193</v>
      </c>
      <c r="B243" s="78"/>
      <c r="C243" s="78"/>
      <c r="D243" s="78"/>
      <c r="E243" s="7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192</v>
      </c>
      <c r="O243" s="39"/>
    </row>
    <row r="244" spans="1:15" ht="18" customHeight="1">
      <c r="A244" s="80" t="s">
        <v>194</v>
      </c>
      <c r="B244" s="81"/>
      <c r="C244" s="81"/>
      <c r="D244" s="81"/>
      <c r="E244" s="8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195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77" t="s">
        <v>191</v>
      </c>
      <c r="B257" s="78"/>
      <c r="C257" s="78"/>
      <c r="D257" s="78"/>
      <c r="E257" s="7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192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77" t="s">
        <v>193</v>
      </c>
      <c r="B270" s="78"/>
      <c r="C270" s="78"/>
      <c r="D270" s="78"/>
      <c r="E270" s="7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192</v>
      </c>
      <c r="O270" s="39"/>
    </row>
    <row r="271" spans="1:15" ht="18" customHeight="1">
      <c r="A271" s="80" t="s">
        <v>194</v>
      </c>
      <c r="B271" s="81"/>
      <c r="C271" s="81"/>
      <c r="D271" s="81"/>
      <c r="E271" s="8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195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77" t="s">
        <v>191</v>
      </c>
      <c r="B284" s="78"/>
      <c r="C284" s="78"/>
      <c r="D284" s="78"/>
      <c r="E284" s="7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192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77" t="s">
        <v>193</v>
      </c>
      <c r="B297" s="78"/>
      <c r="C297" s="78"/>
      <c r="D297" s="78"/>
      <c r="E297" s="7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192</v>
      </c>
      <c r="O297" s="39"/>
    </row>
    <row r="298" spans="1:15" ht="18" customHeight="1">
      <c r="A298" s="80" t="s">
        <v>194</v>
      </c>
      <c r="B298" s="81"/>
      <c r="C298" s="81"/>
      <c r="D298" s="81"/>
      <c r="E298" s="8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195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77" t="s">
        <v>191</v>
      </c>
      <c r="B311" s="78"/>
      <c r="C311" s="78"/>
      <c r="D311" s="78"/>
      <c r="E311" s="7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192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77" t="s">
        <v>193</v>
      </c>
      <c r="B324" s="78"/>
      <c r="C324" s="78"/>
      <c r="D324" s="78"/>
      <c r="E324" s="7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192</v>
      </c>
      <c r="O324" s="39"/>
    </row>
    <row r="325" spans="1:15" ht="18" customHeight="1">
      <c r="A325" s="80" t="s">
        <v>194</v>
      </c>
      <c r="B325" s="81"/>
      <c r="C325" s="81"/>
      <c r="D325" s="81"/>
      <c r="E325" s="8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195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77" t="s">
        <v>191</v>
      </c>
      <c r="B338" s="78"/>
      <c r="C338" s="78"/>
      <c r="D338" s="78"/>
      <c r="E338" s="7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192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77" t="s">
        <v>193</v>
      </c>
      <c r="B351" s="78"/>
      <c r="C351" s="78"/>
      <c r="D351" s="78"/>
      <c r="E351" s="7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192</v>
      </c>
      <c r="O351" s="39"/>
    </row>
    <row r="352" spans="1:15" ht="18" customHeight="1">
      <c r="A352" s="80" t="s">
        <v>194</v>
      </c>
      <c r="B352" s="81"/>
      <c r="C352" s="81"/>
      <c r="D352" s="81"/>
      <c r="E352" s="8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195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77" t="s">
        <v>191</v>
      </c>
      <c r="B365" s="78"/>
      <c r="C365" s="78"/>
      <c r="D365" s="78"/>
      <c r="E365" s="7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192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77" t="s">
        <v>193</v>
      </c>
      <c r="B378" s="78"/>
      <c r="C378" s="78"/>
      <c r="D378" s="78"/>
      <c r="E378" s="7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192</v>
      </c>
      <c r="O378" s="39"/>
    </row>
    <row r="379" spans="1:15" ht="18" customHeight="1">
      <c r="A379" s="80" t="s">
        <v>194</v>
      </c>
      <c r="B379" s="81"/>
      <c r="C379" s="81"/>
      <c r="D379" s="81"/>
      <c r="E379" s="8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195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77" t="s">
        <v>191</v>
      </c>
      <c r="B392" s="78"/>
      <c r="C392" s="78"/>
      <c r="D392" s="78"/>
      <c r="E392" s="7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192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77" t="s">
        <v>193</v>
      </c>
      <c r="B405" s="78"/>
      <c r="C405" s="78"/>
      <c r="D405" s="78"/>
      <c r="E405" s="7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192</v>
      </c>
      <c r="O405" s="39"/>
    </row>
    <row r="406" spans="1:15" ht="18" customHeight="1">
      <c r="A406" s="80" t="s">
        <v>194</v>
      </c>
      <c r="B406" s="81"/>
      <c r="C406" s="81"/>
      <c r="D406" s="81"/>
      <c r="E406" s="8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195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77" t="s">
        <v>191</v>
      </c>
      <c r="B419" s="78"/>
      <c r="C419" s="78"/>
      <c r="D419" s="78"/>
      <c r="E419" s="7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192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77" t="s">
        <v>193</v>
      </c>
      <c r="B432" s="78"/>
      <c r="C432" s="78"/>
      <c r="D432" s="78"/>
      <c r="E432" s="7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192</v>
      </c>
      <c r="O432" s="39"/>
    </row>
    <row r="433" spans="1:15" ht="18" customHeight="1">
      <c r="A433" s="80" t="s">
        <v>194</v>
      </c>
      <c r="B433" s="81"/>
      <c r="C433" s="81"/>
      <c r="D433" s="81"/>
      <c r="E433" s="8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195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77" t="s">
        <v>191</v>
      </c>
      <c r="B446" s="78"/>
      <c r="C446" s="78"/>
      <c r="D446" s="78"/>
      <c r="E446" s="7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192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77" t="s">
        <v>193</v>
      </c>
      <c r="B459" s="78"/>
      <c r="C459" s="78"/>
      <c r="D459" s="78"/>
      <c r="E459" s="7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192</v>
      </c>
      <c r="O459" s="39"/>
    </row>
    <row r="460" spans="1:15" ht="18" customHeight="1">
      <c r="A460" s="80" t="s">
        <v>194</v>
      </c>
      <c r="B460" s="81"/>
      <c r="C460" s="81"/>
      <c r="D460" s="81"/>
      <c r="E460" s="8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195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77" t="s">
        <v>191</v>
      </c>
      <c r="B473" s="78"/>
      <c r="C473" s="78"/>
      <c r="D473" s="78"/>
      <c r="E473" s="7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192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77" t="s">
        <v>193</v>
      </c>
      <c r="B486" s="78"/>
      <c r="C486" s="78"/>
      <c r="D486" s="78"/>
      <c r="E486" s="7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192</v>
      </c>
      <c r="O486" s="39"/>
    </row>
    <row r="487" spans="1:15" ht="18" customHeight="1">
      <c r="A487" s="80" t="s">
        <v>194</v>
      </c>
      <c r="B487" s="81"/>
      <c r="C487" s="81"/>
      <c r="D487" s="81"/>
      <c r="E487" s="8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195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77" t="s">
        <v>191</v>
      </c>
      <c r="B500" s="78"/>
      <c r="C500" s="78"/>
      <c r="D500" s="78"/>
      <c r="E500" s="7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192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77" t="s">
        <v>193</v>
      </c>
      <c r="B513" s="78"/>
      <c r="C513" s="78"/>
      <c r="D513" s="78"/>
      <c r="E513" s="7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192</v>
      </c>
      <c r="O513" s="39"/>
    </row>
    <row r="514" spans="1:15" ht="18" customHeight="1">
      <c r="A514" s="80" t="s">
        <v>194</v>
      </c>
      <c r="B514" s="81"/>
      <c r="C514" s="81"/>
      <c r="D514" s="81"/>
      <c r="E514" s="8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195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77" t="s">
        <v>191</v>
      </c>
      <c r="B527" s="78"/>
      <c r="C527" s="78"/>
      <c r="D527" s="78"/>
      <c r="E527" s="7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192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77" t="s">
        <v>193</v>
      </c>
      <c r="B540" s="78"/>
      <c r="C540" s="78"/>
      <c r="D540" s="78"/>
      <c r="E540" s="7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192</v>
      </c>
      <c r="O540" s="39"/>
    </row>
    <row r="541" spans="1:15" ht="18" customHeight="1">
      <c r="A541" s="80" t="s">
        <v>194</v>
      </c>
      <c r="B541" s="81"/>
      <c r="C541" s="81"/>
      <c r="D541" s="81"/>
      <c r="E541" s="8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195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77" t="s">
        <v>191</v>
      </c>
      <c r="B554" s="78"/>
      <c r="C554" s="78"/>
      <c r="D554" s="78"/>
      <c r="E554" s="7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192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77" t="s">
        <v>193</v>
      </c>
      <c r="B567" s="78"/>
      <c r="C567" s="78"/>
      <c r="D567" s="78"/>
      <c r="E567" s="7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192</v>
      </c>
      <c r="O567" s="39"/>
    </row>
    <row r="568" spans="1:15" ht="18" customHeight="1">
      <c r="A568" s="80" t="s">
        <v>194</v>
      </c>
      <c r="B568" s="81"/>
      <c r="C568" s="81"/>
      <c r="D568" s="81"/>
      <c r="E568" s="8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195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77" t="s">
        <v>191</v>
      </c>
      <c r="B581" s="78"/>
      <c r="C581" s="78"/>
      <c r="D581" s="78"/>
      <c r="E581" s="7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192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77" t="s">
        <v>193</v>
      </c>
      <c r="B594" s="78"/>
      <c r="C594" s="78"/>
      <c r="D594" s="78"/>
      <c r="E594" s="7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192</v>
      </c>
      <c r="O594" s="39"/>
    </row>
    <row r="595" spans="1:15" ht="18" customHeight="1">
      <c r="A595" s="80" t="s">
        <v>194</v>
      </c>
      <c r="B595" s="81"/>
      <c r="C595" s="81"/>
      <c r="D595" s="81"/>
      <c r="E595" s="8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195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77" t="s">
        <v>191</v>
      </c>
      <c r="B608" s="78"/>
      <c r="C608" s="78"/>
      <c r="D608" s="78"/>
      <c r="E608" s="7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192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77" t="s">
        <v>193</v>
      </c>
      <c r="B621" s="78"/>
      <c r="C621" s="78"/>
      <c r="D621" s="78"/>
      <c r="E621" s="7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192</v>
      </c>
      <c r="O621" s="39"/>
    </row>
    <row r="622" spans="1:15" ht="18" customHeight="1">
      <c r="A622" s="80" t="s">
        <v>194</v>
      </c>
      <c r="B622" s="81"/>
      <c r="C622" s="81"/>
      <c r="D622" s="81"/>
      <c r="E622" s="8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195</v>
      </c>
      <c r="O622" s="48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77" t="s">
        <v>191</v>
      </c>
      <c r="B635" s="78"/>
      <c r="C635" s="78"/>
      <c r="D635" s="78"/>
      <c r="E635" s="7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192</v>
      </c>
      <c r="O635" s="45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77" t="s">
        <v>193</v>
      </c>
      <c r="B648" s="78"/>
      <c r="C648" s="78"/>
      <c r="D648" s="78"/>
      <c r="E648" s="7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192</v>
      </c>
      <c r="O648" s="39"/>
    </row>
    <row r="649" spans="1:15" ht="18" customHeight="1">
      <c r="A649" s="80" t="s">
        <v>194</v>
      </c>
      <c r="B649" s="81"/>
      <c r="C649" s="81"/>
      <c r="D649" s="81"/>
      <c r="E649" s="8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195</v>
      </c>
      <c r="O649" s="48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77" t="s">
        <v>191</v>
      </c>
      <c r="B662" s="78"/>
      <c r="C662" s="78"/>
      <c r="D662" s="78"/>
      <c r="E662" s="7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192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77" t="s">
        <v>193</v>
      </c>
      <c r="B675" s="78"/>
      <c r="C675" s="78"/>
      <c r="D675" s="78"/>
      <c r="E675" s="7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192</v>
      </c>
      <c r="O675" s="39"/>
    </row>
    <row r="676" spans="1:15" ht="18" customHeight="1">
      <c r="A676" s="80" t="s">
        <v>194</v>
      </c>
      <c r="B676" s="81"/>
      <c r="C676" s="81"/>
      <c r="D676" s="81"/>
      <c r="E676" s="8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195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77" t="s">
        <v>191</v>
      </c>
      <c r="B689" s="78"/>
      <c r="C689" s="78"/>
      <c r="D689" s="78"/>
      <c r="E689" s="7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192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77" t="s">
        <v>193</v>
      </c>
      <c r="B702" s="78"/>
      <c r="C702" s="78"/>
      <c r="D702" s="78"/>
      <c r="E702" s="7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192</v>
      </c>
      <c r="O702" s="39"/>
    </row>
    <row r="703" spans="1:15" ht="18" customHeight="1">
      <c r="A703" s="80" t="s">
        <v>194</v>
      </c>
      <c r="B703" s="81"/>
      <c r="C703" s="81"/>
      <c r="D703" s="81"/>
      <c r="E703" s="8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195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77" t="s">
        <v>191</v>
      </c>
      <c r="B716" s="78"/>
      <c r="C716" s="78"/>
      <c r="D716" s="78"/>
      <c r="E716" s="7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192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77" t="s">
        <v>193</v>
      </c>
      <c r="B729" s="78"/>
      <c r="C729" s="78"/>
      <c r="D729" s="78"/>
      <c r="E729" s="7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192</v>
      </c>
      <c r="O729" s="39"/>
    </row>
    <row r="730" spans="1:15" ht="18" customHeight="1">
      <c r="A730" s="80" t="s">
        <v>194</v>
      </c>
      <c r="B730" s="81"/>
      <c r="C730" s="81"/>
      <c r="D730" s="81"/>
      <c r="E730" s="8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195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77" t="s">
        <v>191</v>
      </c>
      <c r="B743" s="78"/>
      <c r="C743" s="78"/>
      <c r="D743" s="78"/>
      <c r="E743" s="7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192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77" t="s">
        <v>193</v>
      </c>
      <c r="B756" s="78"/>
      <c r="C756" s="78"/>
      <c r="D756" s="78"/>
      <c r="E756" s="7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192</v>
      </c>
      <c r="O756" s="39"/>
    </row>
    <row r="757" spans="1:15" ht="18" customHeight="1">
      <c r="A757" s="80" t="s">
        <v>194</v>
      </c>
      <c r="B757" s="81"/>
      <c r="C757" s="81"/>
      <c r="D757" s="81"/>
      <c r="E757" s="8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195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77" t="s">
        <v>191</v>
      </c>
      <c r="B770" s="78"/>
      <c r="C770" s="78"/>
      <c r="D770" s="78"/>
      <c r="E770" s="7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192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77" t="s">
        <v>193</v>
      </c>
      <c r="B783" s="78"/>
      <c r="C783" s="78"/>
      <c r="D783" s="78"/>
      <c r="E783" s="7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192</v>
      </c>
      <c r="O783" s="39"/>
    </row>
    <row r="784" spans="1:15" ht="18" customHeight="1">
      <c r="A784" s="80" t="s">
        <v>194</v>
      </c>
      <c r="B784" s="81"/>
      <c r="C784" s="81"/>
      <c r="D784" s="81"/>
      <c r="E784" s="8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195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77" t="s">
        <v>191</v>
      </c>
      <c r="B797" s="78"/>
      <c r="C797" s="78"/>
      <c r="D797" s="78"/>
      <c r="E797" s="7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192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77" t="s">
        <v>193</v>
      </c>
      <c r="B810" s="78"/>
      <c r="C810" s="78"/>
      <c r="D810" s="78"/>
      <c r="E810" s="7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192</v>
      </c>
      <c r="O810" s="39"/>
    </row>
    <row r="811" spans="1:15" ht="18" customHeight="1">
      <c r="A811" s="80" t="s">
        <v>194</v>
      </c>
      <c r="B811" s="81"/>
      <c r="C811" s="81"/>
      <c r="D811" s="81"/>
      <c r="E811" s="8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195</v>
      </c>
      <c r="O811" s="43">
        <f>IFERROR(O797+O810,"")</f>
        <v>0</v>
      </c>
    </row>
  </sheetData>
  <mergeCells count="90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00:E500"/>
    <mergeCell ref="A513:E513"/>
    <mergeCell ref="A514:E514"/>
    <mergeCell ref="A527:E527"/>
    <mergeCell ref="A540:E540"/>
    <mergeCell ref="A459:E459"/>
    <mergeCell ref="A460:E460"/>
    <mergeCell ref="A473:E473"/>
    <mergeCell ref="A486:E486"/>
    <mergeCell ref="A487:E487"/>
    <mergeCell ref="A406:E406"/>
    <mergeCell ref="A419:E419"/>
    <mergeCell ref="A432:E432"/>
    <mergeCell ref="A433:E433"/>
    <mergeCell ref="A446:E446"/>
    <mergeCell ref="A365:E365"/>
    <mergeCell ref="A378:E378"/>
    <mergeCell ref="A379:E379"/>
    <mergeCell ref="A392:E392"/>
    <mergeCell ref="A405:E405"/>
    <mergeCell ref="A324:E324"/>
    <mergeCell ref="A325:E325"/>
    <mergeCell ref="A338:E338"/>
    <mergeCell ref="A351:E351"/>
    <mergeCell ref="A352:E352"/>
    <mergeCell ref="A271:E271"/>
    <mergeCell ref="A284:E284"/>
    <mergeCell ref="A297:E297"/>
    <mergeCell ref="A298:E298"/>
    <mergeCell ref="A311:E311"/>
    <mergeCell ref="A230:E230"/>
    <mergeCell ref="A243:E243"/>
    <mergeCell ref="A244:E244"/>
    <mergeCell ref="A257:E257"/>
    <mergeCell ref="A270:E270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29:E811 E15:E26" xr:uid="{52C68A24-78CA-4DE2-A34C-BA733F92037A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zoomScale="50" zoomScaleNormal="50" workbookViewId="0">
      <pane ySplit="1" topLeftCell="A9" activePane="bottomLeft" state="frozen"/>
      <selection pane="bottomLeft" activeCell="N30" sqref="N30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43.5703125" style="20" customWidth="1"/>
    <col min="15" max="15" width="14" customWidth="1"/>
  </cols>
  <sheetData>
    <row r="1" spans="1:15" ht="37.5" customHeight="1">
      <c r="A1" s="68" t="s">
        <v>7</v>
      </c>
      <c r="B1" s="23" t="s">
        <v>178</v>
      </c>
      <c r="C1" s="23" t="s">
        <v>12</v>
      </c>
      <c r="D1" s="22" t="s">
        <v>13</v>
      </c>
      <c r="E1" s="22" t="s">
        <v>179</v>
      </c>
      <c r="F1" s="23" t="s">
        <v>180</v>
      </c>
      <c r="G1" s="23" t="s">
        <v>181</v>
      </c>
      <c r="H1" s="23" t="s">
        <v>14</v>
      </c>
      <c r="I1" s="23" t="s">
        <v>15</v>
      </c>
      <c r="J1" s="23" t="s">
        <v>182</v>
      </c>
      <c r="K1" s="23" t="s">
        <v>183</v>
      </c>
      <c r="L1" s="23" t="s">
        <v>184</v>
      </c>
      <c r="M1" s="24" t="s">
        <v>185</v>
      </c>
      <c r="N1" s="23" t="s">
        <v>186</v>
      </c>
      <c r="O1" s="23" t="s">
        <v>187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196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196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196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199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196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196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200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196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156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196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196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196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196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196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196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77" t="s">
        <v>191</v>
      </c>
      <c r="B14" s="78"/>
      <c r="C14" s="78"/>
      <c r="D14" s="78"/>
      <c r="E14" s="79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192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196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196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196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196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196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196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196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196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196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196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196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196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77" t="s">
        <v>193</v>
      </c>
      <c r="B27" s="78"/>
      <c r="C27" s="78"/>
      <c r="D27" s="78"/>
      <c r="E27" s="79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192</v>
      </c>
      <c r="O27" s="39">
        <v>308500</v>
      </c>
    </row>
    <row r="28" spans="1:15" ht="18" customHeight="1">
      <c r="A28" s="80" t="s">
        <v>194</v>
      </c>
      <c r="B28" s="81"/>
      <c r="C28" s="81"/>
      <c r="D28" s="81"/>
      <c r="E28" s="82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195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196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157</v>
      </c>
      <c r="K29" s="29">
        <v>0.29166666666666669</v>
      </c>
      <c r="L29" s="29"/>
      <c r="M29" s="35">
        <f t="shared" ref="M29:M40" ca="1" si="7">IFERROR(IF(K29="","",IF(L29="",MOD(NOW()-K29,1),IF(L29&gt;=K29,L29-K29,L29+1-K29))),"")</f>
        <v>0.1278508101895568</v>
      </c>
      <c r="N29" s="27" t="s">
        <v>201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196</v>
      </c>
      <c r="F30" s="27"/>
      <c r="G30" s="34" t="str">
        <f t="shared" si="6"/>
        <v/>
      </c>
      <c r="H30" s="26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196</v>
      </c>
      <c r="F31" s="27"/>
      <c r="G31" s="28" t="str">
        <f t="shared" si="6"/>
        <v/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196</v>
      </c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196</v>
      </c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196</v>
      </c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196</v>
      </c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196</v>
      </c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196</v>
      </c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196</v>
      </c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196</v>
      </c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196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77" t="s">
        <v>191</v>
      </c>
      <c r="B41" s="78"/>
      <c r="C41" s="78"/>
      <c r="D41" s="78"/>
      <c r="E41" s="79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37"/>
      <c r="L41" s="37"/>
      <c r="M41" s="38">
        <f ca="1">IFERROR(SUM(M29:M40),"")</f>
        <v>0.1278508101895568</v>
      </c>
      <c r="N41" s="36" t="s">
        <v>192</v>
      </c>
      <c r="O41" s="39"/>
    </row>
    <row r="42" spans="1:15" ht="15" customHeight="1">
      <c r="A42" s="70">
        <v>46205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19",F42*5,"")))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77" t="s">
        <v>193</v>
      </c>
      <c r="B54" s="78"/>
      <c r="C54" s="78"/>
      <c r="D54" s="78"/>
      <c r="E54" s="79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192</v>
      </c>
      <c r="O54" s="39"/>
    </row>
    <row r="55" spans="1:15" ht="18" customHeight="1">
      <c r="A55" s="80" t="s">
        <v>194</v>
      </c>
      <c r="B55" s="81"/>
      <c r="C55" s="81"/>
      <c r="D55" s="81"/>
      <c r="E55" s="82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41"/>
      <c r="L55" s="41"/>
      <c r="M55" s="42">
        <f ca="1">IFERROR(M41+M54,"")</f>
        <v>0.1278508101895568</v>
      </c>
      <c r="N55" s="40" t="s">
        <v>195</v>
      </c>
      <c r="O55" s="43">
        <f>IFERROR(O41+O54,"")</f>
        <v>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77" t="s">
        <v>191</v>
      </c>
      <c r="B68" s="78"/>
      <c r="C68" s="78"/>
      <c r="D68" s="78"/>
      <c r="E68" s="7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192</v>
      </c>
      <c r="O68" s="39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77" t="s">
        <v>193</v>
      </c>
      <c r="B81" s="78"/>
      <c r="C81" s="78"/>
      <c r="D81" s="78"/>
      <c r="E81" s="79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192</v>
      </c>
      <c r="O81" s="39"/>
    </row>
    <row r="82" spans="1:15" ht="18" customHeight="1">
      <c r="A82" s="80" t="s">
        <v>194</v>
      </c>
      <c r="B82" s="81"/>
      <c r="C82" s="81"/>
      <c r="D82" s="81"/>
      <c r="E82" s="82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195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77" t="s">
        <v>191</v>
      </c>
      <c r="B95" s="78"/>
      <c r="C95" s="78"/>
      <c r="D95" s="78"/>
      <c r="E95" s="79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192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77" t="s">
        <v>193</v>
      </c>
      <c r="B108" s="78"/>
      <c r="C108" s="78"/>
      <c r="D108" s="78"/>
      <c r="E108" s="7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192</v>
      </c>
      <c r="O108" s="39"/>
    </row>
    <row r="109" spans="1:15" ht="18" customHeight="1">
      <c r="A109" s="80" t="s">
        <v>194</v>
      </c>
      <c r="B109" s="81"/>
      <c r="C109" s="81"/>
      <c r="D109" s="81"/>
      <c r="E109" s="82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195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77" t="s">
        <v>191</v>
      </c>
      <c r="B122" s="78"/>
      <c r="C122" s="78"/>
      <c r="D122" s="78"/>
      <c r="E122" s="79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192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77" t="s">
        <v>193</v>
      </c>
      <c r="B135" s="78"/>
      <c r="C135" s="78"/>
      <c r="D135" s="78"/>
      <c r="E135" s="79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192</v>
      </c>
      <c r="O135" s="39"/>
    </row>
    <row r="136" spans="1:15" ht="18" customHeight="1">
      <c r="A136" s="80" t="s">
        <v>194</v>
      </c>
      <c r="B136" s="81"/>
      <c r="C136" s="81"/>
      <c r="D136" s="81"/>
      <c r="E136" s="82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195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77" t="s">
        <v>191</v>
      </c>
      <c r="B149" s="78"/>
      <c r="C149" s="78"/>
      <c r="D149" s="78"/>
      <c r="E149" s="79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192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77" t="s">
        <v>193</v>
      </c>
      <c r="B162" s="78"/>
      <c r="C162" s="78"/>
      <c r="D162" s="78"/>
      <c r="E162" s="7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192</v>
      </c>
      <c r="O162" s="39"/>
    </row>
    <row r="163" spans="1:15" ht="18" customHeight="1">
      <c r="A163" s="80" t="s">
        <v>194</v>
      </c>
      <c r="B163" s="81"/>
      <c r="C163" s="81"/>
      <c r="D163" s="81"/>
      <c r="E163" s="82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195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77" t="s">
        <v>191</v>
      </c>
      <c r="B176" s="78"/>
      <c r="C176" s="78"/>
      <c r="D176" s="78"/>
      <c r="E176" s="7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192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77" t="s">
        <v>193</v>
      </c>
      <c r="B189" s="78"/>
      <c r="C189" s="78"/>
      <c r="D189" s="78"/>
      <c r="E189" s="7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192</v>
      </c>
      <c r="O189" s="39"/>
    </row>
    <row r="190" spans="1:15" ht="18" customHeight="1">
      <c r="A190" s="80" t="s">
        <v>194</v>
      </c>
      <c r="B190" s="81"/>
      <c r="C190" s="81"/>
      <c r="D190" s="81"/>
      <c r="E190" s="8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195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77" t="s">
        <v>191</v>
      </c>
      <c r="B203" s="78"/>
      <c r="C203" s="78"/>
      <c r="D203" s="78"/>
      <c r="E203" s="7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192</v>
      </c>
      <c r="O203" s="39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77" t="s">
        <v>193</v>
      </c>
      <c r="B216" s="78"/>
      <c r="C216" s="78"/>
      <c r="D216" s="78"/>
      <c r="E216" s="7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192</v>
      </c>
      <c r="O216" s="39"/>
    </row>
    <row r="217" spans="1:15" ht="18" customHeight="1">
      <c r="A217" s="80" t="s">
        <v>194</v>
      </c>
      <c r="B217" s="81"/>
      <c r="C217" s="81"/>
      <c r="D217" s="81"/>
      <c r="E217" s="8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195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77" t="s">
        <v>191</v>
      </c>
      <c r="B230" s="78"/>
      <c r="C230" s="78"/>
      <c r="D230" s="78"/>
      <c r="E230" s="7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192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77" t="s">
        <v>193</v>
      </c>
      <c r="B243" s="78"/>
      <c r="C243" s="78"/>
      <c r="D243" s="78"/>
      <c r="E243" s="7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192</v>
      </c>
      <c r="O243" s="39"/>
    </row>
    <row r="244" spans="1:15" ht="18" customHeight="1">
      <c r="A244" s="80" t="s">
        <v>194</v>
      </c>
      <c r="B244" s="81"/>
      <c r="C244" s="81"/>
      <c r="D244" s="81"/>
      <c r="E244" s="8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195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77" t="s">
        <v>191</v>
      </c>
      <c r="B257" s="78"/>
      <c r="C257" s="78"/>
      <c r="D257" s="78"/>
      <c r="E257" s="7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192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77" t="s">
        <v>193</v>
      </c>
      <c r="B270" s="78"/>
      <c r="C270" s="78"/>
      <c r="D270" s="78"/>
      <c r="E270" s="7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192</v>
      </c>
      <c r="O270" s="39"/>
    </row>
    <row r="271" spans="1:15" ht="18" customHeight="1">
      <c r="A271" s="80" t="s">
        <v>194</v>
      </c>
      <c r="B271" s="81"/>
      <c r="C271" s="81"/>
      <c r="D271" s="81"/>
      <c r="E271" s="8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195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77" t="s">
        <v>191</v>
      </c>
      <c r="B284" s="78"/>
      <c r="C284" s="78"/>
      <c r="D284" s="78"/>
      <c r="E284" s="7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192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77" t="s">
        <v>193</v>
      </c>
      <c r="B297" s="78"/>
      <c r="C297" s="78"/>
      <c r="D297" s="78"/>
      <c r="E297" s="7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192</v>
      </c>
      <c r="O297" s="39"/>
    </row>
    <row r="298" spans="1:15" ht="18" customHeight="1">
      <c r="A298" s="80" t="s">
        <v>194</v>
      </c>
      <c r="B298" s="81"/>
      <c r="C298" s="81"/>
      <c r="D298" s="81"/>
      <c r="E298" s="8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195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77" t="s">
        <v>191</v>
      </c>
      <c r="B311" s="78"/>
      <c r="C311" s="78"/>
      <c r="D311" s="78"/>
      <c r="E311" s="7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192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77" t="s">
        <v>193</v>
      </c>
      <c r="B324" s="78"/>
      <c r="C324" s="78"/>
      <c r="D324" s="78"/>
      <c r="E324" s="7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192</v>
      </c>
      <c r="O324" s="39"/>
    </row>
    <row r="325" spans="1:15" ht="18" customHeight="1">
      <c r="A325" s="80" t="s">
        <v>194</v>
      </c>
      <c r="B325" s="81"/>
      <c r="C325" s="81"/>
      <c r="D325" s="81"/>
      <c r="E325" s="8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195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77" t="s">
        <v>191</v>
      </c>
      <c r="B338" s="78"/>
      <c r="C338" s="78"/>
      <c r="D338" s="78"/>
      <c r="E338" s="7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192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77" t="s">
        <v>193</v>
      </c>
      <c r="B351" s="78"/>
      <c r="C351" s="78"/>
      <c r="D351" s="78"/>
      <c r="E351" s="7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192</v>
      </c>
      <c r="O351" s="39"/>
    </row>
    <row r="352" spans="1:15" ht="18" customHeight="1">
      <c r="A352" s="80" t="s">
        <v>194</v>
      </c>
      <c r="B352" s="81"/>
      <c r="C352" s="81"/>
      <c r="D352" s="81"/>
      <c r="E352" s="8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195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77" t="s">
        <v>191</v>
      </c>
      <c r="B365" s="78"/>
      <c r="C365" s="78"/>
      <c r="D365" s="78"/>
      <c r="E365" s="7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192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77" t="s">
        <v>193</v>
      </c>
      <c r="B378" s="78"/>
      <c r="C378" s="78"/>
      <c r="D378" s="78"/>
      <c r="E378" s="7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192</v>
      </c>
      <c r="O378" s="39"/>
    </row>
    <row r="379" spans="1:15" ht="18" customHeight="1">
      <c r="A379" s="80" t="s">
        <v>194</v>
      </c>
      <c r="B379" s="81"/>
      <c r="C379" s="81"/>
      <c r="D379" s="81"/>
      <c r="E379" s="8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195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77" t="s">
        <v>191</v>
      </c>
      <c r="B392" s="78"/>
      <c r="C392" s="78"/>
      <c r="D392" s="78"/>
      <c r="E392" s="7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192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77" t="s">
        <v>193</v>
      </c>
      <c r="B405" s="78"/>
      <c r="C405" s="78"/>
      <c r="D405" s="78"/>
      <c r="E405" s="7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192</v>
      </c>
      <c r="O405" s="39"/>
    </row>
    <row r="406" spans="1:15" ht="18" customHeight="1">
      <c r="A406" s="80" t="s">
        <v>194</v>
      </c>
      <c r="B406" s="81"/>
      <c r="C406" s="81"/>
      <c r="D406" s="81"/>
      <c r="E406" s="8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195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77" t="s">
        <v>191</v>
      </c>
      <c r="B419" s="78"/>
      <c r="C419" s="78"/>
      <c r="D419" s="78"/>
      <c r="E419" s="7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192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77" t="s">
        <v>193</v>
      </c>
      <c r="B432" s="78"/>
      <c r="C432" s="78"/>
      <c r="D432" s="78"/>
      <c r="E432" s="7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192</v>
      </c>
      <c r="O432" s="39"/>
    </row>
    <row r="433" spans="1:15" ht="18" customHeight="1">
      <c r="A433" s="80" t="s">
        <v>194</v>
      </c>
      <c r="B433" s="81"/>
      <c r="C433" s="81"/>
      <c r="D433" s="81"/>
      <c r="E433" s="8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195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77" t="s">
        <v>191</v>
      </c>
      <c r="B446" s="78"/>
      <c r="C446" s="78"/>
      <c r="D446" s="78"/>
      <c r="E446" s="7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192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77" t="s">
        <v>193</v>
      </c>
      <c r="B459" s="78"/>
      <c r="C459" s="78"/>
      <c r="D459" s="78"/>
      <c r="E459" s="7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192</v>
      </c>
      <c r="O459" s="39"/>
    </row>
    <row r="460" spans="1:15" ht="18" customHeight="1">
      <c r="A460" s="80" t="s">
        <v>194</v>
      </c>
      <c r="B460" s="81"/>
      <c r="C460" s="81"/>
      <c r="D460" s="81"/>
      <c r="E460" s="8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195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77" t="s">
        <v>191</v>
      </c>
      <c r="B473" s="78"/>
      <c r="C473" s="78"/>
      <c r="D473" s="78"/>
      <c r="E473" s="7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192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77" t="s">
        <v>193</v>
      </c>
      <c r="B486" s="78"/>
      <c r="C486" s="78"/>
      <c r="D486" s="78"/>
      <c r="E486" s="7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192</v>
      </c>
      <c r="O486" s="39"/>
    </row>
    <row r="487" spans="1:15" ht="18" customHeight="1">
      <c r="A487" s="80" t="s">
        <v>194</v>
      </c>
      <c r="B487" s="81"/>
      <c r="C487" s="81"/>
      <c r="D487" s="81"/>
      <c r="E487" s="8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195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77" t="s">
        <v>191</v>
      </c>
      <c r="B500" s="78"/>
      <c r="C500" s="78"/>
      <c r="D500" s="78"/>
      <c r="E500" s="7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192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77" t="s">
        <v>193</v>
      </c>
      <c r="B513" s="78"/>
      <c r="C513" s="78"/>
      <c r="D513" s="78"/>
      <c r="E513" s="7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192</v>
      </c>
      <c r="O513" s="39"/>
    </row>
    <row r="514" spans="1:15" ht="18" customHeight="1">
      <c r="A514" s="80" t="s">
        <v>194</v>
      </c>
      <c r="B514" s="81"/>
      <c r="C514" s="81"/>
      <c r="D514" s="81"/>
      <c r="E514" s="8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195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77" t="s">
        <v>191</v>
      </c>
      <c r="B527" s="78"/>
      <c r="C527" s="78"/>
      <c r="D527" s="78"/>
      <c r="E527" s="7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192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77" t="s">
        <v>193</v>
      </c>
      <c r="B540" s="78"/>
      <c r="C540" s="78"/>
      <c r="D540" s="78"/>
      <c r="E540" s="7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192</v>
      </c>
      <c r="O540" s="39"/>
    </row>
    <row r="541" spans="1:15" ht="18" customHeight="1">
      <c r="A541" s="80" t="s">
        <v>194</v>
      </c>
      <c r="B541" s="81"/>
      <c r="C541" s="81"/>
      <c r="D541" s="81"/>
      <c r="E541" s="8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195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77" t="s">
        <v>191</v>
      </c>
      <c r="B554" s="78"/>
      <c r="C554" s="78"/>
      <c r="D554" s="78"/>
      <c r="E554" s="7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192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77" t="s">
        <v>193</v>
      </c>
      <c r="B567" s="78"/>
      <c r="C567" s="78"/>
      <c r="D567" s="78"/>
      <c r="E567" s="7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192</v>
      </c>
      <c r="O567" s="39"/>
    </row>
    <row r="568" spans="1:15" ht="18" customHeight="1">
      <c r="A568" s="80" t="s">
        <v>194</v>
      </c>
      <c r="B568" s="81"/>
      <c r="C568" s="81"/>
      <c r="D568" s="81"/>
      <c r="E568" s="8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195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77" t="s">
        <v>191</v>
      </c>
      <c r="B581" s="78"/>
      <c r="C581" s="78"/>
      <c r="D581" s="78"/>
      <c r="E581" s="7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192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77" t="s">
        <v>193</v>
      </c>
      <c r="B594" s="78"/>
      <c r="C594" s="78"/>
      <c r="D594" s="78"/>
      <c r="E594" s="7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192</v>
      </c>
      <c r="O594" s="39"/>
    </row>
    <row r="595" spans="1:15" ht="18" customHeight="1">
      <c r="A595" s="80" t="s">
        <v>194</v>
      </c>
      <c r="B595" s="81"/>
      <c r="C595" s="81"/>
      <c r="D595" s="81"/>
      <c r="E595" s="8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195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77" t="s">
        <v>191</v>
      </c>
      <c r="B608" s="78"/>
      <c r="C608" s="78"/>
      <c r="D608" s="78"/>
      <c r="E608" s="7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192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77" t="s">
        <v>193</v>
      </c>
      <c r="B621" s="78"/>
      <c r="C621" s="78"/>
      <c r="D621" s="78"/>
      <c r="E621" s="7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192</v>
      </c>
      <c r="O621" s="39"/>
    </row>
    <row r="622" spans="1:15" ht="18" customHeight="1">
      <c r="A622" s="80" t="s">
        <v>194</v>
      </c>
      <c r="B622" s="81"/>
      <c r="C622" s="81"/>
      <c r="D622" s="81"/>
      <c r="E622" s="8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195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77" t="s">
        <v>191</v>
      </c>
      <c r="B635" s="78"/>
      <c r="C635" s="78"/>
      <c r="D635" s="78"/>
      <c r="E635" s="7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192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77" t="s">
        <v>193</v>
      </c>
      <c r="B648" s="78"/>
      <c r="C648" s="78"/>
      <c r="D648" s="78"/>
      <c r="E648" s="7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192</v>
      </c>
      <c r="O648" s="39"/>
    </row>
    <row r="649" spans="1:15" ht="18" customHeight="1">
      <c r="A649" s="80" t="s">
        <v>194</v>
      </c>
      <c r="B649" s="81"/>
      <c r="C649" s="81"/>
      <c r="D649" s="81"/>
      <c r="E649" s="8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195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77" t="s">
        <v>191</v>
      </c>
      <c r="B662" s="78"/>
      <c r="C662" s="78"/>
      <c r="D662" s="78"/>
      <c r="E662" s="7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192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77" t="s">
        <v>193</v>
      </c>
      <c r="B675" s="78"/>
      <c r="C675" s="78"/>
      <c r="D675" s="78"/>
      <c r="E675" s="7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192</v>
      </c>
      <c r="O675" s="39"/>
    </row>
    <row r="676" spans="1:15" ht="18" customHeight="1">
      <c r="A676" s="80" t="s">
        <v>194</v>
      </c>
      <c r="B676" s="81"/>
      <c r="C676" s="81"/>
      <c r="D676" s="81"/>
      <c r="E676" s="8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195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77" t="s">
        <v>191</v>
      </c>
      <c r="B689" s="78"/>
      <c r="C689" s="78"/>
      <c r="D689" s="78"/>
      <c r="E689" s="7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192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77" t="s">
        <v>193</v>
      </c>
      <c r="B702" s="78"/>
      <c r="C702" s="78"/>
      <c r="D702" s="78"/>
      <c r="E702" s="7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192</v>
      </c>
      <c r="O702" s="39"/>
    </row>
    <row r="703" spans="1:15" ht="18" customHeight="1">
      <c r="A703" s="80" t="s">
        <v>194</v>
      </c>
      <c r="B703" s="81"/>
      <c r="C703" s="81"/>
      <c r="D703" s="81"/>
      <c r="E703" s="8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195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77" t="s">
        <v>191</v>
      </c>
      <c r="B716" s="78"/>
      <c r="C716" s="78"/>
      <c r="D716" s="78"/>
      <c r="E716" s="7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192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77" t="s">
        <v>193</v>
      </c>
      <c r="B729" s="78"/>
      <c r="C729" s="78"/>
      <c r="D729" s="78"/>
      <c r="E729" s="7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192</v>
      </c>
      <c r="O729" s="39"/>
    </row>
    <row r="730" spans="1:15" ht="18" customHeight="1">
      <c r="A730" s="80" t="s">
        <v>194</v>
      </c>
      <c r="B730" s="81"/>
      <c r="C730" s="81"/>
      <c r="D730" s="81"/>
      <c r="E730" s="8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195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77" t="s">
        <v>191</v>
      </c>
      <c r="B743" s="78"/>
      <c r="C743" s="78"/>
      <c r="D743" s="78"/>
      <c r="E743" s="7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192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77" t="s">
        <v>193</v>
      </c>
      <c r="B756" s="78"/>
      <c r="C756" s="78"/>
      <c r="D756" s="78"/>
      <c r="E756" s="7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192</v>
      </c>
      <c r="O756" s="39"/>
    </row>
    <row r="757" spans="1:15" ht="18" customHeight="1">
      <c r="A757" s="80" t="s">
        <v>194</v>
      </c>
      <c r="B757" s="81"/>
      <c r="C757" s="81"/>
      <c r="D757" s="81"/>
      <c r="E757" s="8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195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77" t="s">
        <v>191</v>
      </c>
      <c r="B770" s="78"/>
      <c r="C770" s="78"/>
      <c r="D770" s="78"/>
      <c r="E770" s="7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192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77" t="s">
        <v>193</v>
      </c>
      <c r="B783" s="78"/>
      <c r="C783" s="78"/>
      <c r="D783" s="78"/>
      <c r="E783" s="7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192</v>
      </c>
      <c r="O783" s="39"/>
    </row>
    <row r="784" spans="1:15" ht="18" customHeight="1">
      <c r="A784" s="80" t="s">
        <v>194</v>
      </c>
      <c r="B784" s="81"/>
      <c r="C784" s="81"/>
      <c r="D784" s="81"/>
      <c r="E784" s="8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195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77" t="s">
        <v>191</v>
      </c>
      <c r="B797" s="78"/>
      <c r="C797" s="78"/>
      <c r="D797" s="78"/>
      <c r="E797" s="7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192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77" t="s">
        <v>193</v>
      </c>
      <c r="B810" s="78"/>
      <c r="C810" s="78"/>
      <c r="D810" s="78"/>
      <c r="E810" s="7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192</v>
      </c>
      <c r="O810" s="39"/>
    </row>
    <row r="811" spans="1:15" ht="18" customHeight="1">
      <c r="A811" s="80" t="s">
        <v>194</v>
      </c>
      <c r="B811" s="81"/>
      <c r="C811" s="81"/>
      <c r="D811" s="81"/>
      <c r="E811" s="8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195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9:E811 E2:E13 E15:E26" xr:uid="{618DBFC7-9EE5-4350-9682-B167270E51D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Q811"/>
  <sheetViews>
    <sheetView showGridLines="0" tabSelected="1" zoomScale="50" zoomScaleNormal="50" workbookViewId="0">
      <pane ySplit="1" topLeftCell="A2" activePane="bottomLeft" state="frozen"/>
      <selection pane="bottomLeft" activeCell="I30" sqref="I30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3.7109375" style="57" customWidth="1"/>
    <col min="15" max="15" width="14" customWidth="1"/>
  </cols>
  <sheetData>
    <row r="1" spans="1:15" ht="37.5" customHeight="1">
      <c r="A1" s="68" t="s">
        <v>7</v>
      </c>
      <c r="B1" s="23" t="s">
        <v>178</v>
      </c>
      <c r="C1" s="23" t="s">
        <v>12</v>
      </c>
      <c r="D1" s="22" t="s">
        <v>13</v>
      </c>
      <c r="E1" s="22" t="s">
        <v>179</v>
      </c>
      <c r="F1" s="23" t="s">
        <v>180</v>
      </c>
      <c r="G1" s="23" t="s">
        <v>181</v>
      </c>
      <c r="H1" s="23" t="s">
        <v>14</v>
      </c>
      <c r="I1" s="23" t="s">
        <v>15</v>
      </c>
      <c r="J1" s="23" t="s">
        <v>182</v>
      </c>
      <c r="K1" s="23" t="s">
        <v>183</v>
      </c>
      <c r="L1" s="23" t="s">
        <v>184</v>
      </c>
      <c r="M1" s="24" t="s">
        <v>185</v>
      </c>
      <c r="N1" s="23" t="s">
        <v>186</v>
      </c>
      <c r="O1" s="23" t="s">
        <v>187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196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131</v>
      </c>
      <c r="J2" s="26" t="s">
        <v>96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202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196</v>
      </c>
      <c r="F3" s="27">
        <v>0</v>
      </c>
      <c r="G3" s="34">
        <f t="shared" si="0"/>
        <v>0</v>
      </c>
      <c r="H3" s="33" t="s">
        <v>18</v>
      </c>
      <c r="I3" s="33" t="s">
        <v>152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203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196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176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196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196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196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196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196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196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196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196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196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77" t="s">
        <v>191</v>
      </c>
      <c r="B14" s="78"/>
      <c r="C14" s="78"/>
      <c r="D14" s="78"/>
      <c r="E14" s="79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192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196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196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91">
        <f ca="1">IFERROR(IF(K16="","",IF(L16="",MOD(NOW()-K16,1),IF(L16&gt;=K16,L16-K16,L16+1-K16))),"")</f>
        <v>4.1666666666666741E-2</v>
      </c>
      <c r="N16" s="27" t="s">
        <v>204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196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196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196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196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196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196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196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196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196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196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77" t="s">
        <v>193</v>
      </c>
      <c r="B27" s="78"/>
      <c r="C27" s="78"/>
      <c r="D27" s="78"/>
      <c r="E27" s="79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192</v>
      </c>
      <c r="O27" s="39">
        <v>202230</v>
      </c>
    </row>
    <row r="28" spans="1:15" ht="18" customHeight="1">
      <c r="A28" s="80" t="s">
        <v>194</v>
      </c>
      <c r="B28" s="81"/>
      <c r="C28" s="81"/>
      <c r="D28" s="81"/>
      <c r="E28" s="82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195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196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119</v>
      </c>
      <c r="J29" s="33"/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205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196</v>
      </c>
      <c r="F30" s="27"/>
      <c r="G30" s="34" t="str">
        <f t="shared" si="6"/>
        <v/>
      </c>
      <c r="H30" s="26" t="s">
        <v>18</v>
      </c>
      <c r="I30" s="26" t="s">
        <v>52</v>
      </c>
      <c r="J30" s="26"/>
      <c r="K30" s="29">
        <v>0.41875000000000001</v>
      </c>
      <c r="L30" s="29"/>
      <c r="M30" s="35">
        <f t="shared" ca="1" si="7"/>
        <v>7.6747685670852661E-4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196</v>
      </c>
      <c r="F31" s="27"/>
      <c r="G31" s="28" t="str">
        <f t="shared" si="6"/>
        <v/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196</v>
      </c>
      <c r="F32" s="27"/>
      <c r="G32" s="34" t="str">
        <f t="shared" si="6"/>
        <v/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196</v>
      </c>
      <c r="F33" s="27"/>
      <c r="G33" s="28" t="str">
        <f t="shared" si="6"/>
        <v/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196</v>
      </c>
      <c r="F34" s="27"/>
      <c r="G34" s="34" t="str">
        <f t="shared" si="6"/>
        <v/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196</v>
      </c>
      <c r="F35" s="27"/>
      <c r="G35" s="28" t="str">
        <f t="shared" si="6"/>
        <v/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196</v>
      </c>
      <c r="F36" s="27"/>
      <c r="G36" s="34" t="str">
        <f t="shared" si="6"/>
        <v/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196</v>
      </c>
      <c r="F37" s="27"/>
      <c r="G37" s="28" t="str">
        <f t="shared" si="6"/>
        <v/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196</v>
      </c>
      <c r="F38" s="27"/>
      <c r="G38" s="34" t="str">
        <f t="shared" si="6"/>
        <v/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196</v>
      </c>
      <c r="F39" s="27"/>
      <c r="G39" s="28" t="str">
        <f t="shared" si="6"/>
        <v/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196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77" t="s">
        <v>191</v>
      </c>
      <c r="B41" s="78"/>
      <c r="C41" s="78"/>
      <c r="D41" s="78"/>
      <c r="E41" s="79">
        <f>SUM(E29:E40)</f>
        <v>0</v>
      </c>
      <c r="F41" s="36">
        <f>SUM(F29:F40)</f>
        <v>12</v>
      </c>
      <c r="G41" s="36">
        <f>SUM(G29:G40)</f>
        <v>50.400000000000006</v>
      </c>
      <c r="H41" s="37"/>
      <c r="I41" s="37"/>
      <c r="J41" s="37"/>
      <c r="K41" s="61"/>
      <c r="L41" s="61"/>
      <c r="M41" s="38">
        <f ca="1">IFERROR(SUM(M29:M40),"")</f>
        <v>6.812858796781962E-2</v>
      </c>
      <c r="N41" s="36" t="s">
        <v>192</v>
      </c>
      <c r="O41" s="39"/>
    </row>
    <row r="42" spans="1:15" ht="15" customHeight="1">
      <c r="A42" s="70">
        <v>46205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19",F42*5,"")))</f>
        <v/>
      </c>
      <c r="H42" s="26"/>
      <c r="I42" s="26"/>
      <c r="J42" s="26"/>
      <c r="K42" s="29"/>
      <c r="L42" s="29"/>
      <c r="M42" s="35" t="str">
        <f t="shared" ref="M42:M53" ca="1" si="10">IFERROR(IF(K42="","",IF(L42="",MOD(NOW()-K42,1),IF(L42&gt;=K42,L42-K42,L42+1-K42))),"")</f>
        <v/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0" t="str">
        <f t="shared" ca="1" si="10"/>
        <v/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0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0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0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0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0" t="str">
        <f t="shared" ca="1" si="10"/>
        <v/>
      </c>
      <c r="N53" s="27"/>
      <c r="O53" s="60"/>
    </row>
    <row r="54" spans="1:15" ht="15.75" customHeight="1">
      <c r="A54" s="77" t="s">
        <v>193</v>
      </c>
      <c r="B54" s="78"/>
      <c r="C54" s="78"/>
      <c r="D54" s="78"/>
      <c r="E54" s="79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61"/>
      <c r="L54" s="61"/>
      <c r="M54" s="38">
        <f ca="1">IFERROR(SUM(M42:M53),"")</f>
        <v>0</v>
      </c>
      <c r="N54" s="36" t="s">
        <v>192</v>
      </c>
      <c r="O54" s="39"/>
    </row>
    <row r="55" spans="1:15" ht="18" customHeight="1">
      <c r="A55" s="80" t="s">
        <v>194</v>
      </c>
      <c r="B55" s="81"/>
      <c r="C55" s="81"/>
      <c r="D55" s="81"/>
      <c r="E55" s="82">
        <f>E41+E54</f>
        <v>0</v>
      </c>
      <c r="F55" s="40">
        <f>F41+F54</f>
        <v>12</v>
      </c>
      <c r="G55" s="40">
        <f>G41+G54</f>
        <v>50.400000000000006</v>
      </c>
      <c r="H55" s="41"/>
      <c r="I55" s="41"/>
      <c r="J55" s="41"/>
      <c r="K55" s="63"/>
      <c r="L55" s="63"/>
      <c r="M55" s="42">
        <f ca="1">IFERROR(M41+M54,"")</f>
        <v>6.812858796781962E-2</v>
      </c>
      <c r="N55" s="40" t="s">
        <v>195</v>
      </c>
      <c r="O55" s="48">
        <f>IFERROR(O41+O54,"")</f>
        <v>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60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77" t="s">
        <v>191</v>
      </c>
      <c r="B68" s="78"/>
      <c r="C68" s="78"/>
      <c r="D68" s="78"/>
      <c r="E68" s="7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61"/>
      <c r="L68" s="61"/>
      <c r="M68" s="38">
        <f ca="1">IFERROR(SUM(M56:M67),"")</f>
        <v>0</v>
      </c>
      <c r="N68" s="36" t="s">
        <v>192</v>
      </c>
      <c r="O68" s="39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60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60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60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60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77" t="s">
        <v>193</v>
      </c>
      <c r="B81" s="78"/>
      <c r="C81" s="78"/>
      <c r="D81" s="78"/>
      <c r="E81" s="79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61"/>
      <c r="L81" s="61"/>
      <c r="M81" s="38">
        <f ca="1">IFERROR(SUM(M69:M80),"")</f>
        <v>0</v>
      </c>
      <c r="N81" s="36" t="s">
        <v>192</v>
      </c>
      <c r="O81" s="39"/>
    </row>
    <row r="82" spans="1:15" ht="18" customHeight="1">
      <c r="A82" s="80" t="s">
        <v>194</v>
      </c>
      <c r="B82" s="81"/>
      <c r="C82" s="81"/>
      <c r="D82" s="81"/>
      <c r="E82" s="82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63"/>
      <c r="L82" s="63"/>
      <c r="M82" s="42">
        <f ca="1">IFERROR(M68+M81,"")</f>
        <v>0</v>
      </c>
      <c r="N82" s="40" t="s">
        <v>195</v>
      </c>
      <c r="O82" s="48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0" t="str">
        <f t="shared" ref="M83:M94" ca="1" si="19">IFERROR(IF(K83="","",IF(L83="",MOD(NOW()-K83,1),IF(L83&gt;=K83,L83-K83,L83+1-K83))),"")</f>
        <v/>
      </c>
      <c r="N83" s="27"/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5" t="str">
        <f t="shared" ca="1" si="19"/>
        <v/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77" t="s">
        <v>191</v>
      </c>
      <c r="B95" s="78"/>
      <c r="C95" s="78"/>
      <c r="D95" s="78"/>
      <c r="E95" s="79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61"/>
      <c r="L95" s="61"/>
      <c r="M95" s="38">
        <f ca="1">IFERROR(SUM(M83:M94),"")</f>
        <v>0</v>
      </c>
      <c r="N95" s="36" t="s">
        <v>192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77" t="s">
        <v>193</v>
      </c>
      <c r="B108" s="78"/>
      <c r="C108" s="78"/>
      <c r="D108" s="78"/>
      <c r="E108" s="7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192</v>
      </c>
      <c r="O108" s="39"/>
    </row>
    <row r="109" spans="1:15" ht="18" customHeight="1">
      <c r="A109" s="80" t="s">
        <v>194</v>
      </c>
      <c r="B109" s="81"/>
      <c r="C109" s="81"/>
      <c r="D109" s="81"/>
      <c r="E109" s="82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63"/>
      <c r="L109" s="63"/>
      <c r="M109" s="42">
        <f ca="1">IFERROR(M95+M108,"")</f>
        <v>0</v>
      </c>
      <c r="N109" s="40" t="s">
        <v>195</v>
      </c>
      <c r="O109" s="48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77" t="s">
        <v>191</v>
      </c>
      <c r="B122" s="78"/>
      <c r="C122" s="78"/>
      <c r="D122" s="78"/>
      <c r="E122" s="79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192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5" ht="15.75" customHeight="1">
      <c r="A135" s="77" t="s">
        <v>193</v>
      </c>
      <c r="B135" s="78"/>
      <c r="C135" s="78"/>
      <c r="D135" s="78"/>
      <c r="E135" s="79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192</v>
      </c>
      <c r="O135" s="39"/>
    </row>
    <row r="136" spans="1:15" ht="18" customHeight="1">
      <c r="A136" s="80" t="s">
        <v>194</v>
      </c>
      <c r="B136" s="81"/>
      <c r="C136" s="81"/>
      <c r="D136" s="81"/>
      <c r="E136" s="82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195</v>
      </c>
      <c r="O136" s="48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77" t="s">
        <v>191</v>
      </c>
      <c r="B149" s="78"/>
      <c r="C149" s="78"/>
      <c r="D149" s="78"/>
      <c r="E149" s="79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192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77" t="s">
        <v>193</v>
      </c>
      <c r="B162" s="78"/>
      <c r="C162" s="78"/>
      <c r="D162" s="78"/>
      <c r="E162" s="7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192</v>
      </c>
      <c r="O162" s="39"/>
    </row>
    <row r="163" spans="1:15" ht="18" customHeight="1">
      <c r="A163" s="80" t="s">
        <v>194</v>
      </c>
      <c r="B163" s="81"/>
      <c r="C163" s="81"/>
      <c r="D163" s="81"/>
      <c r="E163" s="82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195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77" t="s">
        <v>191</v>
      </c>
      <c r="B176" s="78"/>
      <c r="C176" s="78"/>
      <c r="D176" s="78"/>
      <c r="E176" s="7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192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77" t="s">
        <v>193</v>
      </c>
      <c r="B189" s="78"/>
      <c r="C189" s="78"/>
      <c r="D189" s="78"/>
      <c r="E189" s="7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192</v>
      </c>
      <c r="O189" s="39"/>
    </row>
    <row r="190" spans="1:15" ht="18" customHeight="1">
      <c r="A190" s="80" t="s">
        <v>194</v>
      </c>
      <c r="B190" s="81"/>
      <c r="C190" s="81"/>
      <c r="D190" s="81"/>
      <c r="E190" s="8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195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77" t="s">
        <v>191</v>
      </c>
      <c r="B203" s="78"/>
      <c r="C203" s="78"/>
      <c r="D203" s="78"/>
      <c r="E203" s="7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192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77" t="s">
        <v>193</v>
      </c>
      <c r="B216" s="78"/>
      <c r="C216" s="78"/>
      <c r="D216" s="78"/>
      <c r="E216" s="7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192</v>
      </c>
      <c r="O216" s="45"/>
    </row>
    <row r="217" spans="1:15" ht="18" customHeight="1">
      <c r="A217" s="80" t="s">
        <v>194</v>
      </c>
      <c r="B217" s="81"/>
      <c r="C217" s="81"/>
      <c r="D217" s="81"/>
      <c r="E217" s="8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195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77" t="s">
        <v>191</v>
      </c>
      <c r="B230" s="78"/>
      <c r="C230" s="78"/>
      <c r="D230" s="78"/>
      <c r="E230" s="7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192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77" t="s">
        <v>193</v>
      </c>
      <c r="B243" s="78"/>
      <c r="C243" s="78"/>
      <c r="D243" s="78"/>
      <c r="E243" s="7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192</v>
      </c>
      <c r="O243" s="39"/>
    </row>
    <row r="244" spans="1:15" ht="18" customHeight="1">
      <c r="A244" s="80" t="s">
        <v>194</v>
      </c>
      <c r="B244" s="81"/>
      <c r="C244" s="81"/>
      <c r="D244" s="81"/>
      <c r="E244" s="8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195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77" t="s">
        <v>191</v>
      </c>
      <c r="B257" s="78"/>
      <c r="C257" s="78"/>
      <c r="D257" s="78"/>
      <c r="E257" s="7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192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77" t="s">
        <v>193</v>
      </c>
      <c r="B270" s="78"/>
      <c r="C270" s="78"/>
      <c r="D270" s="78"/>
      <c r="E270" s="7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192</v>
      </c>
      <c r="O270" s="39"/>
    </row>
    <row r="271" spans="1:15" ht="18" customHeight="1">
      <c r="A271" s="80" t="s">
        <v>194</v>
      </c>
      <c r="B271" s="81"/>
      <c r="C271" s="81"/>
      <c r="D271" s="81"/>
      <c r="E271" s="8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195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77" t="s">
        <v>191</v>
      </c>
      <c r="B284" s="78"/>
      <c r="C284" s="78"/>
      <c r="D284" s="78"/>
      <c r="E284" s="7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192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77" t="s">
        <v>193</v>
      </c>
      <c r="B297" s="78"/>
      <c r="C297" s="78"/>
      <c r="D297" s="78"/>
      <c r="E297" s="7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192</v>
      </c>
      <c r="O297" s="39"/>
    </row>
    <row r="298" spans="1:15" ht="18" customHeight="1">
      <c r="A298" s="80" t="s">
        <v>194</v>
      </c>
      <c r="B298" s="81"/>
      <c r="C298" s="81"/>
      <c r="D298" s="81"/>
      <c r="E298" s="8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195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77" t="s">
        <v>191</v>
      </c>
      <c r="B311" s="78"/>
      <c r="C311" s="78"/>
      <c r="D311" s="78"/>
      <c r="E311" s="7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192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77" t="s">
        <v>193</v>
      </c>
      <c r="B324" s="78"/>
      <c r="C324" s="78"/>
      <c r="D324" s="78"/>
      <c r="E324" s="7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192</v>
      </c>
      <c r="O324" s="39"/>
    </row>
    <row r="325" spans="1:15" ht="18" customHeight="1">
      <c r="A325" s="80" t="s">
        <v>194</v>
      </c>
      <c r="B325" s="81"/>
      <c r="C325" s="81"/>
      <c r="D325" s="81"/>
      <c r="E325" s="8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195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77" t="s">
        <v>191</v>
      </c>
      <c r="B338" s="78"/>
      <c r="C338" s="78"/>
      <c r="D338" s="78"/>
      <c r="E338" s="7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192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77" t="s">
        <v>193</v>
      </c>
      <c r="B351" s="78"/>
      <c r="C351" s="78"/>
      <c r="D351" s="78"/>
      <c r="E351" s="7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192</v>
      </c>
      <c r="O351" s="39"/>
    </row>
    <row r="352" spans="1:15" ht="18" customHeight="1">
      <c r="A352" s="80" t="s">
        <v>194</v>
      </c>
      <c r="B352" s="81"/>
      <c r="C352" s="81"/>
      <c r="D352" s="81"/>
      <c r="E352" s="8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195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77" t="s">
        <v>191</v>
      </c>
      <c r="B365" s="78"/>
      <c r="C365" s="78"/>
      <c r="D365" s="78"/>
      <c r="E365" s="7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192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77" t="s">
        <v>193</v>
      </c>
      <c r="B378" s="78"/>
      <c r="C378" s="78"/>
      <c r="D378" s="78"/>
      <c r="E378" s="7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192</v>
      </c>
      <c r="O378" s="39"/>
    </row>
    <row r="379" spans="1:15" ht="18" customHeight="1">
      <c r="A379" s="80" t="s">
        <v>194</v>
      </c>
      <c r="B379" s="81"/>
      <c r="C379" s="81"/>
      <c r="D379" s="81"/>
      <c r="E379" s="8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195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77" t="s">
        <v>191</v>
      </c>
      <c r="B392" s="78"/>
      <c r="C392" s="78"/>
      <c r="D392" s="78"/>
      <c r="E392" s="7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192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77" t="s">
        <v>193</v>
      </c>
      <c r="B405" s="78"/>
      <c r="C405" s="78"/>
      <c r="D405" s="78"/>
      <c r="E405" s="7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192</v>
      </c>
      <c r="O405" s="39"/>
    </row>
    <row r="406" spans="1:15" ht="18" customHeight="1">
      <c r="A406" s="80" t="s">
        <v>194</v>
      </c>
      <c r="B406" s="81"/>
      <c r="C406" s="81"/>
      <c r="D406" s="81"/>
      <c r="E406" s="8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195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77" t="s">
        <v>191</v>
      </c>
      <c r="B419" s="78"/>
      <c r="C419" s="78"/>
      <c r="D419" s="78"/>
      <c r="E419" s="7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192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77" t="s">
        <v>193</v>
      </c>
      <c r="B432" s="78"/>
      <c r="C432" s="78"/>
      <c r="D432" s="78"/>
      <c r="E432" s="7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192</v>
      </c>
      <c r="O432" s="39"/>
    </row>
    <row r="433" spans="1:17" ht="18" customHeight="1">
      <c r="A433" s="80" t="s">
        <v>194</v>
      </c>
      <c r="B433" s="81"/>
      <c r="C433" s="81"/>
      <c r="D433" s="81"/>
      <c r="E433" s="8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195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77" t="s">
        <v>191</v>
      </c>
      <c r="B446" s="78"/>
      <c r="C446" s="78"/>
      <c r="D446" s="78"/>
      <c r="E446" s="7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192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77" t="s">
        <v>193</v>
      </c>
      <c r="B459" s="78"/>
      <c r="C459" s="78"/>
      <c r="D459" s="78"/>
      <c r="E459" s="7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192</v>
      </c>
      <c r="O459" s="39"/>
    </row>
    <row r="460" spans="1:15" ht="18" customHeight="1">
      <c r="A460" s="80" t="s">
        <v>194</v>
      </c>
      <c r="B460" s="81"/>
      <c r="C460" s="81"/>
      <c r="D460" s="81"/>
      <c r="E460" s="8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195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77" t="s">
        <v>191</v>
      </c>
      <c r="B473" s="78"/>
      <c r="C473" s="78"/>
      <c r="D473" s="78"/>
      <c r="E473" s="7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192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77" t="s">
        <v>193</v>
      </c>
      <c r="B486" s="78"/>
      <c r="C486" s="78"/>
      <c r="D486" s="78"/>
      <c r="E486" s="7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192</v>
      </c>
      <c r="O486" s="39"/>
    </row>
    <row r="487" spans="1:15" ht="18" customHeight="1">
      <c r="A487" s="80" t="s">
        <v>194</v>
      </c>
      <c r="B487" s="81"/>
      <c r="C487" s="81"/>
      <c r="D487" s="81"/>
      <c r="E487" s="8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195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77" t="s">
        <v>191</v>
      </c>
      <c r="B500" s="78"/>
      <c r="C500" s="78"/>
      <c r="D500" s="78"/>
      <c r="E500" s="7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192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77" t="s">
        <v>193</v>
      </c>
      <c r="B513" s="78"/>
      <c r="C513" s="78"/>
      <c r="D513" s="78"/>
      <c r="E513" s="7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192</v>
      </c>
      <c r="O513" s="39"/>
    </row>
    <row r="514" spans="1:15" ht="18" customHeight="1">
      <c r="A514" s="80" t="s">
        <v>194</v>
      </c>
      <c r="B514" s="81"/>
      <c r="C514" s="81"/>
      <c r="D514" s="81"/>
      <c r="E514" s="8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195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77" t="s">
        <v>191</v>
      </c>
      <c r="B527" s="78"/>
      <c r="C527" s="78"/>
      <c r="D527" s="78"/>
      <c r="E527" s="7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192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77" t="s">
        <v>193</v>
      </c>
      <c r="B540" s="78"/>
      <c r="C540" s="78"/>
      <c r="D540" s="78"/>
      <c r="E540" s="7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192</v>
      </c>
      <c r="O540" s="39"/>
    </row>
    <row r="541" spans="1:15" ht="18" customHeight="1">
      <c r="A541" s="80" t="s">
        <v>194</v>
      </c>
      <c r="B541" s="81"/>
      <c r="C541" s="81"/>
      <c r="D541" s="81"/>
      <c r="E541" s="8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195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77" t="s">
        <v>191</v>
      </c>
      <c r="B554" s="78"/>
      <c r="C554" s="78"/>
      <c r="D554" s="78"/>
      <c r="E554" s="7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192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77" t="s">
        <v>193</v>
      </c>
      <c r="B567" s="78"/>
      <c r="C567" s="78"/>
      <c r="D567" s="78"/>
      <c r="E567" s="7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192</v>
      </c>
      <c r="O567" s="39"/>
    </row>
    <row r="568" spans="1:15" ht="18" customHeight="1">
      <c r="A568" s="80" t="s">
        <v>194</v>
      </c>
      <c r="B568" s="81"/>
      <c r="C568" s="81"/>
      <c r="D568" s="81"/>
      <c r="E568" s="8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195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77" t="s">
        <v>191</v>
      </c>
      <c r="B581" s="78"/>
      <c r="C581" s="78"/>
      <c r="D581" s="78"/>
      <c r="E581" s="7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192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77" t="s">
        <v>193</v>
      </c>
      <c r="B594" s="78"/>
      <c r="C594" s="78"/>
      <c r="D594" s="78"/>
      <c r="E594" s="7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192</v>
      </c>
      <c r="O594" s="39"/>
    </row>
    <row r="595" spans="1:15" ht="18" customHeight="1">
      <c r="A595" s="80" t="s">
        <v>194</v>
      </c>
      <c r="B595" s="81"/>
      <c r="C595" s="81"/>
      <c r="D595" s="81"/>
      <c r="E595" s="8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195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77" t="s">
        <v>191</v>
      </c>
      <c r="B608" s="78"/>
      <c r="C608" s="78"/>
      <c r="D608" s="78"/>
      <c r="E608" s="7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192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77" t="s">
        <v>193</v>
      </c>
      <c r="B621" s="78"/>
      <c r="C621" s="78"/>
      <c r="D621" s="78"/>
      <c r="E621" s="7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192</v>
      </c>
      <c r="O621" s="39"/>
    </row>
    <row r="622" spans="1:15" ht="18" customHeight="1">
      <c r="A622" s="80" t="s">
        <v>194</v>
      </c>
      <c r="B622" s="81"/>
      <c r="C622" s="81"/>
      <c r="D622" s="81"/>
      <c r="E622" s="8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195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77" t="s">
        <v>191</v>
      </c>
      <c r="B635" s="78"/>
      <c r="C635" s="78"/>
      <c r="D635" s="78"/>
      <c r="E635" s="7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192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77" t="s">
        <v>193</v>
      </c>
      <c r="B648" s="78"/>
      <c r="C648" s="78"/>
      <c r="D648" s="78"/>
      <c r="E648" s="7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192</v>
      </c>
      <c r="O648" s="39"/>
    </row>
    <row r="649" spans="1:15" ht="18" customHeight="1">
      <c r="A649" s="80" t="s">
        <v>194</v>
      </c>
      <c r="B649" s="81"/>
      <c r="C649" s="81"/>
      <c r="D649" s="81"/>
      <c r="E649" s="8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195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77" t="s">
        <v>191</v>
      </c>
      <c r="B662" s="78"/>
      <c r="C662" s="78"/>
      <c r="D662" s="78"/>
      <c r="E662" s="7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192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77" t="s">
        <v>193</v>
      </c>
      <c r="B675" s="78"/>
      <c r="C675" s="78"/>
      <c r="D675" s="78"/>
      <c r="E675" s="7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192</v>
      </c>
      <c r="O675" s="39"/>
    </row>
    <row r="676" spans="1:15" ht="18" customHeight="1">
      <c r="A676" s="80" t="s">
        <v>194</v>
      </c>
      <c r="B676" s="81"/>
      <c r="C676" s="81"/>
      <c r="D676" s="81"/>
      <c r="E676" s="8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195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77" t="s">
        <v>191</v>
      </c>
      <c r="B689" s="78"/>
      <c r="C689" s="78"/>
      <c r="D689" s="78"/>
      <c r="E689" s="7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192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77" t="s">
        <v>193</v>
      </c>
      <c r="B702" s="78"/>
      <c r="C702" s="78"/>
      <c r="D702" s="78"/>
      <c r="E702" s="7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192</v>
      </c>
      <c r="O702" s="39"/>
    </row>
    <row r="703" spans="1:15" ht="18" customHeight="1">
      <c r="A703" s="80" t="s">
        <v>194</v>
      </c>
      <c r="B703" s="81"/>
      <c r="C703" s="81"/>
      <c r="D703" s="81"/>
      <c r="E703" s="8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195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77" t="s">
        <v>191</v>
      </c>
      <c r="B716" s="78"/>
      <c r="C716" s="78"/>
      <c r="D716" s="78"/>
      <c r="E716" s="7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192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77" t="s">
        <v>193</v>
      </c>
      <c r="B729" s="78"/>
      <c r="C729" s="78"/>
      <c r="D729" s="78"/>
      <c r="E729" s="7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192</v>
      </c>
      <c r="O729" s="39"/>
    </row>
    <row r="730" spans="1:15" ht="18" customHeight="1">
      <c r="A730" s="80" t="s">
        <v>194</v>
      </c>
      <c r="B730" s="81"/>
      <c r="C730" s="81"/>
      <c r="D730" s="81"/>
      <c r="E730" s="8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195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77" t="s">
        <v>191</v>
      </c>
      <c r="B743" s="78"/>
      <c r="C743" s="78"/>
      <c r="D743" s="78"/>
      <c r="E743" s="7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192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77" t="s">
        <v>193</v>
      </c>
      <c r="B756" s="78"/>
      <c r="C756" s="78"/>
      <c r="D756" s="78"/>
      <c r="E756" s="7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192</v>
      </c>
      <c r="O756" s="39"/>
    </row>
    <row r="757" spans="1:15" ht="18" customHeight="1">
      <c r="A757" s="80" t="s">
        <v>194</v>
      </c>
      <c r="B757" s="81"/>
      <c r="C757" s="81"/>
      <c r="D757" s="81"/>
      <c r="E757" s="8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195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77" t="s">
        <v>191</v>
      </c>
      <c r="B770" s="78"/>
      <c r="C770" s="78"/>
      <c r="D770" s="78"/>
      <c r="E770" s="7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192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77" t="s">
        <v>193</v>
      </c>
      <c r="B783" s="78"/>
      <c r="C783" s="78"/>
      <c r="D783" s="78"/>
      <c r="E783" s="7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192</v>
      </c>
      <c r="O783" s="39"/>
    </row>
    <row r="784" spans="1:15" ht="18" customHeight="1">
      <c r="A784" s="80" t="s">
        <v>194</v>
      </c>
      <c r="B784" s="81"/>
      <c r="C784" s="81"/>
      <c r="D784" s="81"/>
      <c r="E784" s="8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195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77" t="s">
        <v>191</v>
      </c>
      <c r="B797" s="78"/>
      <c r="C797" s="78"/>
      <c r="D797" s="78"/>
      <c r="E797" s="7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192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77" t="s">
        <v>193</v>
      </c>
      <c r="B810" s="78"/>
      <c r="C810" s="78"/>
      <c r="D810" s="78"/>
      <c r="E810" s="7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192</v>
      </c>
      <c r="O810" s="39"/>
    </row>
    <row r="811" spans="1:15" ht="18" customHeight="1">
      <c r="A811" s="80" t="s">
        <v>194</v>
      </c>
      <c r="B811" s="81"/>
      <c r="C811" s="81"/>
      <c r="D811" s="81"/>
      <c r="E811" s="8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195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29:E811 E15:E26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2026-07-02T14:04:40Z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