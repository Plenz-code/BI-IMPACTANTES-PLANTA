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74" documentId="8_{AF585B22-221D-4780-BB9C-493D365A6A02}" xr6:coauthVersionLast="47" xr6:coauthVersionMax="47" xr10:uidLastSave="{4255EE1D-F740-4734-BACE-357F3ABDBCAB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2" i="3" l="1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B47" i="6"/>
  <c r="B48" i="6" s="1"/>
  <c r="B49" i="6" s="1"/>
  <c r="B50" i="6" s="1"/>
  <c r="B51" i="6" s="1"/>
  <c r="B52" i="6" s="1"/>
  <c r="B53" i="6" s="1"/>
  <c r="G46" i="6"/>
  <c r="G45" i="6"/>
  <c r="G44" i="6"/>
  <c r="B44" i="6"/>
  <c r="B45" i="6" s="1"/>
  <c r="B46" i="6" s="1"/>
  <c r="G43" i="6"/>
  <c r="B43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<sst xmlns="http://schemas.openxmlformats.org/spreadsheetml/2006/main" count="1669" uniqueCount="210">
  <si>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</si>
  <si>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</si>
  <si>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</si>
  <si>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</si>
  <si>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</si>
  <si>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</si>
  <si>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</si>
  <si>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</si>
  <si>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</si>
  <si>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</si>
  <si>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</si>
  <si>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</si>
  <si>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</si>
  <si>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</si>
  <si>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</si>
  <si>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</si>
  <si>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</si>
  <si>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</si>
  <si>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</si>
  <si>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</si>
  <si>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</si>
  <si>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</si>
  <si>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</si>
  <si>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</si>
  <si>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</si>
  <si>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</si>
  <si>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</si>
  <si>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</si>
  <si>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</si>
  <si>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</si>
  <si>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</si>
  <si>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</si>
  <si>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</si>
  <si>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</si>
  <si>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</si>
  <si>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</si>
  <si>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</si>
  <si>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</si>
  <si>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</si>
  <si>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</si>
  <si>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</si>
  <si>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</si>
  <si>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</si>
  <si>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</si>
  <si>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</si>
  <si>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</si>
  <si>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</si>
  <si>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</si>
  <si>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</si>
  <si>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</si>
  <si>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</si>
  <si>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</si>
  <si>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</si>
  <si>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</si>
  <si>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</si>
  <si>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</si>
  <si>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</si>
  <si>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</si>
  <si>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</si>
  <si>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</si>
  <si>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</si>
  <si>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</si>
  <si>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</si>
  <si>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</si>
  <si>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</si>
  <si>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</si>
  <si>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</si>
  <si>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</si>
  <si>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</si>
  <si>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</si>
  <si>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</si>
  <si>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</si>
  <si>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</si>
  <si>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</si>
  <si>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</si>
  <si>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</si>
  <si>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</si>
  <si>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</si>
  <si>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</si>
  <si>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</si>
  <si>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</si>
  <si>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</si>
  <si>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</si>
  <si>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</si>
  <si>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</si>
  <si>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</si>
  <si>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</si>
  <si>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</si>
  <si>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</si>
  <si>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</si>
  <si>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</si>
  <si>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</si>
  <si>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</si>
  <si>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</si>
  <si>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</si>
  <si>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</si>
  <si>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</si>
  <si>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</si>
  <si>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</si>
  <si>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</si>
  <si>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</si>
  <si>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</si>
  <si>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</si>
  <si>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</si>
  <si>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</si>
  <si>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</si>
  <si>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</si>
  <si>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</si>
  <si>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</si>
  <si>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</si>
  <si>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</si>
  <si>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</si>
  <si>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</si>
  <si>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</si>
  <si>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</si>
  <si>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</si>
  <si>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</si>
  <si>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</si>
  <si>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</si>
  <si>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</si>
  <si>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</si>
  <si>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</si>
  <si>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</si>
  <si>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</si>
  <si>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</si>
  <si>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</si>
  <si>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</si>
  <si>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</si>
  <si>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</si>
  <si>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</si>
  <si>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</si>
  <si>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</si>
  <si>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</si>
  <si>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</si>
  <si>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</si>
  <si>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</si>
  <si>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</si>
  <si>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</si>
  <si>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</si>
  <si>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</si>
  <si>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</si>
  <si>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</si>
  <si>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</si>
  <si>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</si>
  <si>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</si>
  <si>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</si>
  <si>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</si>
  <si>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</si>
  <si>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</si>
  <si>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</si>
  <si>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</si>
  <si>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</si>
  <si>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</si>
  <si>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</si>
  <si>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</si>
  <si>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</si>
  <si>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</si>
  <si>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</si>
  <si>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</si>
  <si>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</si>
  <si>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</si>
  <si>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</si>
  <si>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</si>
  <si>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</si>
  <si>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</si>
  <si>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</si>
  <si>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</si>
  <si>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</si>
  <si>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</si>
  <si>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</si>
  <si>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</si>
  <si>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</si>
  <si>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</si>
  <si>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</si>
  <si>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</si>
  <si>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</si>
  <si>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</si>
  <si>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</si>
  <si>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</si>
  <si>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</si>
  <si>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</si>
  <si>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</si>
  <si>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</si>
  <si>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</si>
  <si>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</si>
  <si>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</si>
  <si>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</si>
  <si>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</si>
  <si>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</si>
  <si>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</si>
  <si>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</si>
  <si>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</si>
  <si>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</si>
  <si>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</si>
  <si>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</si>
  <si>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</si>
  <si>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</si>
  <si>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</si>
  <si>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</si>
  <si>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</si>
  <si>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9;06</t>
  </si>
  <si>
    <t>martelo soltou, troca de martelo, aperto de parafuso do mancal, manutenção bomba de rejeito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</si>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</sst>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6" t="s">
        <v>0</v>
      </c>
      <c r="B1" s="86"/>
      <c r="C1" s="86"/>
      <c r="D1" s="86"/>
      <c r="E1" s="86"/>
      <c r="F1" s="86"/>
      <c r="G1" s="86"/>
    </row>
    <row r="2" spans="1:7" ht="24.75" customHeight="1">
      <c r="A2" s="87"/>
      <c r="B2" s="8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108620</v>
      </c>
      <c r="D5" s="11">
        <f>IFERROR('Linha 1'!O55,"")</f>
        <v>351740</v>
      </c>
      <c r="E5" s="11">
        <f>IFERROR('Linha 2'!O55,"")</f>
        <v>205590</v>
      </c>
      <c r="F5" s="11">
        <f>IFERROR('Linha 3'!O55,"")</f>
        <v>304990</v>
      </c>
      <c r="G5" s="12">
        <f t="shared" si="0"/>
        <v>862320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8" t="s">
        <v>9</v>
      </c>
      <c r="B35" s="88"/>
      <c r="C35" s="13">
        <f>IFERROR(SUM(C4:C34),"")</f>
        <v>2781100</v>
      </c>
      <c r="D35" s="13">
        <f>IFERROR(SUM(D4:D34),"")</f>
        <v>1372200</v>
      </c>
      <c r="E35" s="13">
        <f>IFERROR(SUM(E4:E34),"")</f>
        <v>806620</v>
      </c>
      <c r="F35" s="13">
        <f>IFERROR(SUM(F4:F34),"")</f>
        <v>834290</v>
      </c>
      <c r="G35" s="13">
        <f>IFERROR(SUM(G4:G34),"")</f>
        <v>3013110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9" t="s">
        <v>10</v>
      </c>
      <c r="B1" s="89"/>
      <c r="C1" s="89"/>
      <c r="D1" s="89"/>
      <c r="E1" s="89"/>
      <c r="F1" s="89"/>
      <c r="G1" s="89"/>
      <c r="H1" s="90"/>
      <c r="I1" s="91" t="s">
        <v>11</v>
      </c>
      <c r="J1" s="91"/>
      <c r="K1" s="91"/>
      <c r="L1" s="91"/>
      <c r="M1" s="91"/>
    </row>
    <row r="2" spans="1:13" ht="4.5" customHeight="1">
      <c r="H2" s="9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0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0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0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0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0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0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0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0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0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0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0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0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0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0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0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0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0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0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0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0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0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0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0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0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0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0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0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0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0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0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0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0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0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0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0"/>
      <c r="I48" s="16"/>
      <c r="J48" s="16"/>
      <c r="K48" s="16" t="s">
        <v>174</v>
      </c>
      <c r="L48" s="16"/>
      <c r="M48" s="16"/>
    </row>
    <row r="49" spans="1:13" ht="18" customHeight="1">
      <c r="H49" s="90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0"/>
      <c r="I50" s="16"/>
      <c r="J50" s="16"/>
      <c r="K50" s="16" t="s">
        <v>177</v>
      </c>
      <c r="L50" s="16"/>
      <c r="M50" s="16"/>
    </row>
    <row r="51" spans="1:13" ht="24" customHeight="1">
      <c r="H51" s="90"/>
      <c r="I51" s="17"/>
      <c r="J51" s="17"/>
      <c r="K51" s="17" t="s">
        <v>178</v>
      </c>
      <c r="L51" s="17"/>
      <c r="M51" s="17"/>
    </row>
    <row r="52" spans="1:13" ht="24" customHeight="1">
      <c r="H52" s="90"/>
      <c r="I52" s="16"/>
      <c r="J52" s="16"/>
      <c r="K52" s="16" t="s">
        <v>179</v>
      </c>
      <c r="L52" s="16"/>
      <c r="M52" s="16"/>
    </row>
    <row r="53" spans="1:13" ht="36" customHeight="1">
      <c r="H53" s="90"/>
      <c r="I53" s="17"/>
      <c r="J53" s="17"/>
      <c r="K53" s="17"/>
      <c r="L53" s="17"/>
      <c r="M53" s="17"/>
    </row>
    <row r="54" spans="1:13" ht="15" customHeight="1">
      <c r="H54" s="90"/>
      <c r="I54" s="16"/>
      <c r="J54" s="16"/>
      <c r="K54" s="16"/>
      <c r="L54" s="16"/>
      <c r="M54" s="16"/>
    </row>
    <row r="55" spans="1:13" ht="15" customHeight="1">
      <c r="H55" s="90"/>
      <c r="I55" s="17"/>
      <c r="J55" s="17"/>
      <c r="K55" s="17"/>
      <c r="L55" s="17"/>
      <c r="M55" s="17"/>
    </row>
    <row r="56" spans="1:13" ht="15" customHeight="1">
      <c r="H56" s="90"/>
      <c r="I56" s="16"/>
      <c r="J56" s="16"/>
      <c r="K56" s="16"/>
      <c r="L56" s="16"/>
      <c r="M56" s="16"/>
    </row>
    <row r="57" spans="1:13" ht="15" customHeight="1">
      <c r="H57" s="90"/>
      <c r="I57" s="17"/>
      <c r="J57" s="17"/>
      <c r="K57" s="17"/>
      <c r="L57" s="17"/>
      <c r="M57" s="17"/>
    </row>
    <row r="58" spans="1:13" ht="15" customHeight="1">
      <c r="H58" s="90"/>
      <c r="I58" s="16"/>
      <c r="J58" s="16"/>
      <c r="K58" s="16"/>
      <c r="L58" s="16"/>
      <c r="M58" s="16"/>
    </row>
    <row r="59" spans="1:13" ht="15" customHeight="1">
      <c r="H59" s="90"/>
      <c r="I59" s="17"/>
      <c r="J59" s="17"/>
      <c r="K59" s="17"/>
      <c r="L59" s="17"/>
      <c r="M59" s="17"/>
    </row>
    <row r="60" spans="1:13" ht="15" customHeight="1">
      <c r="H60" s="90"/>
      <c r="I60" s="16"/>
      <c r="J60" s="16"/>
      <c r="K60" s="16"/>
      <c r="L60" s="16"/>
      <c r="M60" s="16"/>
    </row>
    <row r="61" spans="1:13" ht="15" customHeight="1">
      <c r="H61" s="90"/>
      <c r="I61" s="17"/>
      <c r="J61" s="17"/>
      <c r="K61" s="17"/>
      <c r="L61" s="17"/>
      <c r="M61" s="17"/>
    </row>
    <row r="62" spans="1:13" ht="15" customHeight="1">
      <c r="H62" s="90"/>
      <c r="I62" s="16"/>
      <c r="J62" s="16"/>
      <c r="K62" s="16"/>
      <c r="L62" s="16"/>
      <c r="M62" s="16"/>
    </row>
    <row r="63" spans="1:13" ht="15" customHeight="1">
      <c r="H63" s="90"/>
      <c r="I63" s="17"/>
      <c r="J63" s="17"/>
      <c r="K63" s="17"/>
      <c r="L63" s="17"/>
      <c r="M63" s="17"/>
    </row>
    <row r="64" spans="1:13" ht="15" customHeight="1">
      <c r="H64" s="90"/>
      <c r="I64" s="16"/>
      <c r="J64" s="16"/>
      <c r="K64" s="16"/>
      <c r="L64" s="16"/>
      <c r="M64" s="16"/>
    </row>
    <row r="65" spans="8:13" ht="15" customHeight="1">
      <c r="H65" s="90"/>
      <c r="I65" s="17"/>
      <c r="J65" s="17"/>
      <c r="K65" s="17"/>
      <c r="L65" s="17"/>
      <c r="M65" s="17"/>
    </row>
    <row r="66" spans="8:13" ht="15" customHeight="1">
      <c r="H66" s="90"/>
      <c r="I66" s="16"/>
      <c r="J66" s="16"/>
      <c r="K66" s="16"/>
      <c r="L66" s="16"/>
      <c r="M66" s="16"/>
    </row>
    <row r="67" spans="8:13" ht="15" customHeight="1">
      <c r="H67" s="90"/>
      <c r="I67" s="17"/>
      <c r="J67" s="17"/>
      <c r="K67" s="17"/>
      <c r="L67" s="17"/>
      <c r="M67" s="17"/>
    </row>
    <row r="68" spans="8:13" ht="15" customHeight="1">
      <c r="H68" s="90"/>
      <c r="I68" s="16"/>
      <c r="J68" s="16"/>
      <c r="K68" s="16"/>
      <c r="L68" s="16"/>
      <c r="M68" s="16"/>
    </row>
    <row r="69" spans="8:13" ht="15" customHeight="1">
      <c r="H69" s="90"/>
      <c r="I69" s="17"/>
      <c r="J69" s="17"/>
      <c r="K69" s="17"/>
      <c r="L69" s="17"/>
      <c r="M69" s="17"/>
    </row>
    <row r="70" spans="8:13" ht="15" customHeight="1">
      <c r="H70" s="90"/>
      <c r="I70" s="16"/>
      <c r="J70" s="16"/>
      <c r="K70" s="16"/>
      <c r="L70" s="16"/>
      <c r="M70" s="16"/>
    </row>
    <row r="71" spans="8:13" ht="15" customHeight="1">
      <c r="H71" s="90"/>
      <c r="I71" s="17"/>
      <c r="J71" s="17"/>
      <c r="K71" s="17"/>
      <c r="L71" s="17"/>
      <c r="M71" s="17"/>
    </row>
    <row r="72" spans="8:13" ht="15" customHeight="1">
      <c r="H72" s="90"/>
      <c r="I72" s="16"/>
      <c r="J72" s="16"/>
      <c r="K72" s="16"/>
      <c r="L72" s="16"/>
      <c r="M72" s="16"/>
    </row>
    <row r="73" spans="8:13" ht="15" customHeight="1">
      <c r="H73" s="90"/>
      <c r="I73" s="17"/>
      <c r="J73" s="17"/>
      <c r="K73" s="17"/>
      <c r="L73" s="17"/>
      <c r="M73" s="17"/>
    </row>
    <row r="74" spans="8:13" ht="15" customHeight="1">
      <c r="H74" s="90"/>
      <c r="I74" s="16"/>
      <c r="J74" s="16"/>
      <c r="K74" s="16"/>
      <c r="L74" s="16"/>
      <c r="M74" s="16"/>
    </row>
    <row r="75" spans="8:13" ht="15" customHeight="1">
      <c r="H75" s="9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5" activePane="bottomLeft" state="frozen"/>
      <selection pane="bottomLeft" activeCell="F46" sqref="F4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3" t="s">
        <v>193</v>
      </c>
      <c r="B14" s="84"/>
      <c r="C14" s="84"/>
      <c r="D14" s="84"/>
      <c r="E14" s="8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3" t="s">
        <v>195</v>
      </c>
      <c r="B27" s="84"/>
      <c r="C27" s="84"/>
      <c r="D27" s="84"/>
      <c r="E27" s="8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3" t="s">
        <v>193</v>
      </c>
      <c r="B41" s="84"/>
      <c r="C41" s="84"/>
      <c r="D41" s="84"/>
      <c r="E41" s="8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191</v>
      </c>
      <c r="F43" s="27">
        <v>0</v>
      </c>
      <c r="G43" s="28">
        <f t="shared" si="9"/>
        <v>0</v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191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191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191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191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191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191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191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3" t="s">
        <v>195</v>
      </c>
      <c r="B54" s="84"/>
      <c r="C54" s="84"/>
      <c r="D54" s="84"/>
      <c r="E54" s="85">
        <f>SUM(E42:E53)</f>
        <v>0</v>
      </c>
      <c r="F54" s="36">
        <f>SUM(F42:F53)</f>
        <v>38</v>
      </c>
      <c r="G54" s="36">
        <f>SUM(G42:G53)</f>
        <v>190</v>
      </c>
      <c r="H54" s="37"/>
      <c r="I54" s="37"/>
      <c r="J54" s="37"/>
      <c r="K54" s="37"/>
      <c r="L54" s="37"/>
      <c r="M54" s="38">
        <f ca="1">IFERROR(SUM(M42:M53),"")</f>
        <v>8.333333333333337E-2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59</v>
      </c>
      <c r="G55" s="40">
        <f>G41+G54</f>
        <v>295</v>
      </c>
      <c r="H55" s="41"/>
      <c r="I55" s="41"/>
      <c r="J55" s="41"/>
      <c r="K55" s="41"/>
      <c r="L55" s="41"/>
      <c r="M55" s="42">
        <f ca="1">IFERROR(M41+M54,"")</f>
        <v>0.54305555555555562</v>
      </c>
      <c r="N55" s="40" t="s">
        <v>197</v>
      </c>
      <c r="O55" s="43">
        <f>IFERROR(O41+O54,"")</f>
        <v>108620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3" t="s">
        <v>193</v>
      </c>
      <c r="B68" s="84"/>
      <c r="C68" s="84"/>
      <c r="D68" s="84"/>
      <c r="E68" s="8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3" t="s">
        <v>195</v>
      </c>
      <c r="B81" s="84"/>
      <c r="C81" s="84"/>
      <c r="D81" s="84"/>
      <c r="E81" s="85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3" t="s">
        <v>193</v>
      </c>
      <c r="B95" s="84"/>
      <c r="C95" s="84"/>
      <c r="D95" s="84"/>
      <c r="E95" s="85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3" t="s">
        <v>195</v>
      </c>
      <c r="B108" s="84"/>
      <c r="C108" s="84"/>
      <c r="D108" s="84"/>
      <c r="E108" s="8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3" t="s">
        <v>193</v>
      </c>
      <c r="B122" s="84"/>
      <c r="C122" s="84"/>
      <c r="D122" s="84"/>
      <c r="E122" s="85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3" t="s">
        <v>195</v>
      </c>
      <c r="B135" s="84"/>
      <c r="C135" s="84"/>
      <c r="D135" s="84"/>
      <c r="E135" s="85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3" t="s">
        <v>193</v>
      </c>
      <c r="B149" s="84"/>
      <c r="C149" s="84"/>
      <c r="D149" s="84"/>
      <c r="E149" s="85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3" t="s">
        <v>195</v>
      </c>
      <c r="B162" s="84"/>
      <c r="C162" s="84"/>
      <c r="D162" s="84"/>
      <c r="E162" s="85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3" t="s">
        <v>193</v>
      </c>
      <c r="B176" s="84"/>
      <c r="C176" s="84"/>
      <c r="D176" s="84"/>
      <c r="E176" s="8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3" t="s">
        <v>195</v>
      </c>
      <c r="B189" s="84"/>
      <c r="C189" s="84"/>
      <c r="D189" s="84"/>
      <c r="E189" s="8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3" t="s">
        <v>193</v>
      </c>
      <c r="B203" s="84"/>
      <c r="C203" s="84"/>
      <c r="D203" s="84"/>
      <c r="E203" s="8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3" t="s">
        <v>195</v>
      </c>
      <c r="B216" s="84"/>
      <c r="C216" s="84"/>
      <c r="D216" s="84"/>
      <c r="E216" s="85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3" t="s">
        <v>193</v>
      </c>
      <c r="B230" s="84"/>
      <c r="C230" s="84"/>
      <c r="D230" s="84"/>
      <c r="E230" s="85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3" t="s">
        <v>195</v>
      </c>
      <c r="B243" s="84"/>
      <c r="C243" s="84"/>
      <c r="D243" s="84"/>
      <c r="E243" s="85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3" t="s">
        <v>193</v>
      </c>
      <c r="B257" s="84"/>
      <c r="C257" s="84"/>
      <c r="D257" s="84"/>
      <c r="E257" s="85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3" t="s">
        <v>195</v>
      </c>
      <c r="B270" s="84"/>
      <c r="C270" s="84"/>
      <c r="D270" s="84"/>
      <c r="E270" s="8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3" t="s">
        <v>193</v>
      </c>
      <c r="B284" s="84"/>
      <c r="C284" s="84"/>
      <c r="D284" s="84"/>
      <c r="E284" s="8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3" t="s">
        <v>195</v>
      </c>
      <c r="B297" s="84"/>
      <c r="C297" s="84"/>
      <c r="D297" s="84"/>
      <c r="E297" s="8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3" t="s">
        <v>193</v>
      </c>
      <c r="B311" s="84"/>
      <c r="C311" s="84"/>
      <c r="D311" s="84"/>
      <c r="E311" s="8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3" t="s">
        <v>195</v>
      </c>
      <c r="B324" s="84"/>
      <c r="C324" s="84"/>
      <c r="D324" s="84"/>
      <c r="E324" s="8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3" t="s">
        <v>193</v>
      </c>
      <c r="B338" s="84"/>
      <c r="C338" s="84"/>
      <c r="D338" s="84"/>
      <c r="E338" s="8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3" t="s">
        <v>195</v>
      </c>
      <c r="B351" s="84"/>
      <c r="C351" s="84"/>
      <c r="D351" s="84"/>
      <c r="E351" s="8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3" t="s">
        <v>193</v>
      </c>
      <c r="B365" s="84"/>
      <c r="C365" s="84"/>
      <c r="D365" s="84"/>
      <c r="E365" s="8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3" t="s">
        <v>195</v>
      </c>
      <c r="B378" s="84"/>
      <c r="C378" s="84"/>
      <c r="D378" s="84"/>
      <c r="E378" s="8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3" t="s">
        <v>193</v>
      </c>
      <c r="B392" s="84"/>
      <c r="C392" s="84"/>
      <c r="D392" s="84"/>
      <c r="E392" s="8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3" t="s">
        <v>195</v>
      </c>
      <c r="B405" s="84"/>
      <c r="C405" s="84"/>
      <c r="D405" s="84"/>
      <c r="E405" s="8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3" t="s">
        <v>193</v>
      </c>
      <c r="B419" s="84"/>
      <c r="C419" s="84"/>
      <c r="D419" s="84"/>
      <c r="E419" s="8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3" t="s">
        <v>195</v>
      </c>
      <c r="B432" s="84"/>
      <c r="C432" s="84"/>
      <c r="D432" s="84"/>
      <c r="E432" s="8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3" t="s">
        <v>193</v>
      </c>
      <c r="B446" s="84"/>
      <c r="C446" s="84"/>
      <c r="D446" s="84"/>
      <c r="E446" s="8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3" t="s">
        <v>195</v>
      </c>
      <c r="B459" s="84"/>
      <c r="C459" s="84"/>
      <c r="D459" s="84"/>
      <c r="E459" s="8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3" t="s">
        <v>193</v>
      </c>
      <c r="B473" s="84"/>
      <c r="C473" s="84"/>
      <c r="D473" s="84"/>
      <c r="E473" s="8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3" t="s">
        <v>195</v>
      </c>
      <c r="B486" s="84"/>
      <c r="C486" s="84"/>
      <c r="D486" s="84"/>
      <c r="E486" s="8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3" t="s">
        <v>193</v>
      </c>
      <c r="B500" s="84"/>
      <c r="C500" s="84"/>
      <c r="D500" s="84"/>
      <c r="E500" s="8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3" t="s">
        <v>195</v>
      </c>
      <c r="B513" s="84"/>
      <c r="C513" s="84"/>
      <c r="D513" s="84"/>
      <c r="E513" s="8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3" t="s">
        <v>193</v>
      </c>
      <c r="B527" s="84"/>
      <c r="C527" s="84"/>
      <c r="D527" s="84"/>
      <c r="E527" s="8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3" t="s">
        <v>195</v>
      </c>
      <c r="B540" s="84"/>
      <c r="C540" s="84"/>
      <c r="D540" s="84"/>
      <c r="E540" s="8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3" t="s">
        <v>193</v>
      </c>
      <c r="B554" s="84"/>
      <c r="C554" s="84"/>
      <c r="D554" s="84"/>
      <c r="E554" s="8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3" t="s">
        <v>195</v>
      </c>
      <c r="B567" s="84"/>
      <c r="C567" s="84"/>
      <c r="D567" s="84"/>
      <c r="E567" s="8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3" t="s">
        <v>193</v>
      </c>
      <c r="B581" s="84"/>
      <c r="C581" s="84"/>
      <c r="D581" s="84"/>
      <c r="E581" s="8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3" t="s">
        <v>195</v>
      </c>
      <c r="B594" s="84"/>
      <c r="C594" s="84"/>
      <c r="D594" s="84"/>
      <c r="E594" s="8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3" t="s">
        <v>193</v>
      </c>
      <c r="B608" s="84"/>
      <c r="C608" s="84"/>
      <c r="D608" s="84"/>
      <c r="E608" s="8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3" t="s">
        <v>195</v>
      </c>
      <c r="B621" s="84"/>
      <c r="C621" s="84"/>
      <c r="D621" s="84"/>
      <c r="E621" s="8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3" t="s">
        <v>193</v>
      </c>
      <c r="B635" s="84"/>
      <c r="C635" s="84"/>
      <c r="D635" s="84"/>
      <c r="E635" s="8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3" t="s">
        <v>195</v>
      </c>
      <c r="B648" s="84"/>
      <c r="C648" s="84"/>
      <c r="D648" s="84"/>
      <c r="E648" s="8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3" t="s">
        <v>193</v>
      </c>
      <c r="B662" s="84"/>
      <c r="C662" s="84"/>
      <c r="D662" s="84"/>
      <c r="E662" s="8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3" t="s">
        <v>195</v>
      </c>
      <c r="B675" s="84"/>
      <c r="C675" s="84"/>
      <c r="D675" s="84"/>
      <c r="E675" s="8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3" t="s">
        <v>193</v>
      </c>
      <c r="B689" s="84"/>
      <c r="C689" s="84"/>
      <c r="D689" s="84"/>
      <c r="E689" s="8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3" t="s">
        <v>195</v>
      </c>
      <c r="B702" s="84"/>
      <c r="C702" s="84"/>
      <c r="D702" s="84"/>
      <c r="E702" s="8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3" t="s">
        <v>193</v>
      </c>
      <c r="B716" s="84"/>
      <c r="C716" s="84"/>
      <c r="D716" s="84"/>
      <c r="E716" s="8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3" t="s">
        <v>195</v>
      </c>
      <c r="B729" s="84"/>
      <c r="C729" s="84"/>
      <c r="D729" s="84"/>
      <c r="E729" s="8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3" t="s">
        <v>193</v>
      </c>
      <c r="B743" s="84"/>
      <c r="C743" s="84"/>
      <c r="D743" s="84"/>
      <c r="E743" s="8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3" t="s">
        <v>195</v>
      </c>
      <c r="B756" s="84"/>
      <c r="C756" s="84"/>
      <c r="D756" s="84"/>
      <c r="E756" s="8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3" t="s">
        <v>193</v>
      </c>
      <c r="B770" s="84"/>
      <c r="C770" s="84"/>
      <c r="D770" s="84"/>
      <c r="E770" s="8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3" t="s">
        <v>195</v>
      </c>
      <c r="B783" s="84"/>
      <c r="C783" s="84"/>
      <c r="D783" s="84"/>
      <c r="E783" s="8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3" t="s">
        <v>193</v>
      </c>
      <c r="B797" s="84"/>
      <c r="C797" s="84"/>
      <c r="D797" s="84"/>
      <c r="E797" s="8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3" t="s">
        <v>195</v>
      </c>
      <c r="B810" s="84"/>
      <c r="C810" s="84"/>
      <c r="D810" s="84"/>
      <c r="E810" s="8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36" activePane="bottomLeft" state="frozen"/>
      <selection pane="bottomLeft" activeCell="L42" sqref="L4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3" t="s">
        <v>193</v>
      </c>
      <c r="B14" s="84"/>
      <c r="C14" s="84"/>
      <c r="D14" s="84"/>
      <c r="E14" s="8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3" t="s">
        <v>195</v>
      </c>
      <c r="B27" s="84"/>
      <c r="C27" s="84"/>
      <c r="D27" s="84"/>
      <c r="E27" s="8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78">
        <v>393200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200</v>
      </c>
      <c r="M29" s="35" t="str">
        <f t="shared" ref="M29:M40" ca="1" si="7">IFERROR(IF(K29="","",IF(L29="",MOD(NOW()-K29,1),IF(L29&gt;=K29,L29-K29,L29+1-K29))),"")</f>
        <v/>
      </c>
      <c r="N29" s="46" t="s">
        <v>201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0.57986111111111116</v>
      </c>
      <c r="M32" s="30">
        <f t="shared" ca="1" si="7"/>
        <v>2.8472222222222232E-2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3" t="s">
        <v>193</v>
      </c>
      <c r="B41" s="84"/>
      <c r="C41" s="84"/>
      <c r="D41" s="84"/>
      <c r="E41" s="8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29"/>
      <c r="M41" s="38">
        <f ca="1">IFERROR(SUM(M29:M40),"")</f>
        <v>7.9861111111111105E-2</v>
      </c>
      <c r="N41" s="36" t="s">
        <v>194</v>
      </c>
      <c r="O41" s="54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23.0416666666667</v>
      </c>
      <c r="M42" s="30">
        <f ca="1">IFERROR(IF(K42="","",IF(L41="",MOD(NOW()-K42,1),IF(L41&gt;=K42,L41-K42,L41+1-K42))),"")</f>
        <v>4.1459027772361878E-2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10</v>
      </c>
      <c r="G43" s="28">
        <f t="shared" si="9"/>
        <v>42</v>
      </c>
      <c r="H43" s="33"/>
      <c r="I43" s="33"/>
      <c r="J43" s="33"/>
      <c r="K43" s="29"/>
      <c r="L43" s="29"/>
      <c r="M43" s="35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199</v>
      </c>
      <c r="F44" s="27">
        <v>10</v>
      </c>
      <c r="G44" s="34">
        <f t="shared" si="9"/>
        <v>42</v>
      </c>
      <c r="H44" s="26"/>
      <c r="I44" s="26"/>
      <c r="J44" s="26"/>
      <c r="K44" s="29"/>
      <c r="L44" s="29"/>
      <c r="M44" s="30" t="str">
        <f t="shared" ca="1" si="11"/>
        <v/>
      </c>
      <c r="N44" s="46"/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1"/>
        <v/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199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199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199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199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199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1"/>
        <v/>
      </c>
      <c r="N53" s="46"/>
      <c r="O53" s="31"/>
    </row>
    <row r="54" spans="1:15" ht="15.75" customHeight="1">
      <c r="A54" s="83" t="s">
        <v>195</v>
      </c>
      <c r="B54" s="84"/>
      <c r="C54" s="84"/>
      <c r="D54" s="84"/>
      <c r="E54" s="85">
        <f>SUM(E42:E53)</f>
        <v>0</v>
      </c>
      <c r="F54" s="36">
        <f>SUM(F42:F53)</f>
        <v>25</v>
      </c>
      <c r="G54" s="36">
        <f>SUM(G42:G53)</f>
        <v>105</v>
      </c>
      <c r="H54" s="37"/>
      <c r="I54" s="37"/>
      <c r="J54" s="37"/>
      <c r="K54" s="37"/>
      <c r="L54" s="37"/>
      <c r="M54" s="38">
        <f ca="1">IFERROR(SUM(M42:M53),"")</f>
        <v>4.1459027772361878E-2</v>
      </c>
      <c r="N54" s="36" t="s">
        <v>194</v>
      </c>
      <c r="O54" s="54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113</v>
      </c>
      <c r="G55" s="40">
        <f>G41+G54</f>
        <v>474.6</v>
      </c>
      <c r="H55" s="41"/>
      <c r="I55" s="41"/>
      <c r="J55" s="41"/>
      <c r="K55" s="41"/>
      <c r="L55" s="41"/>
      <c r="M55" s="42">
        <f ca="1">IFERROR(M41+M54,"")</f>
        <v>0.12132013888347298</v>
      </c>
      <c r="N55" s="40" t="s">
        <v>197</v>
      </c>
      <c r="O55" s="43">
        <f>IFERROR(O41+O54,"")</f>
        <v>351740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3" t="s">
        <v>193</v>
      </c>
      <c r="B68" s="84"/>
      <c r="C68" s="84"/>
      <c r="D68" s="84"/>
      <c r="E68" s="8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3" t="s">
        <v>195</v>
      </c>
      <c r="B81" s="84"/>
      <c r="C81" s="84"/>
      <c r="D81" s="84"/>
      <c r="E81" s="85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3" t="s">
        <v>193</v>
      </c>
      <c r="B95" s="84"/>
      <c r="C95" s="84"/>
      <c r="D95" s="84"/>
      <c r="E95" s="85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3" t="s">
        <v>195</v>
      </c>
      <c r="B108" s="84"/>
      <c r="C108" s="84"/>
      <c r="D108" s="84"/>
      <c r="E108" s="8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3" t="s">
        <v>193</v>
      </c>
      <c r="B122" s="84"/>
      <c r="C122" s="84"/>
      <c r="D122" s="84"/>
      <c r="E122" s="85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3" t="s">
        <v>195</v>
      </c>
      <c r="B135" s="84"/>
      <c r="C135" s="84"/>
      <c r="D135" s="84"/>
      <c r="E135" s="85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3" t="s">
        <v>193</v>
      </c>
      <c r="B149" s="84"/>
      <c r="C149" s="84"/>
      <c r="D149" s="84"/>
      <c r="E149" s="85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3" t="s">
        <v>195</v>
      </c>
      <c r="B162" s="84"/>
      <c r="C162" s="84"/>
      <c r="D162" s="84"/>
      <c r="E162" s="85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3" t="s">
        <v>193</v>
      </c>
      <c r="B176" s="84"/>
      <c r="C176" s="84"/>
      <c r="D176" s="84"/>
      <c r="E176" s="8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3" t="s">
        <v>195</v>
      </c>
      <c r="B189" s="84"/>
      <c r="C189" s="84"/>
      <c r="D189" s="84"/>
      <c r="E189" s="8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3" t="s">
        <v>193</v>
      </c>
      <c r="B203" s="84"/>
      <c r="C203" s="84"/>
      <c r="D203" s="84"/>
      <c r="E203" s="8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3" t="s">
        <v>195</v>
      </c>
      <c r="B216" s="84"/>
      <c r="C216" s="84"/>
      <c r="D216" s="84"/>
      <c r="E216" s="85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3" t="s">
        <v>193</v>
      </c>
      <c r="B230" s="84"/>
      <c r="C230" s="84"/>
      <c r="D230" s="84"/>
      <c r="E230" s="85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3" t="s">
        <v>195</v>
      </c>
      <c r="B243" s="84"/>
      <c r="C243" s="84"/>
      <c r="D243" s="84"/>
      <c r="E243" s="85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3" t="s">
        <v>193</v>
      </c>
      <c r="B257" s="84"/>
      <c r="C257" s="84"/>
      <c r="D257" s="84"/>
      <c r="E257" s="85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3" t="s">
        <v>195</v>
      </c>
      <c r="B270" s="84"/>
      <c r="C270" s="84"/>
      <c r="D270" s="84"/>
      <c r="E270" s="8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3" t="s">
        <v>193</v>
      </c>
      <c r="B284" s="84"/>
      <c r="C284" s="84"/>
      <c r="D284" s="84"/>
      <c r="E284" s="8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3" t="s">
        <v>195</v>
      </c>
      <c r="B297" s="84"/>
      <c r="C297" s="84"/>
      <c r="D297" s="84"/>
      <c r="E297" s="8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3" t="s">
        <v>193</v>
      </c>
      <c r="B311" s="84"/>
      <c r="C311" s="84"/>
      <c r="D311" s="84"/>
      <c r="E311" s="8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3" t="s">
        <v>195</v>
      </c>
      <c r="B324" s="84"/>
      <c r="C324" s="84"/>
      <c r="D324" s="84"/>
      <c r="E324" s="8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3" t="s">
        <v>193</v>
      </c>
      <c r="B338" s="84"/>
      <c r="C338" s="84"/>
      <c r="D338" s="84"/>
      <c r="E338" s="8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3" t="s">
        <v>195</v>
      </c>
      <c r="B351" s="84"/>
      <c r="C351" s="84"/>
      <c r="D351" s="84"/>
      <c r="E351" s="8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3" t="s">
        <v>193</v>
      </c>
      <c r="B365" s="84"/>
      <c r="C365" s="84"/>
      <c r="D365" s="84"/>
      <c r="E365" s="8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3" t="s">
        <v>195</v>
      </c>
      <c r="B378" s="84"/>
      <c r="C378" s="84"/>
      <c r="D378" s="84"/>
      <c r="E378" s="8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3" t="s">
        <v>193</v>
      </c>
      <c r="B392" s="84"/>
      <c r="C392" s="84"/>
      <c r="D392" s="84"/>
      <c r="E392" s="8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3" t="s">
        <v>195</v>
      </c>
      <c r="B405" s="84"/>
      <c r="C405" s="84"/>
      <c r="D405" s="84"/>
      <c r="E405" s="8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3" t="s">
        <v>193</v>
      </c>
      <c r="B419" s="84"/>
      <c r="C419" s="84"/>
      <c r="D419" s="84"/>
      <c r="E419" s="8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3" t="s">
        <v>195</v>
      </c>
      <c r="B432" s="84"/>
      <c r="C432" s="84"/>
      <c r="D432" s="84"/>
      <c r="E432" s="8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3" t="s">
        <v>193</v>
      </c>
      <c r="B446" s="84"/>
      <c r="C446" s="84"/>
      <c r="D446" s="84"/>
      <c r="E446" s="8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3" t="s">
        <v>195</v>
      </c>
      <c r="B459" s="84"/>
      <c r="C459" s="84"/>
      <c r="D459" s="84"/>
      <c r="E459" s="8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3" t="s">
        <v>193</v>
      </c>
      <c r="B473" s="84"/>
      <c r="C473" s="84"/>
      <c r="D473" s="84"/>
      <c r="E473" s="8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3" t="s">
        <v>195</v>
      </c>
      <c r="B486" s="84"/>
      <c r="C486" s="84"/>
      <c r="D486" s="84"/>
      <c r="E486" s="8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3" t="s">
        <v>193</v>
      </c>
      <c r="B500" s="84"/>
      <c r="C500" s="84"/>
      <c r="D500" s="84"/>
      <c r="E500" s="8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3" t="s">
        <v>195</v>
      </c>
      <c r="B513" s="84"/>
      <c r="C513" s="84"/>
      <c r="D513" s="84"/>
      <c r="E513" s="8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3" t="s">
        <v>193</v>
      </c>
      <c r="B527" s="84"/>
      <c r="C527" s="84"/>
      <c r="D527" s="84"/>
      <c r="E527" s="8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3" t="s">
        <v>195</v>
      </c>
      <c r="B540" s="84"/>
      <c r="C540" s="84"/>
      <c r="D540" s="84"/>
      <c r="E540" s="8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3" t="s">
        <v>193</v>
      </c>
      <c r="B554" s="84"/>
      <c r="C554" s="84"/>
      <c r="D554" s="84"/>
      <c r="E554" s="8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3" t="s">
        <v>195</v>
      </c>
      <c r="B567" s="84"/>
      <c r="C567" s="84"/>
      <c r="D567" s="84"/>
      <c r="E567" s="8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3" t="s">
        <v>193</v>
      </c>
      <c r="B581" s="84"/>
      <c r="C581" s="84"/>
      <c r="D581" s="84"/>
      <c r="E581" s="8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3" t="s">
        <v>195</v>
      </c>
      <c r="B594" s="84"/>
      <c r="C594" s="84"/>
      <c r="D594" s="84"/>
      <c r="E594" s="8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3" t="s">
        <v>193</v>
      </c>
      <c r="B608" s="84"/>
      <c r="C608" s="84"/>
      <c r="D608" s="84"/>
      <c r="E608" s="8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3" t="s">
        <v>195</v>
      </c>
      <c r="B621" s="84"/>
      <c r="C621" s="84"/>
      <c r="D621" s="84"/>
      <c r="E621" s="8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3" t="s">
        <v>193</v>
      </c>
      <c r="B635" s="84"/>
      <c r="C635" s="84"/>
      <c r="D635" s="84"/>
      <c r="E635" s="8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3" t="s">
        <v>195</v>
      </c>
      <c r="B648" s="84"/>
      <c r="C648" s="84"/>
      <c r="D648" s="84"/>
      <c r="E648" s="8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3" t="s">
        <v>193</v>
      </c>
      <c r="B662" s="84"/>
      <c r="C662" s="84"/>
      <c r="D662" s="84"/>
      <c r="E662" s="8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3" t="s">
        <v>195</v>
      </c>
      <c r="B675" s="84"/>
      <c r="C675" s="84"/>
      <c r="D675" s="84"/>
      <c r="E675" s="8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3" t="s">
        <v>193</v>
      </c>
      <c r="B689" s="84"/>
      <c r="C689" s="84"/>
      <c r="D689" s="84"/>
      <c r="E689" s="8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3" t="s">
        <v>195</v>
      </c>
      <c r="B702" s="84"/>
      <c r="C702" s="84"/>
      <c r="D702" s="84"/>
      <c r="E702" s="8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3" t="s">
        <v>193</v>
      </c>
      <c r="B716" s="84"/>
      <c r="C716" s="84"/>
      <c r="D716" s="84"/>
      <c r="E716" s="8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3" t="s">
        <v>195</v>
      </c>
      <c r="B729" s="84"/>
      <c r="C729" s="84"/>
      <c r="D729" s="84"/>
      <c r="E729" s="8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3" t="s">
        <v>193</v>
      </c>
      <c r="B743" s="84"/>
      <c r="C743" s="84"/>
      <c r="D743" s="84"/>
      <c r="E743" s="8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3" t="s">
        <v>195</v>
      </c>
      <c r="B756" s="84"/>
      <c r="C756" s="84"/>
      <c r="D756" s="84"/>
      <c r="E756" s="8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3" t="s">
        <v>193</v>
      </c>
      <c r="B770" s="84"/>
      <c r="C770" s="84"/>
      <c r="D770" s="84"/>
      <c r="E770" s="8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3" t="s">
        <v>195</v>
      </c>
      <c r="B783" s="84"/>
      <c r="C783" s="84"/>
      <c r="D783" s="84"/>
      <c r="E783" s="8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3" t="s">
        <v>193</v>
      </c>
      <c r="B797" s="84"/>
      <c r="C797" s="84"/>
      <c r="D797" s="84"/>
      <c r="E797" s="8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3" t="s">
        <v>195</v>
      </c>
      <c r="B810" s="84"/>
      <c r="C810" s="84"/>
      <c r="D810" s="84"/>
      <c r="E810" s="8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26" activePane="bottomLeft" state="frozen"/>
      <selection pane="bottomLeft" activeCell="F46" sqref="F4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3" t="s">
        <v>193</v>
      </c>
      <c r="B14" s="84"/>
      <c r="C14" s="84"/>
      <c r="D14" s="84"/>
      <c r="E14" s="8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3" t="s">
        <v>195</v>
      </c>
      <c r="B27" s="84"/>
      <c r="C27" s="84"/>
      <c r="D27" s="84"/>
      <c r="E27" s="8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3" t="s">
        <v>193</v>
      </c>
      <c r="B41" s="84"/>
      <c r="C41" s="84"/>
      <c r="D41" s="84"/>
      <c r="E41" s="8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/>
      <c r="M42" s="30">
        <f t="shared" ref="M42:M53" ca="1" si="10">IFERROR(IF(K42="","",IF(L42="",MOD(NOW()-K42,1),IF(L42&gt;=K42,L42-K42,L42+1-K42))),"")</f>
        <v>8.6597916662867647E-2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>
        <v>4</v>
      </c>
      <c r="G43" s="28">
        <f t="shared" si="9"/>
        <v>16.8</v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3" t="s">
        <v>195</v>
      </c>
      <c r="B54" s="84"/>
      <c r="C54" s="84"/>
      <c r="D54" s="84"/>
      <c r="E54" s="85">
        <f>SUM(E42:E53)</f>
        <v>0</v>
      </c>
      <c r="F54" s="36">
        <f>SUM(F42:F53)</f>
        <v>14</v>
      </c>
      <c r="G54" s="36">
        <f>SUM(G42:G53)</f>
        <v>58.800000000000004</v>
      </c>
      <c r="H54" s="37"/>
      <c r="I54" s="37"/>
      <c r="J54" s="37"/>
      <c r="K54" s="37"/>
      <c r="L54" s="37"/>
      <c r="M54" s="38">
        <f ca="1">IFERROR(SUM(M42:M53),"")</f>
        <v>8.6597916662867647E-2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85</v>
      </c>
      <c r="G55" s="40">
        <f>G41+G54</f>
        <v>357.00000000000006</v>
      </c>
      <c r="H55" s="41"/>
      <c r="I55" s="41"/>
      <c r="J55" s="41"/>
      <c r="K55" s="41"/>
      <c r="L55" s="41"/>
      <c r="M55" s="42">
        <f ca="1">IFERROR(M41+M54,"")</f>
        <v>0.24145902777397871</v>
      </c>
      <c r="N55" s="40" t="s">
        <v>197</v>
      </c>
      <c r="O55" s="43">
        <f>IFERROR(O41+O54,"")</f>
        <v>205590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3" t="s">
        <v>193</v>
      </c>
      <c r="B68" s="84"/>
      <c r="C68" s="84"/>
      <c r="D68" s="84"/>
      <c r="E68" s="8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3" t="s">
        <v>195</v>
      </c>
      <c r="B81" s="84"/>
      <c r="C81" s="84"/>
      <c r="D81" s="84"/>
      <c r="E81" s="85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3" t="s">
        <v>193</v>
      </c>
      <c r="B95" s="84"/>
      <c r="C95" s="84"/>
      <c r="D95" s="84"/>
      <c r="E95" s="85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3" t="s">
        <v>195</v>
      </c>
      <c r="B108" s="84"/>
      <c r="C108" s="84"/>
      <c r="D108" s="84"/>
      <c r="E108" s="8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3" t="s">
        <v>193</v>
      </c>
      <c r="B122" s="84"/>
      <c r="C122" s="84"/>
      <c r="D122" s="84"/>
      <c r="E122" s="85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3" t="s">
        <v>195</v>
      </c>
      <c r="B135" s="84"/>
      <c r="C135" s="84"/>
      <c r="D135" s="84"/>
      <c r="E135" s="85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3" t="s">
        <v>193</v>
      </c>
      <c r="B149" s="84"/>
      <c r="C149" s="84"/>
      <c r="D149" s="84"/>
      <c r="E149" s="85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3" t="s">
        <v>195</v>
      </c>
      <c r="B162" s="84"/>
      <c r="C162" s="84"/>
      <c r="D162" s="84"/>
      <c r="E162" s="85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3" t="s">
        <v>193</v>
      </c>
      <c r="B176" s="84"/>
      <c r="C176" s="84"/>
      <c r="D176" s="84"/>
      <c r="E176" s="8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3" t="s">
        <v>195</v>
      </c>
      <c r="B189" s="84"/>
      <c r="C189" s="84"/>
      <c r="D189" s="84"/>
      <c r="E189" s="8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3" t="s">
        <v>193</v>
      </c>
      <c r="B203" s="84"/>
      <c r="C203" s="84"/>
      <c r="D203" s="84"/>
      <c r="E203" s="8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3" t="s">
        <v>195</v>
      </c>
      <c r="B216" s="84"/>
      <c r="C216" s="84"/>
      <c r="D216" s="84"/>
      <c r="E216" s="85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3" t="s">
        <v>193</v>
      </c>
      <c r="B230" s="84"/>
      <c r="C230" s="84"/>
      <c r="D230" s="84"/>
      <c r="E230" s="85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3" t="s">
        <v>195</v>
      </c>
      <c r="B243" s="84"/>
      <c r="C243" s="84"/>
      <c r="D243" s="84"/>
      <c r="E243" s="85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3" t="s">
        <v>193</v>
      </c>
      <c r="B257" s="84"/>
      <c r="C257" s="84"/>
      <c r="D257" s="84"/>
      <c r="E257" s="85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3" t="s">
        <v>195</v>
      </c>
      <c r="B270" s="84"/>
      <c r="C270" s="84"/>
      <c r="D270" s="84"/>
      <c r="E270" s="8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3" t="s">
        <v>193</v>
      </c>
      <c r="B284" s="84"/>
      <c r="C284" s="84"/>
      <c r="D284" s="84"/>
      <c r="E284" s="8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3" t="s">
        <v>195</v>
      </c>
      <c r="B297" s="84"/>
      <c r="C297" s="84"/>
      <c r="D297" s="84"/>
      <c r="E297" s="8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3" t="s">
        <v>193</v>
      </c>
      <c r="B311" s="84"/>
      <c r="C311" s="84"/>
      <c r="D311" s="84"/>
      <c r="E311" s="8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3" t="s">
        <v>195</v>
      </c>
      <c r="B324" s="84"/>
      <c r="C324" s="84"/>
      <c r="D324" s="84"/>
      <c r="E324" s="8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3" t="s">
        <v>193</v>
      </c>
      <c r="B338" s="84"/>
      <c r="C338" s="84"/>
      <c r="D338" s="84"/>
      <c r="E338" s="8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3" t="s">
        <v>195</v>
      </c>
      <c r="B351" s="84"/>
      <c r="C351" s="84"/>
      <c r="D351" s="84"/>
      <c r="E351" s="8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3" t="s">
        <v>193</v>
      </c>
      <c r="B365" s="84"/>
      <c r="C365" s="84"/>
      <c r="D365" s="84"/>
      <c r="E365" s="8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3" t="s">
        <v>195</v>
      </c>
      <c r="B378" s="84"/>
      <c r="C378" s="84"/>
      <c r="D378" s="84"/>
      <c r="E378" s="8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3" t="s">
        <v>193</v>
      </c>
      <c r="B392" s="84"/>
      <c r="C392" s="84"/>
      <c r="D392" s="84"/>
      <c r="E392" s="8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3" t="s">
        <v>195</v>
      </c>
      <c r="B405" s="84"/>
      <c r="C405" s="84"/>
      <c r="D405" s="84"/>
      <c r="E405" s="8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3" t="s">
        <v>193</v>
      </c>
      <c r="B419" s="84"/>
      <c r="C419" s="84"/>
      <c r="D419" s="84"/>
      <c r="E419" s="8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3" t="s">
        <v>195</v>
      </c>
      <c r="B432" s="84"/>
      <c r="C432" s="84"/>
      <c r="D432" s="84"/>
      <c r="E432" s="8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3" t="s">
        <v>193</v>
      </c>
      <c r="B446" s="84"/>
      <c r="C446" s="84"/>
      <c r="D446" s="84"/>
      <c r="E446" s="8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3" t="s">
        <v>195</v>
      </c>
      <c r="B459" s="84"/>
      <c r="C459" s="84"/>
      <c r="D459" s="84"/>
      <c r="E459" s="8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3" t="s">
        <v>193</v>
      </c>
      <c r="B473" s="84"/>
      <c r="C473" s="84"/>
      <c r="D473" s="84"/>
      <c r="E473" s="8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3" t="s">
        <v>195</v>
      </c>
      <c r="B486" s="84"/>
      <c r="C486" s="84"/>
      <c r="D486" s="84"/>
      <c r="E486" s="8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3" t="s">
        <v>193</v>
      </c>
      <c r="B500" s="84"/>
      <c r="C500" s="84"/>
      <c r="D500" s="84"/>
      <c r="E500" s="8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3" t="s">
        <v>195</v>
      </c>
      <c r="B513" s="84"/>
      <c r="C513" s="84"/>
      <c r="D513" s="84"/>
      <c r="E513" s="8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3" t="s">
        <v>193</v>
      </c>
      <c r="B527" s="84"/>
      <c r="C527" s="84"/>
      <c r="D527" s="84"/>
      <c r="E527" s="8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3" t="s">
        <v>195</v>
      </c>
      <c r="B540" s="84"/>
      <c r="C540" s="84"/>
      <c r="D540" s="84"/>
      <c r="E540" s="8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3" t="s">
        <v>193</v>
      </c>
      <c r="B554" s="84"/>
      <c r="C554" s="84"/>
      <c r="D554" s="84"/>
      <c r="E554" s="8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3" t="s">
        <v>195</v>
      </c>
      <c r="B567" s="84"/>
      <c r="C567" s="84"/>
      <c r="D567" s="84"/>
      <c r="E567" s="8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3" t="s">
        <v>193</v>
      </c>
      <c r="B581" s="84"/>
      <c r="C581" s="84"/>
      <c r="D581" s="84"/>
      <c r="E581" s="8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3" t="s">
        <v>195</v>
      </c>
      <c r="B594" s="84"/>
      <c r="C594" s="84"/>
      <c r="D594" s="84"/>
      <c r="E594" s="8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3" t="s">
        <v>193</v>
      </c>
      <c r="B608" s="84"/>
      <c r="C608" s="84"/>
      <c r="D608" s="84"/>
      <c r="E608" s="8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3" t="s">
        <v>195</v>
      </c>
      <c r="B621" s="84"/>
      <c r="C621" s="84"/>
      <c r="D621" s="84"/>
      <c r="E621" s="8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3" t="s">
        <v>193</v>
      </c>
      <c r="B635" s="84"/>
      <c r="C635" s="84"/>
      <c r="D635" s="84"/>
      <c r="E635" s="8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3" t="s">
        <v>195</v>
      </c>
      <c r="B648" s="84"/>
      <c r="C648" s="84"/>
      <c r="D648" s="84"/>
      <c r="E648" s="8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3" t="s">
        <v>193</v>
      </c>
      <c r="B662" s="84"/>
      <c r="C662" s="84"/>
      <c r="D662" s="84"/>
      <c r="E662" s="8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3" t="s">
        <v>195</v>
      </c>
      <c r="B675" s="84"/>
      <c r="C675" s="84"/>
      <c r="D675" s="84"/>
      <c r="E675" s="8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3" t="s">
        <v>193</v>
      </c>
      <c r="B689" s="84"/>
      <c r="C689" s="84"/>
      <c r="D689" s="84"/>
      <c r="E689" s="8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3" t="s">
        <v>195</v>
      </c>
      <c r="B702" s="84"/>
      <c r="C702" s="84"/>
      <c r="D702" s="84"/>
      <c r="E702" s="8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3" t="s">
        <v>193</v>
      </c>
      <c r="B716" s="84"/>
      <c r="C716" s="84"/>
      <c r="D716" s="84"/>
      <c r="E716" s="8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3" t="s">
        <v>195</v>
      </c>
      <c r="B729" s="84"/>
      <c r="C729" s="84"/>
      <c r="D729" s="84"/>
      <c r="E729" s="8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3" t="s">
        <v>193</v>
      </c>
      <c r="B743" s="84"/>
      <c r="C743" s="84"/>
      <c r="D743" s="84"/>
      <c r="E743" s="8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3" t="s">
        <v>195</v>
      </c>
      <c r="B756" s="84"/>
      <c r="C756" s="84"/>
      <c r="D756" s="84"/>
      <c r="E756" s="8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3" t="s">
        <v>193</v>
      </c>
      <c r="B770" s="84"/>
      <c r="C770" s="84"/>
      <c r="D770" s="84"/>
      <c r="E770" s="8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3" t="s">
        <v>195</v>
      </c>
      <c r="B783" s="84"/>
      <c r="C783" s="84"/>
      <c r="D783" s="84"/>
      <c r="E783" s="8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3" t="s">
        <v>193</v>
      </c>
      <c r="B797" s="84"/>
      <c r="C797" s="84"/>
      <c r="D797" s="84"/>
      <c r="E797" s="8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3" t="s">
        <v>195</v>
      </c>
      <c r="B810" s="84"/>
      <c r="C810" s="84"/>
      <c r="D810" s="84"/>
      <c r="E810" s="8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24" activePane="bottomLeft" state="frozen"/>
      <selection pane="bottomLeft" activeCell="F46" sqref="F4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3" t="s">
        <v>193</v>
      </c>
      <c r="B14" s="84"/>
      <c r="C14" s="84"/>
      <c r="D14" s="84"/>
      <c r="E14" s="8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207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3" t="s">
        <v>195</v>
      </c>
      <c r="B27" s="84"/>
      <c r="C27" s="84"/>
      <c r="D27" s="84"/>
      <c r="E27" s="8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209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3" t="s">
        <v>193</v>
      </c>
      <c r="B41" s="84"/>
      <c r="C41" s="84"/>
      <c r="D41" s="84"/>
      <c r="E41" s="8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3" t="s">
        <v>195</v>
      </c>
      <c r="B54" s="84"/>
      <c r="C54" s="84"/>
      <c r="D54" s="84"/>
      <c r="E54" s="85">
        <f>SUM(E42:E53)</f>
        <v>0</v>
      </c>
      <c r="F54" s="36">
        <f>SUM(F42:F53)</f>
        <v>55</v>
      </c>
      <c r="G54" s="36">
        <f>SUM(G42:G53)</f>
        <v>231</v>
      </c>
      <c r="H54" s="37"/>
      <c r="I54" s="37"/>
      <c r="J54" s="37"/>
      <c r="K54" s="61"/>
      <c r="L54" s="61"/>
      <c r="M54" s="38">
        <f ca="1">IFERROR(SUM(M42:M53),"")</f>
        <v>5.208333333333337E-2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140</v>
      </c>
      <c r="G55" s="40">
        <f>G41+G54</f>
        <v>588</v>
      </c>
      <c r="H55" s="41"/>
      <c r="I55" s="41"/>
      <c r="J55" s="41"/>
      <c r="K55" s="63"/>
      <c r="L55" s="63"/>
      <c r="M55" s="42">
        <f ca="1">IFERROR(M41+M54,"")</f>
        <v>0.27638888888888902</v>
      </c>
      <c r="N55" s="40" t="s">
        <v>197</v>
      </c>
      <c r="O55" s="48">
        <f>IFERROR(O41+O54,"")</f>
        <v>304990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3" t="s">
        <v>193</v>
      </c>
      <c r="B68" s="84"/>
      <c r="C68" s="84"/>
      <c r="D68" s="84"/>
      <c r="E68" s="8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3" t="s">
        <v>195</v>
      </c>
      <c r="B81" s="84"/>
      <c r="C81" s="84"/>
      <c r="D81" s="84"/>
      <c r="E81" s="85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3" t="s">
        <v>193</v>
      </c>
      <c r="B95" s="84"/>
      <c r="C95" s="84"/>
      <c r="D95" s="84"/>
      <c r="E95" s="85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3" t="s">
        <v>195</v>
      </c>
      <c r="B108" s="84"/>
      <c r="C108" s="84"/>
      <c r="D108" s="84"/>
      <c r="E108" s="8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3" t="s">
        <v>193</v>
      </c>
      <c r="B122" s="84"/>
      <c r="C122" s="84"/>
      <c r="D122" s="84"/>
      <c r="E122" s="85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3" t="s">
        <v>195</v>
      </c>
      <c r="B135" s="84"/>
      <c r="C135" s="84"/>
      <c r="D135" s="84"/>
      <c r="E135" s="85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3" t="s">
        <v>193</v>
      </c>
      <c r="B149" s="84"/>
      <c r="C149" s="84"/>
      <c r="D149" s="84"/>
      <c r="E149" s="85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3" t="s">
        <v>195</v>
      </c>
      <c r="B162" s="84"/>
      <c r="C162" s="84"/>
      <c r="D162" s="84"/>
      <c r="E162" s="85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3" t="s">
        <v>193</v>
      </c>
      <c r="B176" s="84"/>
      <c r="C176" s="84"/>
      <c r="D176" s="84"/>
      <c r="E176" s="8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3" t="s">
        <v>195</v>
      </c>
      <c r="B189" s="84"/>
      <c r="C189" s="84"/>
      <c r="D189" s="84"/>
      <c r="E189" s="8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3" t="s">
        <v>193</v>
      </c>
      <c r="B203" s="84"/>
      <c r="C203" s="84"/>
      <c r="D203" s="84"/>
      <c r="E203" s="8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3" t="s">
        <v>195</v>
      </c>
      <c r="B216" s="84"/>
      <c r="C216" s="84"/>
      <c r="D216" s="84"/>
      <c r="E216" s="85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3" t="s">
        <v>193</v>
      </c>
      <c r="B230" s="84"/>
      <c r="C230" s="84"/>
      <c r="D230" s="84"/>
      <c r="E230" s="85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3" t="s">
        <v>195</v>
      </c>
      <c r="B243" s="84"/>
      <c r="C243" s="84"/>
      <c r="D243" s="84"/>
      <c r="E243" s="85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3" t="s">
        <v>193</v>
      </c>
      <c r="B257" s="84"/>
      <c r="C257" s="84"/>
      <c r="D257" s="84"/>
      <c r="E257" s="85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3" t="s">
        <v>195</v>
      </c>
      <c r="B270" s="84"/>
      <c r="C270" s="84"/>
      <c r="D270" s="84"/>
      <c r="E270" s="8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3" t="s">
        <v>193</v>
      </c>
      <c r="B284" s="84"/>
      <c r="C284" s="84"/>
      <c r="D284" s="84"/>
      <c r="E284" s="8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3" t="s">
        <v>195</v>
      </c>
      <c r="B297" s="84"/>
      <c r="C297" s="84"/>
      <c r="D297" s="84"/>
      <c r="E297" s="8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3" t="s">
        <v>193</v>
      </c>
      <c r="B311" s="84"/>
      <c r="C311" s="84"/>
      <c r="D311" s="84"/>
      <c r="E311" s="8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3" t="s">
        <v>195</v>
      </c>
      <c r="B324" s="84"/>
      <c r="C324" s="84"/>
      <c r="D324" s="84"/>
      <c r="E324" s="8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3" t="s">
        <v>193</v>
      </c>
      <c r="B338" s="84"/>
      <c r="C338" s="84"/>
      <c r="D338" s="84"/>
      <c r="E338" s="8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3" t="s">
        <v>195</v>
      </c>
      <c r="B351" s="84"/>
      <c r="C351" s="84"/>
      <c r="D351" s="84"/>
      <c r="E351" s="8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3" t="s">
        <v>193</v>
      </c>
      <c r="B365" s="84"/>
      <c r="C365" s="84"/>
      <c r="D365" s="84"/>
      <c r="E365" s="8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3" t="s">
        <v>195</v>
      </c>
      <c r="B378" s="84"/>
      <c r="C378" s="84"/>
      <c r="D378" s="84"/>
      <c r="E378" s="8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3" t="s">
        <v>193</v>
      </c>
      <c r="B392" s="84"/>
      <c r="C392" s="84"/>
      <c r="D392" s="84"/>
      <c r="E392" s="8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3" t="s">
        <v>195</v>
      </c>
      <c r="B405" s="84"/>
      <c r="C405" s="84"/>
      <c r="D405" s="84"/>
      <c r="E405" s="8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3" t="s">
        <v>193</v>
      </c>
      <c r="B419" s="84"/>
      <c r="C419" s="84"/>
      <c r="D419" s="84"/>
      <c r="E419" s="8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3" t="s">
        <v>195</v>
      </c>
      <c r="B432" s="84"/>
      <c r="C432" s="84"/>
      <c r="D432" s="84"/>
      <c r="E432" s="8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3" t="s">
        <v>193</v>
      </c>
      <c r="B446" s="84"/>
      <c r="C446" s="84"/>
      <c r="D446" s="84"/>
      <c r="E446" s="8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3" t="s">
        <v>195</v>
      </c>
      <c r="B459" s="84"/>
      <c r="C459" s="84"/>
      <c r="D459" s="84"/>
      <c r="E459" s="8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3" t="s">
        <v>193</v>
      </c>
      <c r="B473" s="84"/>
      <c r="C473" s="84"/>
      <c r="D473" s="84"/>
      <c r="E473" s="8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3" t="s">
        <v>195</v>
      </c>
      <c r="B486" s="84"/>
      <c r="C486" s="84"/>
      <c r="D486" s="84"/>
      <c r="E486" s="8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3" t="s">
        <v>193</v>
      </c>
      <c r="B500" s="84"/>
      <c r="C500" s="84"/>
      <c r="D500" s="84"/>
      <c r="E500" s="8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3" t="s">
        <v>195</v>
      </c>
      <c r="B513" s="84"/>
      <c r="C513" s="84"/>
      <c r="D513" s="84"/>
      <c r="E513" s="8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3" t="s">
        <v>193</v>
      </c>
      <c r="B527" s="84"/>
      <c r="C527" s="84"/>
      <c r="D527" s="84"/>
      <c r="E527" s="8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3" t="s">
        <v>195</v>
      </c>
      <c r="B540" s="84"/>
      <c r="C540" s="84"/>
      <c r="D540" s="84"/>
      <c r="E540" s="8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3" t="s">
        <v>193</v>
      </c>
      <c r="B554" s="84"/>
      <c r="C554" s="84"/>
      <c r="D554" s="84"/>
      <c r="E554" s="8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3" t="s">
        <v>195</v>
      </c>
      <c r="B567" s="84"/>
      <c r="C567" s="84"/>
      <c r="D567" s="84"/>
      <c r="E567" s="8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3" t="s">
        <v>193</v>
      </c>
      <c r="B581" s="84"/>
      <c r="C581" s="84"/>
      <c r="D581" s="84"/>
      <c r="E581" s="8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3" t="s">
        <v>195</v>
      </c>
      <c r="B594" s="84"/>
      <c r="C594" s="84"/>
      <c r="D594" s="84"/>
      <c r="E594" s="8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3" t="s">
        <v>193</v>
      </c>
      <c r="B608" s="84"/>
      <c r="C608" s="84"/>
      <c r="D608" s="84"/>
      <c r="E608" s="8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3" t="s">
        <v>195</v>
      </c>
      <c r="B621" s="84"/>
      <c r="C621" s="84"/>
      <c r="D621" s="84"/>
      <c r="E621" s="8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3" t="s">
        <v>193</v>
      </c>
      <c r="B635" s="84"/>
      <c r="C635" s="84"/>
      <c r="D635" s="84"/>
      <c r="E635" s="8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3" t="s">
        <v>195</v>
      </c>
      <c r="B648" s="84"/>
      <c r="C648" s="84"/>
      <c r="D648" s="84"/>
      <c r="E648" s="8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3" t="s">
        <v>193</v>
      </c>
      <c r="B662" s="84"/>
      <c r="C662" s="84"/>
      <c r="D662" s="84"/>
      <c r="E662" s="8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3" t="s">
        <v>195</v>
      </c>
      <c r="B675" s="84"/>
      <c r="C675" s="84"/>
      <c r="D675" s="84"/>
      <c r="E675" s="8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3" t="s">
        <v>193</v>
      </c>
      <c r="B689" s="84"/>
      <c r="C689" s="84"/>
      <c r="D689" s="84"/>
      <c r="E689" s="8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3" t="s">
        <v>195</v>
      </c>
      <c r="B702" s="84"/>
      <c r="C702" s="84"/>
      <c r="D702" s="84"/>
      <c r="E702" s="8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3" t="s">
        <v>193</v>
      </c>
      <c r="B716" s="84"/>
      <c r="C716" s="84"/>
      <c r="D716" s="84"/>
      <c r="E716" s="8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3" t="s">
        <v>195</v>
      </c>
      <c r="B729" s="84"/>
      <c r="C729" s="84"/>
      <c r="D729" s="84"/>
      <c r="E729" s="8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3" t="s">
        <v>193</v>
      </c>
      <c r="B743" s="84"/>
      <c r="C743" s="84"/>
      <c r="D743" s="84"/>
      <c r="E743" s="8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3" t="s">
        <v>195</v>
      </c>
      <c r="B756" s="84"/>
      <c r="C756" s="84"/>
      <c r="D756" s="84"/>
      <c r="E756" s="8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3" t="s">
        <v>193</v>
      </c>
      <c r="B770" s="84"/>
      <c r="C770" s="84"/>
      <c r="D770" s="84"/>
      <c r="E770" s="8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3" t="s">
        <v>195</v>
      </c>
      <c r="B783" s="84"/>
      <c r="C783" s="84"/>
      <c r="D783" s="84"/>
      <c r="E783" s="8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3" t="s">
        <v>193</v>
      </c>
      <c r="B797" s="84"/>
      <c r="C797" s="84"/>
      <c r="D797" s="84"/>
      <c r="E797" s="8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3" t="s">
        <v>195</v>
      </c>
      <c r="B810" s="84"/>
      <c r="C810" s="84"/>
      <c r="D810" s="84"/>
      <c r="E810" s="8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2026-07-03T03:14:44Z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