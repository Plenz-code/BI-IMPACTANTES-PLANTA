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09" documentId="8_{C51EB6CB-002B-4D6B-B68F-DDEBDB4460C0}" xr6:coauthVersionLast="47" xr6:coauthVersionMax="47" xr10:uidLastSave="{5F2D35D1-C462-4717-90B7-D0AB0FC51EF4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<sst xmlns="http://schemas.openxmlformats.org/spreadsheetml/2006/main" count="4926" uniqueCount="323">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</sst>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41" activePane="bottomLeft" state="frozen"/>
      <selection pane="bottomLeft" activeCell="E256" sqref="E2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/>
      <c r="M247" s="35">
        <f t="shared" ca="1" si="55"/>
        <v>2.6126620374270715E-2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4.8348842596492969E-2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284</v>
      </c>
      <c r="G271" s="40">
        <f>G257+G270</f>
        <v>1420</v>
      </c>
      <c r="H271" s="41"/>
      <c r="I271" s="41"/>
      <c r="J271" s="41"/>
      <c r="K271" s="41"/>
      <c r="L271" s="41"/>
      <c r="M271" s="42">
        <f ca="1">IFERROR(M257+M270,"")</f>
        <v>4.8348842596492969E-2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F255" sqref="F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0.66293217592465226</v>
      </c>
      <c r="N53" s="46" t="s">
        <v>264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0.8018210648135411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0.88654328703576346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266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267</v>
      </c>
      <c r="M96" s="30" t="str">
        <f t="shared" ref="M96:M107" ca="1" si="22">IFERROR(IF(K96="","",IF(L96="",MOD(NOW()-K96,1),IF(L96&gt;=K96,L96-K96,L96+1-K96))),"")</f>
        <v/>
      </c>
      <c r="N96" s="46" t="s">
        <v>268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276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277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278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271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265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279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280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281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170</v>
      </c>
      <c r="G257" s="36">
        <f>SUM(G245:G256)</f>
        <v>770.8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170</v>
      </c>
      <c r="G271" s="40">
        <f>G257+G270</f>
        <v>770.8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F255" sqref="F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277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295</v>
      </c>
      <c r="M222" s="30" t="str">
        <f t="shared" ca="1" si="49"/>
        <v/>
      </c>
      <c r="N222" s="27" t="s">
        <v>296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/>
      <c r="M249" s="35">
        <f t="shared" ca="1" si="55"/>
        <v>5.6682175927562639E-2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106</v>
      </c>
      <c r="G257" s="36">
        <f>SUM(G245:G256)</f>
        <v>477.20000000000005</v>
      </c>
      <c r="H257" s="37"/>
      <c r="I257" s="37"/>
      <c r="J257" s="37"/>
      <c r="K257" s="37"/>
      <c r="L257" s="37"/>
      <c r="M257" s="38">
        <f ca="1">IFERROR(SUM(M245:M256),"")</f>
        <v>0.10598773148311819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106</v>
      </c>
      <c r="G271" s="40">
        <f>G257+G270</f>
        <v>477.20000000000005</v>
      </c>
      <c r="H271" s="41"/>
      <c r="I271" s="41"/>
      <c r="J271" s="41"/>
      <c r="K271" s="41"/>
      <c r="L271" s="41"/>
      <c r="M271" s="42">
        <f ca="1">IFERROR(M257+M270,"")</f>
        <v>0.10598773148311819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N255" sqref="N2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319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320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321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322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289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161</v>
      </c>
      <c r="G257" s="36">
        <f>SUM(G245:G256)</f>
        <v>734.6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161</v>
      </c>
      <c r="G271" s="40">
        <f>G257+G270</f>
        <v>734.6</v>
      </c>
      <c r="H271" s="41"/>
      <c r="I271" s="41"/>
      <c r="J271" s="41"/>
      <c r="K271" s="63"/>
      <c r="L271" s="63"/>
      <c r="M271" s="42">
        <f ca="1">IFERROR(M257+M270,"")</f>
        <v>9.166666666666673E-2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2026-08-10T22:51:40Z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