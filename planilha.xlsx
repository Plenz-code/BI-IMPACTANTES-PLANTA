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71" documentId="8_{AF585B22-221D-4780-BB9C-493D365A6A02}" xr6:coauthVersionLast="47" xr6:coauthVersionMax="47" xr10:uidLastSave="{C809AADA-9F68-476F-9EF2-6459EA5561B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<sst xmlns="http://schemas.openxmlformats.org/spreadsheetml/2006/main" count="3103" uniqueCount="254">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</sst>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6" sqref="F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155</v>
      </c>
      <c r="G162" s="36">
        <f>SUM(G150:G161)</f>
        <v>775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234</v>
      </c>
      <c r="G163" s="40">
        <f>G149+G162</f>
        <v>1170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0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101</v>
      </c>
      <c r="G162" s="36">
        <f>SUM(G150:G161)</f>
        <v>450.6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196</v>
      </c>
      <c r="G163" s="40">
        <f>G149+G162</f>
        <v>925.6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43" activePane="bottomLeft" state="frozen"/>
      <selection pane="bottomLeft" activeCell="I150" sqref="I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 t="s">
        <v>47</v>
      </c>
      <c r="J150" s="26"/>
      <c r="K150" s="29">
        <v>6.25E-2</v>
      </c>
      <c r="L150" s="29"/>
      <c r="M150" s="30">
        <f t="shared" ref="M150:M161" ca="1" si="34">IFERROR(IF(K150="","",IF(L150="",MOD(NOW()-K150,1),IF(L150&gt;=K150,L150-K150,L150+1-K150))),"")</f>
        <v>4.2629629606381059E-3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56</v>
      </c>
      <c r="G162" s="36">
        <f>SUM(G150:G161)</f>
        <v>249.60000000000002</v>
      </c>
      <c r="H162" s="37"/>
      <c r="I162" s="37"/>
      <c r="J162" s="37"/>
      <c r="K162" s="37"/>
      <c r="L162" s="37"/>
      <c r="M162" s="38">
        <f ca="1">IFERROR(SUM(M150:M161),"")</f>
        <v>4.2629629606381059E-3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174</v>
      </c>
      <c r="G163" s="40">
        <f>G149+G162</f>
        <v>839.6</v>
      </c>
      <c r="H163" s="41"/>
      <c r="I163" s="41"/>
      <c r="J163" s="41"/>
      <c r="K163" s="41"/>
      <c r="L163" s="41"/>
      <c r="M163" s="42">
        <f ca="1">IFERROR(M149+M162,"")</f>
        <v>5.9818518516193742E-2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7" activePane="bottomLeft" state="frozen"/>
      <selection pane="bottomLeft" activeCell="F156" sqref="F1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0.81745740740734618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1.0167629629629018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1.3841240740740128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96</v>
      </c>
      <c r="G162" s="36">
        <f>SUM(G150:G161)</f>
        <v>427.20000000000005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317</v>
      </c>
      <c r="G163" s="40">
        <f>G149+G162</f>
        <v>1532.2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2026-07-07T05:36:30Z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