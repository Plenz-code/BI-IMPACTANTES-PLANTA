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7358" documentId="8_{AF585B22-221D-4780-BB9C-493D365A6A02}" xr6:coauthVersionLast="47" xr6:coauthVersionMax="47" xr10:uidLastSave="{337DA1E2-D78A-4618-82F4-B6E29EDFDA1E}"/>
  <bookViews>
    <workbookView xWindow="-110" yWindow="-110" windowWidth="25820" windowHeight="15500" tabRatio="500" firstSheet="5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13" i="3" l="1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<sst xmlns="http://schemas.openxmlformats.org/spreadsheetml/2006/main" count="6514" uniqueCount="326">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</sst>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6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C21" sqref="C21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0" t="s">
        <v>0</v>
      </c>
      <c r="B1" s="100"/>
      <c r="C1" s="100"/>
      <c r="D1" s="100"/>
      <c r="E1" s="100"/>
      <c r="F1" s="100"/>
      <c r="G1" s="100"/>
    </row>
    <row r="2" spans="1:7" ht="24.75" customHeight="1">
      <c r="A2" s="101"/>
      <c r="B2" s="101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1576070</v>
      </c>
      <c r="D18" s="8">
        <f>IFERROR('Linha 1'!O406,"")</f>
        <v>281950</v>
      </c>
      <c r="E18" s="8">
        <f>IFERROR('Linha 2'!O406,"")</f>
        <v>399940</v>
      </c>
      <c r="F18" s="8">
        <f>IFERROR('Linha 3'!O406,"")</f>
        <v>565570</v>
      </c>
      <c r="G18" s="9">
        <f t="shared" si="0"/>
        <v>1247460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2" t="s">
        <v>9</v>
      </c>
      <c r="B35" s="102"/>
      <c r="C35" s="13">
        <f>IFERROR(SUM(C4:C34),"")</f>
        <v>43719092</v>
      </c>
      <c r="D35" s="13">
        <f>IFERROR(SUM(D4:D34),"")</f>
        <v>16028150</v>
      </c>
      <c r="E35" s="13">
        <f>IFERROR(SUM(E4:E34),"")</f>
        <v>10699830</v>
      </c>
      <c r="F35" s="13">
        <f>IFERROR(SUM(F4:F34),"")</f>
        <v>19982890</v>
      </c>
      <c r="G35" s="13">
        <f>IFERROR(SUM(G4:G34),"")</f>
        <v>46710870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30" zoomScale="85" zoomScaleNormal="85" workbookViewId="0">
      <selection activeCell="M55" sqref="M5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3" t="s">
        <v>10</v>
      </c>
      <c r="B1" s="103"/>
      <c r="C1" s="103"/>
      <c r="D1" s="103"/>
      <c r="E1" s="103"/>
      <c r="F1" s="103"/>
      <c r="G1" s="103"/>
      <c r="H1" s="104"/>
      <c r="I1" s="105" t="s">
        <v>11</v>
      </c>
      <c r="J1" s="105"/>
      <c r="K1" s="105"/>
      <c r="L1" s="105"/>
      <c r="M1" s="105"/>
    </row>
    <row r="2" spans="1:13" ht="4.5" customHeight="1">
      <c r="H2" s="104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4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4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4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4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4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4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4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4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4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4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4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4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4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4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4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4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4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4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4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4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4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4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4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4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4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4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4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4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4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4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4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4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4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4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4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/>
      <c r="H38" s="104"/>
      <c r="I38" s="16"/>
      <c r="J38" s="16"/>
      <c r="K38" s="16" t="s">
        <v>165</v>
      </c>
      <c r="L38" s="16"/>
      <c r="M38" s="16" t="s">
        <v>166</v>
      </c>
    </row>
    <row r="39" spans="1:13" ht="15.75" customHeight="1">
      <c r="A39" s="17"/>
      <c r="C39" s="17"/>
      <c r="E39" s="17"/>
      <c r="G39" s="17"/>
      <c r="H39" s="104"/>
      <c r="I39" s="17"/>
      <c r="J39" s="17"/>
      <c r="K39" s="17" t="s">
        <v>167</v>
      </c>
      <c r="L39" s="17"/>
      <c r="M39" s="17" t="s">
        <v>168</v>
      </c>
    </row>
    <row r="40" spans="1:13" ht="15.75" customHeight="1">
      <c r="A40" s="16"/>
      <c r="C40" s="16"/>
      <c r="E40" s="16"/>
      <c r="G40" s="16"/>
      <c r="H40" s="104"/>
      <c r="I40" s="16"/>
      <c r="J40" s="16"/>
      <c r="K40" s="16" t="s">
        <v>169</v>
      </c>
      <c r="L40" s="16"/>
      <c r="M40" s="16" t="s">
        <v>170</v>
      </c>
    </row>
    <row r="41" spans="1:13" ht="15.75" customHeight="1">
      <c r="A41" s="17"/>
      <c r="C41" s="17"/>
      <c r="E41" s="17"/>
      <c r="G41" s="17"/>
      <c r="H41" s="104"/>
      <c r="I41" s="17"/>
      <c r="J41" s="17"/>
      <c r="K41" s="17" t="s">
        <v>171</v>
      </c>
      <c r="L41" s="17"/>
      <c r="M41" s="17" t="s">
        <v>172</v>
      </c>
    </row>
    <row r="42" spans="1:13" ht="15.75" customHeight="1">
      <c r="A42" s="16"/>
      <c r="C42" s="16"/>
      <c r="E42" s="16"/>
      <c r="G42" s="16"/>
      <c r="H42" s="104"/>
      <c r="I42" s="16"/>
      <c r="J42" s="16"/>
      <c r="K42" s="16" t="s">
        <v>173</v>
      </c>
      <c r="L42" s="16"/>
      <c r="M42" s="16" t="s">
        <v>174</v>
      </c>
    </row>
    <row r="43" spans="1:13" ht="15.75" customHeight="1">
      <c r="A43" s="17"/>
      <c r="C43" s="17"/>
      <c r="E43" s="17"/>
      <c r="G43" s="17"/>
      <c r="H43" s="104"/>
      <c r="I43" s="17"/>
      <c r="J43" s="17"/>
      <c r="K43" s="17" t="s">
        <v>175</v>
      </c>
      <c r="L43" s="17"/>
      <c r="M43" s="17" t="s">
        <v>176</v>
      </c>
    </row>
    <row r="44" spans="1:13" ht="15.75" customHeight="1">
      <c r="A44" s="16"/>
      <c r="C44" s="16"/>
      <c r="E44" s="16"/>
      <c r="G44" s="16"/>
      <c r="H44" s="104"/>
      <c r="I44" s="16"/>
      <c r="J44" s="16"/>
      <c r="K44" s="16" t="s">
        <v>177</v>
      </c>
      <c r="L44" s="16"/>
      <c r="M44" s="16" t="s">
        <v>178</v>
      </c>
    </row>
    <row r="45" spans="1:13" ht="15.75" customHeight="1">
      <c r="A45" s="17"/>
      <c r="C45" s="17"/>
      <c r="E45" s="17"/>
      <c r="G45" s="17"/>
      <c r="H45" s="104"/>
      <c r="I45" s="17"/>
      <c r="J45" s="17"/>
      <c r="K45" s="17"/>
      <c r="L45" s="17"/>
      <c r="M45" s="17" t="s">
        <v>179</v>
      </c>
    </row>
    <row r="46" spans="1:13" ht="15.75" customHeight="1">
      <c r="A46" s="16"/>
      <c r="C46" s="16"/>
      <c r="E46" s="16"/>
      <c r="G46" s="16"/>
      <c r="H46" s="104"/>
      <c r="I46" s="16"/>
      <c r="J46" s="16"/>
      <c r="K46" s="16" t="s">
        <v>180</v>
      </c>
      <c r="L46" s="16"/>
      <c r="M46" s="16" t="s">
        <v>181</v>
      </c>
    </row>
    <row r="47" spans="1:13" ht="15.75" customHeight="1">
      <c r="A47" s="17"/>
      <c r="C47" s="17"/>
      <c r="E47" s="17"/>
      <c r="G47" s="17"/>
      <c r="H47" s="104"/>
      <c r="I47" s="17"/>
      <c r="J47" s="17"/>
      <c r="K47" s="17" t="s">
        <v>182</v>
      </c>
      <c r="L47" s="17"/>
      <c r="M47" s="17" t="s">
        <v>183</v>
      </c>
    </row>
    <row r="48" spans="1:13" ht="15.75" customHeight="1">
      <c r="A48" s="16"/>
      <c r="C48" s="16"/>
      <c r="E48" s="16"/>
      <c r="G48" s="16"/>
      <c r="H48" s="104"/>
      <c r="I48" s="16"/>
      <c r="J48" s="16"/>
      <c r="K48" s="16" t="s">
        <v>184</v>
      </c>
      <c r="L48" s="16"/>
      <c r="M48" s="16" t="s">
        <v>185</v>
      </c>
    </row>
    <row r="49" spans="1:13" ht="18" customHeight="1">
      <c r="H49" s="104"/>
      <c r="I49" s="17"/>
      <c r="J49" s="17"/>
      <c r="K49" s="17" t="s">
        <v>186</v>
      </c>
      <c r="L49" s="17"/>
      <c r="M49" s="17" t="s">
        <v>187</v>
      </c>
    </row>
    <row r="50" spans="1:13" ht="21" customHeight="1">
      <c r="A50" s="19" t="s">
        <v>188</v>
      </c>
      <c r="B50" s="19"/>
      <c r="C50" s="19"/>
      <c r="D50" s="19"/>
      <c r="E50" s="19"/>
      <c r="F50" s="19"/>
      <c r="G50" s="19"/>
      <c r="H50" s="104"/>
      <c r="I50" s="16"/>
      <c r="J50" s="16"/>
      <c r="K50" s="16" t="s">
        <v>189</v>
      </c>
      <c r="L50" s="16"/>
      <c r="M50" s="16" t="s">
        <v>190</v>
      </c>
    </row>
    <row r="51" spans="1:13" ht="24" customHeight="1">
      <c r="H51" s="104"/>
      <c r="I51" s="17"/>
      <c r="J51" s="17"/>
      <c r="K51" s="17" t="s">
        <v>191</v>
      </c>
      <c r="L51" s="17"/>
      <c r="M51" s="17" t="s">
        <v>192</v>
      </c>
    </row>
    <row r="52" spans="1:13" ht="24" customHeight="1">
      <c r="H52" s="104"/>
      <c r="I52" s="16"/>
      <c r="J52" s="16"/>
      <c r="K52" s="16" t="s">
        <v>193</v>
      </c>
      <c r="L52" s="16"/>
      <c r="M52" s="16" t="s">
        <v>194</v>
      </c>
    </row>
    <row r="53" spans="1:13" ht="36" customHeight="1">
      <c r="H53" s="104"/>
      <c r="I53" s="17"/>
      <c r="J53" s="17"/>
      <c r="K53" s="17" t="s">
        <v>195</v>
      </c>
      <c r="L53" s="17"/>
      <c r="M53" s="17" t="s">
        <v>196</v>
      </c>
    </row>
    <row r="54" spans="1:13" ht="15" customHeight="1">
      <c r="H54" s="104"/>
      <c r="I54" s="16"/>
      <c r="J54" s="16"/>
      <c r="K54" s="16" t="s">
        <v>197</v>
      </c>
      <c r="L54" s="16"/>
      <c r="M54" s="16" t="s">
        <v>198</v>
      </c>
    </row>
    <row r="55" spans="1:13" ht="15" customHeight="1">
      <c r="H55" s="104"/>
      <c r="I55" s="17"/>
      <c r="J55" s="17"/>
      <c r="K55" s="17" t="s">
        <v>199</v>
      </c>
      <c r="L55" s="17"/>
      <c r="M55" s="17"/>
    </row>
    <row r="56" spans="1:13" ht="15" customHeight="1">
      <c r="H56" s="104"/>
      <c r="I56" s="16"/>
      <c r="J56" s="16"/>
      <c r="K56" s="16" t="s">
        <v>200</v>
      </c>
      <c r="L56" s="16"/>
      <c r="M56" s="16"/>
    </row>
    <row r="57" spans="1:13" ht="15" customHeight="1">
      <c r="H57" s="104"/>
      <c r="I57" s="17"/>
      <c r="J57" s="17"/>
      <c r="K57" s="17" t="s">
        <v>50</v>
      </c>
      <c r="L57" s="17"/>
      <c r="M57" s="17"/>
    </row>
    <row r="58" spans="1:13" ht="15" customHeight="1">
      <c r="H58" s="104"/>
      <c r="I58" s="16"/>
      <c r="J58" s="16"/>
      <c r="K58" s="16" t="s">
        <v>201</v>
      </c>
      <c r="L58" s="16"/>
      <c r="M58" s="16"/>
    </row>
    <row r="59" spans="1:13" ht="15" customHeight="1">
      <c r="H59" s="104"/>
      <c r="I59" s="17"/>
      <c r="J59" s="17"/>
      <c r="K59" s="17" t="s">
        <v>202</v>
      </c>
      <c r="L59" s="17"/>
      <c r="M59" s="17"/>
    </row>
    <row r="60" spans="1:13" ht="15" customHeight="1">
      <c r="H60" s="104"/>
      <c r="I60" s="16"/>
      <c r="J60" s="16"/>
      <c r="K60" s="87" t="s">
        <v>105</v>
      </c>
      <c r="L60" s="16"/>
      <c r="M60" s="16"/>
    </row>
    <row r="61" spans="1:13" ht="15" customHeight="1">
      <c r="H61" s="104"/>
      <c r="I61" s="17"/>
      <c r="J61" s="17"/>
      <c r="K61" s="17" t="s">
        <v>203</v>
      </c>
      <c r="L61" s="17"/>
      <c r="M61" s="17"/>
    </row>
    <row r="62" spans="1:13" ht="15" customHeight="1">
      <c r="H62" s="104"/>
      <c r="I62" s="16"/>
      <c r="J62" s="16"/>
      <c r="K62" s="16" t="s">
        <v>204</v>
      </c>
      <c r="L62" s="16"/>
      <c r="M62" s="16"/>
    </row>
    <row r="63" spans="1:13" ht="15" customHeight="1">
      <c r="H63" s="104"/>
      <c r="I63" s="17"/>
      <c r="J63" s="17"/>
      <c r="K63" s="17" t="s">
        <v>205</v>
      </c>
      <c r="L63" s="17"/>
      <c r="M63" s="17"/>
    </row>
    <row r="64" spans="1:13" ht="15" customHeight="1">
      <c r="H64" s="104"/>
      <c r="I64" s="16"/>
      <c r="J64" s="16"/>
      <c r="K64" s="16" t="s">
        <v>206</v>
      </c>
      <c r="L64" s="16"/>
      <c r="M64" s="16"/>
    </row>
    <row r="65" spans="8:13" ht="15" customHeight="1">
      <c r="H65" s="104"/>
      <c r="I65" s="17"/>
      <c r="J65" s="17"/>
      <c r="K65" s="17" t="s">
        <v>207</v>
      </c>
      <c r="L65" s="17"/>
      <c r="M65" s="17"/>
    </row>
    <row r="66" spans="8:13" ht="15" customHeight="1">
      <c r="H66" s="104"/>
      <c r="I66" s="16"/>
      <c r="J66" s="16"/>
      <c r="K66" s="16" t="s">
        <v>208</v>
      </c>
      <c r="L66" s="16"/>
      <c r="M66" s="16"/>
    </row>
    <row r="67" spans="8:13" ht="15" customHeight="1">
      <c r="H67" s="104"/>
      <c r="I67" s="17"/>
      <c r="J67" s="17"/>
      <c r="K67" s="17"/>
      <c r="L67" s="17"/>
      <c r="M67" s="17"/>
    </row>
    <row r="68" spans="8:13" ht="15" customHeight="1">
      <c r="H68" s="104"/>
      <c r="I68" s="16"/>
      <c r="J68" s="16"/>
      <c r="K68" s="16"/>
      <c r="L68" s="16"/>
      <c r="M68" s="16"/>
    </row>
    <row r="69" spans="8:13" ht="15" customHeight="1">
      <c r="H69" s="104"/>
      <c r="I69" s="17"/>
      <c r="J69" s="17"/>
      <c r="K69" s="17"/>
      <c r="L69" s="17"/>
      <c r="M69" s="17"/>
    </row>
    <row r="70" spans="8:13" ht="15" customHeight="1">
      <c r="H70" s="104"/>
      <c r="I70" s="16"/>
      <c r="J70" s="16"/>
      <c r="K70" s="16"/>
      <c r="L70" s="16"/>
      <c r="M70" s="16"/>
    </row>
    <row r="71" spans="8:13" ht="15" customHeight="1">
      <c r="H71" s="104"/>
      <c r="I71" s="17"/>
      <c r="J71" s="17"/>
      <c r="K71" s="17"/>
      <c r="L71" s="17"/>
      <c r="M71" s="17"/>
    </row>
    <row r="72" spans="8:13" ht="15" customHeight="1">
      <c r="H72" s="104"/>
      <c r="I72" s="16"/>
      <c r="J72" s="16"/>
      <c r="K72" s="16"/>
      <c r="L72" s="16"/>
      <c r="M72" s="16"/>
    </row>
    <row r="73" spans="8:13" ht="15" customHeight="1">
      <c r="H73" s="104"/>
      <c r="I73" s="17"/>
      <c r="J73" s="17"/>
      <c r="K73" s="17"/>
      <c r="L73" s="17"/>
      <c r="M73" s="17"/>
    </row>
    <row r="74" spans="8:13" ht="15" customHeight="1">
      <c r="H74" s="104"/>
      <c r="I74" s="16"/>
      <c r="J74" s="16"/>
      <c r="K74" s="16"/>
      <c r="L74" s="16"/>
      <c r="M74" s="16"/>
    </row>
    <row r="75" spans="8:13" ht="15" customHeight="1">
      <c r="H75" s="104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390" activePane="bottomLeft" state="frozen"/>
      <selection pane="bottomLeft" activeCell="E397" sqref="E397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6" style="20" customWidth="1"/>
    <col min="15" max="15" width="14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219</v>
      </c>
      <c r="E2" s="59" t="s">
        <v>220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221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223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223</v>
      </c>
      <c r="O27" s="39">
        <v>1183060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226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182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227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223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223</v>
      </c>
      <c r="O54" s="39">
        <v>959290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226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223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179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228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223</v>
      </c>
      <c r="O81" s="39">
        <v>878050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226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165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191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223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230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223</v>
      </c>
      <c r="O108" s="39">
        <v>1700000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226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199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223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185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187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223</v>
      </c>
      <c r="O135" s="39">
        <v>862330</v>
      </c>
    </row>
    <row r="136" spans="1:15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226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185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223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223</v>
      </c>
      <c r="O162" s="44">
        <v>1546080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226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223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223</v>
      </c>
      <c r="O189" s="39">
        <v>2355810</v>
      </c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226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220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223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223</v>
      </c>
      <c r="O216" s="45">
        <v>2013260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226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231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4" t="s">
        <v>222</v>
      </c>
      <c r="B230" s="95"/>
      <c r="C230" s="95"/>
      <c r="D230" s="95"/>
      <c r="E230" s="96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223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185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223</v>
      </c>
      <c r="O243" s="39">
        <v>1545480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226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232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223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223</v>
      </c>
      <c r="O270" s="39">
        <v>1182690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226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223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233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234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234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234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234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234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234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234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234</v>
      </c>
      <c r="O296" s="47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223</v>
      </c>
      <c r="O297" s="39">
        <v>1843460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226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235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236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223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237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237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237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237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237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237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223</v>
      </c>
      <c r="O324" s="39">
        <v>1940000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226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220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238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222</v>
      </c>
      <c r="B338" s="95"/>
      <c r="C338" s="95"/>
      <c r="D338" s="95"/>
      <c r="E338" s="96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223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220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175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175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223</v>
      </c>
      <c r="O351" s="39">
        <v>701874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226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220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179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239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185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222</v>
      </c>
      <c r="B365" s="95"/>
      <c r="C365" s="95"/>
      <c r="D365" s="95"/>
      <c r="E365" s="96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223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220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185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185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223</v>
      </c>
      <c r="O378" s="39">
        <v>1088710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226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220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207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240</v>
      </c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241</v>
      </c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198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223</v>
      </c>
      <c r="O392" s="39">
        <v>1576070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220</v>
      </c>
      <c r="F394" s="27">
        <v>16</v>
      </c>
      <c r="G394" s="28">
        <f t="shared" si="87"/>
        <v>80</v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220</v>
      </c>
      <c r="F395" s="27">
        <v>11</v>
      </c>
      <c r="G395" s="34">
        <f t="shared" si="87"/>
        <v>55</v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220</v>
      </c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92</v>
      </c>
      <c r="G405" s="36">
        <f>SUM(G393:G404)</f>
        <v>460</v>
      </c>
      <c r="H405" s="37"/>
      <c r="I405" s="37"/>
      <c r="J405" s="37"/>
      <c r="K405" s="37"/>
      <c r="L405" s="37"/>
      <c r="M405" s="38">
        <f ca="1">IFERROR(SUM(M393:M404),"")</f>
        <v>8.3333333333333037E-3</v>
      </c>
      <c r="N405" s="36" t="s">
        <v>223</v>
      </c>
      <c r="O405" s="39"/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352</v>
      </c>
      <c r="G406" s="40">
        <f>G392+G405</f>
        <v>1760</v>
      </c>
      <c r="H406" s="41"/>
      <c r="I406" s="41"/>
      <c r="J406" s="41"/>
      <c r="K406" s="41"/>
      <c r="L406" s="41"/>
      <c r="M406" s="42">
        <f ca="1">IFERROR(M392+M405,"")</f>
        <v>0.12361111111111106</v>
      </c>
      <c r="N406" s="40" t="s">
        <v>226</v>
      </c>
      <c r="O406" s="48">
        <f>IFERROR(O392+O405,"")</f>
        <v>1576070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223</v>
      </c>
      <c r="O432" s="39"/>
    </row>
    <row r="433" spans="1:15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226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223</v>
      </c>
      <c r="O459" s="39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223</v>
      </c>
      <c r="O486" s="39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223</v>
      </c>
      <c r="O513" s="39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223</v>
      </c>
      <c r="O540" s="39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223</v>
      </c>
      <c r="O567" s="39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223</v>
      </c>
      <c r="O594" s="39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223</v>
      </c>
      <c r="O621" s="39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223</v>
      </c>
      <c r="O648" s="39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223</v>
      </c>
      <c r="O675" s="39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223</v>
      </c>
      <c r="O702" s="39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223</v>
      </c>
      <c r="O729" s="39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59" t="s">
        <v>220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226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387" activePane="bottomLeft" state="frozen"/>
      <selection pane="bottomLeft" activeCell="H395" sqref="H395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176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242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242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242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242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242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242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242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242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242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242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242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223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242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242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242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242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242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242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242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242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242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242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242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242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223</v>
      </c>
      <c r="O27" s="78">
        <v>393200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226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242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243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242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191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242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242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242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242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242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242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242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242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242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223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242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242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242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244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242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242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242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242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242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242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242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242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242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223</v>
      </c>
      <c r="O54" s="85">
        <v>276360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226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245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246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223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242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242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242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242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242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242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242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242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242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242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242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242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223</v>
      </c>
      <c r="O81" s="54">
        <v>787860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226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242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247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242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183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242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242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242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223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242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248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242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249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242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250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242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242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242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242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242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242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242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242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242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223</v>
      </c>
      <c r="O108" s="54">
        <v>1087080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226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242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242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251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242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242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242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242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242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242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223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252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238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253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190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197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254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197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223</v>
      </c>
      <c r="O135" s="54">
        <v>794480</v>
      </c>
    </row>
    <row r="136" spans="1:15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226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197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255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256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223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257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202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242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242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242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242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242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242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242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242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242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242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223</v>
      </c>
      <c r="O162" s="54">
        <v>882280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226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242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242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242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242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242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242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242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242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242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242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242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242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223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223</v>
      </c>
      <c r="O189" s="78"/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226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223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242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242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259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242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260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242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242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242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242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242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242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242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242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223</v>
      </c>
      <c r="O216" s="78">
        <v>648410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226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242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261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242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262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242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242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242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242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242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242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242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242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242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222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223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242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202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263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242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178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242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178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257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242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242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242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242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242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242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242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242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223</v>
      </c>
      <c r="O243" s="78">
        <v>849060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226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242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264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242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242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242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242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242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242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242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242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242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242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242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223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242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242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242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242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242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242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242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242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242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242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242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223</v>
      </c>
      <c r="O270" s="78">
        <v>625070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226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242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265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242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266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242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242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242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242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242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242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242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242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242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242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223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242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242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267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242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242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242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242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242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242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242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242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242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223</v>
      </c>
      <c r="O297" s="78">
        <v>761660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226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242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242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242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268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242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268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242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242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242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242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242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242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242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223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242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242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269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242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270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242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242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242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242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242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242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242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242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223</v>
      </c>
      <c r="O324" s="78">
        <v>524410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226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242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242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242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242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271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242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242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242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242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242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242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242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222</v>
      </c>
      <c r="B338" s="95"/>
      <c r="C338" s="95"/>
      <c r="D338" s="95"/>
      <c r="E338" s="96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223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242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242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272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242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242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273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242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242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242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242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242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242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242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242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223</v>
      </c>
      <c r="O351" s="78">
        <v>598420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226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242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242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242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242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242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242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242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242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242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242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242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242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222</v>
      </c>
      <c r="B365" s="95"/>
      <c r="C365" s="95"/>
      <c r="D365" s="95"/>
      <c r="E365" s="96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223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242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242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242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242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242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242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242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242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0.77110138888383517</v>
      </c>
      <c r="N377" s="46"/>
      <c r="O377" s="47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0.92874027777272405</v>
      </c>
      <c r="N378" s="36" t="s">
        <v>223</v>
      </c>
      <c r="O378" s="78">
        <v>511980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1.0384624999949463</v>
      </c>
      <c r="N379" s="40" t="s">
        <v>226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242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242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208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242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192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242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257</v>
      </c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242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274</v>
      </c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242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242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242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242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242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242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242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223</v>
      </c>
      <c r="O392" s="78">
        <v>281950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242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275</v>
      </c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242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238</v>
      </c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242</v>
      </c>
      <c r="F395" s="27">
        <v>10</v>
      </c>
      <c r="G395" s="34">
        <f t="shared" si="87"/>
        <v>42</v>
      </c>
      <c r="H395" s="33" t="s">
        <v>16</v>
      </c>
      <c r="I395" s="33"/>
      <c r="J395" s="33"/>
      <c r="K395" s="29">
        <v>4.1666666666666666E-3</v>
      </c>
      <c r="L395" s="29">
        <v>1.0416666666666666E-2</v>
      </c>
      <c r="M395" s="35">
        <f t="shared" ca="1" si="88"/>
        <v>6.2499999999999995E-3</v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242</v>
      </c>
      <c r="F396" s="27">
        <v>40</v>
      </c>
      <c r="G396" s="28">
        <f t="shared" si="87"/>
        <v>168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242</v>
      </c>
      <c r="F397" s="27">
        <v>10</v>
      </c>
      <c r="G397" s="34">
        <f t="shared" si="87"/>
        <v>42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242</v>
      </c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242</v>
      </c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242</v>
      </c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242</v>
      </c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242</v>
      </c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242</v>
      </c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242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67</v>
      </c>
      <c r="G405" s="36">
        <f>SUM(G393:G404)</f>
        <v>281.39999999999998</v>
      </c>
      <c r="H405" s="37"/>
      <c r="I405" s="37"/>
      <c r="J405" s="37"/>
      <c r="K405" s="37"/>
      <c r="L405" s="37"/>
      <c r="M405" s="38">
        <f ca="1">IFERROR(SUM(M393:M404),"")</f>
        <v>0.12638888888888891</v>
      </c>
      <c r="N405" s="36" t="s">
        <v>223</v>
      </c>
      <c r="O405" s="78"/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141</v>
      </c>
      <c r="G406" s="40">
        <f>G392+G405</f>
        <v>592.20000000000005</v>
      </c>
      <c r="H406" s="41"/>
      <c r="I406" s="41"/>
      <c r="J406" s="41"/>
      <c r="K406" s="41"/>
      <c r="L406" s="41"/>
      <c r="M406" s="42">
        <f ca="1">IFERROR(M392+M405,"")</f>
        <v>0.46666666666666667</v>
      </c>
      <c r="N406" s="40" t="s">
        <v>226</v>
      </c>
      <c r="O406" s="84">
        <f>IFERROR(O392+O405,"")</f>
        <v>281950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223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223</v>
      </c>
      <c r="O432" s="78"/>
    </row>
    <row r="433" spans="1:15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226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223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223</v>
      </c>
      <c r="O459" s="78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226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223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223</v>
      </c>
      <c r="O486" s="78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226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223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223</v>
      </c>
      <c r="O513" s="78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226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223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223</v>
      </c>
      <c r="O540" s="78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226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223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223</v>
      </c>
      <c r="O567" s="78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226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223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223</v>
      </c>
      <c r="O594" s="78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226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223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223</v>
      </c>
      <c r="O621" s="78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226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223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223</v>
      </c>
      <c r="O648" s="78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226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223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223</v>
      </c>
      <c r="O675" s="78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226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223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223</v>
      </c>
      <c r="O702" s="78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226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223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223</v>
      </c>
      <c r="O729" s="78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226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223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226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223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226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223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97" t="s">
        <v>225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226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388" zoomScale="50" zoomScaleNormal="50" workbookViewId="0">
      <selection activeCell="F398" sqref="F398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176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242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242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276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242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242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277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242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242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242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242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242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242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242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223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242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242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242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242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242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242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242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242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242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242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242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242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223</v>
      </c>
      <c r="O27" s="39">
        <v>308500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226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242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278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242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242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242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242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242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242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242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242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242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242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242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223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242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242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242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242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242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242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242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242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242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242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242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242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223</v>
      </c>
      <c r="O54" s="39">
        <v>124290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226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242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242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242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242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279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242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242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242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242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242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242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242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242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223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242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280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242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242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242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242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242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242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242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242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242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242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242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223</v>
      </c>
      <c r="O81" s="39">
        <v>396340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226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281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223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242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242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242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242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242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242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242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242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242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242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242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223</v>
      </c>
      <c r="O108" s="39">
        <v>41230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226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242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242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242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242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223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190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254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223</v>
      </c>
      <c r="O135" s="39">
        <v>381250</v>
      </c>
    </row>
    <row r="136" spans="1:15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226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282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256</v>
      </c>
      <c r="K141" s="29">
        <v>0.71597222222222223</v>
      </c>
      <c r="L141" s="29" t="s">
        <v>283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223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284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242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242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242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242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242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242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242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242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242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242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223</v>
      </c>
      <c r="O162" s="39">
        <v>337120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226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242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242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285</v>
      </c>
      <c r="N166" s="27" t="s">
        <v>286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242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242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242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242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242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242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242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242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242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223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242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242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242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242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242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242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242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242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242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242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242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242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223</v>
      </c>
      <c r="O189" s="39">
        <v>747210</v>
      </c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226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242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242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168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287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242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242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242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242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242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242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242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242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242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242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223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242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242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242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242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242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242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242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242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242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242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242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223</v>
      </c>
      <c r="O216" s="39">
        <v>468430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226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242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242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242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242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242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242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242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242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242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242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242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242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4" t="s">
        <v>222</v>
      </c>
      <c r="B230" s="95"/>
      <c r="C230" s="95"/>
      <c r="D230" s="95"/>
      <c r="E230" s="96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223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242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178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242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242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242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242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242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242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242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242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242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223</v>
      </c>
      <c r="O243" s="39">
        <v>575930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226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242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204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242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242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242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242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242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242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242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242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242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242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242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223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242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242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194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288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242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242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242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242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289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242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242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242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242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242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242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223</v>
      </c>
      <c r="O270" s="39">
        <v>483510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226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242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242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242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242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242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242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242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242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242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242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242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242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223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242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242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290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242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242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242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291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242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242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242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242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242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242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242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223</v>
      </c>
      <c r="O297" s="39">
        <v>487980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226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242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242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242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292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242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242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242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242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242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242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242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223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242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293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242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242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242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294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242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242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242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242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242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242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242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223</v>
      </c>
      <c r="O324" s="39">
        <v>609460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226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242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295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242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242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242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196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280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242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282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242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242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242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242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242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242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4" t="s">
        <v>222</v>
      </c>
      <c r="B338" s="95"/>
      <c r="C338" s="95"/>
      <c r="D338" s="95"/>
      <c r="E338" s="96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223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242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242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242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242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242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242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242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242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242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242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242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242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223</v>
      </c>
      <c r="O351" s="39">
        <v>437940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226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242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242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242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242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242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242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242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242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242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242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242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242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4" t="s">
        <v>222</v>
      </c>
      <c r="B365" s="95"/>
      <c r="C365" s="95"/>
      <c r="D365" s="95"/>
      <c r="E365" s="96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223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242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242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242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242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242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242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242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242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242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242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242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242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223</v>
      </c>
      <c r="O378" s="39">
        <v>473310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226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242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242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242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242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242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242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242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242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242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242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242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242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223</v>
      </c>
      <c r="O392" s="39">
        <v>399940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220</v>
      </c>
      <c r="F393" s="27">
        <v>12</v>
      </c>
      <c r="G393" s="34">
        <f t="shared" ref="G393:G404" si="87">IF(F393="","",IF(E393="PC 17",F393*4.2,IF(E393="PC 19",F393*5,"")))</f>
        <v>60</v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242</v>
      </c>
      <c r="F394" s="27">
        <v>10</v>
      </c>
      <c r="G394" s="28">
        <f t="shared" si="87"/>
        <v>42</v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242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242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242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242</v>
      </c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242</v>
      </c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242</v>
      </c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242</v>
      </c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242</v>
      </c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242</v>
      </c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242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39</v>
      </c>
      <c r="G405" s="36">
        <f>SUM(G393:G404)</f>
        <v>173.4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223</v>
      </c>
      <c r="O405" s="39"/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134</v>
      </c>
      <c r="G406" s="40">
        <f>G392+G405</f>
        <v>572.40000000000009</v>
      </c>
      <c r="H406" s="41"/>
      <c r="I406" s="41"/>
      <c r="J406" s="41"/>
      <c r="K406" s="41"/>
      <c r="L406" s="41"/>
      <c r="M406" s="42">
        <f ca="1">IFERROR(M392+M405,"")</f>
        <v>2.9861111111111061E-2</v>
      </c>
      <c r="N406" s="40" t="s">
        <v>226</v>
      </c>
      <c r="O406" s="48">
        <f>IFERROR(O392+O405,"")</f>
        <v>399940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223</v>
      </c>
      <c r="O432" s="39"/>
    </row>
    <row r="433" spans="1:15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226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223</v>
      </c>
      <c r="O459" s="39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223</v>
      </c>
      <c r="O486" s="39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223</v>
      </c>
      <c r="O513" s="39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223</v>
      </c>
      <c r="O540" s="39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223</v>
      </c>
      <c r="O567" s="39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223</v>
      </c>
      <c r="O594" s="39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223</v>
      </c>
      <c r="O621" s="39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223</v>
      </c>
      <c r="O648" s="39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223</v>
      </c>
      <c r="O675" s="39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223</v>
      </c>
      <c r="O702" s="39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223</v>
      </c>
      <c r="O729" s="39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97" t="s">
        <v>225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226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382" activePane="bottomLeft" state="frozen"/>
      <selection pane="bottomLeft" activeCell="F398" sqref="F398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296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242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280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242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189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242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242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242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242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242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242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242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242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242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223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242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242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297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242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242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242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242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242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242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242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242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242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242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223</v>
      </c>
      <c r="O27" s="39">
        <v>202230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226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242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193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298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242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242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242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242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242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299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242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178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242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242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242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242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242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223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242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242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242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242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242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242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242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242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242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242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242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242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223</v>
      </c>
      <c r="O54" s="39">
        <v>473910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226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242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242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242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300</v>
      </c>
      <c r="L58" s="29">
        <v>0.54097222222222219</v>
      </c>
      <c r="M58" s="30" t="str">
        <f t="shared" ca="1" si="13"/>
        <v/>
      </c>
      <c r="N58" s="27" t="s">
        <v>301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242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242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242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242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242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242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242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242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242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223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242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242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276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242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195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242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302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242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303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242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304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242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305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242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181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242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242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242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223</v>
      </c>
      <c r="O81" s="39">
        <v>565120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226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242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306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242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242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242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242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223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242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242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242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197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242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242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242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242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242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242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242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242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223</v>
      </c>
      <c r="O108" s="39">
        <v>558590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226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242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197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307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242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242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242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242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242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223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308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200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309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190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0.7613791666663019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254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0.96068472222185752</v>
      </c>
      <c r="N135" s="36" t="s">
        <v>223</v>
      </c>
      <c r="O135" s="39">
        <v>729290</v>
      </c>
    </row>
    <row r="136" spans="1:18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1.3280458333329686</v>
      </c>
      <c r="N136" s="40" t="s">
        <v>226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310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256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223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282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242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311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242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242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242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242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242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242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242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242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242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223</v>
      </c>
      <c r="O162" s="39">
        <v>697320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226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242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242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242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242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312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242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242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242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242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242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242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242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223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242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242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242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242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242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242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242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242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242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242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242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242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223</v>
      </c>
      <c r="O189" s="39">
        <v>973580</v>
      </c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226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242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242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242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313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242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314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242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242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242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242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242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242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242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242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223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242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242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315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242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242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242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242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242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242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242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242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242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223</v>
      </c>
      <c r="O216" s="45">
        <v>1060630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226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242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316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242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242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317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242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242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242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242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181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242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318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242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242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242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4" t="s">
        <v>222</v>
      </c>
      <c r="B230" s="95"/>
      <c r="C230" s="95"/>
      <c r="D230" s="95"/>
      <c r="E230" s="96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223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242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319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242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242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242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242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242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242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242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242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223</v>
      </c>
      <c r="O243" s="39">
        <v>982340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226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242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320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242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203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242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242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242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242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242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242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242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242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242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242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223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242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242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242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242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242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242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242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242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242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242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242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242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223</v>
      </c>
      <c r="O270" s="39">
        <v>1208450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226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242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242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242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242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242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242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242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242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242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242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242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242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223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242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242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242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242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242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242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242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242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242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242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242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223</v>
      </c>
      <c r="O297" s="39">
        <v>1049090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226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321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242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205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242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206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242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242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242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242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242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242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242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242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242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223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242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168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242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242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242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242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242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251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242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242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242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242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223</v>
      </c>
      <c r="O324" s="39">
        <v>1063720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226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242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242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280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242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242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242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242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242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242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242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242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242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4" t="s">
        <v>222</v>
      </c>
      <c r="B338" s="95"/>
      <c r="C338" s="95"/>
      <c r="D338" s="95"/>
      <c r="E338" s="96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223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242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242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242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242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242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242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322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242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242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242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323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242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242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242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223</v>
      </c>
      <c r="O351" s="39">
        <v>696140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226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242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242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242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282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242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242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242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242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242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242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242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242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242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222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223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242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242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242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324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242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242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242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242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242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242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242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242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242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223</v>
      </c>
      <c r="O378" s="39">
        <v>704750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226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242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325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242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242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312</v>
      </c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242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242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242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242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242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242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242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242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242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223</v>
      </c>
      <c r="O392" s="39">
        <v>565570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242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179</v>
      </c>
      <c r="K394" s="29">
        <v>0.9770833333333333</v>
      </c>
      <c r="L394" s="29"/>
      <c r="M394" s="30">
        <f t="shared" ca="1" si="88"/>
        <v>3.3601388888200745E-2</v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242</v>
      </c>
      <c r="F395" s="27">
        <v>8</v>
      </c>
      <c r="G395" s="34">
        <f t="shared" si="87"/>
        <v>33.6</v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/>
      <c r="F396" s="27">
        <v>21</v>
      </c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/>
      <c r="F397" s="27">
        <v>11</v>
      </c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75</v>
      </c>
      <c r="G405" s="36">
        <f>SUM(G393:G404)</f>
        <v>200.6</v>
      </c>
      <c r="H405" s="37"/>
      <c r="I405" s="37"/>
      <c r="J405" s="37"/>
      <c r="K405" s="61"/>
      <c r="L405" s="61"/>
      <c r="M405" s="38">
        <f ca="1">IFERROR(SUM(M393:M404),"")</f>
        <v>5.0268055554867463E-2</v>
      </c>
      <c r="N405" s="36" t="s">
        <v>223</v>
      </c>
      <c r="O405" s="39"/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218</v>
      </c>
      <c r="G406" s="40">
        <f>G392+G405</f>
        <v>801.2</v>
      </c>
      <c r="H406" s="41"/>
      <c r="I406" s="41"/>
      <c r="J406" s="41"/>
      <c r="K406" s="63"/>
      <c r="L406" s="63"/>
      <c r="M406" s="42">
        <f ca="1">IFERROR(M392+M405,"")</f>
        <v>0.23290694444375643</v>
      </c>
      <c r="N406" s="40" t="s">
        <v>226</v>
      </c>
      <c r="O406" s="48">
        <f>IFERROR(O392+O405,"")</f>
        <v>565570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223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223</v>
      </c>
      <c r="O432" s="39"/>
    </row>
    <row r="433" spans="1:17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226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223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223</v>
      </c>
      <c r="O459" s="39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223</v>
      </c>
      <c r="O486" s="39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223</v>
      </c>
      <c r="O513" s="39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223</v>
      </c>
      <c r="O540" s="39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223</v>
      </c>
      <c r="O567" s="39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223</v>
      </c>
      <c r="O594" s="39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223</v>
      </c>
      <c r="O621" s="39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223</v>
      </c>
      <c r="O648" s="39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223</v>
      </c>
      <c r="O675" s="39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223</v>
      </c>
      <c r="O702" s="39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223</v>
      </c>
      <c r="O729" s="39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97" t="s">
        <v>225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226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2026-07-16T04:15:50Z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