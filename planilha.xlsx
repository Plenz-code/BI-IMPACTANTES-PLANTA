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43" documentId="8_{AF585B22-221D-4780-BB9C-493D365A6A02}" xr6:coauthVersionLast="47" xr6:coauthVersionMax="47" xr10:uidLastSave="{BBD9C095-47F1-477F-9525-616592A158B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<sst xmlns="http://schemas.openxmlformats.org/spreadsheetml/2006/main" count="5321" uniqueCount="303">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</sst>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5" sqref="N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284.3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3" activePane="bottomLeft" state="frozen"/>
      <selection pane="bottomLeft" activeCell="J314" sqref="J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26</v>
      </c>
      <c r="K314" s="29">
        <v>0.91249999999999998</v>
      </c>
      <c r="L314" s="29"/>
      <c r="M314" s="30">
        <f t="shared" ca="1" si="70"/>
        <v>1.5635185183782596E-2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5.2440740739338243E-2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0.20313518518378265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0.13160740740568144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28</v>
      </c>
      <c r="G324" s="36">
        <f>SUM(G312:G323)</f>
        <v>117.60000000000002</v>
      </c>
      <c r="H324" s="37"/>
      <c r="I324" s="37"/>
      <c r="J324" s="37"/>
      <c r="K324" s="37"/>
      <c r="L324" s="37"/>
      <c r="M324" s="38">
        <f ca="1">IFERROR(SUM(M312:M323),"")</f>
        <v>0.13160740740568144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412.20000000000005</v>
      </c>
      <c r="H325" s="41"/>
      <c r="I325" s="41"/>
      <c r="J325" s="41"/>
      <c r="K325" s="41"/>
      <c r="L325" s="41"/>
      <c r="M325" s="42">
        <f ca="1">IFERROR(M311+M324,"")</f>
        <v>0.23091296296123687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5" sqref="F3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0.67882962962903548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0.8781351851845911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1.2454962962957021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18</v>
      </c>
      <c r="I317" s="33" t="s">
        <v>128</v>
      </c>
      <c r="J317" s="33" t="s">
        <v>130</v>
      </c>
      <c r="K317" s="29">
        <v>0.89583333333333337</v>
      </c>
      <c r="L317" s="29"/>
      <c r="M317" s="35">
        <f t="shared" ca="1" si="70"/>
        <v>3.2301851846568752E-2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48</v>
      </c>
      <c r="G324" s="36">
        <f>SUM(G312:G323)</f>
        <v>217.6</v>
      </c>
      <c r="H324" s="37"/>
      <c r="I324" s="37"/>
      <c r="J324" s="37"/>
      <c r="K324" s="61"/>
      <c r="L324" s="61"/>
      <c r="M324" s="38">
        <f ca="1">IFERROR(SUM(M312:M323),"")</f>
        <v>7.2579629624346498E-2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78</v>
      </c>
      <c r="G325" s="40">
        <f>G311+G324</f>
        <v>343.6</v>
      </c>
      <c r="H325" s="41"/>
      <c r="I325" s="41"/>
      <c r="J325" s="41"/>
      <c r="K325" s="63"/>
      <c r="L325" s="63"/>
      <c r="M325" s="42">
        <f ca="1">IFERROR(M311+M324,"")</f>
        <v>0.48577407406879103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2026-07-13T02:16:38Z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