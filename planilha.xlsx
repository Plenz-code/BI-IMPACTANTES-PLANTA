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48" documentId="8_{C51EB6CB-002B-4D6B-B68F-DDEBDB4460C0}" xr6:coauthVersionLast="47" xr6:coauthVersionMax="47" xr10:uidLastSave="{2056D914-E8B5-44DC-8ACB-0C9AF4653FEE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<sst xmlns="http://schemas.openxmlformats.org/spreadsheetml/2006/main" count="4125" uniqueCount="301">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</sst>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F199" sqref="F1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/>
      <c r="M193" s="35">
        <f t="shared" ca="1" si="43"/>
        <v>7.1288888888375368E-2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206</v>
      </c>
      <c r="G203" s="36">
        <f>SUM(G191:G202)</f>
        <v>1030</v>
      </c>
      <c r="H203" s="37"/>
      <c r="I203" s="37"/>
      <c r="J203" s="37"/>
      <c r="K203" s="37"/>
      <c r="L203" s="37"/>
      <c r="M203" s="38">
        <f ca="1">IFERROR(SUM(M191:M202),"")</f>
        <v>0.12267777777726424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206</v>
      </c>
      <c r="G217" s="40">
        <f>G203+G216</f>
        <v>1030</v>
      </c>
      <c r="H217" s="41"/>
      <c r="I217" s="41"/>
      <c r="J217" s="41"/>
      <c r="K217" s="41"/>
      <c r="L217" s="41"/>
      <c r="M217" s="42">
        <f ca="1">IFERROR(M203+M216,"")</f>
        <v>0.12267777777726424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73" activePane="bottomLeft" state="frozen"/>
      <selection pane="bottomLeft" activeCell="J196" sqref="J1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0.55392777777160518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0.69281666666049402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0.77753888888271638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/>
      <c r="M196" s="30">
        <f t="shared" ca="1" si="43"/>
        <v>1.8444444431224838E-3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101</v>
      </c>
      <c r="G203" s="36">
        <f>SUM(G191:G202)</f>
        <v>424.20000000000005</v>
      </c>
      <c r="H203" s="37"/>
      <c r="I203" s="37"/>
      <c r="J203" s="37"/>
      <c r="K203" s="37"/>
      <c r="L203" s="37"/>
      <c r="M203" s="38">
        <f ca="1">IFERROR(SUM(M191:M202),"")</f>
        <v>0.11851111110978912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101</v>
      </c>
      <c r="G217" s="40">
        <f>G203+G216</f>
        <v>424.20000000000005</v>
      </c>
      <c r="H217" s="41"/>
      <c r="I217" s="41"/>
      <c r="J217" s="41"/>
      <c r="K217" s="41"/>
      <c r="L217" s="41"/>
      <c r="M217" s="42">
        <f ca="1">IFERROR(M203+M216,"")</f>
        <v>0.11851111110978912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F199" sqref="F1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20</v>
      </c>
      <c r="I198" s="26" t="s">
        <v>47</v>
      </c>
      <c r="J198" s="26" t="s">
        <v>56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9</v>
      </c>
      <c r="G203" s="36">
        <f>SUM(G191:G202)</f>
        <v>37.800000000000004</v>
      </c>
      <c r="H203" s="37"/>
      <c r="I203" s="37"/>
      <c r="J203" s="37"/>
      <c r="K203" s="37"/>
      <c r="L203" s="37"/>
      <c r="M203" s="38">
        <f ca="1">IFERROR(SUM(M191:M202),"")</f>
        <v>0.1388888888888889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9</v>
      </c>
      <c r="G217" s="40">
        <f>G203+G216</f>
        <v>37.800000000000004</v>
      </c>
      <c r="H217" s="41"/>
      <c r="I217" s="41"/>
      <c r="J217" s="41"/>
      <c r="K217" s="41"/>
      <c r="L217" s="41"/>
      <c r="M217" s="42">
        <f ca="1">IFERROR(M203+M216,"")</f>
        <v>0.1388888888888889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J193" sqref="J19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/>
      <c r="M193" s="35">
        <f t="shared" ca="1" si="43"/>
        <v>5.3166666621109471E-3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122</v>
      </c>
      <c r="G203" s="36">
        <f>SUM(G191:G202)</f>
        <v>512.40000000000009</v>
      </c>
      <c r="H203" s="37"/>
      <c r="I203" s="37"/>
      <c r="J203" s="37"/>
      <c r="K203" s="61"/>
      <c r="L203" s="61"/>
      <c r="M203" s="38">
        <f ca="1">IFERROR(SUM(M191:M202),"")</f>
        <v>6.0872222217666472E-2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122</v>
      </c>
      <c r="G217" s="40">
        <f>G203+G216</f>
        <v>512.40000000000009</v>
      </c>
      <c r="H217" s="41"/>
      <c r="I217" s="41"/>
      <c r="J217" s="41"/>
      <c r="K217" s="63"/>
      <c r="L217" s="63"/>
      <c r="M217" s="42">
        <f ca="1">IFERROR(M203+M216,"")</f>
        <v>6.0872222217666472E-2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2026-08-08T20:13:04Z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