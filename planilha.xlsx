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366" documentId="8_{1D11E9C4-FEA4-4128-910F-91CB6BBF9255}" xr6:coauthVersionLast="47" xr6:coauthVersionMax="47" xr10:uidLastSave="{4340D847-76DC-40BF-88C8-CD0796432765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23" i="3" l="1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<sst xmlns="http://schemas.openxmlformats.org/spreadsheetml/2006/main" count="7925" uniqueCount="360">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</sst>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623640</v>
      </c>
      <c r="D30" s="49">
        <f>IFERROR('Linha 1'!N730,"")</f>
        <v>670160</v>
      </c>
      <c r="E30" s="49">
        <f>IFERROR('Linha 2'!N730,"")</f>
        <v>261740</v>
      </c>
      <c r="F30" s="49">
        <f>IFERROR('Linha 3'!N730,"")</f>
        <v>533420</v>
      </c>
      <c r="G30" s="50">
        <f t="shared" si="0"/>
        <v>1465320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45239230</v>
      </c>
      <c r="D34" s="55">
        <f t="shared" si="1"/>
        <v>22912580</v>
      </c>
      <c r="E34" s="55">
        <f t="shared" si="1"/>
        <v>8834340</v>
      </c>
      <c r="F34" s="55">
        <f t="shared" si="1"/>
        <v>25467345</v>
      </c>
      <c r="G34" s="55">
        <f t="shared" si="1"/>
        <v>57214265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K31" sqref="K3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10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10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10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10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10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10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10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10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10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10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10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10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10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10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10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10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10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10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10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10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10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173</v>
      </c>
      <c r="L48" s="3"/>
      <c r="M48" s="3"/>
    </row>
    <row r="49" spans="1:13" ht="18" customHeight="1">
      <c r="H49" s="10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04" activePane="bottomLeft" state="frozen"/>
      <selection pane="bottomLeft" activeCell="K718" sqref="K718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186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188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186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188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186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188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186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188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186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188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186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188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186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188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186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188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186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188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186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188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186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188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186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188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186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188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8" t="s">
        <v>189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186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188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186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188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186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188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188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186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188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186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188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186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188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186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188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186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188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186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188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186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188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186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188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186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188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186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187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7"/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188</v>
      </c>
      <c r="B729" s="108"/>
      <c r="C729" s="108"/>
      <c r="D729" s="108"/>
      <c r="E729" s="19">
        <f>SUM(E717:E728)</f>
        <v>154</v>
      </c>
      <c r="F729" s="19">
        <f>SUM(F717:F728)</f>
        <v>745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271</v>
      </c>
      <c r="F730" s="22">
        <f>F716+F729</f>
        <v>1330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190</v>
      </c>
      <c r="N730" s="31">
        <f>IFERROR(N716+N729,"")</f>
        <v>623640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186</v>
      </c>
      <c r="B743" s="108"/>
      <c r="C743" s="108"/>
      <c r="D743" s="10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108" t="s">
        <v>188</v>
      </c>
      <c r="B756" s="108"/>
      <c r="C756" s="108"/>
      <c r="D756" s="10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108" t="s">
        <v>186</v>
      </c>
      <c r="B770" s="108"/>
      <c r="C770" s="108"/>
      <c r="D770" s="10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188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186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188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695" zoomScale="85" zoomScaleNormal="85" workbookViewId="0">
      <selection activeCell="E723" sqref="E72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186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187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/>
      <c r="H721" s="16"/>
      <c r="I721" s="16"/>
      <c r="J721" s="13">
        <v>0.10486111111111111</v>
      </c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/>
      <c r="F725" s="12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/>
      <c r="F727" s="12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68</v>
      </c>
      <c r="F729" s="19">
        <f>SUM(F717:F728)</f>
        <v>272</v>
      </c>
      <c r="G729" s="18"/>
      <c r="H729" s="18"/>
      <c r="I729" s="18"/>
      <c r="J729" s="18"/>
      <c r="K729" s="18"/>
      <c r="L729" s="72">
        <f>IFERROR(SUM(L717:L728),"")</f>
        <v>0.12916666666666665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E717+E729</f>
        <v>71</v>
      </c>
      <c r="F730" s="22">
        <f>F716+F729</f>
        <v>804</v>
      </c>
      <c r="G730" s="21"/>
      <c r="H730" s="21"/>
      <c r="I730" s="21"/>
      <c r="J730" s="21"/>
      <c r="K730" s="21"/>
      <c r="L730" s="73">
        <f>IFERROR(L716+L729,"")</f>
        <v>0.26111111111111102</v>
      </c>
      <c r="M730" s="22" t="s">
        <v>190</v>
      </c>
      <c r="N730" s="31">
        <f>IFERROR(N716+N729,"")</f>
        <v>670160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12" activePane="bottomLeft" state="frozen"/>
      <selection pane="bottomLeft" activeCell="E724" sqref="E724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8" t="s">
        <v>189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8" t="s">
        <v>189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8" t="s">
        <v>189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8" t="s">
        <v>189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8" t="s">
        <v>189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8" t="s">
        <v>189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186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186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186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218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187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37</v>
      </c>
      <c r="F729" s="19">
        <f>SUM(F717:F728)</f>
        <v>148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97</v>
      </c>
      <c r="F730" s="22">
        <f>F716+F729</f>
        <v>388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190</v>
      </c>
      <c r="N730" s="31">
        <f>IFERROR(N716+N729,"")</f>
        <v>261740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186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188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8" t="s">
        <v>189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H718" sqref="H718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186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188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8" t="s">
        <v>189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186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188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8" t="s">
        <v>189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186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188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8" t="s">
        <v>189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186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188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8" t="s">
        <v>189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186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188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8" t="s">
        <v>189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186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188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8" t="s">
        <v>189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186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188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8" t="s">
        <v>189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186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188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8" t="s">
        <v>189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186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188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8" t="s">
        <v>189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186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188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8" t="s">
        <v>189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186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188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8" t="s">
        <v>189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186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188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8" t="s">
        <v>189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186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188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8" t="s">
        <v>189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186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188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8" t="s">
        <v>189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186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188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8" t="s">
        <v>189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186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188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8" t="s">
        <v>189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186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188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8" t="s">
        <v>189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7" t="s">
        <v>186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188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8" t="s">
        <v>189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186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188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8" t="s">
        <v>189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186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188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8" t="s">
        <v>189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186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188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8" t="s">
        <v>189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188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8" t="s">
        <v>189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186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188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8" t="s">
        <v>189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186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188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8" t="s">
        <v>189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188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8" t="s">
        <v>189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186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188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8" t="s">
        <v>189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358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186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187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152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359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188</v>
      </c>
      <c r="B729" s="97"/>
      <c r="C729" s="97"/>
      <c r="D729" s="97"/>
      <c r="E729" s="19">
        <f>SUM(E717:E728)</f>
        <v>98</v>
      </c>
      <c r="F729" s="19">
        <f>SUM(F717:F728)</f>
        <v>392</v>
      </c>
      <c r="G729" s="38"/>
      <c r="H729" s="38"/>
      <c r="I729" s="38"/>
      <c r="J729" s="38"/>
      <c r="K729" s="38"/>
      <c r="L729" s="72">
        <f>IFERROR(SUM(L717:L728),"")</f>
        <v>7.1527777777777773E-2</v>
      </c>
      <c r="M729" s="19" t="s">
        <v>187</v>
      </c>
      <c r="N729" s="20"/>
    </row>
    <row r="730" spans="1:14" ht="18" customHeight="1">
      <c r="A730" s="98" t="s">
        <v>189</v>
      </c>
      <c r="B730" s="98"/>
      <c r="C730" s="98"/>
      <c r="D730" s="98"/>
      <c r="E730" s="22">
        <f>E716+E729</f>
        <v>212</v>
      </c>
      <c r="F730" s="22">
        <f>F716+F729</f>
        <v>848</v>
      </c>
      <c r="G730" s="39"/>
      <c r="H730" s="39"/>
      <c r="I730" s="39"/>
      <c r="J730" s="39"/>
      <c r="K730" s="39"/>
      <c r="L730" s="73">
        <f>IFERROR(L716+L729,"")</f>
        <v>0.18333333333333343</v>
      </c>
      <c r="M730" s="22" t="s">
        <v>190</v>
      </c>
      <c r="N730" s="31">
        <f>IFERROR(N716+N729,"")</f>
        <v>533420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186</v>
      </c>
      <c r="B743" s="97"/>
      <c r="C743" s="97"/>
      <c r="D743" s="97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188</v>
      </c>
      <c r="B756" s="97"/>
      <c r="C756" s="97"/>
      <c r="D756" s="97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8" t="s">
        <v>189</v>
      </c>
      <c r="B757" s="98"/>
      <c r="C757" s="98"/>
      <c r="D757" s="98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186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188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8" t="s">
        <v>189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186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188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10" t="s">
        <v>189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2026-06-28T07:27:22Z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