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33" documentId="8_{AF585B22-221D-4780-BB9C-493D365A6A02}" xr6:coauthVersionLast="47" xr6:coauthVersionMax="47" xr10:uidLastSave="{0249BA63-4261-4EBB-9606-549B91BD336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<sst xmlns="http://schemas.openxmlformats.org/spreadsheetml/2006/main" count="2375" uniqueCount="231">
  <si>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</si>
  <si>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</si>
  <si>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</si>
  <si>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</si>
  <si>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</si>
  <si>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</si>
  <si>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</si>
  <si>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</si>
  <si>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</si>
  <si>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</si>
  <si>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</si>
  <si>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</si>
  <si>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</si>
  <si>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</si>
  <si>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</si>
  <si>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</si>
  <si>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</si>
  <si>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</si>
  <si>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</si>
  <si>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</si>
  <si>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</si>
  <si>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</si>
  <si>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</si>
  <si>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</si>
  <si>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</si>
  <si>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</si>
  <si>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</si>
  <si>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</si>
  <si>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</si>
  <si>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</si>
  <si>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</si>
  <si>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</si>
  <si>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</si>
  <si>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</si>
  <si>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</si>
  <si>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</si>
  <si>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</si>
  <si>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</si>
  <si>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</si>
  <si>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</si>
  <si>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</si>
  <si>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</si>
  <si>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</si>
  <si>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</si>
  <si>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</si>
  <si>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</si>
  <si>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</si>
  <si>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</si>
  <si>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</si>
  <si>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</si>
  <si>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</si>
  <si>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</si>
  <si>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</si>
  <si>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</si>
  <si>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</si>
  <si>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</si>
  <si>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</si>
  <si>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</si>
  <si>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</si>
  <si>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</si>
  <si>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</si>
  <si>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</si>
  <si>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</si>
  <si>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</si>
  <si>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</si>
  <si>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</si>
  <si>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</si>
  <si>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</si>
  <si>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</si>
  <si>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</si>
  <si>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</si>
  <si>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</si>
  <si>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</si>
  <si>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</si>
  <si>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</si>
  <si>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</si>
  <si>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</si>
  <si>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</si>
  <si>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</si>
  <si>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</si>
  <si>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</si>
  <si>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</si>
  <si>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</si>
  <si>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</si>
  <si>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</si>
  <si>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</si>
  <si>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</si>
  <si>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</si>
  <si>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</si>
  <si>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</si>
  <si>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</si>
  <si>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</si>
  <si>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</si>
  <si>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</si>
  <si>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</si>
  <si>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</si>
  <si>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</si>
  <si>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</si>
  <si>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</si>
  <si>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</si>
  <si>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</si>
  <si>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</si>
  <si>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</si>
  <si>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</si>
  <si>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</si>
  <si>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</si>
  <si>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</si>
  <si>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</si>
  <si>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</si>
  <si>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</si>
  <si>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</si>
  <si>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</si>
  <si>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</si>
  <si>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</si>
  <si>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</si>
  <si>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</si>
  <si>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</si>
  <si>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</si>
  <si>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</si>
  <si>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</si>
  <si>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</si>
  <si>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</si>
  <si>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</si>
  <si>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</si>
  <si>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</si>
  <si>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</si>
  <si>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</si>
  <si>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</si>
  <si>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</si>
  <si>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</si>
  <si>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</si>
  <si>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</si>
  <si>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</si>
  <si>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</si>
  <si>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</si>
  <si>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</si>
  <si>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</si>
  <si>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</si>
  <si>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</si>
  <si>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</si>
  <si>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</si>
  <si>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</si>
  <si>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</si>
  <si>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</si>
  <si>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</si>
  <si>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</si>
  <si>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</si>
  <si>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</si>
  <si>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</si>
  <si>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</si>
  <si>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</si>
  <si>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</si>
  <si>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</si>
  <si>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</si>
  <si>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</si>
  <si>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</si>
  <si>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</si>
  <si>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</si>
  <si>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</si>
  <si>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</si>
  <si>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</si>
  <si>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</si>
  <si>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</si>
  <si>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</si>
  <si>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</si>
  <si>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</si>
  <si>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</si>
  <si>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</si>
  <si>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</si>
  <si>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</si>
  <si>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</si>
  <si>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</si>
  <si>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</si>
  <si>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</si>
  <si>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</si>
  <si>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</si>
  <si>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</si>
  <si>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</si>
  <si>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</si>
  <si>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</si>
  <si>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</si>
  <si>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</si>
  <si>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</si>
  <si>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</si>
  <si>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</si>
  <si>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</si>
  <si>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</si>
  <si>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</si>
  <si>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</si>
  <si>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</si>
  <si>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</si>
  <si>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</si>
  <si>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</si>
  <si>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</si>
  <si>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</si>
  <si>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</si>
  <si>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</si>
  <si>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</si>
  <si>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</si>
  <si>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</si>
  <si>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</si>
  <si>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</si>
  <si>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</si>
  <si>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</si>
  <si>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</si>
  <si>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</si>
  <si>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</si>
  <si>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</si>
  <si>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</si>
  <si>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</si>
  <si>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</si>
  <si>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</si>
  <si>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rolamento do moinho 1 estourado, operando apenas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</si>
  <si>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</si>
  <si>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</si>
  <si>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</si>
  <si>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</si>
  <si>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</si>
  <si>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</si>
  <si>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</si>
  <si>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</si>
  <si>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</si>
  <si>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</si>
  <si>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</si>
  <si>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</si>
  <si>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</si>
  <si>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</si>
  <si>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</si>
  <si>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</si>
  <si>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</si>
  <si>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 xml:space="preserve">borracha da TC3 saindo do lugar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</si>
</sst>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" activePane="bottomLeft" state="frozen"/>
      <selection pane="bottomLeft" activeCell="F103" sqref="F1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100</v>
      </c>
      <c r="G108" s="36">
        <f>SUM(G96:G107)</f>
        <v>420</v>
      </c>
      <c r="H108" s="37"/>
      <c r="I108" s="37"/>
      <c r="J108" s="37"/>
      <c r="K108" s="37"/>
      <c r="L108" s="37"/>
      <c r="M108" s="38">
        <f ca="1">IFERROR(SUM(M96:M107),"")</f>
        <v>2.430555555555558E-2</v>
      </c>
      <c r="N108" s="36" t="s">
        <v>198</v>
      </c>
      <c r="O108" s="54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212</v>
      </c>
      <c r="G109" s="40">
        <f>G95+G108</f>
        <v>939.2</v>
      </c>
      <c r="H109" s="41"/>
      <c r="I109" s="41"/>
      <c r="J109" s="41"/>
      <c r="K109" s="41"/>
      <c r="L109" s="41"/>
      <c r="M109" s="42">
        <f ca="1">IFERROR(M95+M108,"")</f>
        <v>0.28611111111111115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F101" sqref="F1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0.21580983795865905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0.21580983795865905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0.41719872684754794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F102" sqref="F1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223</v>
      </c>
      <c r="L58" s="29">
        <v>0.54097222222222219</v>
      </c>
      <c r="M58" s="30" t="str">
        <f t="shared" ca="1" si="13"/>
        <v/>
      </c>
      <c r="N58" s="27" t="s">
        <v>224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 t="s">
        <v>18</v>
      </c>
      <c r="I98" s="26" t="s">
        <v>75</v>
      </c>
      <c r="J98" s="26" t="s">
        <v>96</v>
      </c>
      <c r="K98" s="29">
        <v>0.99791666666666667</v>
      </c>
      <c r="L98" s="29"/>
      <c r="M98" s="35">
        <f t="shared" ca="1" si="22"/>
        <v>9.3587615738215391E-2</v>
      </c>
      <c r="N98" s="27" t="s">
        <v>230</v>
      </c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0.12830983796043771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0.31650428240488221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2026-07-05T06:12:19Z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