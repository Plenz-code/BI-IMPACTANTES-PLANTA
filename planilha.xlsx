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6" documentId="13_ncr:1_{A6DBCFB4-28D9-4249-9038-216934055CA6}" xr6:coauthVersionLast="47" xr6:coauthVersionMax="47" xr10:uidLastSave="{EB8AA025-3160-4528-8ACF-E6F1A446D798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300" i="4" l="1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<sst xmlns="http://schemas.openxmlformats.org/spreadsheetml/2006/main" count="8632" uniqueCount="398">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</sst>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10" sqref="D51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346</v>
      </c>
      <c r="G513" s="2">
        <f>SUM(G501:G512)</f>
        <v>1730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628</v>
      </c>
      <c r="G514" s="1">
        <f>G500+G513</f>
        <v>3140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N506" sqref="N50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0.13229722221876727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0.271186111107655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0.35590833332987781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124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108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453.6</v>
      </c>
      <c r="L513" s="72"/>
      <c r="M513" s="72"/>
      <c r="N513" s="72"/>
      <c r="O513" s="72"/>
      <c r="P513" s="72"/>
      <c r="Q513" s="73">
        <f ca="1">IFERROR(SUM(Q501:Q512),"")</f>
        <v>8.1944444444444306E-2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250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1058.8000000000002</v>
      </c>
      <c r="L514" s="76"/>
      <c r="M514" s="76"/>
      <c r="N514" s="76"/>
      <c r="O514" s="76"/>
      <c r="P514" s="76"/>
      <c r="Q514" s="77">
        <f ca="1">IFERROR(Q500+Q513,"")</f>
        <v>0.17361111111111094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N506" sqref="N506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/>
      <c r="Q506" s="66">
        <f t="shared" ca="1" si="125"/>
        <v>3.1305555530707352E-3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3"/>
        <v>0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3"/>
        <v>0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72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302.39999999999998</v>
      </c>
      <c r="L513" s="72"/>
      <c r="M513" s="72"/>
      <c r="N513" s="72"/>
      <c r="O513" s="72"/>
      <c r="P513" s="72"/>
      <c r="Q513" s="73">
        <f ca="1">IFERROR(SUM(Q501:Q512),"")</f>
        <v>0.1059083333308484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144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608.79999999999995</v>
      </c>
      <c r="L514" s="76"/>
      <c r="M514" s="76"/>
      <c r="N514" s="76"/>
      <c r="O514" s="76"/>
      <c r="P514" s="76"/>
      <c r="Q514" s="77">
        <f ca="1">IFERROR(Q500+Q513,"")</f>
        <v>0.20174166666418183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N505" sqref="N50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397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/>
      <c r="Q505" s="71">
        <f t="shared" ca="1" si="128"/>
        <v>3.1305555530707352E-3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0</v>
      </c>
      <c r="I509" s="90">
        <f>IFERROR(IF($D509="","",VLOOKUP($D509,Cadastro!$C$4:$G$7,5,FALSE())),"")</f>
        <v>0.6</v>
      </c>
      <c r="J509" s="91">
        <f t="shared" si="126"/>
        <v>0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0</v>
      </c>
      <c r="I510" s="90">
        <f>IFERROR(IF($D510="","",VLOOKUP($D510,Cadastro!$C$4:$G$7,5,FALSE())),"")</f>
        <v>0.6</v>
      </c>
      <c r="J510" s="91">
        <f t="shared" si="126"/>
        <v>0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150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9.5491666664181962E-2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352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0.18021388888640349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2026-08-20T10:05:42Z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