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373" documentId="8_{AF585B22-221D-4780-BB9C-493D365A6A02}" xr6:coauthVersionLast="47" xr6:coauthVersionMax="47" xr10:uidLastSave="{95F38D3E-B45F-459D-928B-EB89508CBEC9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<sst xmlns="http://schemas.openxmlformats.org/spreadsheetml/2006/main" count="4929" uniqueCount="293">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</sst>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1881460</v>
      </c>
      <c r="D14" s="8">
        <f>IFERROR('Linha 1'!O298,"")</f>
        <v>623460</v>
      </c>
      <c r="E14" s="8">
        <f>IFERROR('Linha 2'!O298,"")</f>
        <v>303720</v>
      </c>
      <c r="F14" s="8">
        <f>IFERROR('Linha 3'!O298,"")</f>
        <v>787000</v>
      </c>
      <c r="G14" s="9">
        <f t="shared" si="0"/>
        <v>1714180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31457540</v>
      </c>
      <c r="D35" s="13">
        <f>IFERROR(SUM(D4:D34),"")</f>
        <v>11098620</v>
      </c>
      <c r="E35" s="13">
        <f>IFERROR(SUM(E4:E34),"")</f>
        <v>7720770</v>
      </c>
      <c r="F35" s="13">
        <f>IFERROR(SUM(F4:F34),"")</f>
        <v>14380110</v>
      </c>
      <c r="G35" s="13">
        <f>IFERROR(SUM(G4:G34),"")</f>
        <v>33199500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68" activePane="bottomLeft" state="frozen"/>
      <selection pane="bottomLeft" activeCell="F293" sqref="F29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216</v>
      </c>
      <c r="O284" s="39">
        <v>1881460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226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213</v>
      </c>
      <c r="F286" s="27">
        <v>24</v>
      </c>
      <c r="G286" s="28">
        <f t="shared" si="63"/>
        <v>120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213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213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213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213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214</v>
      </c>
      <c r="G297" s="36">
        <f>SUM(G285:G296)</f>
        <v>1070</v>
      </c>
      <c r="H297" s="37"/>
      <c r="I297" s="37"/>
      <c r="J297" s="37"/>
      <c r="K297" s="37"/>
      <c r="L297" s="37"/>
      <c r="M297" s="38">
        <f ca="1">IFERROR(SUM(M285:M296),"")</f>
        <v>2.5694444444444464E-2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530</v>
      </c>
      <c r="G298" s="40">
        <f>G284+G297</f>
        <v>2650</v>
      </c>
      <c r="H298" s="41"/>
      <c r="I298" s="41"/>
      <c r="J298" s="41"/>
      <c r="K298" s="41"/>
      <c r="L298" s="41"/>
      <c r="M298" s="42">
        <f ca="1">IFERROR(M284+M297,"")</f>
        <v>4.7222222222222276E-2</v>
      </c>
      <c r="N298" s="40" t="s">
        <v>219</v>
      </c>
      <c r="O298" s="48">
        <f>IFERROR(O284+O297,"")</f>
        <v>1881460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68" activePane="bottomLeft" state="frozen"/>
      <selection pane="bottomLeft" activeCell="L290" sqref="L29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244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245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247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242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250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251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216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8</v>
      </c>
      <c r="G289" s="34">
        <f t="shared" si="63"/>
        <v>40</v>
      </c>
      <c r="H289" s="33"/>
      <c r="I289" s="33" t="s">
        <v>31</v>
      </c>
      <c r="J289" s="33"/>
      <c r="K289" s="29">
        <v>6.7361111111111108E-2</v>
      </c>
      <c r="L289" s="29">
        <v>0.11805555555555555</v>
      </c>
      <c r="M289" s="35">
        <f t="shared" ca="1" si="64"/>
        <v>5.0694444444444445E-2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27</v>
      </c>
      <c r="G290" s="28">
        <f t="shared" si="63"/>
        <v>113.4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115</v>
      </c>
      <c r="G297" s="36">
        <f>SUM(G285:G296)</f>
        <v>489.4</v>
      </c>
      <c r="H297" s="37"/>
      <c r="I297" s="37"/>
      <c r="J297" s="37"/>
      <c r="K297" s="37"/>
      <c r="L297" s="37"/>
      <c r="M297" s="38">
        <f ca="1">IFERROR(SUM(M285:M296),"")</f>
        <v>9.8611111111111094E-2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298</v>
      </c>
      <c r="G298" s="40">
        <f>G284+G297</f>
        <v>1258</v>
      </c>
      <c r="H298" s="41"/>
      <c r="I298" s="41"/>
      <c r="J298" s="41"/>
      <c r="K298" s="41"/>
      <c r="L298" s="41"/>
      <c r="M298" s="42">
        <f ca="1">IFERROR(M284+M297,"")</f>
        <v>0.25624999999999992</v>
      </c>
      <c r="N298" s="40" t="s">
        <v>219</v>
      </c>
      <c r="O298" s="84">
        <f>IFERROR(O284+O297,"")</f>
        <v>623460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273" zoomScale="50" zoomScaleNormal="50" workbookViewId="0">
      <selection activeCell="F292" sqref="F29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261</v>
      </c>
      <c r="N166" s="27" t="s">
        <v>262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263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264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265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/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216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266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267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11</v>
      </c>
      <c r="G291" s="34">
        <f t="shared" si="63"/>
        <v>46.2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72</v>
      </c>
      <c r="G297" s="36">
        <f>SUM(G285:G296)</f>
        <v>302.40000000000003</v>
      </c>
      <c r="H297" s="37"/>
      <c r="I297" s="37"/>
      <c r="J297" s="37"/>
      <c r="K297" s="37"/>
      <c r="L297" s="37"/>
      <c r="M297" s="38">
        <f ca="1">IFERROR(SUM(M285:M296),"")</f>
        <v>8.3333333333333384E-2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72</v>
      </c>
      <c r="G298" s="40">
        <f>G284+G297</f>
        <v>609</v>
      </c>
      <c r="H298" s="41"/>
      <c r="I298" s="41"/>
      <c r="J298" s="41"/>
      <c r="K298" s="41"/>
      <c r="L298" s="41"/>
      <c r="M298" s="42">
        <f ca="1">IFERROR(M284+M297,"")</f>
        <v>0.1388888888888889</v>
      </c>
      <c r="N298" s="40" t="s">
        <v>219</v>
      </c>
      <c r="O298" s="48">
        <f>IFERROR(O284+O297,"")</f>
        <v>303720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62" activePane="bottomLeft" state="frozen"/>
      <selection pane="bottomLeft" activeCell="F292" sqref="F29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272</v>
      </c>
      <c r="L58" s="29">
        <v>0.54097222222222219</v>
      </c>
      <c r="M58" s="30" t="str">
        <f t="shared" ca="1" si="13"/>
        <v/>
      </c>
      <c r="N58" s="27" t="s">
        <v>273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0.87610196759487735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1.075407523150433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1.442768634261544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227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227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227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227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227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216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16</v>
      </c>
      <c r="G288" s="28">
        <f t="shared" si="63"/>
        <v>67.2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17</v>
      </c>
      <c r="G289" s="34">
        <f t="shared" si="63"/>
        <v>85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25</v>
      </c>
      <c r="G290" s="28">
        <f t="shared" si="63"/>
        <v>105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21</v>
      </c>
      <c r="G291" s="34">
        <f t="shared" si="63"/>
        <v>88.2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120</v>
      </c>
      <c r="G297" s="36">
        <f>SUM(G285:G296)</f>
        <v>517.6</v>
      </c>
      <c r="H297" s="37"/>
      <c r="I297" s="37"/>
      <c r="J297" s="37"/>
      <c r="K297" s="61"/>
      <c r="L297" s="61"/>
      <c r="M297" s="38">
        <f ca="1">IFERROR(SUM(M285:M296),"")</f>
        <v>8.2638888888888942E-2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307</v>
      </c>
      <c r="G298" s="40">
        <f>G284+G297</f>
        <v>1303</v>
      </c>
      <c r="H298" s="41"/>
      <c r="I298" s="41"/>
      <c r="J298" s="41"/>
      <c r="K298" s="63"/>
      <c r="L298" s="63"/>
      <c r="M298" s="42">
        <f ca="1">IFERROR(M284+M297,"")</f>
        <v>0.14652777777777776</v>
      </c>
      <c r="N298" s="40" t="s">
        <v>219</v>
      </c>
      <c r="O298" s="48">
        <f>IFERROR(O284+O297,"")</f>
        <v>787000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2026-07-12T07:01:05Z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