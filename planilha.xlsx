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09" documentId="13_ncr:1_{A6DBCFB4-28D9-4249-9038-216934055CA6}" xr6:coauthVersionLast="47" xr6:coauthVersionMax="47" xr10:uidLastSave="{C71E5390-ED7C-451D-BDEA-7A443E1FA59B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<sst xmlns="http://schemas.openxmlformats.org/spreadsheetml/2006/main" count="9898" uniqueCount="423">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</sst>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E34" sqref="E34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 x14ac:dyDescent="0.25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25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25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25">
      <c r="M2" s="16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2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2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25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25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25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25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25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25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25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25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25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25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25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25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25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25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25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25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 x14ac:dyDescent="0.25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25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25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25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25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25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25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25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25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25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25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25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25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25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25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25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25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25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25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25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2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25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25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25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25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25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25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25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25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25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 x14ac:dyDescent="0.25">
      <c r="M60" s="164"/>
      <c r="N60" s="37"/>
      <c r="O60" s="37"/>
      <c r="P60" s="53" t="s">
        <v>114</v>
      </c>
      <c r="Q60" s="37"/>
      <c r="R60" s="37"/>
    </row>
    <row r="61" spans="1:18" ht="15" customHeight="1" x14ac:dyDescent="0.25">
      <c r="M61" s="164"/>
      <c r="N61" s="40"/>
      <c r="O61" s="40"/>
      <c r="P61" s="40" t="s">
        <v>224</v>
      </c>
      <c r="Q61" s="40"/>
      <c r="R61" s="40"/>
    </row>
    <row r="62" spans="1:18" ht="15" customHeight="1" x14ac:dyDescent="0.25">
      <c r="M62" s="164"/>
      <c r="N62" s="37"/>
      <c r="O62" s="37"/>
      <c r="P62" s="37" t="s">
        <v>225</v>
      </c>
      <c r="Q62" s="37"/>
      <c r="R62" s="37"/>
    </row>
    <row r="63" spans="1:18" ht="15" customHeight="1" x14ac:dyDescent="0.25">
      <c r="M63" s="164"/>
      <c r="N63" s="40"/>
      <c r="O63" s="40"/>
      <c r="P63" s="40" t="s">
        <v>226</v>
      </c>
      <c r="Q63" s="40"/>
      <c r="R63" s="40"/>
    </row>
    <row r="64" spans="1:18" ht="15" customHeight="1" x14ac:dyDescent="0.25">
      <c r="M64" s="164"/>
      <c r="N64" s="37"/>
      <c r="O64" s="37"/>
      <c r="P64" s="37" t="s">
        <v>227</v>
      </c>
      <c r="Q64" s="37"/>
      <c r="R64" s="37"/>
    </row>
    <row r="65" spans="13:18" ht="15" customHeight="1" x14ac:dyDescent="0.25">
      <c r="M65" s="164"/>
      <c r="N65" s="40"/>
      <c r="O65" s="40"/>
      <c r="P65" s="40" t="s">
        <v>228</v>
      </c>
      <c r="Q65" s="40"/>
      <c r="R65" s="40"/>
    </row>
    <row r="66" spans="13:18" ht="15" customHeight="1" x14ac:dyDescent="0.25">
      <c r="M66" s="164"/>
      <c r="N66" s="37"/>
      <c r="O66" s="37"/>
      <c r="P66" s="37" t="s">
        <v>229</v>
      </c>
      <c r="Q66" s="37"/>
      <c r="R66" s="37"/>
    </row>
    <row r="67" spans="13:18" ht="15" customHeight="1" x14ac:dyDescent="0.25">
      <c r="M67" s="164"/>
      <c r="N67" s="40"/>
      <c r="O67" s="40"/>
      <c r="P67" s="40" t="s">
        <v>230</v>
      </c>
      <c r="Q67" s="40"/>
      <c r="R67" s="40"/>
    </row>
    <row r="68" spans="13:18" ht="15" customHeight="1" x14ac:dyDescent="0.25">
      <c r="M68" s="164"/>
      <c r="N68" s="37"/>
      <c r="O68" s="37"/>
      <c r="P68" s="37" t="s">
        <v>231</v>
      </c>
      <c r="Q68" s="37"/>
      <c r="R68" s="37"/>
    </row>
    <row r="69" spans="13:18" ht="15" customHeight="1" x14ac:dyDescent="0.25">
      <c r="M69" s="164"/>
      <c r="N69" s="40"/>
      <c r="O69" s="40"/>
      <c r="P69" s="40" t="s">
        <v>232</v>
      </c>
      <c r="Q69" s="40"/>
      <c r="R69" s="40"/>
    </row>
    <row r="70" spans="13:18" ht="15" customHeight="1" x14ac:dyDescent="0.25">
      <c r="M70" s="164"/>
      <c r="N70" s="37"/>
      <c r="O70" s="37"/>
      <c r="P70" s="37" t="s">
        <v>233</v>
      </c>
      <c r="Q70" s="37"/>
      <c r="R70" s="37"/>
    </row>
    <row r="71" spans="13:18" ht="15" customHeight="1" x14ac:dyDescent="0.25">
      <c r="M71" s="164"/>
      <c r="N71" s="40"/>
      <c r="O71" s="40"/>
      <c r="P71" s="40" t="s">
        <v>234</v>
      </c>
      <c r="Q71" s="40"/>
      <c r="R71" s="40"/>
    </row>
    <row r="72" spans="13:18" ht="15" customHeight="1" x14ac:dyDescent="0.25">
      <c r="M72" s="164"/>
      <c r="N72" s="37"/>
      <c r="O72" s="37"/>
      <c r="P72" s="37" t="s">
        <v>235</v>
      </c>
      <c r="Q72" s="37"/>
      <c r="R72" s="37"/>
    </row>
    <row r="73" spans="13:18" ht="15" customHeight="1" x14ac:dyDescent="0.25">
      <c r="M73" s="164"/>
      <c r="N73" s="40"/>
      <c r="O73" s="40"/>
      <c r="P73" s="40" t="s">
        <v>236</v>
      </c>
      <c r="Q73" s="40"/>
      <c r="R73" s="40"/>
    </row>
    <row r="74" spans="13:18" ht="15" customHeight="1" x14ac:dyDescent="0.25">
      <c r="M74" s="164"/>
      <c r="N74" s="37"/>
      <c r="O74" s="37"/>
      <c r="P74" s="37" t="s">
        <v>237</v>
      </c>
      <c r="Q74" s="37"/>
      <c r="R74" s="37"/>
    </row>
    <row r="75" spans="13:18" ht="15" customHeight="1" x14ac:dyDescent="0.25">
      <c r="M75" s="164"/>
      <c r="N75" s="40"/>
      <c r="O75" s="40"/>
      <c r="P75" s="40" t="s">
        <v>238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 x14ac:dyDescent="0.25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25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25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25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25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25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25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25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25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25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25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25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25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25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25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25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25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25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25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25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25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25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25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25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25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25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25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25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25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25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25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25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25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25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25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25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25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25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25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25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25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25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25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25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25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25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25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25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25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25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25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25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25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25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25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25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25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25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25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25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25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25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25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25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25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25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25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25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25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25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25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25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25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25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25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25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25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25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25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25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25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25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25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25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25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25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25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25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25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25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25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25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25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87" sqref="F587"/>
    </sheetView>
  </sheetViews>
  <sheetFormatPr defaultColWidth="8.5703125" defaultRowHeight="15" x14ac:dyDescent="0.2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 x14ac:dyDescent="0.2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25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25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 x14ac:dyDescent="0.25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25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 x14ac:dyDescent="0.2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25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 x14ac:dyDescent="0.25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 x14ac:dyDescent="0.2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25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25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 x14ac:dyDescent="0.25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25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25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 x14ac:dyDescent="0.25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25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25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 x14ac:dyDescent="0.25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 x14ac:dyDescent="0.25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25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25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 x14ac:dyDescent="0.25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25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25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 x14ac:dyDescent="0.25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25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25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 x14ac:dyDescent="0.25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25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 x14ac:dyDescent="0.25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2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25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25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25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25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25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25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25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25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25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25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25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 x14ac:dyDescent="0.25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2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25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25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25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25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 x14ac:dyDescent="0.25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25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25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25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25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25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25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2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25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25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25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25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25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25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25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25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25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25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25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 x14ac:dyDescent="0.25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2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2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2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 x14ac:dyDescent="0.2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2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2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2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2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2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2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2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25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2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2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2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2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2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2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2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2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2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2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2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25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 x14ac:dyDescent="0.25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2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2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 x14ac:dyDescent="0.2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2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2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2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2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 x14ac:dyDescent="0.2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2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2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2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25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2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2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2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2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2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2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2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2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2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2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2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25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 x14ac:dyDescent="0.25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2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2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2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2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2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2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2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2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2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2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2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25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2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2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2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2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2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2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2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2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2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2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2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25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 x14ac:dyDescent="0.25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2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2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2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2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2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2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2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2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2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2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2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25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 x14ac:dyDescent="0.2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2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2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2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2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2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2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2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2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2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2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25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 x14ac:dyDescent="0.25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2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2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2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2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2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2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2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2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2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2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2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25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2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 x14ac:dyDescent="0.2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 x14ac:dyDescent="0.2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2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2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2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2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2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2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2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2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25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 x14ac:dyDescent="0.25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2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2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2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2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2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2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2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2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2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2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2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25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 x14ac:dyDescent="0.2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 x14ac:dyDescent="0.2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2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2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2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 x14ac:dyDescent="0.2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 x14ac:dyDescent="0.2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 x14ac:dyDescent="0.2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2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2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2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25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 x14ac:dyDescent="0.25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 x14ac:dyDescent="0.2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2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2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2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2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2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2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2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2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2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2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25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2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2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 x14ac:dyDescent="0.2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2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2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2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2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2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2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2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2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25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 x14ac:dyDescent="0.25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2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 x14ac:dyDescent="0.25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25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25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25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25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25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25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25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25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25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25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25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 x14ac:dyDescent="0.25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25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25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25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25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25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25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25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25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25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25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 x14ac:dyDescent="0.25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25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25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25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25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25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25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25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25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25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25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25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25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 x14ac:dyDescent="0.25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25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25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25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25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25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25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25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25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25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25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25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 x14ac:dyDescent="0.25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 x14ac:dyDescent="0.25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 x14ac:dyDescent="0.25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25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25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25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25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25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25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25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25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25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25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25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 x14ac:dyDescent="0.25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 x14ac:dyDescent="0.25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 x14ac:dyDescent="0.25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25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 x14ac:dyDescent="0.25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25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 x14ac:dyDescent="0.25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25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25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25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25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25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 x14ac:dyDescent="0.25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25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 x14ac:dyDescent="0.25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 x14ac:dyDescent="0.25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25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25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25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25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25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25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25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25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25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25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25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25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25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25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25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25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25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25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25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25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25">
      <c r="A594" s="167" t="s">
        <v>264</v>
      </c>
      <c r="B594" s="167"/>
      <c r="C594" s="167"/>
      <c r="D594" s="167"/>
      <c r="E594" s="167"/>
      <c r="F594" s="2">
        <f>SUM(F582:F593)</f>
        <v>202</v>
      </c>
      <c r="G594" s="2">
        <f>SUM(G582:G593)</f>
        <v>1010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 x14ac:dyDescent="0.25">
      <c r="A595" s="168" t="s">
        <v>250</v>
      </c>
      <c r="B595" s="168"/>
      <c r="C595" s="168"/>
      <c r="D595" s="168"/>
      <c r="E595" s="168"/>
      <c r="F595" s="1">
        <f>F581+F594</f>
        <v>580</v>
      </c>
      <c r="G595" s="1">
        <f>G581+G594</f>
        <v>2900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 x14ac:dyDescent="0.25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25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25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25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25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25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25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25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25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25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25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25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25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 x14ac:dyDescent="0.25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25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25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25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25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25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25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25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25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25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25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25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25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 x14ac:dyDescent="0.25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 x14ac:dyDescent="0.25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25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25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25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25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25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25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25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25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25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25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25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25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 x14ac:dyDescent="0.2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25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25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25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25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25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25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25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25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25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25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25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25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 x14ac:dyDescent="0.25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 x14ac:dyDescent="0.2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25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25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25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25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25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25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25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25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25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25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25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25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 x14ac:dyDescent="0.2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25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25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25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25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25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25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25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25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25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25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25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25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 x14ac:dyDescent="0.25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 x14ac:dyDescent="0.2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25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25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25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25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25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25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25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25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25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25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25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25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 x14ac:dyDescent="0.2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25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25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25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25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25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25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25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25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25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25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25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25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 x14ac:dyDescent="0.25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 x14ac:dyDescent="0.2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25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25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25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25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25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25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25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25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25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25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25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25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 x14ac:dyDescent="0.2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25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25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25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25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25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25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25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25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25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25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25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25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 x14ac:dyDescent="0.25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 x14ac:dyDescent="0.2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25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25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25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25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25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25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25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25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25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25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25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25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 x14ac:dyDescent="0.2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25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25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25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25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25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25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25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25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25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25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25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25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 x14ac:dyDescent="0.25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 x14ac:dyDescent="0.2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25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25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25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25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25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25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25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25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25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25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25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25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 x14ac:dyDescent="0.2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25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25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25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25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25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25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25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25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25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25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25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25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 x14ac:dyDescent="0.25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 x14ac:dyDescent="0.2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25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25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25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25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25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25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25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25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25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25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25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25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 x14ac:dyDescent="0.2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25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25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25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25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25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25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25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25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25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25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25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25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 x14ac:dyDescent="0.25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 x14ac:dyDescent="0.2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25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25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25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25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25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25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25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25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25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25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25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25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 x14ac:dyDescent="0.2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25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25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25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25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25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25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25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25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25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25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25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25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 x14ac:dyDescent="0.25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67" activePane="bottomLeft" state="frozen"/>
      <selection pane="bottomLeft" activeCell="R590" sqref="R590"/>
    </sheetView>
  </sheetViews>
  <sheetFormatPr defaultColWidth="8.5703125" defaultRowHeight="15" x14ac:dyDescent="0.2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25">
      <c r="A14" s="159" t="s">
        <v>261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25">
      <c r="A27" s="159" t="s">
        <v>264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 x14ac:dyDescent="0.25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2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2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2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2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2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2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2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2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2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2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2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25">
      <c r="A41" s="159" t="s">
        <v>261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0.89512407407164574</v>
      </c>
      <c r="R53" s="80" t="s">
        <v>312</v>
      </c>
      <c r="S53" s="67"/>
    </row>
    <row r="54" spans="1:20" ht="15.75" customHeight="1" x14ac:dyDescent="0.25">
      <c r="A54" s="159" t="s">
        <v>264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1.0340129629605335</v>
      </c>
      <c r="R54" s="2" t="s">
        <v>262</v>
      </c>
      <c r="S54" s="113">
        <v>352430</v>
      </c>
      <c r="T54" s="114"/>
    </row>
    <row r="55" spans="1:20" ht="18" customHeight="1" x14ac:dyDescent="0.25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1.1187351851827563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2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2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2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2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2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2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2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 x14ac:dyDescent="0.2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2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2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2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35">
      <c r="A68" s="159" t="s">
        <v>261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2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2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2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2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2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2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2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 x14ac:dyDescent="0.2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2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2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2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35">
      <c r="A81" s="159" t="s">
        <v>264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 x14ac:dyDescent="0.25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35">
      <c r="A95" s="159" t="s">
        <v>261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35">
      <c r="A108" s="159" t="s">
        <v>264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 x14ac:dyDescent="0.25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35">
      <c r="A122" s="159" t="s">
        <v>261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35">
      <c r="A135" s="159" t="s">
        <v>264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 x14ac:dyDescent="0.25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35">
      <c r="A149" s="159" t="s">
        <v>261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35">
      <c r="A162" s="159" t="s">
        <v>264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 x14ac:dyDescent="0.25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25">
      <c r="A176" s="159" t="s">
        <v>261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25">
      <c r="A189" s="159" t="s">
        <v>264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 x14ac:dyDescent="0.25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25">
      <c r="A203" s="159" t="s">
        <v>261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25">
      <c r="A216" s="159" t="s">
        <v>264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 x14ac:dyDescent="0.25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25">
      <c r="A230" s="159" t="s">
        <v>261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25">
      <c r="A243" s="159" t="s">
        <v>264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 x14ac:dyDescent="0.25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25">
      <c r="A257" s="159" t="s">
        <v>261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25">
      <c r="A270" s="159" t="s">
        <v>264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 x14ac:dyDescent="0.25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25">
      <c r="A284" s="159" t="s">
        <v>261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 x14ac:dyDescent="0.2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25">
      <c r="A297" s="159" t="s">
        <v>264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 x14ac:dyDescent="0.25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25">
      <c r="A311" s="159" t="s">
        <v>261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25">
      <c r="A324" s="159" t="s">
        <v>264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 x14ac:dyDescent="0.25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 x14ac:dyDescent="0.2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2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 x14ac:dyDescent="0.2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 x14ac:dyDescent="0.2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2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 x14ac:dyDescent="0.2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 x14ac:dyDescent="0.2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2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2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2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2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25">
      <c r="A338" s="159" t="s">
        <v>261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25">
      <c r="A351" s="159" t="s">
        <v>264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 x14ac:dyDescent="0.25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25">
      <c r="A365" s="159" t="s">
        <v>261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25">
      <c r="A378" s="159" t="s">
        <v>264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 x14ac:dyDescent="0.25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25">
      <c r="A392" s="159" t="s">
        <v>261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25">
      <c r="A405" s="159" t="s">
        <v>264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 x14ac:dyDescent="0.25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25">
      <c r="A419" s="159" t="s">
        <v>261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25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 x14ac:dyDescent="0.25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25">
      <c r="A446" s="159" t="s">
        <v>261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2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2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2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2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2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 x14ac:dyDescent="0.2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 x14ac:dyDescent="0.2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2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2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2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2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25">
      <c r="A459" s="159" t="s">
        <v>264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 x14ac:dyDescent="0.25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25">
      <c r="A473" s="159" t="s">
        <v>261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25">
      <c r="A486" s="159" t="s">
        <v>264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 x14ac:dyDescent="0.25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 x14ac:dyDescent="0.2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25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25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25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 x14ac:dyDescent="0.25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25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25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25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25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25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25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25">
      <c r="A500" s="159" t="s">
        <v>261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25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 x14ac:dyDescent="0.25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25">
      <c r="A527" s="159" t="s">
        <v>261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25">
      <c r="A540" s="159" t="s">
        <v>264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 x14ac:dyDescent="0.25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25">
      <c r="A554" s="159" t="s">
        <v>261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 x14ac:dyDescent="0.25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25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25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25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25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25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25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25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25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25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25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25">
      <c r="A567" s="159" t="s">
        <v>264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 x14ac:dyDescent="0.25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25">
      <c r="A581" s="159" t="s">
        <v>261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/>
      <c r="Q585" s="71">
        <f t="shared" ca="1" si="152"/>
        <v>1.3740740760113113E-3</v>
      </c>
      <c r="R585" s="80"/>
      <c r="S585" s="81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25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25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25">
      <c r="A594" s="159" t="s">
        <v>264</v>
      </c>
      <c r="B594" s="159"/>
      <c r="C594" s="159"/>
      <c r="D594" s="159"/>
      <c r="E594" s="159"/>
      <c r="F594" s="105"/>
      <c r="G594" s="96">
        <f>SUM(G582:G593)</f>
        <v>44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184.80000000000004</v>
      </c>
      <c r="L594" s="72"/>
      <c r="M594" s="72"/>
      <c r="N594" s="72"/>
      <c r="O594" s="72"/>
      <c r="P594" s="72"/>
      <c r="Q594" s="73">
        <f ca="1">IFERROR(SUM(Q582:Q593),"")</f>
        <v>9.3735185187122538E-2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58" t="s">
        <v>250</v>
      </c>
      <c r="B595" s="158"/>
      <c r="C595" s="158"/>
      <c r="D595" s="158"/>
      <c r="E595" s="158"/>
      <c r="F595" s="108"/>
      <c r="G595" s="109">
        <f>G581+G594</f>
        <v>93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390.6</v>
      </c>
      <c r="L595" s="76"/>
      <c r="M595" s="76"/>
      <c r="N595" s="76"/>
      <c r="O595" s="76"/>
      <c r="P595" s="76"/>
      <c r="Q595" s="77">
        <f ca="1">IFERROR(Q581+Q594,"")</f>
        <v>0.49790185185378916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25">
      <c r="A608" s="159" t="s">
        <v>261</v>
      </c>
      <c r="B608" s="159"/>
      <c r="C608" s="159"/>
      <c r="D608" s="159"/>
      <c r="E608" s="159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25">
      <c r="A621" s="159" t="s">
        <v>264</v>
      </c>
      <c r="B621" s="159"/>
      <c r="C621" s="159"/>
      <c r="D621" s="159"/>
      <c r="E621" s="159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25">
      <c r="A635" s="159" t="s">
        <v>261</v>
      </c>
      <c r="B635" s="159"/>
      <c r="C635" s="159"/>
      <c r="D635" s="159"/>
      <c r="E635" s="159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25">
      <c r="A648" s="159" t="s">
        <v>264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25">
      <c r="A662" s="159" t="s">
        <v>261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25">
      <c r="A675" s="159" t="s">
        <v>264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25">
      <c r="A689" s="159" t="s">
        <v>261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25">
      <c r="A702" s="159" t="s">
        <v>264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25">
      <c r="A716" s="159" t="s">
        <v>261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25">
      <c r="A729" s="159" t="s">
        <v>264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25">
      <c r="A743" s="159" t="s">
        <v>261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25">
      <c r="A756" s="159" t="s">
        <v>264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25">
      <c r="A770" s="159" t="s">
        <v>261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25">
      <c r="A783" s="159" t="s">
        <v>264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25">
      <c r="A797" s="159" t="s">
        <v>261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25">
      <c r="A810" s="159" t="s">
        <v>264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25">
      <c r="A824" s="159" t="s">
        <v>261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25">
      <c r="A837" s="159" t="s">
        <v>264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 x14ac:dyDescent="0.25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86" sqref="G586"/>
    </sheetView>
  </sheetViews>
  <sheetFormatPr defaultColWidth="8.5703125" defaultRowHeight="15" x14ac:dyDescent="0.2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2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25">
      <c r="A14" s="159" t="s">
        <v>261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25">
      <c r="A27" s="159" t="s">
        <v>264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 x14ac:dyDescent="0.25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25">
      <c r="A41" s="159" t="s">
        <v>261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25">
      <c r="A54" s="159" t="s">
        <v>264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 x14ac:dyDescent="0.25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25">
      <c r="A68" s="159" t="s">
        <v>261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25">
      <c r="A81" s="159" t="s">
        <v>264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 x14ac:dyDescent="0.25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25">
      <c r="A95" s="159" t="s">
        <v>261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25">
      <c r="A108" s="159" t="s">
        <v>264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 x14ac:dyDescent="0.25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25">
      <c r="A122" s="159" t="s">
        <v>261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25">
      <c r="A135" s="159" t="s">
        <v>264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 x14ac:dyDescent="0.25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59" t="s">
        <v>261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9" t="s">
        <v>264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 x14ac:dyDescent="0.25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9" t="s">
        <v>261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9" t="s">
        <v>264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 x14ac:dyDescent="0.25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9" t="s">
        <v>261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25">
      <c r="A216" s="159" t="s">
        <v>264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 x14ac:dyDescent="0.25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25">
      <c r="A230" s="159" t="s">
        <v>261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25">
      <c r="A243" s="159" t="s">
        <v>264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 x14ac:dyDescent="0.25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25">
      <c r="A257" s="159" t="s">
        <v>261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2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2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2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2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2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2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2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25">
      <c r="A270" s="159" t="s">
        <v>264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 x14ac:dyDescent="0.25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2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2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2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2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2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2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2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2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2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2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2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25">
      <c r="A284" s="159" t="s">
        <v>261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2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2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2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2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2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2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2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2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2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2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2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25">
      <c r="A297" s="159" t="s">
        <v>264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 x14ac:dyDescent="0.25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2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2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2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2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2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2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2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2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2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2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2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25">
      <c r="A311" s="159" t="s">
        <v>261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2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2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2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2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2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2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2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2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2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2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2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25">
      <c r="A324" s="159" t="s">
        <v>264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 x14ac:dyDescent="0.25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 x14ac:dyDescent="0.2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 x14ac:dyDescent="0.2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2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 x14ac:dyDescent="0.2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2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2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2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2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2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2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2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25">
      <c r="A338" s="159" t="s">
        <v>261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2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2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2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2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2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2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2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2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2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2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2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25">
      <c r="A351" s="159" t="s">
        <v>264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 x14ac:dyDescent="0.25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2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 x14ac:dyDescent="0.2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2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2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2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2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2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2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2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25">
      <c r="A365" s="159" t="s">
        <v>261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2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2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2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2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2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2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2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2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2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2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2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25">
      <c r="A378" s="159" t="s">
        <v>264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 x14ac:dyDescent="0.25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2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2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2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 x14ac:dyDescent="0.2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 x14ac:dyDescent="0.2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2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2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2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2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2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2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25">
      <c r="A392" s="159" t="s">
        <v>261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2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2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2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2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2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2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2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2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2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2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2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25">
      <c r="A405" s="159" t="s">
        <v>264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 x14ac:dyDescent="0.25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2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 x14ac:dyDescent="0.2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2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2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2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2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2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2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2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2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2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25">
      <c r="A419" s="159" t="s">
        <v>261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 x14ac:dyDescent="0.2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2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2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2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2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2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2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2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2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2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2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25">
      <c r="A432" s="159" t="s">
        <v>264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 x14ac:dyDescent="0.25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 x14ac:dyDescent="0.2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2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 x14ac:dyDescent="0.2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2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2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2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2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2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2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2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25">
      <c r="A446" s="159" t="s">
        <v>261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2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2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 x14ac:dyDescent="0.2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2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2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2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2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2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2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2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2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25">
      <c r="A459" s="159" t="s">
        <v>264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 x14ac:dyDescent="0.25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2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2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2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2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2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2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2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2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2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2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2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25">
      <c r="A473" s="159" t="s">
        <v>261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 x14ac:dyDescent="0.2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2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2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 x14ac:dyDescent="0.2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2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2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2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2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2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2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2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25">
      <c r="A486" s="159" t="s">
        <v>264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 x14ac:dyDescent="0.25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2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25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25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25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25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25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25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25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25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 x14ac:dyDescent="0.25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25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25">
      <c r="A500" s="159" t="s">
        <v>261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 x14ac:dyDescent="0.25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25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25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25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 x14ac:dyDescent="0.25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25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25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25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25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25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25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25">
      <c r="A513" s="159" t="s">
        <v>264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 x14ac:dyDescent="0.25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25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25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 x14ac:dyDescent="0.25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25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25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25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25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25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25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25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25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25">
      <c r="A527" s="159" t="s">
        <v>261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25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25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25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 x14ac:dyDescent="0.25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25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 x14ac:dyDescent="0.25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25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25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25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25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25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25">
      <c r="A540" s="159" t="s">
        <v>264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 x14ac:dyDescent="0.25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 x14ac:dyDescent="0.25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25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25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25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25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25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25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25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25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25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25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25">
      <c r="A554" s="159" t="s">
        <v>261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25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25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25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25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 x14ac:dyDescent="0.25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25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25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25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25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 x14ac:dyDescent="0.25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 x14ac:dyDescent="0.25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25">
      <c r="A567" s="159" t="s">
        <v>264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 x14ac:dyDescent="0.25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 x14ac:dyDescent="0.25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 x14ac:dyDescent="0.25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 x14ac:dyDescent="0.25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 x14ac:dyDescent="0.25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 x14ac:dyDescent="0.25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25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25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25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25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25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25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25">
      <c r="A581" s="159" t="s">
        <v>261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 x14ac:dyDescent="0.25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370</v>
      </c>
      <c r="S583" s="81"/>
    </row>
    <row r="584" spans="1:20" ht="15" customHeight="1" x14ac:dyDescent="0.25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25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25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25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25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25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25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25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25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25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25">
      <c r="A594" s="159" t="s">
        <v>264</v>
      </c>
      <c r="B594" s="159"/>
      <c r="C594" s="159"/>
      <c r="D594" s="159"/>
      <c r="E594" s="159"/>
      <c r="F594" s="105"/>
      <c r="G594" s="96">
        <f>SUM(G582:G593)</f>
        <v>20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84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58" t="s">
        <v>250</v>
      </c>
      <c r="B595" s="158"/>
      <c r="C595" s="158"/>
      <c r="D595" s="158"/>
      <c r="E595" s="158"/>
      <c r="F595" s="108"/>
      <c r="G595" s="109">
        <f>G581+G594</f>
        <v>183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777.40000000000009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25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25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25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25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25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25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25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25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25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25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25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25">
      <c r="A608" s="159" t="s">
        <v>261</v>
      </c>
      <c r="B608" s="159"/>
      <c r="C608" s="159"/>
      <c r="D608" s="159"/>
      <c r="E608" s="159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25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25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25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25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25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25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25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25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25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25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25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25">
      <c r="A621" s="159" t="s">
        <v>264</v>
      </c>
      <c r="B621" s="159"/>
      <c r="C621" s="159"/>
      <c r="D621" s="159"/>
      <c r="E621" s="159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25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25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25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25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25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25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25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25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25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25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25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25">
      <c r="A635" s="159" t="s">
        <v>261</v>
      </c>
      <c r="B635" s="159"/>
      <c r="C635" s="159"/>
      <c r="D635" s="159"/>
      <c r="E635" s="159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2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2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2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2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2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2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2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2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2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2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2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25">
      <c r="A648" s="159" t="s">
        <v>264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2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2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2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2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2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2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2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2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2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2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2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25">
      <c r="A662" s="159" t="s">
        <v>261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2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2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2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2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2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2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2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2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2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2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2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25">
      <c r="A675" s="159" t="s">
        <v>264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2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2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2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2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2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2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2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2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2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2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2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25">
      <c r="A689" s="159" t="s">
        <v>261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2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2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2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2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2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2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2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2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2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2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2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25">
      <c r="A702" s="159" t="s">
        <v>264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2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2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2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2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2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2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2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2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2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2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2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25">
      <c r="A716" s="159" t="s">
        <v>261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2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2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2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2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2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2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2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2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2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2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2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25">
      <c r="A729" s="159" t="s">
        <v>264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2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2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2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2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2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2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2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2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2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2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2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25">
      <c r="A743" s="159" t="s">
        <v>261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2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2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2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2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2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2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2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2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2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2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2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25">
      <c r="A756" s="159" t="s">
        <v>264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2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2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2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2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2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2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2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2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2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2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2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25">
      <c r="A770" s="159" t="s">
        <v>261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2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2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2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2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2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2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2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2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2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2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2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25">
      <c r="A783" s="159" t="s">
        <v>264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2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2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2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2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2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2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2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2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2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2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2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25">
      <c r="A797" s="159" t="s">
        <v>261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2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2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2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2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2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2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2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2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2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2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2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25">
      <c r="A810" s="159" t="s">
        <v>264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2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2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2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2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2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2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2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2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2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2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2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25">
      <c r="A824" s="159" t="s">
        <v>261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2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2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2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2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2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2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2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2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2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2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2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25">
      <c r="A837" s="159" t="s">
        <v>264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 x14ac:dyDescent="0.25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L590" sqref="L590"/>
    </sheetView>
  </sheetViews>
  <sheetFormatPr defaultColWidth="8.5703125" defaultRowHeight="15" x14ac:dyDescent="0.2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25">
      <c r="A14" s="159" t="s">
        <v>261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25">
      <c r="A27" s="159" t="s">
        <v>264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 x14ac:dyDescent="0.25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25">
      <c r="A41" s="159" t="s">
        <v>261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25">
      <c r="A54" s="159" t="s">
        <v>264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 x14ac:dyDescent="0.25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25">
      <c r="A68" s="159" t="s">
        <v>261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25">
      <c r="A81" s="159" t="s">
        <v>264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 x14ac:dyDescent="0.25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25">
      <c r="A95" s="159" t="s">
        <v>261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25">
      <c r="A108" s="159" t="s">
        <v>264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 x14ac:dyDescent="0.25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25">
      <c r="A122" s="159" t="s">
        <v>261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2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 x14ac:dyDescent="0.2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2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2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2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2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 x14ac:dyDescent="0.2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2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2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2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2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25">
      <c r="A135" s="159" t="s">
        <v>264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 x14ac:dyDescent="0.25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9" t="s">
        <v>264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 x14ac:dyDescent="0.25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9" t="s">
        <v>261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9" t="s">
        <v>264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 x14ac:dyDescent="0.25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9" t="s">
        <v>261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25">
      <c r="A216" s="159" t="s">
        <v>264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 x14ac:dyDescent="0.25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25">
      <c r="A230" s="159" t="s">
        <v>261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25">
      <c r="A243" s="159" t="s">
        <v>264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 x14ac:dyDescent="0.25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25">
      <c r="A257" s="159" t="s">
        <v>261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25">
      <c r="A270" s="159" t="s">
        <v>264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 x14ac:dyDescent="0.25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25">
      <c r="A284" s="159" t="s">
        <v>261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25">
      <c r="A297" s="159" t="s">
        <v>264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 x14ac:dyDescent="0.25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25">
      <c r="A311" s="159" t="s">
        <v>261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25">
      <c r="A324" s="159" t="s">
        <v>264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 x14ac:dyDescent="0.25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2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2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2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2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2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2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2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2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2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2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2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25">
      <c r="A338" s="159" t="s">
        <v>261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25">
      <c r="A351" s="159" t="s">
        <v>264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 x14ac:dyDescent="0.25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25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25">
      <c r="A378" s="159" t="s">
        <v>264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 x14ac:dyDescent="0.25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25">
      <c r="A392" s="159" t="s">
        <v>261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25">
      <c r="A405" s="159" t="s">
        <v>264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 x14ac:dyDescent="0.25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25">
      <c r="A419" s="159" t="s">
        <v>261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25">
      <c r="A432" s="159" t="s">
        <v>264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 x14ac:dyDescent="0.25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25">
      <c r="A446" s="159" t="s">
        <v>261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 x14ac:dyDescent="0.2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2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2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2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 x14ac:dyDescent="0.2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2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2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2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2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2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2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25">
      <c r="A459" s="159" t="s">
        <v>264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 x14ac:dyDescent="0.25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25">
      <c r="A473" s="159" t="s">
        <v>261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25">
      <c r="A486" s="159" t="s">
        <v>264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 x14ac:dyDescent="0.25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2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2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2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2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2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2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2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2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2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2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2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25">
      <c r="A500" s="159" t="s">
        <v>261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25">
      <c r="A513" s="159" t="s">
        <v>264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 x14ac:dyDescent="0.25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25">
      <c r="A527" s="159" t="s">
        <v>261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 x14ac:dyDescent="0.25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25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25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25">
      <c r="A540" s="159" t="s">
        <v>264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 x14ac:dyDescent="0.25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25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25">
      <c r="A554" s="159" t="s">
        <v>261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 x14ac:dyDescent="0.25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 x14ac:dyDescent="0.25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 x14ac:dyDescent="0.25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25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25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25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 x14ac:dyDescent="0.25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 x14ac:dyDescent="0.25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 x14ac:dyDescent="0.25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25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 x14ac:dyDescent="0.25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 x14ac:dyDescent="0.25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25">
      <c r="A567" s="159" t="s">
        <v>264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 x14ac:dyDescent="0.25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25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25">
      <c r="A581" s="159" t="s">
        <v>261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 x14ac:dyDescent="0.25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25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25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25">
      <c r="A594" s="159" t="s">
        <v>264</v>
      </c>
      <c r="B594" s="159"/>
      <c r="C594" s="159"/>
      <c r="D594" s="159"/>
      <c r="E594" s="159"/>
      <c r="F594" s="105"/>
      <c r="G594" s="96">
        <f>SUM(G582:G593)</f>
        <v>67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281.39999999999998</v>
      </c>
      <c r="L594" s="72"/>
      <c r="M594" s="72"/>
      <c r="N594" s="72"/>
      <c r="O594" s="134"/>
      <c r="P594" s="134"/>
      <c r="Q594" s="73">
        <f ca="1">IFERROR(SUM(Q582:Q593),"")</f>
        <v>5.4166666666666585E-2</v>
      </c>
      <c r="R594" s="2" t="s">
        <v>262</v>
      </c>
      <c r="S594" s="74"/>
      <c r="T594" s="99">
        <f>IFERROR(J594,"")</f>
        <v>0</v>
      </c>
    </row>
    <row r="595" spans="1:20" ht="18" customHeight="1" x14ac:dyDescent="0.25">
      <c r="A595" s="158" t="s">
        <v>250</v>
      </c>
      <c r="B595" s="158"/>
      <c r="C595" s="158"/>
      <c r="D595" s="158"/>
      <c r="E595" s="158"/>
      <c r="F595" s="108"/>
      <c r="G595" s="109">
        <f>G581+G594</f>
        <v>269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1145.8000000000002</v>
      </c>
      <c r="L595" s="76"/>
      <c r="M595" s="76"/>
      <c r="N595" s="76"/>
      <c r="O595" s="135"/>
      <c r="P595" s="135"/>
      <c r="Q595" s="77">
        <f ca="1">IFERROR(Q581+Q594,"")</f>
        <v>0.18819444444444444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25">
      <c r="A608" s="159" t="s">
        <v>261</v>
      </c>
      <c r="B608" s="159"/>
      <c r="C608" s="159"/>
      <c r="D608" s="159"/>
      <c r="E608" s="159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25">
      <c r="A621" s="159" t="s">
        <v>264</v>
      </c>
      <c r="B621" s="159"/>
      <c r="C621" s="159"/>
      <c r="D621" s="159"/>
      <c r="E621" s="159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 x14ac:dyDescent="0.25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25">
      <c r="A635" s="159" t="s">
        <v>261</v>
      </c>
      <c r="B635" s="159"/>
      <c r="C635" s="159"/>
      <c r="D635" s="159"/>
      <c r="E635" s="159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25">
      <c r="A648" s="159" t="s">
        <v>264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 x14ac:dyDescent="0.25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25">
      <c r="A662" s="159" t="s">
        <v>261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25">
      <c r="A675" s="159" t="s">
        <v>264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 x14ac:dyDescent="0.25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25">
      <c r="A689" s="159" t="s">
        <v>261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25">
      <c r="A702" s="159" t="s">
        <v>264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 x14ac:dyDescent="0.25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25">
      <c r="A716" s="159" t="s">
        <v>261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25">
      <c r="A729" s="159" t="s">
        <v>264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 x14ac:dyDescent="0.25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25">
      <c r="A743" s="159" t="s">
        <v>261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25">
      <c r="A756" s="159" t="s">
        <v>264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 x14ac:dyDescent="0.25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25">
      <c r="A770" s="159" t="s">
        <v>261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25">
      <c r="A783" s="159" t="s">
        <v>264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 x14ac:dyDescent="0.25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25">
      <c r="A797" s="159" t="s">
        <v>261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25">
      <c r="A810" s="159" t="s">
        <v>264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 x14ac:dyDescent="0.25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25">
      <c r="A824" s="159" t="s">
        <v>261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25">
      <c r="A837" s="159" t="s">
        <v>264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 x14ac:dyDescent="0.25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infopath/2007/PartnerControls"/>
    <ds:schemaRef ds:uri="http://purl.org/dc/terms/"/>
    <ds:schemaRef ds:uri="http://purl.org/dc/elements/1.1/"/>
    <ds:schemaRef ds:uri="http://www.w3.org/XML/1998/namespace"/>
    <ds:schemaRef ds:uri="http://purl.org/dc/dcmitype/"/>
    <ds:schemaRef ds:uri="http://schemas.openxmlformats.org/package/2006/metadata/core-properties"/>
    <ds:schemaRef ds:uri="771c9ca5-affe-4166-ad8c-7e4536f98f4b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2026-08-23T04:24:10Z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