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45" documentId="8_{AF585B22-221D-4780-BB9C-493D365A6A02}" xr6:coauthVersionLast="47" xr6:coauthVersionMax="47" xr10:uidLastSave="{894BAB82-EBE6-499B-9D8E-7E77843F301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<sst xmlns="http://schemas.openxmlformats.org/spreadsheetml/2006/main" count="3571" uniqueCount="262">
  <si>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</si>
  <si>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</si>
  <si>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</si>
  <si>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</si>
  <si>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</si>
  <si>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</si>
  <si>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</si>
  <si>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</si>
  <si>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</si>
  <si>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</si>
  <si>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</si>
  <si>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</si>
  <si>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</si>
  <si>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</si>
  <si>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</si>
  <si>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</si>
  <si>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</si>
  <si>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</si>
  <si>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</si>
  <si>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</si>
  <si>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</si>
  <si>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</si>
  <si>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</si>
  <si>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</si>
  <si>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</si>
  <si>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</si>
  <si>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</si>
  <si>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</si>
  <si>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</si>
  <si>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</si>
  <si>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</si>
  <si>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</si>
  <si>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</si>
  <si>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</si>
  <si>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</si>
  <si>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</si>
  <si>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</si>
  <si>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</si>
  <si>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</si>
  <si>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</si>
  <si>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</si>
  <si>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</si>
  <si>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</si>
  <si>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</si>
  <si>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</si>
  <si>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</si>
  <si>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</si>
  <si>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</si>
  <si>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</si>
  <si>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</si>
  <si>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</si>
  <si>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</si>
  <si>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</si>
  <si>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</si>
  <si>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</si>
  <si>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</si>
  <si>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</si>
  <si>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</si>
  <si>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</si>
  <si>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</si>
  <si>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</si>
  <si>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</si>
  <si>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</si>
  <si>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</si>
  <si>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</si>
  <si>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</si>
  <si>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</si>
  <si>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</si>
  <si>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</si>
  <si>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</si>
  <si>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</si>
  <si>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</si>
  <si>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</si>
  <si>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</si>
  <si>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</si>
  <si>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</si>
  <si>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</si>
  <si>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</si>
  <si>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</si>
  <si>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</si>
  <si>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</si>
  <si>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</si>
  <si>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</si>
  <si>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</si>
  <si>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</si>
  <si>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</si>
  <si>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</si>
  <si>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</si>
  <si>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</si>
  <si>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</si>
  <si>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</si>
  <si>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</si>
  <si>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</si>
  <si>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</si>
  <si>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</si>
  <si>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</si>
  <si>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</si>
  <si>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</si>
  <si>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</si>
  <si>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</si>
  <si>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</si>
  <si>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</si>
  <si>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</si>
  <si>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</si>
  <si>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</si>
  <si>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</si>
  <si>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</si>
  <si>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</si>
  <si>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</si>
  <si>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</si>
  <si>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</si>
  <si>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</si>
  <si>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</si>
  <si>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</si>
  <si>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</si>
  <si>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</si>
  <si>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</si>
  <si>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</si>
  <si>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</si>
  <si>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</si>
  <si>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</si>
  <si>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</si>
  <si>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</si>
  <si>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</si>
  <si>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</si>
  <si>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</si>
  <si>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</si>
  <si>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</si>
  <si>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</si>
  <si>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</si>
  <si>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</si>
  <si>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</si>
  <si>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</si>
  <si>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</si>
  <si>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</si>
  <si>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</si>
  <si>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</si>
  <si>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</si>
  <si>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</si>
  <si>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</si>
  <si>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</si>
  <si>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</si>
  <si>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</si>
  <si>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</si>
  <si>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</si>
  <si>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</si>
  <si>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</si>
  <si>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</si>
  <si>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</si>
  <si>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</si>
  <si>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</si>
  <si>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</si>
  <si>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</si>
  <si>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</si>
  <si>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</si>
  <si>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</si>
  <si>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</si>
  <si>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</si>
  <si>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</si>
  <si>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</si>
  <si>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</si>
  <si>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</si>
  <si>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</si>
  <si>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</si>
  <si>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</si>
  <si>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</si>
  <si>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</si>
  <si>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</si>
  <si>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</si>
  <si>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</si>
  <si>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</si>
  <si>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</si>
  <si>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</si>
  <si>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</si>
  <si>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</si>
  <si>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</si>
  <si>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</si>
  <si>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</si>
  <si>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</si>
  <si>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</si>
  <si>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</si>
  <si>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</si>
  <si>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</si>
  <si>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</si>
  <si>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</si>
  <si>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</si>
  <si>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</si>
  <si>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</si>
  <si>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</si>
  <si>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</si>
  <si>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</si>
  <si>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</si>
  <si>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</si>
  <si>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</si>
  <si>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</si>
  <si>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</si>
  <si>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</si>
  <si>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</si>
  <si>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</si>
  <si>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</si>
  <si>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</si>
  <si>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</si>
  <si>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</si>
  <si>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</si>
  <si>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</si>
  <si>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</si>
  <si>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</si>
  <si>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</si>
  <si>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</si>
  <si>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</si>
  <si>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</si>
  <si>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</si>
  <si>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</si>
  <si>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</si>
  <si>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</si>
  <si>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</si>
  <si>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</si>
  <si>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/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</si>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</sst>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2" sqref="F1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 t="s">
        <v>217</v>
      </c>
      <c r="G192" s="28" t="e">
        <f t="shared" si="42"/>
        <v>#VALUE!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14</v>
      </c>
      <c r="G203" s="36" t="e">
        <f>SUM(G191:G202)</f>
        <v>#VALUE!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14</v>
      </c>
      <c r="G217" s="40" t="e">
        <f>G203+G216</f>
        <v>#VALUE!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2" sqref="F1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/>
      <c r="M191" s="35">
        <f t="shared" ref="M191:M202" ca="1" si="43">IFERROR(IF(K191="","",IF(L191="",MOD(NOW()-K191,1),IF(L191&gt;=K191,L191-K191,L191+1-K191))),"")</f>
        <v>9.9344907430349849E-3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</v>
      </c>
      <c r="G203" s="36">
        <f>SUM(G191:G202)</f>
        <v>21</v>
      </c>
      <c r="H203" s="37"/>
      <c r="I203" s="37"/>
      <c r="J203" s="37"/>
      <c r="K203" s="37"/>
      <c r="L203" s="37"/>
      <c r="M203" s="38">
        <f ca="1">IFERROR(SUM(M191:M202),"")</f>
        <v>9.9344907430349849E-3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</v>
      </c>
      <c r="G217" s="40">
        <f>G203+G216</f>
        <v>21</v>
      </c>
      <c r="H217" s="41"/>
      <c r="I217" s="41"/>
      <c r="J217" s="41"/>
      <c r="K217" s="41"/>
      <c r="L217" s="41"/>
      <c r="M217" s="42">
        <f ca="1">IFERROR(M203+M216,"")</f>
        <v>9.9344907430349849E-3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70" activePane="bottomLeft" state="frozen"/>
      <selection pane="bottomLeft" activeCell="F192" sqref="F1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9.2573379632085562E-2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0.29187893518764119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0.65924004629875221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20</v>
      </c>
      <c r="G203" s="36">
        <f>SUM(G191:G202)</f>
        <v>84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20</v>
      </c>
      <c r="G217" s="40">
        <f>G203+G216</f>
        <v>84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2026-07-08T12:12:41Z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