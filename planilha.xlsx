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920" documentId="8_{AF585B22-221D-4780-BB9C-493D365A6A02}" xr6:coauthVersionLast="47" xr6:coauthVersionMax="47" xr10:uidLastSave="{A18DB1B9-8ED0-4D6B-96B9-59AD7B011F2D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<sst xmlns="http://schemas.openxmlformats.org/spreadsheetml/2006/main" count="5336" uniqueCount="305">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</sst>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2" activePane="bottomLeft" state="frozen"/>
      <selection pane="bottomLeft" activeCell="N321" sqref="N32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34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34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202.79999999999998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420.29999999999995</v>
      </c>
      <c r="G325" s="40">
        <f>G311+G324</f>
        <v>1237.5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3" activePane="bottomLeft" state="frozen"/>
      <selection pane="bottomLeft" activeCell="F321" sqref="F3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69</v>
      </c>
      <c r="G324" s="36">
        <f>SUM(G312:G323)</f>
        <v>289.8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160</v>
      </c>
      <c r="G325" s="40">
        <f>G311+G324</f>
        <v>672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99" zoomScale="50" zoomScaleNormal="50" workbookViewId="0">
      <selection activeCell="K314" sqref="K3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/>
      <c r="I313" s="33"/>
      <c r="J313" s="33"/>
      <c r="K313" s="29">
        <v>0.18194444444444444</v>
      </c>
      <c r="L313" s="29"/>
      <c r="M313" s="35">
        <f t="shared" ca="1" si="70"/>
        <v>5.6354166736127809E-4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84</v>
      </c>
      <c r="G324" s="36">
        <f>SUM(G312:G323)</f>
        <v>352.80000000000007</v>
      </c>
      <c r="H324" s="37"/>
      <c r="I324" s="37"/>
      <c r="J324" s="37"/>
      <c r="K324" s="37"/>
      <c r="L324" s="37"/>
      <c r="M324" s="38">
        <f ca="1">IFERROR(SUM(M312:M323),"")</f>
        <v>1.6535763889583555E-2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153</v>
      </c>
      <c r="G325" s="40">
        <f>G311+G324</f>
        <v>647.40000000000009</v>
      </c>
      <c r="H325" s="41"/>
      <c r="I325" s="41"/>
      <c r="J325" s="41"/>
      <c r="K325" s="41"/>
      <c r="L325" s="41"/>
      <c r="M325" s="42">
        <f ca="1">IFERROR(M311+M324,"")</f>
        <v>0.11584131944513899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98" activePane="bottomLeft" state="frozen"/>
      <selection pane="bottomLeft" activeCell="F321" sqref="F32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283</v>
      </c>
      <c r="L58" s="29">
        <v>0.54097222222222219</v>
      </c>
      <c r="M58" s="30" t="str">
        <f t="shared" ca="1" si="13"/>
        <v/>
      </c>
      <c r="N58" s="27" t="s">
        <v>284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0.93320243055495666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1.1325079861105123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1.4998690972216233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158</v>
      </c>
      <c r="G324" s="36">
        <f>SUM(G312:G323)</f>
        <v>679.6</v>
      </c>
      <c r="H324" s="37"/>
      <c r="I324" s="37"/>
      <c r="J324" s="37"/>
      <c r="K324" s="61"/>
      <c r="L324" s="61"/>
      <c r="M324" s="38">
        <f ca="1">IFERROR(SUM(M312:M323),"")</f>
        <v>0.10486111111111096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188</v>
      </c>
      <c r="G325" s="40">
        <f>G311+G324</f>
        <v>805.6</v>
      </c>
      <c r="H325" s="41"/>
      <c r="I325" s="41"/>
      <c r="J325" s="41"/>
      <c r="K325" s="63"/>
      <c r="L325" s="63"/>
      <c r="M325" s="42">
        <f ca="1">IFERROR(M311+M324,"")</f>
        <v>0.51805555555555549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2026-07-13T08:23:18Z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