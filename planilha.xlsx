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883" documentId="8_{C51EB6CB-002B-4D6B-B68F-DDEBDB4460C0}" xr6:coauthVersionLast="47" xr6:coauthVersionMax="47" xr10:uidLastSave="{F58523C2-14BF-4EE4-B71A-771AFE13A574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<sst xmlns="http://schemas.openxmlformats.org/spreadsheetml/2006/main" count="5675" uniqueCount="337">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</sst>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3" activePane="bottomLeft" state="frozen"/>
      <selection pane="bottomLeft" activeCell="F307" sqref="F307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317</v>
      </c>
      <c r="G311" s="90">
        <f>SUM(G299:G310)</f>
        <v>1585</v>
      </c>
      <c r="H311" s="37"/>
      <c r="I311" s="37"/>
      <c r="J311" s="37"/>
      <c r="K311" s="37"/>
      <c r="L311" s="37"/>
      <c r="M311" s="38">
        <f ca="1">IFERROR(SUM(M299:M310),"")</f>
        <v>1.5277777777777779E-2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317</v>
      </c>
      <c r="G325" s="40">
        <f>G311+G324</f>
        <v>1585</v>
      </c>
      <c r="H325" s="41"/>
      <c r="I325" s="41"/>
      <c r="J325" s="41"/>
      <c r="K325" s="41"/>
      <c r="L325" s="41"/>
      <c r="M325" s="42">
        <f ca="1">IFERROR(M311+M324,"")</f>
        <v>1.5277777777777779E-2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81" activePane="bottomLeft" state="frozen"/>
      <selection pane="bottomLeft" activeCell="K304" sqref="K304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0.51288518518413184</v>
      </c>
      <c r="N53" s="46" t="s">
        <v>267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0.65177407407302068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0.73649629629524305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/>
      <c r="I303" s="33"/>
      <c r="J303" s="33"/>
      <c r="K303" s="29">
        <v>0.63263888888888886</v>
      </c>
      <c r="L303" s="29"/>
      <c r="M303" s="35">
        <f t="shared" ca="1" si="67"/>
        <v>1.7740740731824189E-3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130</v>
      </c>
      <c r="G311" s="36">
        <f>SUM(G299:G310)</f>
        <v>546</v>
      </c>
      <c r="H311" s="37"/>
      <c r="I311" s="37"/>
      <c r="J311" s="37"/>
      <c r="K311" s="37"/>
      <c r="L311" s="37"/>
      <c r="M311" s="38">
        <f ca="1">IFERROR(SUM(M299:M310),"")</f>
        <v>3.1635185184293535E-2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130</v>
      </c>
      <c r="G325" s="40">
        <f>G311+G324</f>
        <v>546</v>
      </c>
      <c r="H325" s="41"/>
      <c r="I325" s="41"/>
      <c r="J325" s="41"/>
      <c r="K325" s="41"/>
      <c r="L325" s="41"/>
      <c r="M325" s="42">
        <f ca="1">IFERROR(M311+M324,"")</f>
        <v>3.1635185184293535E-2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72" zoomScale="68" zoomScaleNormal="68" workbookViewId="0">
      <selection activeCell="F307" sqref="F307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0.43996851851989049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0.50177407407544605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0.56288518518655728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268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>
        <v>6</v>
      </c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85</v>
      </c>
      <c r="G311" s="36">
        <f>SUM(G299:G310)</f>
        <v>331.8</v>
      </c>
      <c r="H311" s="37"/>
      <c r="I311" s="37"/>
      <c r="J311" s="37"/>
      <c r="K311" s="37"/>
      <c r="L311" s="37"/>
      <c r="M311" s="38">
        <f ca="1">IFERROR(SUM(M299:M310),"")</f>
        <v>2.1527777777777868E-2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85</v>
      </c>
      <c r="G325" s="40">
        <f>G311+G324</f>
        <v>331.8</v>
      </c>
      <c r="H325" s="41"/>
      <c r="I325" s="41"/>
      <c r="J325" s="41"/>
      <c r="K325" s="41"/>
      <c r="L325" s="41"/>
      <c r="M325" s="42">
        <f ca="1">IFERROR(M311+M324,"")</f>
        <v>2.1527777777777868E-2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78" activePane="bottomLeft" state="frozen"/>
      <selection pane="bottomLeft" activeCell="F307" sqref="F307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335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336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153</v>
      </c>
      <c r="G311" s="36">
        <f>SUM(G299:G310)</f>
        <v>642.6</v>
      </c>
      <c r="H311" s="37"/>
      <c r="I311" s="37"/>
      <c r="J311" s="37"/>
      <c r="K311" s="61"/>
      <c r="L311" s="61"/>
      <c r="M311" s="38">
        <f ca="1">IFERROR(SUM(M299:M310),"")</f>
        <v>1.5972222222222221E-2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153</v>
      </c>
      <c r="G325" s="40">
        <f>G311+G324</f>
        <v>642.6</v>
      </c>
      <c r="H325" s="41"/>
      <c r="I325" s="41"/>
      <c r="J325" s="41"/>
      <c r="K325" s="63"/>
      <c r="L325" s="63"/>
      <c r="M325" s="42">
        <f ca="1">IFERROR(M311+M324,"")</f>
        <v>1.5972222222222221E-2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2026-08-12T19:16:10Z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