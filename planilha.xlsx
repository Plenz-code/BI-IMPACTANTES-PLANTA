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546" documentId="8_{AF585B22-221D-4780-BB9C-493D365A6A02}" xr6:coauthVersionLast="47" xr6:coauthVersionMax="47" xr10:uidLastSave="{3E5C6E75-B5CE-4E7A-8C84-7FC9774BC60B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<sst xmlns="http://schemas.openxmlformats.org/spreadsheetml/2006/main" count="4234" uniqueCount="279">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</sst>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26323330</v>
      </c>
      <c r="D35" s="13">
        <f>IFERROR(SUM(D4:D34),"")</f>
        <v>9218510</v>
      </c>
      <c r="E35" s="13">
        <f>IFERROR(SUM(E4:E34),"")</f>
        <v>6477270</v>
      </c>
      <c r="F35" s="13">
        <f>IFERROR(SUM(F4:F34),"")</f>
        <v>11510180</v>
      </c>
      <c r="G35" s="13">
        <f>IFERROR(SUM(G4:G34),"")</f>
        <v>27205960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17" sqref="I1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/>
    </row>
    <row r="53" spans="1:13" ht="36" customHeight="1">
      <c r="H53" s="101"/>
      <c r="I53" s="17"/>
      <c r="J53" s="17"/>
      <c r="K53" s="17" t="s">
        <v>193</v>
      </c>
      <c r="L53" s="17"/>
      <c r="M53" s="17"/>
    </row>
    <row r="54" spans="1:13" ht="15" customHeight="1">
      <c r="H54" s="101"/>
      <c r="I54" s="16"/>
      <c r="J54" s="16"/>
      <c r="K54" s="16" t="s">
        <v>194</v>
      </c>
      <c r="L54" s="16"/>
      <c r="M54" s="16"/>
    </row>
    <row r="55" spans="1:13" ht="15" customHeight="1">
      <c r="H55" s="101"/>
      <c r="I55" s="17"/>
      <c r="J55" s="17"/>
      <c r="K55" s="17" t="s">
        <v>195</v>
      </c>
      <c r="L55" s="17"/>
      <c r="M55" s="17"/>
    </row>
    <row r="56" spans="1:13" ht="15" customHeight="1">
      <c r="H56" s="101"/>
      <c r="I56" s="16"/>
      <c r="J56" s="16"/>
      <c r="K56" s="16" t="s">
        <v>196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197</v>
      </c>
      <c r="L58" s="16"/>
      <c r="M58" s="16"/>
    </row>
    <row r="59" spans="1:13" ht="15" customHeight="1">
      <c r="H59" s="101"/>
      <c r="I59" s="17"/>
      <c r="J59" s="17"/>
      <c r="K59" s="17" t="s">
        <v>198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/>
      <c r="L61" s="17"/>
      <c r="M61" s="17"/>
    </row>
    <row r="62" spans="1:13" ht="15" customHeight="1">
      <c r="H62" s="101"/>
      <c r="I62" s="16"/>
      <c r="J62" s="16"/>
      <c r="K62" s="16"/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24" activePane="bottomLeft" state="frozen"/>
      <selection pane="bottomLeft" activeCell="E256" sqref="E25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209</v>
      </c>
      <c r="E2" s="59" t="s">
        <v>210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213</v>
      </c>
      <c r="O27" s="39">
        <v>1183060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213</v>
      </c>
      <c r="O54" s="39">
        <v>959290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213</v>
      </c>
      <c r="O81" s="39">
        <v>878050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210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213</v>
      </c>
      <c r="O108" s="39">
        <v>1700000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195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213</v>
      </c>
      <c r="O135" s="39">
        <v>862330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213</v>
      </c>
      <c r="O162" s="44">
        <v>1546080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213</v>
      </c>
      <c r="O189" s="39">
        <v>2355810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213</v>
      </c>
      <c r="O216" s="45">
        <v>2013260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213</v>
      </c>
      <c r="O243" s="39">
        <v>1545480</v>
      </c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216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/>
      <c r="E245" s="59" t="s">
        <v>210</v>
      </c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/>
      <c r="E246" s="59" t="s">
        <v>210</v>
      </c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/>
      <c r="E247" s="59" t="s">
        <v>210</v>
      </c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/>
      <c r="E248" s="59" t="s">
        <v>210</v>
      </c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/>
      <c r="E249" s="59" t="s">
        <v>210</v>
      </c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/>
      <c r="E250" s="59" t="s">
        <v>210</v>
      </c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/>
      <c r="E251" s="59" t="s">
        <v>210</v>
      </c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/>
      <c r="E252" s="59" t="s">
        <v>210</v>
      </c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/>
      <c r="E253" s="59" t="s">
        <v>210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/>
      <c r="E254" s="59" t="s">
        <v>210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/>
      <c r="E255" s="59" t="s">
        <v>210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/>
      <c r="E256" s="59" t="s">
        <v>210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39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224" activePane="bottomLeft" state="frozen"/>
      <selection pane="bottomLeft" activeCell="E247" sqref="E24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222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222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213</v>
      </c>
      <c r="O27" s="78">
        <v>393200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222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213</v>
      </c>
      <c r="O54" s="85">
        <v>276360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222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213</v>
      </c>
      <c r="O81" s="54">
        <v>787860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213</v>
      </c>
      <c r="O108" s="54">
        <v>1087080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233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234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194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194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213</v>
      </c>
      <c r="O135" s="54">
        <v>794480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194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236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222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222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222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222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222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222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222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222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213</v>
      </c>
      <c r="O162" s="54">
        <v>882280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222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222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222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222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222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222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222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222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222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213</v>
      </c>
      <c r="O189" s="78"/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222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222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239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222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240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222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222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222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222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222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222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213</v>
      </c>
      <c r="O216" s="78">
        <v>648410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222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222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242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222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222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222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222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222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222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222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222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222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222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222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222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237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222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222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222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222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222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213</v>
      </c>
      <c r="O243" s="78">
        <v>849060</v>
      </c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216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222</v>
      </c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222</v>
      </c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222</v>
      </c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213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78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216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78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78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78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78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78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78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78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78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78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78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78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78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78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78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78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78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78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30" zoomScale="50" zoomScaleNormal="50" workbookViewId="0">
      <selection activeCell="I277" sqref="I27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245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213</v>
      </c>
      <c r="O27" s="39">
        <v>308500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246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213</v>
      </c>
      <c r="O54" s="39">
        <v>124290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247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248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213</v>
      </c>
      <c r="O81" s="39">
        <v>396340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249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213</v>
      </c>
      <c r="O108" s="39">
        <v>41230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213</v>
      </c>
      <c r="O135" s="39">
        <v>381250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222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222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222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222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222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222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222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222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222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213</v>
      </c>
      <c r="O162" s="39">
        <v>337120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222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222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252</v>
      </c>
      <c r="N166" s="27" t="s">
        <v>253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222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222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222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222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222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222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222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222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222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222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222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222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222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222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222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222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222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222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222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222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213</v>
      </c>
      <c r="O189" s="39">
        <v>747210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222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222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254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222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222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222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222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222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222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222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222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222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222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222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222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222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222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222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222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222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213</v>
      </c>
      <c r="O216" s="39">
        <v>468430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222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222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222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222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222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222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222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222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222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222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222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222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210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222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222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222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222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222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222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222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222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213</v>
      </c>
      <c r="O243" s="39">
        <v>575930</v>
      </c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216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39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29" activePane="bottomLeft" state="frozen"/>
      <selection pane="bottomLeft" activeCell="O244" sqref="O24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255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222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248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256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213</v>
      </c>
      <c r="O27" s="39">
        <v>202230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257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258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222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222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213</v>
      </c>
      <c r="O54" s="39">
        <v>473910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259</v>
      </c>
      <c r="L58" s="29">
        <v>0.54097222222222219</v>
      </c>
      <c r="M58" s="30" t="str">
        <f t="shared" ca="1" si="13"/>
        <v/>
      </c>
      <c r="N58" s="27" t="s">
        <v>260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222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261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262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263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264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222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213</v>
      </c>
      <c r="O81" s="39">
        <v>565120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265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194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213</v>
      </c>
      <c r="O108" s="39">
        <v>558590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194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266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267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196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268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4.0613773147924803E-2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235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0.23991932870348043</v>
      </c>
      <c r="N135" s="36" t="s">
        <v>213</v>
      </c>
      <c r="O135" s="39">
        <v>729290</v>
      </c>
    </row>
    <row r="136" spans="1:18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0.60728043981459146</v>
      </c>
      <c r="N136" s="40" t="s">
        <v>216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269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222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222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222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222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222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222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222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222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222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222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213</v>
      </c>
      <c r="O162" s="39">
        <v>697320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222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222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222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222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271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222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222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222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222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222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222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222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222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222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222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222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222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222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222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222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222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222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213</v>
      </c>
      <c r="O189" s="39">
        <v>973580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222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222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222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272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222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273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222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222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222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222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222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222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222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274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222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222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222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222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222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222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222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222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222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213</v>
      </c>
      <c r="O216" s="45">
        <v>1060630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222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275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222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222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276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222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222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222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222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222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277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222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222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222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222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278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222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222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222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222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222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222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222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213</v>
      </c>
      <c r="O243" s="39">
        <v>982340</v>
      </c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216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213</v>
      </c>
      <c r="O432" s="39"/>
    </row>
    <row r="433" spans="1:17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2026-07-10T10:57:30Z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