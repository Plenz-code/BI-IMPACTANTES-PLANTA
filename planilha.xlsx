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8" documentId="13_ncr:1_{A6DBCFB4-28D9-4249-9038-216934055CA6}" xr6:coauthVersionLast="47" xr6:coauthVersionMax="47" xr10:uidLastSave="{83894EA5-DAE2-4984-8C84-5627295FCF5E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<sst xmlns="http://schemas.openxmlformats.org/spreadsheetml/2006/main" count="10060" uniqueCount="428">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</sst>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0.12724502314813435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0.12724502314813435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0.12724502314813435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0.29738391203136416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0.43627280092025189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0.5209950231424747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D598" sqref="D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55</v>
      </c>
      <c r="E598" s="87" t="s">
        <v>276</v>
      </c>
      <c r="F598" s="88">
        <f>IFERROR(IF($D598="","",VLOOKUP($D598,Cadastro!$C$4:$E$7,3,FALSE())),"")</f>
        <v>0.13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0.55000000000000004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55</v>
      </c>
      <c r="E599" s="87" t="s">
        <v>276</v>
      </c>
      <c r="F599" s="88">
        <f>IFERROR(IF($D599="","",VLOOKUP($D599,Cadastro!$C$4:$E$7,3,FALSE())),"")</f>
        <v>0.13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0.55000000000000004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55</v>
      </c>
      <c r="E600" s="87" t="s">
        <v>276</v>
      </c>
      <c r="F600" s="88">
        <f>IFERROR(IF($D600="","",VLOOKUP($D600,Cadastro!$C$4:$E$7,3,FALSE())),"")</f>
        <v>0.13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0.55000000000000004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55</v>
      </c>
      <c r="E601" s="87" t="s">
        <v>276</v>
      </c>
      <c r="F601" s="88">
        <f>IFERROR(IF($D601="","",VLOOKUP($D601,Cadastro!$C$4:$E$7,3,FALSE())),"")</f>
        <v>0.13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0.55000000000000004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55</v>
      </c>
      <c r="E602" s="87" t="s">
        <v>276</v>
      </c>
      <c r="F602" s="88">
        <f>IFERROR(IF($D602="","",VLOOKUP($D602,Cadastro!$C$4:$E$7,3,FALSE())),"")</f>
        <v>0.13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0.55000000000000004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55</v>
      </c>
      <c r="E603" s="87" t="s">
        <v>276</v>
      </c>
      <c r="F603" s="88">
        <f>IFERROR(IF($D603="","",VLOOKUP($D603,Cadastro!$C$4:$E$7,3,FALSE())),"")</f>
        <v>0.13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0.55000000000000004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55</v>
      </c>
      <c r="E604" s="87" t="s">
        <v>276</v>
      </c>
      <c r="F604" s="88">
        <f>IFERROR(IF($D604="","",VLOOKUP($D604,Cadastro!$C$4:$E$7,3,FALSE())),"")</f>
        <v>0.13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0.55000000000000004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55</v>
      </c>
      <c r="E605" s="87" t="s">
        <v>276</v>
      </c>
      <c r="F605" s="88">
        <f>IFERROR(IF($D605="","",VLOOKUP($D605,Cadastro!$C$4:$E$7,3,FALSE())),"")</f>
        <v>0.13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0.55000000000000004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55</v>
      </c>
      <c r="E606" s="87" t="s">
        <v>276</v>
      </c>
      <c r="F606" s="88">
        <f>IFERROR(IF($D606="","",VLOOKUP($D606,Cadastro!$C$4:$E$7,3,FALSE())),"")</f>
        <v>0.13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0.55000000000000004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55</v>
      </c>
      <c r="E607" s="87" t="s">
        <v>276</v>
      </c>
      <c r="F607" s="92">
        <f>IFERROR(IF($D607="","",VLOOKUP($D607,Cadastro!$C$4:$E$7,3,FALSE())),"")</f>
        <v>0.13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0.55000000000000004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93" activePane="bottomLeft" state="frozen"/>
      <selection pane="bottomLeft" activeCell="D602" sqref="D60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55</v>
      </c>
      <c r="E598" s="87" t="s">
        <v>276</v>
      </c>
      <c r="F598" s="88">
        <f>IFERROR(IF($D598="","",VLOOKUP($D598,Cadastro!$C$4:$E$7,3,FALSE())),"")</f>
        <v>0.13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0.55000000000000004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55</v>
      </c>
      <c r="E599" s="87" t="s">
        <v>276</v>
      </c>
      <c r="F599" s="88">
        <f>IFERROR(IF($D599="","",VLOOKUP($D599,Cadastro!$C$4:$E$7,3,FALSE())),"")</f>
        <v>0.13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0.55000000000000004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55</v>
      </c>
      <c r="E600" s="87" t="s">
        <v>276</v>
      </c>
      <c r="F600" s="88">
        <f>IFERROR(IF($D600="","",VLOOKUP($D600,Cadastro!$C$4:$E$7,3,FALSE())),"")</f>
        <v>0.13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0.55000000000000004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55</v>
      </c>
      <c r="E601" s="87" t="s">
        <v>276</v>
      </c>
      <c r="F601" s="88">
        <f>IFERROR(IF($D601="","",VLOOKUP($D601,Cadastro!$C$4:$E$7,3,FALSE())),"")</f>
        <v>0.13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0.55000000000000004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55</v>
      </c>
      <c r="E602" s="87" t="s">
        <v>276</v>
      </c>
      <c r="F602" s="88">
        <f>IFERROR(IF($D602="","",VLOOKUP($D602,Cadastro!$C$4:$E$7,3,FALSE())),"")</f>
        <v>0.13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0.55000000000000004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