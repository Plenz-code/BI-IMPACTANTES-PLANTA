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43" documentId="13_ncr:1_{A6DBCFB4-28D9-4249-9038-216934055CA6}" xr6:coauthVersionLast="47" xr6:coauthVersionMax="47" xr10:uidLastSave="{524812C6-F61F-4AEB-9DE7-F3A74E324626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<sst xmlns="http://schemas.openxmlformats.org/spreadsheetml/2006/main" count="8842" uniqueCount="400">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</sst>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26" sqref="F52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173</v>
      </c>
      <c r="G527" s="2">
        <f>SUM(G515:G526)</f>
        <v>818.6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173</v>
      </c>
      <c r="G541" s="1">
        <f>G527+G540</f>
        <v>818.6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6" sqref="G52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0.63382581018231576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0.77271469907120349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0.8574369212934263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30"/>
        <v>0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0</v>
      </c>
      <c r="I525" s="90">
        <f>IFERROR(IF($D525="","",VLOOKUP($D525,Cadastro!$C$4:$G$7,5,FALSE())),"")</f>
        <v>0.6</v>
      </c>
      <c r="J525" s="91">
        <f t="shared" si="130"/>
        <v>0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166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760.40000000000009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166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760.40000000000009</v>
      </c>
      <c r="L541" s="76"/>
      <c r="M541" s="76"/>
      <c r="N541" s="76"/>
      <c r="O541" s="76"/>
      <c r="P541" s="76"/>
      <c r="Q541" s="77">
        <f ca="1">IFERROR(Q527+Q540,"")</f>
        <v>6.458333333333327E-2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6" sqref="G52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27"/>
        <v>0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27"/>
        <v>0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27"/>
        <v>0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27"/>
        <v>0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0</v>
      </c>
      <c r="I525" s="90">
        <f>IFERROR(IF($D525="","",VLOOKUP($D525,Cadastro!$C$4:$G$7,5,FALSE())),"")</f>
        <v>0.6</v>
      </c>
      <c r="J525" s="91">
        <f t="shared" si="127"/>
        <v>0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339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75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339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91" activePane="bottomLeft" state="frozen"/>
      <selection pane="bottomLeft" activeCell="G526" sqref="G52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30"/>
        <v>0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0</v>
      </c>
      <c r="I525" s="90">
        <f>IFERROR(IF($D525="","",VLOOKUP($D525,Cadastro!$C$4:$G$7,5,FALSE())),"")</f>
        <v>0.6</v>
      </c>
      <c r="J525" s="91">
        <f t="shared" si="130"/>
        <v>0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186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846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186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846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2026-08-20T22:08:05Z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