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35" documentId="13_ncr:1_{0A10D8D4-8450-4366-8075-B53B08E6B7EA}" xr6:coauthVersionLast="47" xr6:coauthVersionMax="47" xr10:uidLastSave="{F8F7D34E-C396-49CE-9C9B-FF58E86E0540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6" i="6" s="1"/>
  <c r="J426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6" i="5" s="1"/>
  <c r="J426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6" i="4" s="1"/>
  <c r="J426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4" i="6" l="1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<sst xmlns="http://schemas.openxmlformats.org/spreadsheetml/2006/main" count="7344" uniqueCount="360">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</sst>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N425" sqref="N425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185</v>
      </c>
      <c r="G432" s="36">
        <f>SUM(G420:G431)</f>
        <v>925</v>
      </c>
      <c r="H432" s="37"/>
      <c r="I432" s="37"/>
      <c r="J432" s="37"/>
      <c r="K432" s="37"/>
      <c r="L432" s="37"/>
      <c r="M432" s="38">
        <f ca="1">IFERROR(SUM(M420:M431),"")</f>
        <v>3.4027777777777782E-2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395</v>
      </c>
      <c r="G433" s="40">
        <f>G419+G432</f>
        <v>1975</v>
      </c>
      <c r="H433" s="41"/>
      <c r="I433" s="41"/>
      <c r="J433" s="41"/>
      <c r="K433" s="41"/>
      <c r="L433" s="41"/>
      <c r="M433" s="42">
        <f ca="1">IFERROR(M419+M432,"")</f>
        <v>0.26666666666666666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7" activePane="bottomLeft" state="frozen"/>
      <selection pane="bottomLeft" activeCell="G427" sqref="G427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0.97773124999366701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1.1166201388825558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1.2013423611047782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71.400000000000006</v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110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462</v>
      </c>
      <c r="L432" s="37"/>
      <c r="M432" s="37"/>
      <c r="N432" s="37"/>
      <c r="O432" s="37"/>
      <c r="P432" s="37"/>
      <c r="Q432" s="38">
        <f ca="1">IFERROR(SUM(Q420:Q431),"")</f>
        <v>6.0416666666666806E-2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257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1079.4000000000001</v>
      </c>
      <c r="L433" s="41"/>
      <c r="M433" s="41"/>
      <c r="N433" s="41"/>
      <c r="O433" s="41"/>
      <c r="P433" s="41"/>
      <c r="Q433" s="42">
        <f ca="1">IFERROR(Q419+Q432,"")</f>
        <v>0.15138888888888904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88" activePane="bottomLeft" state="frozen"/>
      <selection pane="bottomLeft" activeCell="P424" sqref="P424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0"/>
        <v>0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26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109.2</v>
      </c>
      <c r="L432" s="37"/>
      <c r="M432" s="37"/>
      <c r="N432" s="37"/>
      <c r="O432" s="37"/>
      <c r="P432" s="37"/>
      <c r="Q432" s="38">
        <f ca="1">IFERROR(SUM(Q420:Q431),"")</f>
        <v>8.4722222222222282E-2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147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617.40000000000009</v>
      </c>
      <c r="L433" s="41"/>
      <c r="M433" s="41"/>
      <c r="N433" s="41"/>
      <c r="O433" s="41"/>
      <c r="P433" s="41"/>
      <c r="Q433" s="42">
        <f ca="1">IFERROR(Q419+Q432,"")</f>
        <v>0.15763888888888902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G427" sqref="G427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84</v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121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508.20000000000005</v>
      </c>
      <c r="L432" s="37"/>
      <c r="M432" s="37"/>
      <c r="N432" s="37"/>
      <c r="O432" s="61"/>
      <c r="P432" s="61"/>
      <c r="Q432" s="38">
        <f ca="1">IFERROR(SUM(Q420:Q431),"")</f>
        <v>6.9444444444444475E-2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263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1104.6000000000001</v>
      </c>
      <c r="L433" s="41"/>
      <c r="M433" s="41"/>
      <c r="N433" s="41"/>
      <c r="O433" s="63"/>
      <c r="P433" s="63"/>
      <c r="Q433" s="42">
        <f ca="1">IFERROR(Q419+Q432,"")</f>
        <v>0.18472222222222229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2026-08-17T06:23:26Z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