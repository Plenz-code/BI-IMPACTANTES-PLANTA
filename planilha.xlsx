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161" documentId="8_{AF585B22-221D-4780-BB9C-493D365A6A02}" xr6:coauthVersionLast="47" xr6:coauthVersionMax="47" xr10:uidLastSave="{0D436411-CCBD-453C-8FB4-02ABDAF6C2DE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<sst xmlns="http://schemas.openxmlformats.org/spreadsheetml/2006/main" count="9656" uniqueCount="383">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</sst>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70988998</v>
      </c>
      <c r="D35" s="13">
        <f>IFERROR(SUM(D4:D34),"")</f>
        <v>28216440</v>
      </c>
      <c r="E35" s="13">
        <f>IFERROR(SUM(E4:E34),"")</f>
        <v>16084900</v>
      </c>
      <c r="F35" s="13">
        <f>IFERROR(SUM(F4:F34),"")</f>
        <v>30397740</v>
      </c>
      <c r="G35" s="13">
        <f>IFERROR(SUM(G4:G34),"")</f>
        <v>74699080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13" activePane="bottomLeft" state="frozen"/>
      <selection pane="bottomLeft" activeCell="F630" sqref="F63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210</v>
      </c>
      <c r="G635" s="36">
        <f>SUM(G623:G634)</f>
        <v>1050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210</v>
      </c>
      <c r="G649" s="40">
        <f>G635+G648</f>
        <v>1050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13" activePane="bottomLeft" state="frozen"/>
      <selection pane="bottomLeft" activeCell="L625" sqref="L62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0.3416314814821817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0.49927037037107058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0.60899259259329275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0.32010370370699093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0.49093703704032432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0.63607592592921325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35" t="str">
        <f ca="1">IFERROR(IF(K623="","",IF(#REF!="",MOD(NOW()-K623,1),IF(#REF!&gt;=K623,#REF!-K623,#REF!+1-K623))),"")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21">
        <v>0.55138888888888893</v>
      </c>
      <c r="M624" s="30">
        <f ca="1">IFERROR(IF(K624="","",IF(L623="",MOD(NOW()-K624,1),IF(L623&gt;=K624,L623-K624,L623+1-K624))),"")</f>
        <v>0.95833333333333315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/>
      <c r="I625" s="33"/>
      <c r="J625" s="33"/>
      <c r="K625" s="29"/>
      <c r="L625" s="29"/>
      <c r="M625" s="35" t="str">
        <f t="shared" ref="M625:M634" ca="1" si="140">IFERROR(IF(K625="","",IF(L625="",MOD(NOW()-K625,1),IF(L625&gt;=K625,L625-K625,L625+1-K625))),"")</f>
        <v/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58</v>
      </c>
      <c r="G635" s="36">
        <f>SUM(G623:G634)</f>
        <v>243.6</v>
      </c>
      <c r="H635" s="37"/>
      <c r="I635" s="37"/>
      <c r="J635" s="37"/>
      <c r="K635" s="37"/>
      <c r="L635" s="37"/>
      <c r="M635" s="38">
        <f ca="1">IFERROR(SUM(M623:M634),"")</f>
        <v>0.95833333333333315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58</v>
      </c>
      <c r="G649" s="40">
        <f>G635+G648</f>
        <v>243.6</v>
      </c>
      <c r="H649" s="41"/>
      <c r="I649" s="41"/>
      <c r="J649" s="41"/>
      <c r="K649" s="41"/>
      <c r="L649" s="41"/>
      <c r="M649" s="42">
        <f ca="1">IFERROR(M635+M648,"")</f>
        <v>0.95833333333333315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07" zoomScale="50" zoomScaleNormal="50" workbookViewId="0">
      <selection activeCell="F629" sqref="F62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86</v>
      </c>
      <c r="G649" s="40">
        <f>G635+G648</f>
        <v>361.2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07" activePane="bottomLeft" state="frozen"/>
      <selection pane="bottomLeft" activeCell="L625" sqref="L62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0.33190925926464843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0.53121481482020405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0.89857592593131508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81</v>
      </c>
      <c r="G635" s="36">
        <f>SUM(G623:G634)</f>
        <v>340.20000000000005</v>
      </c>
      <c r="H635" s="37"/>
      <c r="I635" s="37"/>
      <c r="J635" s="37"/>
      <c r="K635" s="61"/>
      <c r="L635" s="61"/>
      <c r="M635" s="38">
        <f ca="1">IFERROR(SUM(M623:M634),"")</f>
        <v>9.7222222222223542E-3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81</v>
      </c>
      <c r="G649" s="40">
        <f>G635+G648</f>
        <v>340.20000000000005</v>
      </c>
      <c r="H649" s="41"/>
      <c r="I649" s="41"/>
      <c r="J649" s="41"/>
      <c r="K649" s="63"/>
      <c r="L649" s="63"/>
      <c r="M649" s="42">
        <f ca="1">IFERROR(M635+M648,"")</f>
        <v>9.7222222222223542E-3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2026-07-24T17:59:31Z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