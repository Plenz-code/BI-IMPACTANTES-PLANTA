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59" documentId="13_ncr:1_{0A10D8D4-8450-4366-8075-B53B08E6B7EA}" xr6:coauthVersionLast="47" xr6:coauthVersionMax="47" xr10:uidLastSave="{DBDCB137-9670-4392-B792-4A7CCE662366}"/>
  <bookViews>
    <workbookView xWindow="-120" yWindow="-12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3" i="6"/>
  <c r="J463" i="6" s="1"/>
  <c r="H464" i="6"/>
  <c r="J464" i="6" s="1"/>
  <c r="H465" i="6"/>
  <c r="J465" i="6" s="1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3" i="5"/>
  <c r="J463" i="5" s="1"/>
  <c r="H464" i="5"/>
  <c r="J464" i="5" s="1"/>
  <c r="H465" i="5"/>
  <c r="J465" i="5" s="1"/>
  <c r="H466" i="5"/>
  <c r="J466" i="5" s="1"/>
  <c r="H467" i="5"/>
  <c r="J467" i="5" s="1"/>
  <c r="H468" i="5"/>
  <c r="J468" i="5" s="1"/>
  <c r="H469" i="5"/>
  <c r="J469" i="5" s="1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62" i="6" s="1"/>
  <c r="J46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1" i="5" l="1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<sst xmlns="http://schemas.openxmlformats.org/spreadsheetml/2006/main" count="7911" uniqueCount="374">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</sst>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63" sqref="F463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100</v>
      </c>
      <c r="G473" s="36">
        <f>SUM(G461:G472)</f>
        <v>500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100</v>
      </c>
      <c r="G487" s="40">
        <f>G473+G486</f>
        <v>500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33" activePane="bottomLeft" state="frozen"/>
      <selection pane="bottomLeft" activeCell="P463" sqref="P463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0.29098912036715774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0.42987800925604663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0.51460023147826894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37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155.4</v>
      </c>
      <c r="L473" s="37"/>
      <c r="M473" s="37"/>
      <c r="N473" s="37"/>
      <c r="O473" s="37"/>
      <c r="P473" s="37"/>
      <c r="Q473" s="38">
        <f ca="1">IFERROR(SUM(Q461:Q472),"")</f>
        <v>3.6805555555555536E-2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37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155.4</v>
      </c>
      <c r="L487" s="41"/>
      <c r="M487" s="41"/>
      <c r="N487" s="41"/>
      <c r="O487" s="41"/>
      <c r="P487" s="41"/>
      <c r="Q487" s="42">
        <f ca="1">IFERROR(Q473+Q486,"")</f>
        <v>3.6805555555555536E-2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63" sqref="G46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25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105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25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105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0" activePane="bottomLeft" state="frozen"/>
      <selection pane="bottomLeft" activeCell="G463" sqref="G46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/>
      <c r="Q461" s="35">
        <f t="shared" ref="Q461:Q472" ca="1" si="116">IFERROR(IF(O461="","",IF(P461="",MOD(NOW()-O461,1),IF(P461&gt;=O461,P461-O461,P461+1-O461))),"")</f>
        <v>0.11390578703867504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29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121.80000000000001</v>
      </c>
      <c r="L473" s="37"/>
      <c r="M473" s="37"/>
      <c r="N473" s="37"/>
      <c r="O473" s="61"/>
      <c r="P473" s="61"/>
      <c r="Q473" s="38">
        <f ca="1">IFERROR(SUM(Q461:Q472),"")</f>
        <v>0.11390578703867504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29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121.80000000000001</v>
      </c>
      <c r="L487" s="41"/>
      <c r="M487" s="41"/>
      <c r="N487" s="41"/>
      <c r="O487" s="63"/>
      <c r="P487" s="63"/>
      <c r="Q487" s="42">
        <f ca="1">IFERROR(Q473+Q486,"")</f>
        <v>0.11390578703867504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2026-08-18T13:56:05Z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