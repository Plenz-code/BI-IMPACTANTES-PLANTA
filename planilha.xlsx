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37" documentId="8_{AF585B22-221D-4780-BB9C-493D365A6A02}" xr6:coauthVersionLast="47" xr6:coauthVersionMax="47" xr10:uidLastSave="{D0EEBA4D-4C6D-4FF8-82F1-B63856F398D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<sst xmlns="http://schemas.openxmlformats.org/spreadsheetml/2006/main" count="11123" uniqueCount="412">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</sst>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4" sqref="E7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90</v>
      </c>
      <c r="G743" s="36">
        <f>SUM(G731:G742)</f>
        <v>450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90</v>
      </c>
      <c r="G757" s="40">
        <f>G743+G756</f>
        <v>450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3" activePane="bottomLeft" state="frozen"/>
      <selection pane="bottomLeft" activeCell="K732" sqref="K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0.24718020833097398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0.40481909721986287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0.51454131944208503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0.22565243055578321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0.3964857638891166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0.54162465277800553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>
        <v>0.4861111111111111</v>
      </c>
      <c r="L731" s="29"/>
      <c r="M731" s="35">
        <f t="shared" ref="M731:M742" ca="1" si="163">IFERROR(IF(K731="","",IF(L731="",MOD(NOW()-K731,1),IF(L731&gt;=K731,L731-K731,L731+1-K731))),"")</f>
        <v>6.5243055723840371E-4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54</v>
      </c>
      <c r="G743" s="36">
        <f>SUM(G731:G742)</f>
        <v>226.8</v>
      </c>
      <c r="H743" s="37"/>
      <c r="I743" s="37"/>
      <c r="J743" s="37"/>
      <c r="K743" s="37"/>
      <c r="L743" s="37"/>
      <c r="M743" s="38">
        <f ca="1">IFERROR(SUM(M731:M742),"")</f>
        <v>6.5243055723840371E-4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54</v>
      </c>
      <c r="G757" s="40">
        <f>G743+G756</f>
        <v>226.8</v>
      </c>
      <c r="H757" s="41"/>
      <c r="I757" s="41"/>
      <c r="J757" s="41"/>
      <c r="K757" s="41"/>
      <c r="L757" s="41"/>
      <c r="M757" s="42">
        <f ca="1">IFERROR(M743+M756,"")</f>
        <v>6.5243055723840371E-4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J732" sqref="J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7" sqref="L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0.23745798611344071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0.43676354166899634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0.80412465278010736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47</v>
      </c>
      <c r="G743" s="36">
        <f>SUM(G731:G742)</f>
        <v>197.39999999999998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47</v>
      </c>
      <c r="G757" s="40">
        <f>G743+G756</f>
        <v>197.39999999999998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2026-07-28T15:41:26Z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