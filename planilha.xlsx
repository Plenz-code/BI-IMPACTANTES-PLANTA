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41" documentId="8_{C51EB6CB-002B-4D6B-B68F-DDEBDB4460C0}" xr6:coauthVersionLast="47" xr6:coauthVersionMax="47" xr10:uidLastSave="{81C1E3BE-D068-4892-913B-C99829F33173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<sst xmlns="http://schemas.openxmlformats.org/spreadsheetml/2006/main" count="5306" uniqueCount="331">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</sst>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L276" sqref="L27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96</v>
      </c>
      <c r="G284" s="36">
        <f>SUM(G272:G283)</f>
        <v>480</v>
      </c>
      <c r="H284" s="37"/>
      <c r="I284" s="37"/>
      <c r="J284" s="37"/>
      <c r="K284" s="37"/>
      <c r="L284" s="37"/>
      <c r="M284" s="38">
        <f ca="1">IFERROR(SUM(M272:M283),"")</f>
        <v>0.10208333333333325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96</v>
      </c>
      <c r="G298" s="40">
        <f>G284+G297</f>
        <v>480</v>
      </c>
      <c r="H298" s="41"/>
      <c r="I298" s="41"/>
      <c r="J298" s="41"/>
      <c r="K298" s="41"/>
      <c r="L298" s="41"/>
      <c r="M298" s="42">
        <f ca="1">IFERROR(M284+M297,"")</f>
        <v>0.10208333333333325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55" activePane="bottomLeft" state="frozen"/>
      <selection pane="bottomLeft" activeCell="J278" sqref="J2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0.41092164351721294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0.54981053240610178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0.63453275462832415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1"/>
        <v>1.2500000000000011E-2</v>
      </c>
      <c r="N273" s="46" t="s">
        <v>284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0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1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0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1"/>
        <v>1.7361111111111105E-2</v>
      </c>
      <c r="N275" s="46" t="s">
        <v>285</v>
      </c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0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1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1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1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48</v>
      </c>
      <c r="G284" s="36">
        <f>SUM(G272:G283)</f>
        <v>201.60000000000002</v>
      </c>
      <c r="H284" s="37"/>
      <c r="I284" s="37"/>
      <c r="J284" s="37"/>
      <c r="K284" s="37"/>
      <c r="L284" s="37"/>
      <c r="M284" s="38">
        <f ca="1">IFERROR(SUM(M272:M283),"")</f>
        <v>7.2916666666666574E-2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48</v>
      </c>
      <c r="G298" s="40">
        <f>G284+G297</f>
        <v>201.60000000000002</v>
      </c>
      <c r="H298" s="41"/>
      <c r="I298" s="41"/>
      <c r="J298" s="41"/>
      <c r="K298" s="41"/>
      <c r="L298" s="41"/>
      <c r="M298" s="42">
        <f ca="1">IFERROR(M284+M297,"")</f>
        <v>7.2916666666666574E-2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L276" sqref="L2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295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296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297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299</v>
      </c>
      <c r="M222" s="30" t="str">
        <f t="shared" ca="1" si="49"/>
        <v/>
      </c>
      <c r="N222" s="27" t="s">
        <v>300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301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0.33800497685297159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0.39981053240852715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0.46092164351963832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302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29</v>
      </c>
      <c r="G284" s="36">
        <f>SUM(G272:G283)</f>
        <v>121.80000000000001</v>
      </c>
      <c r="H284" s="37"/>
      <c r="I284" s="37"/>
      <c r="J284" s="37"/>
      <c r="K284" s="37"/>
      <c r="L284" s="37"/>
      <c r="M284" s="38">
        <f ca="1">IFERROR(SUM(M272:M283),"")</f>
        <v>9.3055555555555503E-2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29</v>
      </c>
      <c r="G298" s="40">
        <f>G284+G297</f>
        <v>121.80000000000001</v>
      </c>
      <c r="H298" s="41"/>
      <c r="I298" s="41"/>
      <c r="J298" s="41"/>
      <c r="K298" s="41"/>
      <c r="L298" s="41"/>
      <c r="M298" s="42">
        <f ca="1">IFERROR(M284+M297,"")</f>
        <v>9.3055555555555503E-2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K280" sqref="K28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326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327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293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328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329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330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20</v>
      </c>
      <c r="I279" s="33" t="s">
        <v>57</v>
      </c>
      <c r="J279" s="33" t="s">
        <v>62</v>
      </c>
      <c r="K279" s="29">
        <v>0.48472222222222222</v>
      </c>
      <c r="L279" s="29"/>
      <c r="M279" s="35">
        <f ca="1">IFERROR(IF(K279="","",IF(L279="",MOD(NOW()-K279,1),IF(L279&gt;=K279,L279-K279,L279+1-K279))),"")</f>
        <v>4.7727199074870441E-2</v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64</v>
      </c>
      <c r="G284" s="36">
        <f>SUM(G272:G283)</f>
        <v>268.8</v>
      </c>
      <c r="H284" s="37"/>
      <c r="I284" s="37"/>
      <c r="J284" s="37"/>
      <c r="K284" s="61"/>
      <c r="L284" s="61"/>
      <c r="M284" s="38">
        <f ca="1">IFERROR(SUM(M272:M283),"")</f>
        <v>9.7727199074870374E-2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64</v>
      </c>
      <c r="G298" s="40">
        <f>G284+G297</f>
        <v>268.8</v>
      </c>
      <c r="H298" s="41"/>
      <c r="I298" s="41"/>
      <c r="J298" s="41"/>
      <c r="K298" s="63"/>
      <c r="L298" s="63"/>
      <c r="M298" s="42">
        <f ca="1">IFERROR(M284+M297,"")</f>
        <v>9.7727199074870374E-2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2026-08-11T16:47:06Z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