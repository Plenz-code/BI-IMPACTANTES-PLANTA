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44" documentId="8_{AF585B22-221D-4780-BB9C-493D365A6A02}" xr6:coauthVersionLast="47" xr6:coauthVersionMax="47" xr10:uidLastSave="{4B8C492F-CF2D-485A-8C60-9BD5D9A7CCC3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<sst xmlns="http://schemas.openxmlformats.org/spreadsheetml/2006/main" count="6888" uniqueCount="332">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</sst>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5" sqref="F42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243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244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245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245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223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220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220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220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220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220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220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159</v>
      </c>
      <c r="G432" s="36">
        <f>SUM(G420:G431)</f>
        <v>795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380</v>
      </c>
      <c r="G433" s="40">
        <f>G419+G432</f>
        <v>1900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226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7" activePane="bottomLeft" state="frozen"/>
      <selection pane="bottomLeft" activeCell="F424" sqref="F4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246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246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246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246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246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246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246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246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246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0.76186527777463198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0.91950416666352086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1.0292263888857431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261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278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246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279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246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223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4</v>
      </c>
      <c r="G420" s="28">
        <f t="shared" ref="G420:G431" si="93">IF(F420="","",IF(E420="PC 17",F420*4.2,IF(E420="PC 19",F420*5,"")))</f>
        <v>16.8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246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246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24</v>
      </c>
      <c r="G432" s="36">
        <f>SUM(G420:G431)</f>
        <v>100.8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163</v>
      </c>
      <c r="G433" s="40">
        <f>G419+G432</f>
        <v>697.40000000000009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226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F424" sqref="F42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260</v>
      </c>
      <c r="K141" s="29">
        <v>0.71597222222222223</v>
      </c>
      <c r="L141" s="29" t="s">
        <v>287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289</v>
      </c>
      <c r="N166" s="27" t="s">
        <v>290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246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246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246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246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246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246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246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246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246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246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246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246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246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246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246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246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246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246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246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246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246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246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246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246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246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246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246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>
        <v>507450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246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246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246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246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246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246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246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246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246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223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220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0.96736111111111112</v>
      </c>
      <c r="M420" s="30">
        <f t="shared" ref="M420:M431" ca="1" si="94">IFERROR(IF(K420="","",IF(L420="",MOD(NOW()-K420,1),IF(L420&gt;=K420,L420-K420,L420+1-K420))),"")</f>
        <v>0.15069444444444446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246</v>
      </c>
      <c r="F421" s="27">
        <v>0</v>
      </c>
      <c r="G421" s="34">
        <f t="shared" si="93"/>
        <v>0</v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246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246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246</v>
      </c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246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246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246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246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246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246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13</v>
      </c>
      <c r="G432" s="36">
        <f>SUM(G420:G431)</f>
        <v>57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74</v>
      </c>
      <c r="G433" s="40">
        <f>G419+G432</f>
        <v>317.2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226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18" activePane="bottomLeft" state="frozen"/>
      <selection pane="bottomLeft" activeCell="F424" sqref="F42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246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246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246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304</v>
      </c>
      <c r="L58" s="29">
        <v>0.54097222222222219</v>
      </c>
      <c r="M58" s="30" t="str">
        <f t="shared" ca="1" si="13"/>
        <v/>
      </c>
      <c r="N58" s="27" t="s">
        <v>305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246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246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0.75214305555709871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0.95144861111265433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1.3188097222237654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246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246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246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246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246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246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246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246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246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246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246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246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246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246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246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246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246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246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246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246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246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246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246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246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246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246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246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246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246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246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246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246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246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246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246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246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246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246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246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246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246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246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246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246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255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246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246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246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246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246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246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246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246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246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246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246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246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246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246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246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246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246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246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246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246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246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246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246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246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246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246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246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246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246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246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246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246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246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246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246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246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246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246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246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246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246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246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246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246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246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246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246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246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246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246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246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246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246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246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246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246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246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246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246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246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246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246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246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246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246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246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246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246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246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246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246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246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246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223</v>
      </c>
      <c r="O405" s="39">
        <v>958130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226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246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246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246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246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246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246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246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246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246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223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246</v>
      </c>
      <c r="F420" s="27">
        <v>0</v>
      </c>
      <c r="G420" s="28">
        <f t="shared" ref="G420:G431" si="93">IF(F420="","",IF(E420="PC 17",F420*4.2,IF(E420="PC 19",F420*5,"")))</f>
        <v>0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/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14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0.14444444444444449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128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0.37847222222222227</v>
      </c>
      <c r="N433" s="40" t="s">
        <v>226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2026-07-17T04:02:22Z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