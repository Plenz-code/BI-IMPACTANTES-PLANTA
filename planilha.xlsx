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597" documentId="8_{AF585B22-221D-4780-BB9C-493D365A6A02}" xr6:coauthVersionLast="47" xr6:coauthVersionMax="47" xr10:uidLastSave="{A7C0D724-BCAC-44AB-9A85-CF9B36875F44}"/>
  <bookViews>
    <workbookView xWindow="-110" yWindow="-110" windowWidth="25820" windowHeight="15500" tabRatio="500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<sst xmlns="http://schemas.openxmlformats.org/spreadsheetml/2006/main" count="5915" uniqueCount="314">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</sst>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6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6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6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96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96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96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96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96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96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96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96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96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96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96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96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96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96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96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96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96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96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96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96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96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96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96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96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96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96"/>
      <c r="I54" s="16"/>
      <c r="J54" s="16"/>
      <c r="K54" s="16" t="s">
        <v>196</v>
      </c>
      <c r="L54" s="16"/>
      <c r="M54" s="16"/>
    </row>
    <row r="55" spans="1:13" ht="15" customHeight="1">
      <c r="H55" s="96"/>
      <c r="I55" s="17"/>
      <c r="J55" s="17"/>
      <c r="K55" s="17" t="s">
        <v>197</v>
      </c>
      <c r="L55" s="17"/>
      <c r="M55" s="17"/>
    </row>
    <row r="56" spans="1:13" ht="15" customHeight="1">
      <c r="H56" s="96"/>
      <c r="I56" s="16"/>
      <c r="J56" s="16"/>
      <c r="K56" s="16" t="s">
        <v>198</v>
      </c>
      <c r="L56" s="16"/>
      <c r="M56" s="16"/>
    </row>
    <row r="57" spans="1:13" ht="15" customHeight="1">
      <c r="H57" s="96"/>
      <c r="I57" s="17"/>
      <c r="J57" s="17"/>
      <c r="K57" s="17" t="s">
        <v>50</v>
      </c>
      <c r="L57" s="17"/>
      <c r="M57" s="17"/>
    </row>
    <row r="58" spans="1:13" ht="15" customHeight="1">
      <c r="H58" s="96"/>
      <c r="I58" s="16"/>
      <c r="J58" s="16"/>
      <c r="K58" s="16" t="s">
        <v>199</v>
      </c>
      <c r="L58" s="16"/>
      <c r="M58" s="16"/>
    </row>
    <row r="59" spans="1:13" ht="15" customHeight="1">
      <c r="H59" s="96"/>
      <c r="I59" s="17"/>
      <c r="J59" s="17"/>
      <c r="K59" s="17" t="s">
        <v>200</v>
      </c>
      <c r="L59" s="17"/>
      <c r="M59" s="17"/>
    </row>
    <row r="60" spans="1:13" ht="15" customHeight="1">
      <c r="H60" s="96"/>
      <c r="I60" s="16"/>
      <c r="J60" s="16"/>
      <c r="K60" s="87" t="s">
        <v>105</v>
      </c>
      <c r="L60" s="16"/>
      <c r="M60" s="16"/>
    </row>
    <row r="61" spans="1:13" ht="15" customHeight="1">
      <c r="H61" s="96"/>
      <c r="I61" s="17"/>
      <c r="J61" s="17"/>
      <c r="K61" s="17" t="s">
        <v>201</v>
      </c>
      <c r="L61" s="17"/>
      <c r="M61" s="17"/>
    </row>
    <row r="62" spans="1:13" ht="15" customHeight="1">
      <c r="H62" s="96"/>
      <c r="I62" s="16"/>
      <c r="J62" s="16"/>
      <c r="K62" s="16" t="s">
        <v>202</v>
      </c>
      <c r="L62" s="16"/>
      <c r="M62" s="16"/>
    </row>
    <row r="63" spans="1:13" ht="15" customHeight="1">
      <c r="H63" s="96"/>
      <c r="I63" s="17"/>
      <c r="J63" s="17"/>
      <c r="K63" s="17" t="s">
        <v>203</v>
      </c>
      <c r="L63" s="17"/>
      <c r="M63" s="17"/>
    </row>
    <row r="64" spans="1:13" ht="15" customHeight="1">
      <c r="H64" s="96"/>
      <c r="I64" s="16"/>
      <c r="J64" s="16"/>
      <c r="K64" s="16" t="s">
        <v>204</v>
      </c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53" activePane="bottomLeft" state="frozen"/>
      <selection pane="bottomLeft" activeCell="K353" sqref="K35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218</v>
      </c>
      <c r="B230" s="102"/>
      <c r="C230" s="102"/>
      <c r="D230" s="102"/>
      <c r="E230" s="10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218</v>
      </c>
      <c r="B338" s="102"/>
      <c r="C338" s="102"/>
      <c r="D338" s="102"/>
      <c r="E338" s="103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218</v>
      </c>
      <c r="B365" s="102"/>
      <c r="C365" s="102"/>
      <c r="D365" s="102"/>
      <c r="E365" s="103">
        <f>SUM(E353:E364)</f>
        <v>0</v>
      </c>
      <c r="F365" s="36">
        <f>SUM(F353:F364)</f>
        <v>11</v>
      </c>
      <c r="G365" s="36">
        <f>SUM(G353:G364)</f>
        <v>55</v>
      </c>
      <c r="H365" s="37"/>
      <c r="I365" s="37"/>
      <c r="J365" s="37"/>
      <c r="K365" s="37"/>
      <c r="L365" s="37"/>
      <c r="M365" s="38">
        <f ca="1">IFERROR(SUM(M353:M364),"")</f>
        <v>6.944444444444442E-2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11</v>
      </c>
      <c r="G379" s="40">
        <f>G365+G378</f>
        <v>55</v>
      </c>
      <c r="H379" s="41"/>
      <c r="I379" s="41"/>
      <c r="J379" s="41"/>
      <c r="K379" s="41"/>
      <c r="L379" s="41"/>
      <c r="M379" s="42">
        <f ca="1">IFERROR(M365+M378,"")</f>
        <v>6.944444444444442E-2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52" activePane="bottomLeft" state="frozen"/>
      <selection pane="bottomLeft" activeCell="J352" sqref="J3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218</v>
      </c>
      <c r="B338" s="102"/>
      <c r="C338" s="102"/>
      <c r="D338" s="102"/>
      <c r="E338" s="103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218</v>
      </c>
      <c r="B365" s="102"/>
      <c r="C365" s="102"/>
      <c r="D365" s="102"/>
      <c r="E365" s="103">
        <f>SUM(E353:E364)</f>
        <v>0</v>
      </c>
      <c r="F365" s="36">
        <f>SUM(F353:F364)</f>
        <v>26</v>
      </c>
      <c r="G365" s="36">
        <f>SUM(G353:G364)</f>
        <v>109.2</v>
      </c>
      <c r="H365" s="37"/>
      <c r="I365" s="37"/>
      <c r="J365" s="37"/>
      <c r="K365" s="37"/>
      <c r="L365" s="37"/>
      <c r="M365" s="38">
        <f ca="1">IFERROR(SUM(M353:M364),"")</f>
        <v>6.2499999999999778E-3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26</v>
      </c>
      <c r="G379" s="40">
        <f>G365+G378</f>
        <v>109.2</v>
      </c>
      <c r="H379" s="41"/>
      <c r="I379" s="41"/>
      <c r="J379" s="41"/>
      <c r="K379" s="41"/>
      <c r="L379" s="41"/>
      <c r="M379" s="42">
        <f ca="1">IFERROR(M365+M378,"")</f>
        <v>6.2499999999999778E-3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2" zoomScale="50" zoomScaleNormal="50" workbookViewId="0">
      <selection activeCell="J360" sqref="J3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218</v>
      </c>
      <c r="B230" s="102"/>
      <c r="C230" s="102"/>
      <c r="D230" s="102"/>
      <c r="E230" s="10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218</v>
      </c>
      <c r="B338" s="102"/>
      <c r="C338" s="102"/>
      <c r="D338" s="102"/>
      <c r="E338" s="103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/>
      <c r="M353" s="35">
        <f t="shared" ref="M353:M364" ca="1" si="79">IFERROR(IF(K353="","",IF(L353="",MOD(NOW()-K353,1),IF(L353&gt;=K353,L353-K353,L353+1-K353))),"")</f>
        <v>0.11807280092762085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218</v>
      </c>
      <c r="B365" s="102"/>
      <c r="C365" s="102"/>
      <c r="D365" s="102"/>
      <c r="E365" s="103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0.11807280092762085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0.11807280092762085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52" activePane="bottomLeft" state="frozen"/>
      <selection pane="bottomLeft" activeCell="H353" sqref="H353:H35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0.16043391203857027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0.35973946759412589</v>
      </c>
      <c r="N135" s="36" t="s">
        <v>219</v>
      </c>
      <c r="O135" s="39">
        <v>729290</v>
      </c>
    </row>
    <row r="136" spans="1:18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0.72710057870523692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218</v>
      </c>
      <c r="B230" s="102"/>
      <c r="C230" s="102"/>
      <c r="D230" s="102"/>
      <c r="E230" s="10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218</v>
      </c>
      <c r="B338" s="102"/>
      <c r="C338" s="102"/>
      <c r="D338" s="102"/>
      <c r="E338" s="103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/>
      <c r="M354" s="30">
        <f t="shared" ca="1" si="79"/>
        <v>7.1168981230584905E-4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11</v>
      </c>
      <c r="G365" s="36">
        <f>SUM(G353:G364)</f>
        <v>46.2</v>
      </c>
      <c r="H365" s="37"/>
      <c r="I365" s="37"/>
      <c r="J365" s="37"/>
      <c r="K365" s="61"/>
      <c r="L365" s="61"/>
      <c r="M365" s="38">
        <f ca="1">IFERROR(SUM(M353:M364),"")</f>
        <v>6.2672453678614404E-3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11</v>
      </c>
      <c r="G379" s="40">
        <f>G365+G378</f>
        <v>46.2</v>
      </c>
      <c r="H379" s="41"/>
      <c r="I379" s="41"/>
      <c r="J379" s="41"/>
      <c r="K379" s="63"/>
      <c r="L379" s="63"/>
      <c r="M379" s="42">
        <f ca="1">IFERROR(M365+M378,"")</f>
        <v>6.2672453678614404E-3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2026-07-14T13:50:22Z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