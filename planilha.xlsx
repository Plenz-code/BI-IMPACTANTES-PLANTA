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594" documentId="8_{AF585B22-221D-4780-BB9C-493D365A6A02}" xr6:coauthVersionLast="47" xr6:coauthVersionMax="47" xr10:uidLastSave="{64EF142F-C060-43FE-A5B3-E4EB6EA413B5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<sst xmlns="http://schemas.openxmlformats.org/spreadsheetml/2006/main" count="6716" uniqueCount="329">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</sst>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1" activePane="bottomLeft" state="frozen"/>
      <selection pane="bottomLeft" activeCell="F408" sqref="F4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/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28</v>
      </c>
      <c r="G419" s="36">
        <f>SUM(G407:G418)</f>
        <v>140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28</v>
      </c>
      <c r="G433" s="40">
        <f>G419+G432</f>
        <v>140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F407" sqref="F4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9.7779513889690861E-2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0.25541840277857975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0.36514062500080191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/>
      <c r="G407" s="34" t="str">
        <f t="shared" ref="G407:G418" si="90">IF(F407="","",IF(E407="PC 17",F407*4.2,IF(E407="PC 19",F407*5,"")))</f>
        <v/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2.2916666666666641E-2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2.2916666666666641E-2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7" sqref="F4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243</v>
      </c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07" sqref="F40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8.8057523149473127E-2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0.28736307870502875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0.65472418981613978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4</v>
      </c>
      <c r="G407" s="34">
        <f t="shared" ref="G407:G418" si="90">IF(F407="","",IF(E407="PC 17",F407*4.2,IF(E407="PC 19",F407*5,"")))</f>
        <v>16.8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</v>
      </c>
      <c r="G419" s="36">
        <f>SUM(G407:G418)</f>
        <v>16.8</v>
      </c>
      <c r="H419" s="37"/>
      <c r="I419" s="37"/>
      <c r="J419" s="37"/>
      <c r="K419" s="61"/>
      <c r="L419" s="61"/>
      <c r="M419" s="38">
        <f ca="1">IFERROR(SUM(M407:M418),"")</f>
        <v>3.125E-2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</v>
      </c>
      <c r="G433" s="40">
        <f>G419+G432</f>
        <v>16.8</v>
      </c>
      <c r="H433" s="41"/>
      <c r="I433" s="41"/>
      <c r="J433" s="41"/>
      <c r="K433" s="63"/>
      <c r="L433" s="63"/>
      <c r="M433" s="42">
        <f ca="1">IFERROR(M419+M432,"")</f>
        <v>3.125E-2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2026-07-16T12:07:51Z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