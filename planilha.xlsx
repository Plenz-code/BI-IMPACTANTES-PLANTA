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92" documentId="13_ncr:1_{0A10D8D4-8450-4366-8075-B53B08E6B7EA}" xr6:coauthVersionLast="47" xr6:coauthVersionMax="47" xr10:uidLastSave="{B2013F1F-1CA8-4E6A-AEEA-6D934C59EEE2}"/>
  <bookViews>
    <workbookView xWindow="-28920" yWindow="-60" windowWidth="29040" windowHeight="15720" tabRatio="500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13" i="6" l="1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27" i="4"/>
  <c r="J328" i="4"/>
  <c r="J329" i="4"/>
  <c r="J330" i="4"/>
  <c r="J331" i="4"/>
  <c r="J332" i="4"/>
  <c r="J333" i="4"/>
  <c r="J334" i="4"/>
  <c r="J335" i="4"/>
  <c r="J336" i="4"/>
  <c r="J33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27" i="6"/>
  <c r="J327" i="6" s="1"/>
  <c r="H328" i="6"/>
  <c r="J328" i="6" s="1"/>
  <c r="H329" i="6"/>
  <c r="J329" i="6" s="1"/>
  <c r="H330" i="6"/>
  <c r="J330" i="6" s="1"/>
  <c r="H331" i="6"/>
  <c r="J331" i="6" s="1"/>
  <c r="H332" i="6"/>
  <c r="J332" i="6" s="1"/>
  <c r="H333" i="6"/>
  <c r="J333" i="6" s="1"/>
  <c r="H334" i="6"/>
  <c r="J334" i="6" s="1"/>
  <c r="H335" i="6"/>
  <c r="J335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27" i="5"/>
  <c r="J327" i="5" s="1"/>
  <c r="H328" i="5"/>
  <c r="J328" i="5" s="1"/>
  <c r="H329" i="5"/>
  <c r="J329" i="5" s="1"/>
  <c r="H330" i="5"/>
  <c r="J330" i="5" s="1"/>
  <c r="H331" i="5"/>
  <c r="J331" i="5" s="1"/>
  <c r="H332" i="5"/>
  <c r="J332" i="5" s="1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27" i="4"/>
  <c r="H328" i="4"/>
  <c r="H329" i="4"/>
  <c r="H330" i="4"/>
  <c r="H331" i="4"/>
  <c r="H332" i="4"/>
  <c r="H333" i="4"/>
  <c r="H334" i="4"/>
  <c r="H335" i="4"/>
  <c r="H336" i="4"/>
  <c r="H337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H326" i="5" s="1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H326" i="4" s="1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G352" i="6" l="1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<sst xmlns="http://schemas.openxmlformats.org/spreadsheetml/2006/main" count="5860" uniqueCount="333">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</sst>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29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1:L1048576"/>
    </sheetView>
  </sheetViews>
  <sheetFormatPr defaultColWidth="8.5703125" defaultRowHeight="15" x14ac:dyDescent="0.2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customWidth="1"/>
    <col min="9" max="9" width="18.5703125" customWidth="1"/>
    <col min="10" max="10" width="13.28515625" customWidth="1"/>
  </cols>
  <sheetData>
    <row r="1" spans="1:10" ht="31.5" customHeight="1" x14ac:dyDescent="0.25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 x14ac:dyDescent="0.25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 x14ac:dyDescent="0.25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 x14ac:dyDescent="0.25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 x14ac:dyDescent="0.25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 x14ac:dyDescent="0.25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 x14ac:dyDescent="0.25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 x14ac:dyDescent="0.25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 x14ac:dyDescent="0.25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 x14ac:dyDescent="0.25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 x14ac:dyDescent="0.25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 x14ac:dyDescent="0.25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 x14ac:dyDescent="0.25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 x14ac:dyDescent="0.25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 x14ac:dyDescent="0.25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598.29899999999998</v>
      </c>
      <c r="I15" s="96"/>
      <c r="J15" s="129">
        <f t="shared" si="1"/>
        <v>0</v>
      </c>
    </row>
    <row r="16" spans="1:10" ht="15.75" customHeight="1" x14ac:dyDescent="0.25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 x14ac:dyDescent="0.25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 x14ac:dyDescent="0.25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 x14ac:dyDescent="0.25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 x14ac:dyDescent="0.25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 x14ac:dyDescent="0.25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 x14ac:dyDescent="0.25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 x14ac:dyDescent="0.25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 x14ac:dyDescent="0.25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 x14ac:dyDescent="0.25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 x14ac:dyDescent="0.25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 x14ac:dyDescent="0.25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 x14ac:dyDescent="0.25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 x14ac:dyDescent="0.25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 x14ac:dyDescent="0.25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 x14ac:dyDescent="0.25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 x14ac:dyDescent="0.25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 x14ac:dyDescent="0.25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 x14ac:dyDescent="0.25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 x14ac:dyDescent="0.25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598.29899999999998</v>
      </c>
      <c r="I35" s="97">
        <f>IFERROR(SUM(I4:I34),"")</f>
        <v>0</v>
      </c>
      <c r="J35" s="130">
        <f>IFERROR(AVERAGE(J4:J34),"-")</f>
        <v>0</v>
      </c>
    </row>
  </sheetData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 x14ac:dyDescent="0.25">
      <c r="M2" s="162"/>
    </row>
    <row r="3" spans="1:18" ht="25.9" customHeight="1" x14ac:dyDescent="0.25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 x14ac:dyDescent="0.25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 x14ac:dyDescent="0.25">
      <c r="A5" s="17" t="s">
        <v>34</v>
      </c>
      <c r="C5" s="17" t="s">
        <v>35</v>
      </c>
      <c r="E5" s="93">
        <v>0.23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 x14ac:dyDescent="0.25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 x14ac:dyDescent="0.25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 x14ac:dyDescent="0.25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 x14ac:dyDescent="0.25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 x14ac:dyDescent="0.25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 x14ac:dyDescent="0.25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 x14ac:dyDescent="0.25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 x14ac:dyDescent="0.25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 x14ac:dyDescent="0.25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 x14ac:dyDescent="0.25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 x14ac:dyDescent="0.25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 x14ac:dyDescent="0.25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 x14ac:dyDescent="0.25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 x14ac:dyDescent="0.25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 x14ac:dyDescent="0.25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 x14ac:dyDescent="0.25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 x14ac:dyDescent="0.25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 x14ac:dyDescent="0.25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 x14ac:dyDescent="0.25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 x14ac:dyDescent="0.25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 x14ac:dyDescent="0.25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 x14ac:dyDescent="0.25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 x14ac:dyDescent="0.25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 x14ac:dyDescent="0.25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 x14ac:dyDescent="0.25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 x14ac:dyDescent="0.25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 x14ac:dyDescent="0.25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 x14ac:dyDescent="0.25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 x14ac:dyDescent="0.25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 x14ac:dyDescent="0.25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 x14ac:dyDescent="0.25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 x14ac:dyDescent="0.25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 x14ac:dyDescent="0.25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 x14ac:dyDescent="0.25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 x14ac:dyDescent="0.25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 x14ac:dyDescent="0.25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 x14ac:dyDescent="0.25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 x14ac:dyDescent="0.25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 x14ac:dyDescent="0.25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 x14ac:dyDescent="0.25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 x14ac:dyDescent="0.25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 x14ac:dyDescent="0.25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 x14ac:dyDescent="0.25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 x14ac:dyDescent="0.25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 x14ac:dyDescent="0.25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 x14ac:dyDescent="0.25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 x14ac:dyDescent="0.25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 x14ac:dyDescent="0.25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 x14ac:dyDescent="0.25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 x14ac:dyDescent="0.25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 x14ac:dyDescent="0.25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 x14ac:dyDescent="0.25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 x14ac:dyDescent="0.25">
      <c r="M58" s="162"/>
      <c r="N58" s="16"/>
      <c r="O58" s="16"/>
      <c r="P58" s="16" t="s">
        <v>214</v>
      </c>
      <c r="Q58" s="16"/>
      <c r="R58" s="16"/>
    </row>
    <row r="59" spans="1:18" ht="15" customHeight="1" x14ac:dyDescent="0.25">
      <c r="M59" s="162"/>
      <c r="N59" s="17"/>
      <c r="O59" s="17"/>
      <c r="P59" s="17" t="s">
        <v>215</v>
      </c>
      <c r="Q59" s="17"/>
      <c r="R59" s="17"/>
    </row>
    <row r="60" spans="1:18" ht="15" customHeight="1" x14ac:dyDescent="0.25">
      <c r="M60" s="162"/>
      <c r="N60" s="16"/>
      <c r="O60" s="16"/>
      <c r="P60" s="77" t="s">
        <v>110</v>
      </c>
      <c r="Q60" s="16"/>
      <c r="R60" s="16"/>
    </row>
    <row r="61" spans="1:18" ht="15" customHeight="1" x14ac:dyDescent="0.25">
      <c r="M61" s="162"/>
      <c r="N61" s="17"/>
      <c r="O61" s="17"/>
      <c r="P61" s="17" t="s">
        <v>216</v>
      </c>
      <c r="Q61" s="17"/>
      <c r="R61" s="17"/>
    </row>
    <row r="62" spans="1:18" ht="15" customHeight="1" x14ac:dyDescent="0.25">
      <c r="M62" s="162"/>
      <c r="N62" s="16"/>
      <c r="O62" s="16"/>
      <c r="P62" s="16" t="s">
        <v>217</v>
      </c>
      <c r="Q62" s="16"/>
      <c r="R62" s="16"/>
    </row>
    <row r="63" spans="1:18" ht="15" customHeight="1" x14ac:dyDescent="0.25">
      <c r="M63" s="162"/>
      <c r="N63" s="17"/>
      <c r="O63" s="17"/>
      <c r="P63" s="17" t="s">
        <v>218</v>
      </c>
      <c r="Q63" s="17"/>
      <c r="R63" s="17"/>
    </row>
    <row r="64" spans="1:18" ht="15" customHeight="1" x14ac:dyDescent="0.25">
      <c r="M64" s="162"/>
      <c r="N64" s="16"/>
      <c r="O64" s="16"/>
      <c r="P64" s="16" t="s">
        <v>219</v>
      </c>
      <c r="Q64" s="16"/>
      <c r="R64" s="16"/>
    </row>
    <row r="65" spans="13:18" ht="15" customHeight="1" x14ac:dyDescent="0.25">
      <c r="M65" s="162"/>
      <c r="N65" s="17"/>
      <c r="O65" s="17"/>
      <c r="P65" s="17" t="s">
        <v>220</v>
      </c>
      <c r="Q65" s="17"/>
      <c r="R65" s="17"/>
    </row>
    <row r="66" spans="13:18" ht="15" customHeight="1" x14ac:dyDescent="0.25">
      <c r="M66" s="162"/>
      <c r="N66" s="16"/>
      <c r="O66" s="16"/>
      <c r="P66" s="16" t="s">
        <v>221</v>
      </c>
      <c r="Q66" s="16"/>
      <c r="R66" s="16"/>
    </row>
    <row r="67" spans="13:18" ht="15" customHeight="1" x14ac:dyDescent="0.25">
      <c r="M67" s="162"/>
      <c r="N67" s="17"/>
      <c r="O67" s="17"/>
      <c r="P67" s="17" t="s">
        <v>222</v>
      </c>
      <c r="Q67" s="17"/>
      <c r="R67" s="17"/>
    </row>
    <row r="68" spans="13:18" ht="15" customHeight="1" x14ac:dyDescent="0.25">
      <c r="M68" s="162"/>
      <c r="N68" s="16"/>
      <c r="O68" s="16"/>
      <c r="P68" s="16" t="s">
        <v>223</v>
      </c>
      <c r="Q68" s="16"/>
      <c r="R68" s="16"/>
    </row>
    <row r="69" spans="13:18" ht="15" customHeight="1" x14ac:dyDescent="0.25">
      <c r="M69" s="162"/>
      <c r="N69" s="17"/>
      <c r="O69" s="17"/>
      <c r="P69" s="17" t="s">
        <v>224</v>
      </c>
      <c r="Q69" s="17"/>
      <c r="R69" s="17"/>
    </row>
    <row r="70" spans="13:18" ht="15" customHeight="1" x14ac:dyDescent="0.25">
      <c r="M70" s="162"/>
      <c r="N70" s="16"/>
      <c r="O70" s="16"/>
      <c r="P70" s="16" t="s">
        <v>225</v>
      </c>
      <c r="Q70" s="16"/>
      <c r="R70" s="16"/>
    </row>
    <row r="71" spans="13:18" ht="15" customHeight="1" x14ac:dyDescent="0.25">
      <c r="M71" s="162"/>
      <c r="N71" s="17"/>
      <c r="O71" s="17"/>
      <c r="P71" s="17" t="s">
        <v>226</v>
      </c>
      <c r="Q71" s="17"/>
      <c r="R71" s="17"/>
    </row>
    <row r="72" spans="13:18" ht="15" customHeight="1" x14ac:dyDescent="0.25">
      <c r="M72" s="162"/>
      <c r="N72" s="16"/>
      <c r="O72" s="16"/>
      <c r="P72" s="16" t="s">
        <v>227</v>
      </c>
      <c r="Q72" s="16"/>
      <c r="R72" s="16"/>
    </row>
    <row r="73" spans="13:18" ht="15" customHeight="1" x14ac:dyDescent="0.25">
      <c r="M73" s="162"/>
      <c r="N73" s="17"/>
      <c r="O73" s="17"/>
      <c r="P73" s="17" t="s">
        <v>228</v>
      </c>
      <c r="Q73" s="17"/>
      <c r="R73" s="17"/>
    </row>
    <row r="74" spans="13:18" ht="15" customHeight="1" x14ac:dyDescent="0.25">
      <c r="M74" s="162"/>
      <c r="N74" s="16"/>
      <c r="O74" s="16"/>
      <c r="P74" s="16" t="s">
        <v>229</v>
      </c>
      <c r="Q74" s="16"/>
      <c r="R74" s="16"/>
    </row>
    <row r="75" spans="13:18" ht="15" customHeight="1" x14ac:dyDescent="0.25">
      <c r="M75" s="162"/>
      <c r="N75" s="17"/>
      <c r="O75" s="17"/>
      <c r="P75" s="17"/>
      <c r="Q75" s="17"/>
      <c r="R75" s="17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J316" sqref="J316"/>
    </sheetView>
  </sheetViews>
  <sheetFormatPr defaultColWidth="8.5703125" defaultRowHeight="15" x14ac:dyDescent="0.2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 x14ac:dyDescent="0.25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 x14ac:dyDescent="0.25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25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25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51" t="s">
        <v>241</v>
      </c>
      <c r="B14" s="152"/>
      <c r="C14" s="152"/>
      <c r="D14" s="152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 x14ac:dyDescent="0.25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25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 x14ac:dyDescent="0.25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51" t="s">
        <v>244</v>
      </c>
      <c r="B27" s="152"/>
      <c r="C27" s="152"/>
      <c r="D27" s="152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 x14ac:dyDescent="0.25">
      <c r="A28" s="153" t="s">
        <v>245</v>
      </c>
      <c r="B28" s="154"/>
      <c r="C28" s="154"/>
      <c r="D28" s="154"/>
      <c r="E28" s="16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 x14ac:dyDescent="0.25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 x14ac:dyDescent="0.25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 x14ac:dyDescent="0.25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51" t="s">
        <v>241</v>
      </c>
      <c r="B41" s="152"/>
      <c r="C41" s="152"/>
      <c r="D41" s="152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 x14ac:dyDescent="0.25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25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25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25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25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25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51" t="s">
        <v>244</v>
      </c>
      <c r="B54" s="152"/>
      <c r="C54" s="152"/>
      <c r="D54" s="152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 x14ac:dyDescent="0.25">
      <c r="A55" s="153" t="s">
        <v>245</v>
      </c>
      <c r="B55" s="154"/>
      <c r="C55" s="154"/>
      <c r="D55" s="154"/>
      <c r="E55" s="16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 x14ac:dyDescent="0.25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25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51" t="s">
        <v>241</v>
      </c>
      <c r="B68" s="152"/>
      <c r="C68" s="152"/>
      <c r="D68" s="152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 x14ac:dyDescent="0.25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 x14ac:dyDescent="0.25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51" t="s">
        <v>244</v>
      </c>
      <c r="B81" s="152"/>
      <c r="C81" s="152"/>
      <c r="D81" s="152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 x14ac:dyDescent="0.25">
      <c r="A82" s="153" t="s">
        <v>245</v>
      </c>
      <c r="B82" s="154"/>
      <c r="C82" s="154"/>
      <c r="D82" s="154"/>
      <c r="E82" s="16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 x14ac:dyDescent="0.25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25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 x14ac:dyDescent="0.25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51" t="s">
        <v>241</v>
      </c>
      <c r="B95" s="152"/>
      <c r="C95" s="152"/>
      <c r="D95" s="152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 x14ac:dyDescent="0.25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 x14ac:dyDescent="0.25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51" t="s">
        <v>244</v>
      </c>
      <c r="B108" s="152"/>
      <c r="C108" s="152"/>
      <c r="D108" s="152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 x14ac:dyDescent="0.25">
      <c r="A109" s="153" t="s">
        <v>245</v>
      </c>
      <c r="B109" s="154"/>
      <c r="C109" s="154"/>
      <c r="D109" s="154"/>
      <c r="E109" s="16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 x14ac:dyDescent="0.25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51" t="s">
        <v>241</v>
      </c>
      <c r="B122" s="152"/>
      <c r="C122" s="152"/>
      <c r="D122" s="152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 x14ac:dyDescent="0.25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51" t="s">
        <v>244</v>
      </c>
      <c r="B135" s="152"/>
      <c r="C135" s="152"/>
      <c r="D135" s="152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 x14ac:dyDescent="0.25">
      <c r="A136" s="153" t="s">
        <v>245</v>
      </c>
      <c r="B136" s="154"/>
      <c r="C136" s="154"/>
      <c r="D136" s="154"/>
      <c r="E136" s="16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 x14ac:dyDescent="0.25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25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25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25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51" t="s">
        <v>241</v>
      </c>
      <c r="B149" s="152"/>
      <c r="C149" s="152"/>
      <c r="D149" s="152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 x14ac:dyDescent="0.25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 x14ac:dyDescent="0.25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25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25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25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51" t="s">
        <v>244</v>
      </c>
      <c r="B162" s="152"/>
      <c r="C162" s="152"/>
      <c r="D162" s="152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 x14ac:dyDescent="0.25">
      <c r="A163" s="153" t="s">
        <v>245</v>
      </c>
      <c r="B163" s="154"/>
      <c r="C163" s="154"/>
      <c r="D163" s="154"/>
      <c r="E163" s="16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 x14ac:dyDescent="0.25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25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51" t="s">
        <v>241</v>
      </c>
      <c r="B176" s="152"/>
      <c r="C176" s="152"/>
      <c r="D176" s="152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 x14ac:dyDescent="0.25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51" t="s">
        <v>244</v>
      </c>
      <c r="B189" s="152"/>
      <c r="C189" s="152"/>
      <c r="D189" s="152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 x14ac:dyDescent="0.25">
      <c r="A190" s="153" t="s">
        <v>245</v>
      </c>
      <c r="B190" s="154"/>
      <c r="C190" s="154"/>
      <c r="D190" s="154"/>
      <c r="E190" s="16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 x14ac:dyDescent="0.25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25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 x14ac:dyDescent="0.25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51" t="s">
        <v>241</v>
      </c>
      <c r="B203" s="152"/>
      <c r="C203" s="152"/>
      <c r="D203" s="152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 x14ac:dyDescent="0.25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51" t="s">
        <v>244</v>
      </c>
      <c r="B216" s="152"/>
      <c r="C216" s="152"/>
      <c r="D216" s="152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 x14ac:dyDescent="0.25">
      <c r="A217" s="153" t="s">
        <v>245</v>
      </c>
      <c r="B217" s="154"/>
      <c r="C217" s="154"/>
      <c r="D217" s="154"/>
      <c r="E217" s="16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 x14ac:dyDescent="0.25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25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 x14ac:dyDescent="0.25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25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25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25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25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25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25">
      <c r="A230" s="155" t="s">
        <v>241</v>
      </c>
      <c r="B230" s="156"/>
      <c r="C230" s="156"/>
      <c r="D230" s="156"/>
      <c r="E230" s="16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 x14ac:dyDescent="0.25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25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25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25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25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25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25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25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25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51" t="s">
        <v>244</v>
      </c>
      <c r="B243" s="152"/>
      <c r="C243" s="152"/>
      <c r="D243" s="152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 x14ac:dyDescent="0.25">
      <c r="A244" s="153" t="s">
        <v>245</v>
      </c>
      <c r="B244" s="154"/>
      <c r="C244" s="154"/>
      <c r="D244" s="154"/>
      <c r="E244" s="16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 x14ac:dyDescent="0.25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25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 x14ac:dyDescent="0.25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 x14ac:dyDescent="0.25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51" t="s">
        <v>241</v>
      </c>
      <c r="B257" s="152"/>
      <c r="C257" s="152"/>
      <c r="D257" s="152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 x14ac:dyDescent="0.25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 x14ac:dyDescent="0.25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 x14ac:dyDescent="0.25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 x14ac:dyDescent="0.25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 x14ac:dyDescent="0.25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 x14ac:dyDescent="0.25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 x14ac:dyDescent="0.25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 x14ac:dyDescent="0.25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 x14ac:dyDescent="0.25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 x14ac:dyDescent="0.25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 x14ac:dyDescent="0.25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 x14ac:dyDescent="0.25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 x14ac:dyDescent="0.25">
      <c r="A270" s="151" t="s">
        <v>244</v>
      </c>
      <c r="B270" s="152"/>
      <c r="C270" s="152"/>
      <c r="D270" s="152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 x14ac:dyDescent="0.25">
      <c r="A271" s="153" t="s">
        <v>245</v>
      </c>
      <c r="B271" s="154"/>
      <c r="C271" s="154"/>
      <c r="D271" s="154"/>
      <c r="E271" s="16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 x14ac:dyDescent="0.25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25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 x14ac:dyDescent="0.25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 x14ac:dyDescent="0.25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 x14ac:dyDescent="0.25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 x14ac:dyDescent="0.25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 x14ac:dyDescent="0.25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 x14ac:dyDescent="0.25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 x14ac:dyDescent="0.25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 x14ac:dyDescent="0.25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 x14ac:dyDescent="0.25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 x14ac:dyDescent="0.25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 x14ac:dyDescent="0.25">
      <c r="A284" s="151" t="s">
        <v>241</v>
      </c>
      <c r="B284" s="152"/>
      <c r="C284" s="152"/>
      <c r="D284" s="152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 x14ac:dyDescent="0.25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 x14ac:dyDescent="0.25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 x14ac:dyDescent="0.25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 x14ac:dyDescent="0.25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 x14ac:dyDescent="0.25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 x14ac:dyDescent="0.25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 x14ac:dyDescent="0.25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 x14ac:dyDescent="0.25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 x14ac:dyDescent="0.25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 x14ac:dyDescent="0.25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 x14ac:dyDescent="0.25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 x14ac:dyDescent="0.25">
      <c r="A297" s="151" t="s">
        <v>244</v>
      </c>
      <c r="B297" s="152"/>
      <c r="C297" s="152"/>
      <c r="D297" s="152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 x14ac:dyDescent="0.25">
      <c r="A298" s="153" t="s">
        <v>245</v>
      </c>
      <c r="B298" s="154"/>
      <c r="C298" s="154"/>
      <c r="D298" s="154"/>
      <c r="E298" s="16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 x14ac:dyDescent="0.25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 x14ac:dyDescent="0.25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 x14ac:dyDescent="0.25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 x14ac:dyDescent="0.25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332</v>
      </c>
      <c r="M302" s="30" t="str">
        <f t="shared" ca="1" si="63"/>
        <v/>
      </c>
      <c r="N302" s="46"/>
      <c r="O302" s="47"/>
    </row>
    <row r="303" spans="1:15" ht="15" customHeight="1" x14ac:dyDescent="0.25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 x14ac:dyDescent="0.25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 x14ac:dyDescent="0.25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 x14ac:dyDescent="0.25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 x14ac:dyDescent="0.25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 x14ac:dyDescent="0.25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 x14ac:dyDescent="0.25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 x14ac:dyDescent="0.25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 x14ac:dyDescent="0.25">
      <c r="A311" s="151" t="s">
        <v>241</v>
      </c>
      <c r="B311" s="152"/>
      <c r="C311" s="152"/>
      <c r="D311" s="152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 x14ac:dyDescent="0.25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 x14ac:dyDescent="0.25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 x14ac:dyDescent="0.25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 x14ac:dyDescent="0.25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 x14ac:dyDescent="0.25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 x14ac:dyDescent="0.25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 x14ac:dyDescent="0.25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 x14ac:dyDescent="0.25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 x14ac:dyDescent="0.25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 x14ac:dyDescent="0.25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 x14ac:dyDescent="0.25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 x14ac:dyDescent="0.25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 x14ac:dyDescent="0.25">
      <c r="A324" s="151" t="s">
        <v>244</v>
      </c>
      <c r="B324" s="152"/>
      <c r="C324" s="152"/>
      <c r="D324" s="152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 x14ac:dyDescent="0.25">
      <c r="A325" s="153" t="s">
        <v>245</v>
      </c>
      <c r="B325" s="154"/>
      <c r="C325" s="154"/>
      <c r="D325" s="154"/>
      <c r="E325" s="168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 x14ac:dyDescent="0.25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68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 x14ac:dyDescent="0.25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/>
      <c r="O328" s="47"/>
    </row>
    <row r="329" spans="1:15" ht="15" customHeight="1" x14ac:dyDescent="0.25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 x14ac:dyDescent="0.25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 x14ac:dyDescent="0.25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/>
      <c r="F331" s="27"/>
      <c r="G331" s="34" t="str">
        <f t="shared" si="67"/>
        <v/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 x14ac:dyDescent="0.25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7"/>
        <v/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 x14ac:dyDescent="0.25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7"/>
        <v/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 x14ac:dyDescent="0.25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 x14ac:dyDescent="0.25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 x14ac:dyDescent="0.25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 x14ac:dyDescent="0.25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 x14ac:dyDescent="0.25">
      <c r="A338" s="151" t="s">
        <v>241</v>
      </c>
      <c r="B338" s="152"/>
      <c r="C338" s="152"/>
      <c r="D338" s="152"/>
      <c r="E338" s="16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242</v>
      </c>
      <c r="O338" s="39"/>
    </row>
    <row r="339" spans="1:15" ht="15" customHeight="1" x14ac:dyDescent="0.25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 x14ac:dyDescent="0.25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 x14ac:dyDescent="0.25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 x14ac:dyDescent="0.25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 x14ac:dyDescent="0.25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 x14ac:dyDescent="0.25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 x14ac:dyDescent="0.25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 x14ac:dyDescent="0.25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 x14ac:dyDescent="0.25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 x14ac:dyDescent="0.25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 x14ac:dyDescent="0.25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 x14ac:dyDescent="0.25">
      <c r="A351" s="151" t="s">
        <v>244</v>
      </c>
      <c r="B351" s="152"/>
      <c r="C351" s="152"/>
      <c r="D351" s="152"/>
      <c r="E351" s="16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 x14ac:dyDescent="0.25">
      <c r="A352" s="153" t="s">
        <v>245</v>
      </c>
      <c r="B352" s="154"/>
      <c r="C352" s="154"/>
      <c r="D352" s="154"/>
      <c r="E352" s="16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246</v>
      </c>
      <c r="O352" s="48">
        <f>IFERROR(O338+O351,"")</f>
        <v>0</v>
      </c>
    </row>
    <row r="353" spans="1:15" ht="15" customHeight="1" x14ac:dyDescent="0.25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 x14ac:dyDescent="0.25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 x14ac:dyDescent="0.25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 x14ac:dyDescent="0.25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 x14ac:dyDescent="0.25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 x14ac:dyDescent="0.25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 x14ac:dyDescent="0.25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 x14ac:dyDescent="0.25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 x14ac:dyDescent="0.25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 x14ac:dyDescent="0.25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 x14ac:dyDescent="0.25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 x14ac:dyDescent="0.25">
      <c r="A365" s="151" t="s">
        <v>241</v>
      </c>
      <c r="B365" s="152"/>
      <c r="C365" s="152"/>
      <c r="D365" s="152"/>
      <c r="E365" s="16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 x14ac:dyDescent="0.25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 x14ac:dyDescent="0.25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 x14ac:dyDescent="0.25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 x14ac:dyDescent="0.25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 x14ac:dyDescent="0.25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 x14ac:dyDescent="0.25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 x14ac:dyDescent="0.25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 x14ac:dyDescent="0.25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 x14ac:dyDescent="0.25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 x14ac:dyDescent="0.25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 x14ac:dyDescent="0.25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 x14ac:dyDescent="0.25">
      <c r="A378" s="151" t="s">
        <v>244</v>
      </c>
      <c r="B378" s="152"/>
      <c r="C378" s="152"/>
      <c r="D378" s="152"/>
      <c r="E378" s="16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 x14ac:dyDescent="0.25">
      <c r="A379" s="153" t="s">
        <v>245</v>
      </c>
      <c r="B379" s="154"/>
      <c r="C379" s="154"/>
      <c r="D379" s="154"/>
      <c r="E379" s="16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 x14ac:dyDescent="0.25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 x14ac:dyDescent="0.25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 x14ac:dyDescent="0.25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 x14ac:dyDescent="0.25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 x14ac:dyDescent="0.25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 x14ac:dyDescent="0.25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 x14ac:dyDescent="0.25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 x14ac:dyDescent="0.25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 x14ac:dyDescent="0.25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 x14ac:dyDescent="0.25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 x14ac:dyDescent="0.25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 x14ac:dyDescent="0.25">
      <c r="A392" s="151" t="s">
        <v>241</v>
      </c>
      <c r="B392" s="152"/>
      <c r="C392" s="152"/>
      <c r="D392" s="152"/>
      <c r="E392" s="16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 x14ac:dyDescent="0.25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 x14ac:dyDescent="0.25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 x14ac:dyDescent="0.25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 x14ac:dyDescent="0.25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 x14ac:dyDescent="0.25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 x14ac:dyDescent="0.25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 x14ac:dyDescent="0.25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 x14ac:dyDescent="0.25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 x14ac:dyDescent="0.25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 x14ac:dyDescent="0.25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 x14ac:dyDescent="0.25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 x14ac:dyDescent="0.25">
      <c r="A405" s="151" t="s">
        <v>244</v>
      </c>
      <c r="B405" s="152"/>
      <c r="C405" s="152"/>
      <c r="D405" s="152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 x14ac:dyDescent="0.25">
      <c r="A406" s="153" t="s">
        <v>245</v>
      </c>
      <c r="B406" s="154"/>
      <c r="C406" s="154"/>
      <c r="D406" s="154"/>
      <c r="E406" s="16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 x14ac:dyDescent="0.25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 x14ac:dyDescent="0.25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 x14ac:dyDescent="0.25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 x14ac:dyDescent="0.25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 x14ac:dyDescent="0.25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 x14ac:dyDescent="0.25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 x14ac:dyDescent="0.25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 x14ac:dyDescent="0.25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 x14ac:dyDescent="0.25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 x14ac:dyDescent="0.25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 x14ac:dyDescent="0.25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 x14ac:dyDescent="0.25">
      <c r="A419" s="151" t="s">
        <v>241</v>
      </c>
      <c r="B419" s="152"/>
      <c r="C419" s="152"/>
      <c r="D419" s="152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 x14ac:dyDescent="0.25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 x14ac:dyDescent="0.25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 x14ac:dyDescent="0.25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 x14ac:dyDescent="0.25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 x14ac:dyDescent="0.25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 x14ac:dyDescent="0.25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 x14ac:dyDescent="0.25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 x14ac:dyDescent="0.25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 x14ac:dyDescent="0.25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 x14ac:dyDescent="0.25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 x14ac:dyDescent="0.25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 x14ac:dyDescent="0.25">
      <c r="A432" s="151" t="s">
        <v>244</v>
      </c>
      <c r="B432" s="152"/>
      <c r="C432" s="152"/>
      <c r="D432" s="152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 x14ac:dyDescent="0.25">
      <c r="A433" s="153" t="s">
        <v>245</v>
      </c>
      <c r="B433" s="154"/>
      <c r="C433" s="154"/>
      <c r="D433" s="154"/>
      <c r="E433" s="16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 x14ac:dyDescent="0.25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 x14ac:dyDescent="0.25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 x14ac:dyDescent="0.25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 x14ac:dyDescent="0.25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 x14ac:dyDescent="0.25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 x14ac:dyDescent="0.25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 x14ac:dyDescent="0.25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 x14ac:dyDescent="0.25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 x14ac:dyDescent="0.25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 x14ac:dyDescent="0.25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 x14ac:dyDescent="0.25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 x14ac:dyDescent="0.25">
      <c r="A446" s="151" t="s">
        <v>241</v>
      </c>
      <c r="B446" s="152"/>
      <c r="C446" s="152"/>
      <c r="D446" s="152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 x14ac:dyDescent="0.25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 x14ac:dyDescent="0.25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 x14ac:dyDescent="0.25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 x14ac:dyDescent="0.25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 x14ac:dyDescent="0.25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 x14ac:dyDescent="0.25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 x14ac:dyDescent="0.25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 x14ac:dyDescent="0.25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 x14ac:dyDescent="0.25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 x14ac:dyDescent="0.25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 x14ac:dyDescent="0.25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 x14ac:dyDescent="0.25">
      <c r="A459" s="151" t="s">
        <v>244</v>
      </c>
      <c r="B459" s="152"/>
      <c r="C459" s="152"/>
      <c r="D459" s="152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 x14ac:dyDescent="0.25">
      <c r="A460" s="153" t="s">
        <v>245</v>
      </c>
      <c r="B460" s="154"/>
      <c r="C460" s="154"/>
      <c r="D460" s="154"/>
      <c r="E460" s="16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 x14ac:dyDescent="0.25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 x14ac:dyDescent="0.25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 x14ac:dyDescent="0.25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 x14ac:dyDescent="0.25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 x14ac:dyDescent="0.25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 x14ac:dyDescent="0.25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 x14ac:dyDescent="0.25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 x14ac:dyDescent="0.25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 x14ac:dyDescent="0.25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 x14ac:dyDescent="0.25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 x14ac:dyDescent="0.25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 x14ac:dyDescent="0.25">
      <c r="A473" s="151" t="s">
        <v>241</v>
      </c>
      <c r="B473" s="152"/>
      <c r="C473" s="152"/>
      <c r="D473" s="152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 x14ac:dyDescent="0.25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 x14ac:dyDescent="0.25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 x14ac:dyDescent="0.25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 x14ac:dyDescent="0.25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 x14ac:dyDescent="0.25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 x14ac:dyDescent="0.25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 x14ac:dyDescent="0.25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 x14ac:dyDescent="0.25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 x14ac:dyDescent="0.25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 x14ac:dyDescent="0.25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 x14ac:dyDescent="0.25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 x14ac:dyDescent="0.25">
      <c r="A486" s="151" t="s">
        <v>244</v>
      </c>
      <c r="B486" s="152"/>
      <c r="C486" s="152"/>
      <c r="D486" s="152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 x14ac:dyDescent="0.25">
      <c r="A487" s="153" t="s">
        <v>245</v>
      </c>
      <c r="B487" s="154"/>
      <c r="C487" s="154"/>
      <c r="D487" s="154"/>
      <c r="E487" s="16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 x14ac:dyDescent="0.25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 x14ac:dyDescent="0.25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 x14ac:dyDescent="0.25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 x14ac:dyDescent="0.25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 x14ac:dyDescent="0.25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 x14ac:dyDescent="0.25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 x14ac:dyDescent="0.25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 x14ac:dyDescent="0.25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 x14ac:dyDescent="0.25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 x14ac:dyDescent="0.25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 x14ac:dyDescent="0.25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 x14ac:dyDescent="0.25">
      <c r="A500" s="151" t="s">
        <v>241</v>
      </c>
      <c r="B500" s="152"/>
      <c r="C500" s="152"/>
      <c r="D500" s="152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 x14ac:dyDescent="0.25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 x14ac:dyDescent="0.25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 x14ac:dyDescent="0.25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 x14ac:dyDescent="0.25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 x14ac:dyDescent="0.25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 x14ac:dyDescent="0.25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 x14ac:dyDescent="0.25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 x14ac:dyDescent="0.25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 x14ac:dyDescent="0.25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 x14ac:dyDescent="0.25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 x14ac:dyDescent="0.25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 x14ac:dyDescent="0.25">
      <c r="A513" s="151" t="s">
        <v>244</v>
      </c>
      <c r="B513" s="152"/>
      <c r="C513" s="152"/>
      <c r="D513" s="152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 x14ac:dyDescent="0.25">
      <c r="A514" s="153" t="s">
        <v>245</v>
      </c>
      <c r="B514" s="154"/>
      <c r="C514" s="154"/>
      <c r="D514" s="154"/>
      <c r="E514" s="16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 x14ac:dyDescent="0.25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 x14ac:dyDescent="0.25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 x14ac:dyDescent="0.25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 x14ac:dyDescent="0.25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 x14ac:dyDescent="0.25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 x14ac:dyDescent="0.25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 x14ac:dyDescent="0.25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 x14ac:dyDescent="0.25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 x14ac:dyDescent="0.25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 x14ac:dyDescent="0.25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 x14ac:dyDescent="0.25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 x14ac:dyDescent="0.25">
      <c r="A527" s="151" t="s">
        <v>241</v>
      </c>
      <c r="B527" s="152"/>
      <c r="C527" s="152"/>
      <c r="D527" s="152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 x14ac:dyDescent="0.25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25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 x14ac:dyDescent="0.25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 x14ac:dyDescent="0.25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 x14ac:dyDescent="0.25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 x14ac:dyDescent="0.25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 x14ac:dyDescent="0.25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 x14ac:dyDescent="0.25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 x14ac:dyDescent="0.25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 x14ac:dyDescent="0.25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 x14ac:dyDescent="0.25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 x14ac:dyDescent="0.25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 x14ac:dyDescent="0.25">
      <c r="A540" s="151" t="s">
        <v>244</v>
      </c>
      <c r="B540" s="152"/>
      <c r="C540" s="152"/>
      <c r="D540" s="152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 x14ac:dyDescent="0.25">
      <c r="A541" s="153" t="s">
        <v>245</v>
      </c>
      <c r="B541" s="154"/>
      <c r="C541" s="154"/>
      <c r="D541" s="154"/>
      <c r="E541" s="16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 x14ac:dyDescent="0.25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 x14ac:dyDescent="0.25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 x14ac:dyDescent="0.25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 x14ac:dyDescent="0.25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 x14ac:dyDescent="0.25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 x14ac:dyDescent="0.25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 x14ac:dyDescent="0.25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 x14ac:dyDescent="0.25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 x14ac:dyDescent="0.25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 x14ac:dyDescent="0.25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 x14ac:dyDescent="0.25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 x14ac:dyDescent="0.25">
      <c r="A554" s="151" t="s">
        <v>241</v>
      </c>
      <c r="B554" s="152"/>
      <c r="C554" s="152"/>
      <c r="D554" s="152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 x14ac:dyDescent="0.25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 x14ac:dyDescent="0.25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 x14ac:dyDescent="0.25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 x14ac:dyDescent="0.25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 x14ac:dyDescent="0.25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 x14ac:dyDescent="0.25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 x14ac:dyDescent="0.25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 x14ac:dyDescent="0.25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 x14ac:dyDescent="0.25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 x14ac:dyDescent="0.25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 x14ac:dyDescent="0.25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 x14ac:dyDescent="0.25">
      <c r="A567" s="151" t="s">
        <v>244</v>
      </c>
      <c r="B567" s="152"/>
      <c r="C567" s="152"/>
      <c r="D567" s="152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 x14ac:dyDescent="0.25">
      <c r="A568" s="153" t="s">
        <v>245</v>
      </c>
      <c r="B568" s="154"/>
      <c r="C568" s="154"/>
      <c r="D568" s="154"/>
      <c r="E568" s="16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 x14ac:dyDescent="0.25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 x14ac:dyDescent="0.25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 x14ac:dyDescent="0.25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 x14ac:dyDescent="0.25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 x14ac:dyDescent="0.25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 x14ac:dyDescent="0.25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 x14ac:dyDescent="0.25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 x14ac:dyDescent="0.25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 x14ac:dyDescent="0.25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 x14ac:dyDescent="0.25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 x14ac:dyDescent="0.25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 x14ac:dyDescent="0.25">
      <c r="A581" s="151" t="s">
        <v>241</v>
      </c>
      <c r="B581" s="152"/>
      <c r="C581" s="152"/>
      <c r="D581" s="152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 x14ac:dyDescent="0.25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 x14ac:dyDescent="0.25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 x14ac:dyDescent="0.25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 x14ac:dyDescent="0.25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 x14ac:dyDescent="0.25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 x14ac:dyDescent="0.25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 x14ac:dyDescent="0.25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 x14ac:dyDescent="0.25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 x14ac:dyDescent="0.25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 x14ac:dyDescent="0.25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 x14ac:dyDescent="0.25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 x14ac:dyDescent="0.25">
      <c r="A594" s="151" t="s">
        <v>244</v>
      </c>
      <c r="B594" s="152"/>
      <c r="C594" s="152"/>
      <c r="D594" s="152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 x14ac:dyDescent="0.25">
      <c r="A595" s="153" t="s">
        <v>245</v>
      </c>
      <c r="B595" s="154"/>
      <c r="C595" s="154"/>
      <c r="D595" s="154"/>
      <c r="E595" s="16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 x14ac:dyDescent="0.25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 x14ac:dyDescent="0.25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 x14ac:dyDescent="0.25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 x14ac:dyDescent="0.25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 x14ac:dyDescent="0.25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 x14ac:dyDescent="0.25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 x14ac:dyDescent="0.25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 x14ac:dyDescent="0.25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 x14ac:dyDescent="0.25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 x14ac:dyDescent="0.25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 x14ac:dyDescent="0.25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 x14ac:dyDescent="0.25">
      <c r="A608" s="151" t="s">
        <v>241</v>
      </c>
      <c r="B608" s="152"/>
      <c r="C608" s="152"/>
      <c r="D608" s="152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 x14ac:dyDescent="0.25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 x14ac:dyDescent="0.25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 x14ac:dyDescent="0.25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 x14ac:dyDescent="0.25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 x14ac:dyDescent="0.25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 x14ac:dyDescent="0.25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 x14ac:dyDescent="0.25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 x14ac:dyDescent="0.25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 x14ac:dyDescent="0.25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 x14ac:dyDescent="0.25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 x14ac:dyDescent="0.25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 x14ac:dyDescent="0.25">
      <c r="A621" s="151" t="s">
        <v>244</v>
      </c>
      <c r="B621" s="152"/>
      <c r="C621" s="152"/>
      <c r="D621" s="152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 x14ac:dyDescent="0.25">
      <c r="A622" s="153" t="s">
        <v>245</v>
      </c>
      <c r="B622" s="154"/>
      <c r="C622" s="154"/>
      <c r="D622" s="154"/>
      <c r="E622" s="16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 x14ac:dyDescent="0.25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 x14ac:dyDescent="0.25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 x14ac:dyDescent="0.25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 x14ac:dyDescent="0.25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 x14ac:dyDescent="0.25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 x14ac:dyDescent="0.25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 x14ac:dyDescent="0.25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 x14ac:dyDescent="0.25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 x14ac:dyDescent="0.25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 x14ac:dyDescent="0.25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 x14ac:dyDescent="0.25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 x14ac:dyDescent="0.25">
      <c r="A635" s="151" t="s">
        <v>241</v>
      </c>
      <c r="B635" s="152"/>
      <c r="C635" s="152"/>
      <c r="D635" s="152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 x14ac:dyDescent="0.25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 x14ac:dyDescent="0.25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 x14ac:dyDescent="0.25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 x14ac:dyDescent="0.25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 x14ac:dyDescent="0.25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 x14ac:dyDescent="0.25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 x14ac:dyDescent="0.25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 x14ac:dyDescent="0.25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 x14ac:dyDescent="0.25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 x14ac:dyDescent="0.25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 x14ac:dyDescent="0.25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 x14ac:dyDescent="0.25">
      <c r="A648" s="151" t="s">
        <v>244</v>
      </c>
      <c r="B648" s="152"/>
      <c r="C648" s="152"/>
      <c r="D648" s="152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 x14ac:dyDescent="0.25">
      <c r="A649" s="153" t="s">
        <v>245</v>
      </c>
      <c r="B649" s="154"/>
      <c r="C649" s="154"/>
      <c r="D649" s="154"/>
      <c r="E649" s="16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 x14ac:dyDescent="0.25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 x14ac:dyDescent="0.25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 x14ac:dyDescent="0.25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 x14ac:dyDescent="0.25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 x14ac:dyDescent="0.25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 x14ac:dyDescent="0.25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 x14ac:dyDescent="0.25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 x14ac:dyDescent="0.25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 x14ac:dyDescent="0.25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 x14ac:dyDescent="0.25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 x14ac:dyDescent="0.25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 x14ac:dyDescent="0.25">
      <c r="A662" s="151" t="s">
        <v>241</v>
      </c>
      <c r="B662" s="152"/>
      <c r="C662" s="152"/>
      <c r="D662" s="152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 x14ac:dyDescent="0.25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 x14ac:dyDescent="0.25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 x14ac:dyDescent="0.25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 x14ac:dyDescent="0.25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 x14ac:dyDescent="0.25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 x14ac:dyDescent="0.25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 x14ac:dyDescent="0.25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 x14ac:dyDescent="0.25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 x14ac:dyDescent="0.25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 x14ac:dyDescent="0.25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 x14ac:dyDescent="0.25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 x14ac:dyDescent="0.25">
      <c r="A675" s="151" t="s">
        <v>244</v>
      </c>
      <c r="B675" s="152"/>
      <c r="C675" s="152"/>
      <c r="D675" s="152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 x14ac:dyDescent="0.25">
      <c r="A676" s="153" t="s">
        <v>245</v>
      </c>
      <c r="B676" s="154"/>
      <c r="C676" s="154"/>
      <c r="D676" s="154"/>
      <c r="E676" s="16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 x14ac:dyDescent="0.25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 x14ac:dyDescent="0.25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 x14ac:dyDescent="0.25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 x14ac:dyDescent="0.25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 x14ac:dyDescent="0.25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 x14ac:dyDescent="0.25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 x14ac:dyDescent="0.25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 x14ac:dyDescent="0.25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 x14ac:dyDescent="0.25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 x14ac:dyDescent="0.25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 x14ac:dyDescent="0.25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 x14ac:dyDescent="0.25">
      <c r="A689" s="151" t="s">
        <v>241</v>
      </c>
      <c r="B689" s="152"/>
      <c r="C689" s="152"/>
      <c r="D689" s="152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 x14ac:dyDescent="0.25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 x14ac:dyDescent="0.25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 x14ac:dyDescent="0.25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 x14ac:dyDescent="0.25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 x14ac:dyDescent="0.25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 x14ac:dyDescent="0.25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 x14ac:dyDescent="0.25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 x14ac:dyDescent="0.25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 x14ac:dyDescent="0.25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 x14ac:dyDescent="0.25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 x14ac:dyDescent="0.25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 x14ac:dyDescent="0.25">
      <c r="A702" s="151" t="s">
        <v>244</v>
      </c>
      <c r="B702" s="152"/>
      <c r="C702" s="152"/>
      <c r="D702" s="152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 x14ac:dyDescent="0.25">
      <c r="A703" s="153" t="s">
        <v>245</v>
      </c>
      <c r="B703" s="154"/>
      <c r="C703" s="154"/>
      <c r="D703" s="154"/>
      <c r="E703" s="16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 x14ac:dyDescent="0.25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 x14ac:dyDescent="0.25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 x14ac:dyDescent="0.25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 x14ac:dyDescent="0.25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 x14ac:dyDescent="0.25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 x14ac:dyDescent="0.25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 x14ac:dyDescent="0.25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 x14ac:dyDescent="0.25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 x14ac:dyDescent="0.25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 x14ac:dyDescent="0.25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 x14ac:dyDescent="0.25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 x14ac:dyDescent="0.25">
      <c r="A716" s="151" t="s">
        <v>241</v>
      </c>
      <c r="B716" s="152"/>
      <c r="C716" s="152"/>
      <c r="D716" s="152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 x14ac:dyDescent="0.25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 x14ac:dyDescent="0.25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 x14ac:dyDescent="0.25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 x14ac:dyDescent="0.25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 x14ac:dyDescent="0.25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 x14ac:dyDescent="0.25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 x14ac:dyDescent="0.25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 x14ac:dyDescent="0.25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 x14ac:dyDescent="0.25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 x14ac:dyDescent="0.25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 x14ac:dyDescent="0.25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 x14ac:dyDescent="0.25">
      <c r="A729" s="151" t="s">
        <v>244</v>
      </c>
      <c r="B729" s="152"/>
      <c r="C729" s="152"/>
      <c r="D729" s="152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 x14ac:dyDescent="0.25">
      <c r="A730" s="153" t="s">
        <v>245</v>
      </c>
      <c r="B730" s="154"/>
      <c r="C730" s="154"/>
      <c r="D730" s="154"/>
      <c r="E730" s="16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 x14ac:dyDescent="0.25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 x14ac:dyDescent="0.25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 x14ac:dyDescent="0.25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 x14ac:dyDescent="0.25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 x14ac:dyDescent="0.25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 x14ac:dyDescent="0.25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 x14ac:dyDescent="0.25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 x14ac:dyDescent="0.25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 x14ac:dyDescent="0.25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 x14ac:dyDescent="0.25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 x14ac:dyDescent="0.25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 x14ac:dyDescent="0.25">
      <c r="A743" s="151" t="s">
        <v>241</v>
      </c>
      <c r="B743" s="152"/>
      <c r="C743" s="152"/>
      <c r="D743" s="152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 x14ac:dyDescent="0.25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 x14ac:dyDescent="0.25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 x14ac:dyDescent="0.25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 x14ac:dyDescent="0.25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 x14ac:dyDescent="0.25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 x14ac:dyDescent="0.25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 x14ac:dyDescent="0.25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 x14ac:dyDescent="0.25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 x14ac:dyDescent="0.25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 x14ac:dyDescent="0.25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 x14ac:dyDescent="0.25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 x14ac:dyDescent="0.25">
      <c r="A756" s="151" t="s">
        <v>244</v>
      </c>
      <c r="B756" s="152"/>
      <c r="C756" s="152"/>
      <c r="D756" s="152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 x14ac:dyDescent="0.25">
      <c r="A757" s="153" t="s">
        <v>245</v>
      </c>
      <c r="B757" s="154"/>
      <c r="C757" s="154"/>
      <c r="D757" s="154"/>
      <c r="E757" s="16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 x14ac:dyDescent="0.25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 x14ac:dyDescent="0.25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 x14ac:dyDescent="0.25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 x14ac:dyDescent="0.25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 x14ac:dyDescent="0.25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 x14ac:dyDescent="0.25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 x14ac:dyDescent="0.25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 x14ac:dyDescent="0.25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 x14ac:dyDescent="0.25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 x14ac:dyDescent="0.25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 x14ac:dyDescent="0.25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 x14ac:dyDescent="0.25">
      <c r="A770" s="151" t="s">
        <v>241</v>
      </c>
      <c r="B770" s="152"/>
      <c r="C770" s="152"/>
      <c r="D770" s="152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 x14ac:dyDescent="0.25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 x14ac:dyDescent="0.25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 x14ac:dyDescent="0.25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 x14ac:dyDescent="0.25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 x14ac:dyDescent="0.25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 x14ac:dyDescent="0.25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 x14ac:dyDescent="0.25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 x14ac:dyDescent="0.25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 x14ac:dyDescent="0.25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 x14ac:dyDescent="0.25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 x14ac:dyDescent="0.25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 x14ac:dyDescent="0.25">
      <c r="A783" s="151" t="s">
        <v>244</v>
      </c>
      <c r="B783" s="152"/>
      <c r="C783" s="152"/>
      <c r="D783" s="152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 x14ac:dyDescent="0.25">
      <c r="A784" s="153" t="s">
        <v>245</v>
      </c>
      <c r="B784" s="154"/>
      <c r="C784" s="154"/>
      <c r="D784" s="154"/>
      <c r="E784" s="16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 x14ac:dyDescent="0.25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 x14ac:dyDescent="0.25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 x14ac:dyDescent="0.25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 x14ac:dyDescent="0.25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 x14ac:dyDescent="0.25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 x14ac:dyDescent="0.25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 x14ac:dyDescent="0.25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 x14ac:dyDescent="0.25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 x14ac:dyDescent="0.25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 x14ac:dyDescent="0.25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 x14ac:dyDescent="0.25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 x14ac:dyDescent="0.25">
      <c r="A797" s="151" t="s">
        <v>241</v>
      </c>
      <c r="B797" s="152"/>
      <c r="C797" s="152"/>
      <c r="D797" s="152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 x14ac:dyDescent="0.25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 x14ac:dyDescent="0.25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 x14ac:dyDescent="0.25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 x14ac:dyDescent="0.25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 x14ac:dyDescent="0.25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 x14ac:dyDescent="0.25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 x14ac:dyDescent="0.25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 x14ac:dyDescent="0.25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 x14ac:dyDescent="0.25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 x14ac:dyDescent="0.25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 x14ac:dyDescent="0.25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 x14ac:dyDescent="0.25">
      <c r="A810" s="151" t="s">
        <v>244</v>
      </c>
      <c r="B810" s="152"/>
      <c r="C810" s="152"/>
      <c r="D810" s="152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 x14ac:dyDescent="0.25">
      <c r="A811" s="165" t="s">
        <v>245</v>
      </c>
      <c r="B811" s="166"/>
      <c r="C811" s="166"/>
      <c r="D811" s="166"/>
      <c r="E811" s="16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 x14ac:dyDescent="0.25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 x14ac:dyDescent="0.25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 x14ac:dyDescent="0.25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 x14ac:dyDescent="0.25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 x14ac:dyDescent="0.25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 x14ac:dyDescent="0.25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 x14ac:dyDescent="0.25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 x14ac:dyDescent="0.25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 x14ac:dyDescent="0.25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 x14ac:dyDescent="0.25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 x14ac:dyDescent="0.25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 x14ac:dyDescent="0.25">
      <c r="A824" s="151" t="s">
        <v>241</v>
      </c>
      <c r="B824" s="152"/>
      <c r="C824" s="152"/>
      <c r="D824" s="152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 x14ac:dyDescent="0.25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 x14ac:dyDescent="0.25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 x14ac:dyDescent="0.25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 x14ac:dyDescent="0.25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 x14ac:dyDescent="0.25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 x14ac:dyDescent="0.25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 x14ac:dyDescent="0.25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 x14ac:dyDescent="0.25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 x14ac:dyDescent="0.25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 x14ac:dyDescent="0.25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 x14ac:dyDescent="0.25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 x14ac:dyDescent="0.25">
      <c r="A837" s="151" t="s">
        <v>244</v>
      </c>
      <c r="B837" s="152"/>
      <c r="C837" s="152"/>
      <c r="D837" s="152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 x14ac:dyDescent="0.25">
      <c r="A838" s="153" t="s">
        <v>245</v>
      </c>
      <c r="B838" s="154"/>
      <c r="C838" s="154"/>
      <c r="D838" s="154"/>
      <c r="E838" s="16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17" activePane="bottomLeft" state="frozen"/>
      <selection pane="bottomLeft" activeCell="G327" sqref="G327"/>
    </sheetView>
  </sheetViews>
  <sheetFormatPr defaultColWidth="8.5703125" defaultRowHeight="15" x14ac:dyDescent="0.2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 x14ac:dyDescent="0.25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263</v>
      </c>
      <c r="I1" s="133" t="s">
        <v>18</v>
      </c>
      <c r="J1" s="133" t="s">
        <v>264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264</v>
      </c>
    </row>
    <row r="2" spans="1:20" ht="15" customHeight="1" x14ac:dyDescent="0.25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265</v>
      </c>
      <c r="S2" s="31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266</v>
      </c>
      <c r="S5" s="31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267</v>
      </c>
      <c r="S6" s="31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 x14ac:dyDescent="0.25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 x14ac:dyDescent="0.3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 x14ac:dyDescent="0.25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 x14ac:dyDescent="0.25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 x14ac:dyDescent="0.25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 x14ac:dyDescent="0.25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268</v>
      </c>
      <c r="S19" s="31"/>
    </row>
    <row r="20" spans="1:20" ht="15" customHeight="1" x14ac:dyDescent="0.25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269</v>
      </c>
      <c r="S20" s="31"/>
    </row>
    <row r="21" spans="1:20" ht="15" customHeight="1" x14ac:dyDescent="0.25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 x14ac:dyDescent="0.25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 x14ac:dyDescent="0.25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 x14ac:dyDescent="0.25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 x14ac:dyDescent="0.25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 x14ac:dyDescent="0.3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 x14ac:dyDescent="0.3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 x14ac:dyDescent="0.25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 x14ac:dyDescent="0.3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 x14ac:dyDescent="0.25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 x14ac:dyDescent="0.25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 x14ac:dyDescent="0.25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 x14ac:dyDescent="0.25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 x14ac:dyDescent="0.25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 x14ac:dyDescent="0.25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 x14ac:dyDescent="0.25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270</v>
      </c>
      <c r="S48" s="31"/>
    </row>
    <row r="49" spans="1:20" ht="15" customHeight="1" x14ac:dyDescent="0.25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271</v>
      </c>
      <c r="S49" s="31"/>
    </row>
    <row r="50" spans="1:20" ht="15" customHeight="1" x14ac:dyDescent="0.25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 x14ac:dyDescent="0.25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 x14ac:dyDescent="0.25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272</v>
      </c>
      <c r="S52" s="31"/>
    </row>
    <row r="53" spans="1:20" ht="15" customHeight="1" thickBot="1" x14ac:dyDescent="0.3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0.2254459490723093</v>
      </c>
      <c r="R53" s="46" t="s">
        <v>273</v>
      </c>
      <c r="S53" s="31"/>
    </row>
    <row r="54" spans="1:20" ht="15.75" customHeight="1" thickBot="1" x14ac:dyDescent="0.3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0.3643348379611982</v>
      </c>
      <c r="R54" s="36" t="s">
        <v>242</v>
      </c>
      <c r="S54" s="75">
        <v>352430</v>
      </c>
      <c r="T54" s="117"/>
    </row>
    <row r="55" spans="1:20" ht="18" customHeight="1" x14ac:dyDescent="0.25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0.44905706018342051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265</v>
      </c>
      <c r="S63" s="31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 x14ac:dyDescent="0.25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 x14ac:dyDescent="0.35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 x14ac:dyDescent="0.25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 x14ac:dyDescent="0.25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 x14ac:dyDescent="0.25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 x14ac:dyDescent="0.25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 x14ac:dyDescent="0.25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 x14ac:dyDescent="0.25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 x14ac:dyDescent="0.25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 x14ac:dyDescent="0.25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274</v>
      </c>
      <c r="S76" s="31"/>
    </row>
    <row r="77" spans="1:20" ht="15" customHeight="1" x14ac:dyDescent="0.25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 x14ac:dyDescent="0.25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 x14ac:dyDescent="0.25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 x14ac:dyDescent="0.25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 x14ac:dyDescent="0.35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 x14ac:dyDescent="0.25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 x14ac:dyDescent="0.25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 x14ac:dyDescent="0.35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 x14ac:dyDescent="0.25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275</v>
      </c>
      <c r="Q96" s="30" t="str">
        <f t="shared" ref="Q96:Q107" ca="1" si="22">IFERROR(IF(O96="","",IF(P96="",MOD(NOW()-O96,1),IF(P96&gt;=O96,P96-O96,P96+1-O96))),"")</f>
        <v/>
      </c>
      <c r="R96" s="46" t="s">
        <v>276</v>
      </c>
      <c r="S96" s="31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277</v>
      </c>
      <c r="S98" s="31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278</v>
      </c>
      <c r="S99" s="31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 x14ac:dyDescent="0.25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 x14ac:dyDescent="0.35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 x14ac:dyDescent="0.25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279</v>
      </c>
      <c r="S111" s="31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 x14ac:dyDescent="0.25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 x14ac:dyDescent="0.35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 x14ac:dyDescent="0.25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 x14ac:dyDescent="0.25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 x14ac:dyDescent="0.25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 x14ac:dyDescent="0.25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 x14ac:dyDescent="0.25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 x14ac:dyDescent="0.25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 x14ac:dyDescent="0.25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 x14ac:dyDescent="0.35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 x14ac:dyDescent="0.25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 x14ac:dyDescent="0.25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 x14ac:dyDescent="0.25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 x14ac:dyDescent="0.25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280</v>
      </c>
      <c r="S139" s="31"/>
    </row>
    <row r="140" spans="1:20" ht="15" customHeight="1" x14ac:dyDescent="0.25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 x14ac:dyDescent="0.25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281</v>
      </c>
      <c r="S141" s="31"/>
    </row>
    <row r="142" spans="1:20" ht="15" customHeight="1" x14ac:dyDescent="0.25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 x14ac:dyDescent="0.25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 x14ac:dyDescent="0.25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 x14ac:dyDescent="0.25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282</v>
      </c>
      <c r="S145" s="31"/>
    </row>
    <row r="146" spans="1:20" ht="15" customHeight="1" x14ac:dyDescent="0.25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 x14ac:dyDescent="0.25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 x14ac:dyDescent="0.25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 x14ac:dyDescent="0.35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 x14ac:dyDescent="0.25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283</v>
      </c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 x14ac:dyDescent="0.25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 x14ac:dyDescent="0.35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 x14ac:dyDescent="0.25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 x14ac:dyDescent="0.3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 x14ac:dyDescent="0.25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284</v>
      </c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281</v>
      </c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285</v>
      </c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 x14ac:dyDescent="0.3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 x14ac:dyDescent="0.25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286</v>
      </c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279</v>
      </c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 x14ac:dyDescent="0.3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 x14ac:dyDescent="0.25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 x14ac:dyDescent="0.3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 x14ac:dyDescent="0.25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274</v>
      </c>
      <c r="S218" s="47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287</v>
      </c>
      <c r="S221" s="47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288</v>
      </c>
      <c r="S223" s="47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289</v>
      </c>
      <c r="S224" s="47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 x14ac:dyDescent="0.3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 x14ac:dyDescent="0.25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 x14ac:dyDescent="0.3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 x14ac:dyDescent="0.25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 x14ac:dyDescent="0.3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 x14ac:dyDescent="0.25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 x14ac:dyDescent="0.25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 x14ac:dyDescent="0.25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 x14ac:dyDescent="0.25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 x14ac:dyDescent="0.25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 x14ac:dyDescent="0.25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 x14ac:dyDescent="0.25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 x14ac:dyDescent="0.25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 x14ac:dyDescent="0.25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 x14ac:dyDescent="0.3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 x14ac:dyDescent="0.3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 x14ac:dyDescent="0.25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 x14ac:dyDescent="0.25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 x14ac:dyDescent="0.25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 x14ac:dyDescent="0.25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 x14ac:dyDescent="0.25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 x14ac:dyDescent="0.25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 x14ac:dyDescent="0.25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 x14ac:dyDescent="0.25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 x14ac:dyDescent="0.25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 x14ac:dyDescent="0.25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 x14ac:dyDescent="0.25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 x14ac:dyDescent="0.3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 x14ac:dyDescent="0.3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 x14ac:dyDescent="0.25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 x14ac:dyDescent="0.25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 x14ac:dyDescent="0.25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 x14ac:dyDescent="0.25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 x14ac:dyDescent="0.25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 x14ac:dyDescent="0.25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 x14ac:dyDescent="0.25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 x14ac:dyDescent="0.25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 x14ac:dyDescent="0.25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 x14ac:dyDescent="0.25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 x14ac:dyDescent="0.25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 x14ac:dyDescent="0.3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 x14ac:dyDescent="0.3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 x14ac:dyDescent="0.25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0.23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5.5476244970414204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 x14ac:dyDescent="0.25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0.23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12.328054437869822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 x14ac:dyDescent="0.25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0.23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12.328054437869822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 x14ac:dyDescent="0.25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0.23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10.478846272189349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 x14ac:dyDescent="0.25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0.23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9.2460408284023661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 x14ac:dyDescent="0.25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0.23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9.8624435502958594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 x14ac:dyDescent="0.25">
      <c r="A305" s="68">
        <v>46246</v>
      </c>
      <c r="B305" s="32">
        <f t="shared" si="69"/>
        <v>0.58333333333333304</v>
      </c>
      <c r="C305" s="33" t="s">
        <v>34</v>
      </c>
      <c r="D305" s="62" t="s">
        <v>35</v>
      </c>
      <c r="E305" s="62" t="s">
        <v>256</v>
      </c>
      <c r="F305" s="134">
        <f>IFERROR(IF($D305="","",VLOOKUP($D305,Cadastro!$C$4:$E$7,3,FALSE)),"")</f>
        <v>0.23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8.0132353846153848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 x14ac:dyDescent="0.25">
      <c r="A306" s="67">
        <v>46246</v>
      </c>
      <c r="B306" s="25">
        <f t="shared" si="69"/>
        <v>0.62499999999999967</v>
      </c>
      <c r="C306" s="33" t="s">
        <v>34</v>
      </c>
      <c r="D306" s="62" t="s">
        <v>35</v>
      </c>
      <c r="E306" s="62" t="s">
        <v>256</v>
      </c>
      <c r="F306" s="134">
        <f>IFERROR(IF($D306="","",VLOOKUP($D306,Cadastro!$C$4:$E$7,3,FALSE)),"")</f>
        <v>0.23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12.328054437869822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 x14ac:dyDescent="0.25">
      <c r="A307" s="68">
        <v>46246</v>
      </c>
      <c r="B307" s="32">
        <f t="shared" si="69"/>
        <v>0.6666666666666663</v>
      </c>
      <c r="C307" s="33" t="s">
        <v>34</v>
      </c>
      <c r="D307" s="62" t="s">
        <v>35</v>
      </c>
      <c r="E307" s="62" t="s">
        <v>256</v>
      </c>
      <c r="F307" s="134">
        <f>IFERROR(IF($D307="","",VLOOKUP($D307,Cadastro!$C$4:$E$7,3,FALSE)),"")</f>
        <v>0.23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9.8624435502958594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 x14ac:dyDescent="0.25">
      <c r="A308" s="67">
        <v>46246</v>
      </c>
      <c r="B308" s="25">
        <f t="shared" si="69"/>
        <v>0.70833333333333293</v>
      </c>
      <c r="C308" s="33" t="s">
        <v>34</v>
      </c>
      <c r="D308" s="62" t="s">
        <v>35</v>
      </c>
      <c r="E308" s="62" t="s">
        <v>256</v>
      </c>
      <c r="F308" s="134">
        <f>IFERROR(IF($D308="","",VLOOKUP($D308,Cadastro!$C$4:$E$7,3,FALSE)),"")</f>
        <v>0.23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8.6296381065088745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 x14ac:dyDescent="0.25">
      <c r="A309" s="68">
        <v>46246</v>
      </c>
      <c r="B309" s="32">
        <f t="shared" si="69"/>
        <v>0.74999999999999956</v>
      </c>
      <c r="C309" s="33" t="s">
        <v>34</v>
      </c>
      <c r="D309" s="62" t="s">
        <v>35</v>
      </c>
      <c r="E309" s="62" t="s">
        <v>256</v>
      </c>
      <c r="F309" s="134">
        <f>IFERROR(IF($D309="","",VLOOKUP($D309,Cadastro!$C$4:$E$7,3,FALSE)),"")</f>
        <v>0.23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2.4656108875739648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 x14ac:dyDescent="0.3">
      <c r="A310" s="67">
        <v>46246</v>
      </c>
      <c r="B310" s="25">
        <f t="shared" si="69"/>
        <v>0.79166666666666619</v>
      </c>
      <c r="C310" s="33" t="s">
        <v>34</v>
      </c>
      <c r="D310" s="62" t="s">
        <v>35</v>
      </c>
      <c r="E310" s="62" t="s">
        <v>256</v>
      </c>
      <c r="F310" s="137">
        <f>IFERROR(IF($D310="","",VLOOKUP($D310,Cadastro!$C$4:$E$7,3,FALSE)),"")</f>
        <v>0.23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3.0820136094674555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 x14ac:dyDescent="0.3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104.17206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104.17206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0.23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13.102327857142857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 x14ac:dyDescent="0.25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0.23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7.7422846428571441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 x14ac:dyDescent="0.25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0.23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9.5289657142857145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 x14ac:dyDescent="0.25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0.23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3.5733621428571429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 x14ac:dyDescent="0.25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0.23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11.911207142857142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 x14ac:dyDescent="0.25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0.23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10.720086428571427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 x14ac:dyDescent="0.25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0.23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9.5289657142857145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 x14ac:dyDescent="0.25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0.23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8.9334053571428562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 x14ac:dyDescent="0.25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0.23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9.5289657142857145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 x14ac:dyDescent="0.25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0.23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7.1467242857142859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 x14ac:dyDescent="0.25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0.23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5.9556035714285711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 x14ac:dyDescent="0.3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0.23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2.3822414285714286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 x14ac:dyDescent="0.3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100.05414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100.05414</v>
      </c>
    </row>
    <row r="325" spans="1:20" ht="18" customHeight="1" x14ac:dyDescent="0.25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204.22620000000001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204.22620000000001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0.23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/>
      <c r="Q326" s="30">
        <f t="shared" ref="Q326:Q337" ca="1" si="76">IFERROR(IF(O326="","",IF(P326="",MOD(NOW()-O326,1),IF(P326&gt;=O326,P326-O326,P326+1-O326))),"")</f>
        <v>4.1418171298573725E-2</v>
      </c>
      <c r="R326" s="46" t="s">
        <v>290</v>
      </c>
      <c r="S326" s="47"/>
    </row>
    <row r="327" spans="1:20" ht="15" customHeight="1" x14ac:dyDescent="0.25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0.23</v>
      </c>
      <c r="G327" s="105"/>
      <c r="H327" s="134" t="str">
        <f>IFERROR(IF($G327="","",$G327*$S$338/$G$338/Cadastro!$E$33),"")</f>
        <v/>
      </c>
      <c r="I327" s="135">
        <f>IFERROR(IF($D327="","",VLOOKUP($D327,Cadastro!$C$4:$G$7,5,FALSE)),"")</f>
        <v>0.6</v>
      </c>
      <c r="J327" s="136" t="str">
        <f t="shared" si="74"/>
        <v/>
      </c>
      <c r="K327" s="34" t="str">
        <f t="shared" si="75"/>
        <v/>
      </c>
      <c r="L327" s="33"/>
      <c r="M327" s="33"/>
      <c r="N327" s="33"/>
      <c r="O327" s="29"/>
      <c r="P327" s="29"/>
      <c r="Q327" s="35" t="str">
        <f t="shared" ca="1" si="76"/>
        <v/>
      </c>
      <c r="R327" s="46"/>
      <c r="S327" s="47"/>
    </row>
    <row r="328" spans="1:20" ht="15" customHeight="1" x14ac:dyDescent="0.25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0.23</v>
      </c>
      <c r="G328" s="105"/>
      <c r="H328" s="134" t="str">
        <f>IFERROR(IF($G328="","",$G328*$S$338/$G$338/Cadastro!$E$33),"")</f>
        <v/>
      </c>
      <c r="I328" s="135">
        <f>IFERROR(IF($D328="","",VLOOKUP($D328,Cadastro!$C$4:$G$7,5,FALSE)),"")</f>
        <v>0.6</v>
      </c>
      <c r="J328" s="136" t="str">
        <f t="shared" si="74"/>
        <v/>
      </c>
      <c r="K328" s="28" t="str">
        <f t="shared" si="75"/>
        <v/>
      </c>
      <c r="L328" s="26"/>
      <c r="M328" s="26"/>
      <c r="N328" s="26"/>
      <c r="O328" s="29"/>
      <c r="P328" s="29"/>
      <c r="Q328" s="30" t="str">
        <f t="shared" ca="1" si="76"/>
        <v/>
      </c>
      <c r="R328" s="46"/>
      <c r="S328" s="47"/>
    </row>
    <row r="329" spans="1:20" ht="15" customHeight="1" x14ac:dyDescent="0.25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0.23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4"/>
        <v/>
      </c>
      <c r="K329" s="34" t="str">
        <f t="shared" si="75"/>
        <v/>
      </c>
      <c r="L329" s="33"/>
      <c r="M329" s="33"/>
      <c r="N329" s="33"/>
      <c r="O329" s="29"/>
      <c r="P329" s="29"/>
      <c r="Q329" s="35" t="str">
        <f t="shared" ca="1" si="76"/>
        <v/>
      </c>
      <c r="R329" s="46"/>
      <c r="S329" s="47"/>
    </row>
    <row r="330" spans="1:20" ht="15" customHeight="1" x14ac:dyDescent="0.25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0.23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5"/>
        <v/>
      </c>
      <c r="L330" s="26"/>
      <c r="M330" s="26"/>
      <c r="N330" s="26"/>
      <c r="O330" s="29"/>
      <c r="P330" s="29"/>
      <c r="Q330" s="30" t="str">
        <f t="shared" ca="1" si="76"/>
        <v/>
      </c>
      <c r="R330" s="46"/>
      <c r="S330" s="47"/>
    </row>
    <row r="331" spans="1:20" ht="15" customHeight="1" x14ac:dyDescent="0.25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0.23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46"/>
      <c r="S331" s="47"/>
    </row>
    <row r="332" spans="1:20" ht="15" customHeight="1" x14ac:dyDescent="0.25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0.23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 x14ac:dyDescent="0.25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0.23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 x14ac:dyDescent="0.25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0.23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 x14ac:dyDescent="0.25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0.23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 x14ac:dyDescent="0.25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0.23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 x14ac:dyDescent="0.3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0.23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 x14ac:dyDescent="0.3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4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20</v>
      </c>
      <c r="L338" s="37"/>
      <c r="M338" s="37"/>
      <c r="N338" s="37"/>
      <c r="O338" s="37"/>
      <c r="P338" s="37"/>
      <c r="Q338" s="38">
        <f ca="1">IFERROR(SUM(Q326:Q337),"")</f>
        <v>4.1418171298573725E-2</v>
      </c>
      <c r="R338" s="36" t="s">
        <v>242</v>
      </c>
      <c r="S338" s="45"/>
      <c r="T338" s="122">
        <f>IFERROR(J338,"")</f>
        <v>0</v>
      </c>
    </row>
    <row r="339" spans="1:20" ht="15" customHeight="1" x14ac:dyDescent="0.25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 x14ac:dyDescent="0.25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 x14ac:dyDescent="0.25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 x14ac:dyDescent="0.25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 x14ac:dyDescent="0.25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 x14ac:dyDescent="0.25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 x14ac:dyDescent="0.25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 x14ac:dyDescent="0.25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 x14ac:dyDescent="0.25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 x14ac:dyDescent="0.25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 x14ac:dyDescent="0.25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 x14ac:dyDescent="0.3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 x14ac:dyDescent="0.3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 x14ac:dyDescent="0.25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4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20</v>
      </c>
      <c r="L352" s="41"/>
      <c r="M352" s="41"/>
      <c r="N352" s="41"/>
      <c r="O352" s="41"/>
      <c r="P352" s="41"/>
      <c r="Q352" s="42">
        <f ca="1">IFERROR(Q338+Q351,"")</f>
        <v>4.1418171298573725E-2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 x14ac:dyDescent="0.25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 x14ac:dyDescent="0.25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 x14ac:dyDescent="0.25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 x14ac:dyDescent="0.25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 x14ac:dyDescent="0.25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 x14ac:dyDescent="0.25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 x14ac:dyDescent="0.25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 x14ac:dyDescent="0.25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 x14ac:dyDescent="0.25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 x14ac:dyDescent="0.25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 x14ac:dyDescent="0.25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 x14ac:dyDescent="0.3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 x14ac:dyDescent="0.3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 x14ac:dyDescent="0.25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 x14ac:dyDescent="0.25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 x14ac:dyDescent="0.25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 x14ac:dyDescent="0.25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 x14ac:dyDescent="0.25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 x14ac:dyDescent="0.25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 x14ac:dyDescent="0.25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 x14ac:dyDescent="0.25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 x14ac:dyDescent="0.25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 x14ac:dyDescent="0.25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 x14ac:dyDescent="0.25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 x14ac:dyDescent="0.3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 x14ac:dyDescent="0.3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 x14ac:dyDescent="0.25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 x14ac:dyDescent="0.25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 x14ac:dyDescent="0.25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 x14ac:dyDescent="0.25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 x14ac:dyDescent="0.25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 x14ac:dyDescent="0.25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 x14ac:dyDescent="0.25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 x14ac:dyDescent="0.25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 x14ac:dyDescent="0.25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 x14ac:dyDescent="0.25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 x14ac:dyDescent="0.25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 x14ac:dyDescent="0.25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 x14ac:dyDescent="0.3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 x14ac:dyDescent="0.3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 x14ac:dyDescent="0.25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 x14ac:dyDescent="0.25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 x14ac:dyDescent="0.25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 x14ac:dyDescent="0.25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 x14ac:dyDescent="0.25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 x14ac:dyDescent="0.25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 x14ac:dyDescent="0.25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 x14ac:dyDescent="0.25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 x14ac:dyDescent="0.25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 x14ac:dyDescent="0.25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 x14ac:dyDescent="0.25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 x14ac:dyDescent="0.3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 x14ac:dyDescent="0.3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 x14ac:dyDescent="0.25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 x14ac:dyDescent="0.25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 x14ac:dyDescent="0.25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 x14ac:dyDescent="0.25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 x14ac:dyDescent="0.25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 x14ac:dyDescent="0.25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 x14ac:dyDescent="0.25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 x14ac:dyDescent="0.25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 x14ac:dyDescent="0.25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 x14ac:dyDescent="0.25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 x14ac:dyDescent="0.25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 x14ac:dyDescent="0.25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 x14ac:dyDescent="0.3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 x14ac:dyDescent="0.3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 x14ac:dyDescent="0.25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 x14ac:dyDescent="0.25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 x14ac:dyDescent="0.25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 x14ac:dyDescent="0.25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 x14ac:dyDescent="0.25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 x14ac:dyDescent="0.25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 x14ac:dyDescent="0.25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 x14ac:dyDescent="0.25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 x14ac:dyDescent="0.25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 x14ac:dyDescent="0.25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 x14ac:dyDescent="0.3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 x14ac:dyDescent="0.3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 x14ac:dyDescent="0.25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 x14ac:dyDescent="0.25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 x14ac:dyDescent="0.25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 x14ac:dyDescent="0.25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 x14ac:dyDescent="0.25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 x14ac:dyDescent="0.25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 x14ac:dyDescent="0.25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 x14ac:dyDescent="0.25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 x14ac:dyDescent="0.25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 x14ac:dyDescent="0.25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 x14ac:dyDescent="0.25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 x14ac:dyDescent="0.3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 x14ac:dyDescent="0.3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 x14ac:dyDescent="0.2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 x14ac:dyDescent="0.2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 x14ac:dyDescent="0.25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 x14ac:dyDescent="0.2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 x14ac:dyDescent="0.2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 x14ac:dyDescent="0.2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 x14ac:dyDescent="0.2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 x14ac:dyDescent="0.2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 x14ac:dyDescent="0.2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 x14ac:dyDescent="0.2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 x14ac:dyDescent="0.3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 x14ac:dyDescent="0.3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 x14ac:dyDescent="0.25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 x14ac:dyDescent="0.2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 x14ac:dyDescent="0.2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 x14ac:dyDescent="0.2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 x14ac:dyDescent="0.2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 x14ac:dyDescent="0.2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 x14ac:dyDescent="0.2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 x14ac:dyDescent="0.2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 x14ac:dyDescent="0.2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 x14ac:dyDescent="0.2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 x14ac:dyDescent="0.2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 x14ac:dyDescent="0.3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 x14ac:dyDescent="0.3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 x14ac:dyDescent="0.2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 x14ac:dyDescent="0.2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 x14ac:dyDescent="0.2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 x14ac:dyDescent="0.2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 x14ac:dyDescent="0.2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 x14ac:dyDescent="0.2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 x14ac:dyDescent="0.2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 x14ac:dyDescent="0.2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 x14ac:dyDescent="0.2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 x14ac:dyDescent="0.2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 x14ac:dyDescent="0.3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 x14ac:dyDescent="0.3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 x14ac:dyDescent="0.25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 x14ac:dyDescent="0.25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 x14ac:dyDescent="0.25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 x14ac:dyDescent="0.25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 x14ac:dyDescent="0.25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 x14ac:dyDescent="0.25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 x14ac:dyDescent="0.25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 x14ac:dyDescent="0.25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 x14ac:dyDescent="0.25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 x14ac:dyDescent="0.25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 x14ac:dyDescent="0.25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 x14ac:dyDescent="0.3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 x14ac:dyDescent="0.3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 x14ac:dyDescent="0.2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 x14ac:dyDescent="0.2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 x14ac:dyDescent="0.2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 x14ac:dyDescent="0.2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 x14ac:dyDescent="0.2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 x14ac:dyDescent="0.2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 x14ac:dyDescent="0.2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 x14ac:dyDescent="0.2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 x14ac:dyDescent="0.2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 x14ac:dyDescent="0.2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 x14ac:dyDescent="0.3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 x14ac:dyDescent="0.3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 x14ac:dyDescent="0.25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 x14ac:dyDescent="0.2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 x14ac:dyDescent="0.2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 x14ac:dyDescent="0.2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 x14ac:dyDescent="0.2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 x14ac:dyDescent="0.2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 x14ac:dyDescent="0.2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 x14ac:dyDescent="0.2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 x14ac:dyDescent="0.2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 x14ac:dyDescent="0.2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 x14ac:dyDescent="0.2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 x14ac:dyDescent="0.3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 x14ac:dyDescent="0.3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 x14ac:dyDescent="0.2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 x14ac:dyDescent="0.2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 x14ac:dyDescent="0.2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 x14ac:dyDescent="0.2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 x14ac:dyDescent="0.2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 x14ac:dyDescent="0.2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 x14ac:dyDescent="0.2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 x14ac:dyDescent="0.2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 x14ac:dyDescent="0.2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 x14ac:dyDescent="0.2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 x14ac:dyDescent="0.3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 x14ac:dyDescent="0.3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 x14ac:dyDescent="0.25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 x14ac:dyDescent="0.2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 x14ac:dyDescent="0.2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 x14ac:dyDescent="0.2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 x14ac:dyDescent="0.2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 x14ac:dyDescent="0.2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 x14ac:dyDescent="0.2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 x14ac:dyDescent="0.2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 x14ac:dyDescent="0.2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 x14ac:dyDescent="0.2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 x14ac:dyDescent="0.2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 x14ac:dyDescent="0.3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 x14ac:dyDescent="0.3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 x14ac:dyDescent="0.25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 x14ac:dyDescent="0.25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 x14ac:dyDescent="0.25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 x14ac:dyDescent="0.25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 x14ac:dyDescent="0.25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 x14ac:dyDescent="0.25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 x14ac:dyDescent="0.25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 x14ac:dyDescent="0.25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 x14ac:dyDescent="0.25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 x14ac:dyDescent="0.25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 x14ac:dyDescent="0.3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 x14ac:dyDescent="0.3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 x14ac:dyDescent="0.25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 x14ac:dyDescent="0.2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 x14ac:dyDescent="0.2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 x14ac:dyDescent="0.2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 x14ac:dyDescent="0.2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 x14ac:dyDescent="0.2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 x14ac:dyDescent="0.2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 x14ac:dyDescent="0.2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 x14ac:dyDescent="0.2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 x14ac:dyDescent="0.2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 x14ac:dyDescent="0.2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 x14ac:dyDescent="0.3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 x14ac:dyDescent="0.3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 x14ac:dyDescent="0.2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 x14ac:dyDescent="0.2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 x14ac:dyDescent="0.2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 x14ac:dyDescent="0.2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 x14ac:dyDescent="0.2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 x14ac:dyDescent="0.2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 x14ac:dyDescent="0.2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 x14ac:dyDescent="0.2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 x14ac:dyDescent="0.2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 x14ac:dyDescent="0.2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 x14ac:dyDescent="0.3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 x14ac:dyDescent="0.3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 x14ac:dyDescent="0.25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 x14ac:dyDescent="0.2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 x14ac:dyDescent="0.2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 x14ac:dyDescent="0.2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 x14ac:dyDescent="0.2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 x14ac:dyDescent="0.2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 x14ac:dyDescent="0.2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 x14ac:dyDescent="0.2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 x14ac:dyDescent="0.2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 x14ac:dyDescent="0.2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 x14ac:dyDescent="0.2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 x14ac:dyDescent="0.3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 x14ac:dyDescent="0.3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 x14ac:dyDescent="0.2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 x14ac:dyDescent="0.2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 x14ac:dyDescent="0.2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 x14ac:dyDescent="0.2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 x14ac:dyDescent="0.2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 x14ac:dyDescent="0.2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 x14ac:dyDescent="0.2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 x14ac:dyDescent="0.2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 x14ac:dyDescent="0.2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 x14ac:dyDescent="0.2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 x14ac:dyDescent="0.3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 x14ac:dyDescent="0.3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 x14ac:dyDescent="0.25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 x14ac:dyDescent="0.2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 x14ac:dyDescent="0.2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 x14ac:dyDescent="0.2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 x14ac:dyDescent="0.2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 x14ac:dyDescent="0.2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 x14ac:dyDescent="0.2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 x14ac:dyDescent="0.2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 x14ac:dyDescent="0.2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 x14ac:dyDescent="0.2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 x14ac:dyDescent="0.2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 x14ac:dyDescent="0.3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 x14ac:dyDescent="0.3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 x14ac:dyDescent="0.2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 x14ac:dyDescent="0.2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 x14ac:dyDescent="0.2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 x14ac:dyDescent="0.2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 x14ac:dyDescent="0.2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 x14ac:dyDescent="0.2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 x14ac:dyDescent="0.2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 x14ac:dyDescent="0.2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 x14ac:dyDescent="0.2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 x14ac:dyDescent="0.2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 x14ac:dyDescent="0.3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 x14ac:dyDescent="0.3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 x14ac:dyDescent="0.25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 x14ac:dyDescent="0.2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 x14ac:dyDescent="0.2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 x14ac:dyDescent="0.2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 x14ac:dyDescent="0.2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 x14ac:dyDescent="0.2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 x14ac:dyDescent="0.2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 x14ac:dyDescent="0.2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 x14ac:dyDescent="0.2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 x14ac:dyDescent="0.2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 x14ac:dyDescent="0.2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 x14ac:dyDescent="0.3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 x14ac:dyDescent="0.3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 x14ac:dyDescent="0.2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 x14ac:dyDescent="0.2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 x14ac:dyDescent="0.2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 x14ac:dyDescent="0.2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 x14ac:dyDescent="0.2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 x14ac:dyDescent="0.2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 x14ac:dyDescent="0.2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 x14ac:dyDescent="0.2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 x14ac:dyDescent="0.2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 x14ac:dyDescent="0.2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 x14ac:dyDescent="0.3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 x14ac:dyDescent="0.3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 x14ac:dyDescent="0.25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 x14ac:dyDescent="0.2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 x14ac:dyDescent="0.2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 x14ac:dyDescent="0.2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 x14ac:dyDescent="0.2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 x14ac:dyDescent="0.2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 x14ac:dyDescent="0.2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 x14ac:dyDescent="0.2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 x14ac:dyDescent="0.2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 x14ac:dyDescent="0.2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 x14ac:dyDescent="0.2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 x14ac:dyDescent="0.3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 x14ac:dyDescent="0.3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 x14ac:dyDescent="0.2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 x14ac:dyDescent="0.2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 x14ac:dyDescent="0.2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 x14ac:dyDescent="0.2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 x14ac:dyDescent="0.2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 x14ac:dyDescent="0.2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 x14ac:dyDescent="0.2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 x14ac:dyDescent="0.2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 x14ac:dyDescent="0.2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 x14ac:dyDescent="0.2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 x14ac:dyDescent="0.3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 x14ac:dyDescent="0.3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 x14ac:dyDescent="0.25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 x14ac:dyDescent="0.2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 x14ac:dyDescent="0.2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 x14ac:dyDescent="0.2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 x14ac:dyDescent="0.2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 x14ac:dyDescent="0.2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 x14ac:dyDescent="0.2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 x14ac:dyDescent="0.2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 x14ac:dyDescent="0.2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 x14ac:dyDescent="0.2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 x14ac:dyDescent="0.2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 x14ac:dyDescent="0.3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 x14ac:dyDescent="0.3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 x14ac:dyDescent="0.2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 x14ac:dyDescent="0.2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 x14ac:dyDescent="0.2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 x14ac:dyDescent="0.2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 x14ac:dyDescent="0.2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 x14ac:dyDescent="0.2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 x14ac:dyDescent="0.2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 x14ac:dyDescent="0.2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 x14ac:dyDescent="0.2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 x14ac:dyDescent="0.2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 x14ac:dyDescent="0.3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 x14ac:dyDescent="0.3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 x14ac:dyDescent="0.25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 x14ac:dyDescent="0.2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 x14ac:dyDescent="0.2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 x14ac:dyDescent="0.2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 x14ac:dyDescent="0.2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 x14ac:dyDescent="0.2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 x14ac:dyDescent="0.2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 x14ac:dyDescent="0.2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 x14ac:dyDescent="0.2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 x14ac:dyDescent="0.2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 x14ac:dyDescent="0.2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 x14ac:dyDescent="0.3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 x14ac:dyDescent="0.3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 x14ac:dyDescent="0.2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 x14ac:dyDescent="0.2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 x14ac:dyDescent="0.2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 x14ac:dyDescent="0.2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 x14ac:dyDescent="0.2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 x14ac:dyDescent="0.2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 x14ac:dyDescent="0.2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 x14ac:dyDescent="0.2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 x14ac:dyDescent="0.2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 x14ac:dyDescent="0.2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 x14ac:dyDescent="0.3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 x14ac:dyDescent="0.3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 x14ac:dyDescent="0.25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 x14ac:dyDescent="0.2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 x14ac:dyDescent="0.2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 x14ac:dyDescent="0.2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 x14ac:dyDescent="0.2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 x14ac:dyDescent="0.2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 x14ac:dyDescent="0.2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 x14ac:dyDescent="0.2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 x14ac:dyDescent="0.2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 x14ac:dyDescent="0.2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 x14ac:dyDescent="0.2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 x14ac:dyDescent="0.3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 x14ac:dyDescent="0.3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 x14ac:dyDescent="0.2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 x14ac:dyDescent="0.2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 x14ac:dyDescent="0.2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 x14ac:dyDescent="0.2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 x14ac:dyDescent="0.2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 x14ac:dyDescent="0.2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 x14ac:dyDescent="0.2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 x14ac:dyDescent="0.2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 x14ac:dyDescent="0.2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 x14ac:dyDescent="0.2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 x14ac:dyDescent="0.3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 x14ac:dyDescent="0.3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 x14ac:dyDescent="0.25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 x14ac:dyDescent="0.2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 x14ac:dyDescent="0.2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 x14ac:dyDescent="0.2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 x14ac:dyDescent="0.2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 x14ac:dyDescent="0.2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 x14ac:dyDescent="0.2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 x14ac:dyDescent="0.2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 x14ac:dyDescent="0.2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 x14ac:dyDescent="0.2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 x14ac:dyDescent="0.2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 x14ac:dyDescent="0.3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 x14ac:dyDescent="0.3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 x14ac:dyDescent="0.2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 x14ac:dyDescent="0.2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 x14ac:dyDescent="0.2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 x14ac:dyDescent="0.2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 x14ac:dyDescent="0.2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 x14ac:dyDescent="0.2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 x14ac:dyDescent="0.2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 x14ac:dyDescent="0.2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 x14ac:dyDescent="0.2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 x14ac:dyDescent="0.2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 x14ac:dyDescent="0.3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 x14ac:dyDescent="0.3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 x14ac:dyDescent="0.25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 x14ac:dyDescent="0.2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 x14ac:dyDescent="0.2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 x14ac:dyDescent="0.2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 x14ac:dyDescent="0.2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 x14ac:dyDescent="0.2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 x14ac:dyDescent="0.2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 x14ac:dyDescent="0.2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 x14ac:dyDescent="0.2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 x14ac:dyDescent="0.2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 x14ac:dyDescent="0.2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 x14ac:dyDescent="0.3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 x14ac:dyDescent="0.3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 x14ac:dyDescent="0.2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 x14ac:dyDescent="0.2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 x14ac:dyDescent="0.2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 x14ac:dyDescent="0.2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 x14ac:dyDescent="0.2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 x14ac:dyDescent="0.2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 x14ac:dyDescent="0.2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 x14ac:dyDescent="0.2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 x14ac:dyDescent="0.2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 x14ac:dyDescent="0.2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 x14ac:dyDescent="0.3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 x14ac:dyDescent="0.3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 x14ac:dyDescent="0.25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1" activePane="bottomLeft" state="frozen"/>
      <selection pane="bottomLeft" activeCell="G327" sqref="G327"/>
    </sheetView>
  </sheetViews>
  <sheetFormatPr defaultColWidth="8.5703125" defaultRowHeight="15" x14ac:dyDescent="0.2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 x14ac:dyDescent="0.25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263</v>
      </c>
      <c r="I1" s="133" t="s">
        <v>18</v>
      </c>
      <c r="J1" s="133" t="s">
        <v>264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264</v>
      </c>
    </row>
    <row r="2" spans="1:20" ht="15" customHeight="1" x14ac:dyDescent="0.25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 x14ac:dyDescent="0.25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 x14ac:dyDescent="0.3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 x14ac:dyDescent="0.25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291</v>
      </c>
      <c r="S15" s="31"/>
    </row>
    <row r="16" spans="1:20" ht="15" customHeight="1" x14ac:dyDescent="0.25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 x14ac:dyDescent="0.25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 x14ac:dyDescent="0.25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268</v>
      </c>
      <c r="S18" s="31"/>
    </row>
    <row r="19" spans="1:20" ht="15" customHeight="1" x14ac:dyDescent="0.25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292</v>
      </c>
      <c r="S19" s="31"/>
    </row>
    <row r="20" spans="1:20" ht="15" customHeight="1" x14ac:dyDescent="0.25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 x14ac:dyDescent="0.25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 x14ac:dyDescent="0.25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 x14ac:dyDescent="0.25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 x14ac:dyDescent="0.25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 x14ac:dyDescent="0.25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 x14ac:dyDescent="0.3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 x14ac:dyDescent="0.3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 x14ac:dyDescent="0.25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 x14ac:dyDescent="0.3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 x14ac:dyDescent="0.25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274</v>
      </c>
      <c r="S42" s="31"/>
    </row>
    <row r="43" spans="1:20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291</v>
      </c>
      <c r="S43" s="31"/>
    </row>
    <row r="44" spans="1:20" ht="15" customHeight="1" x14ac:dyDescent="0.25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 x14ac:dyDescent="0.25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 x14ac:dyDescent="0.25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 x14ac:dyDescent="0.25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 x14ac:dyDescent="0.25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 x14ac:dyDescent="0.25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 x14ac:dyDescent="0.25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291</v>
      </c>
      <c r="S50" s="31"/>
    </row>
    <row r="51" spans="1:20" ht="15" customHeight="1" x14ac:dyDescent="0.25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 x14ac:dyDescent="0.25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 x14ac:dyDescent="0.3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 x14ac:dyDescent="0.3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 x14ac:dyDescent="0.25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293</v>
      </c>
      <c r="S62" s="31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 x14ac:dyDescent="0.3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 x14ac:dyDescent="0.3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 x14ac:dyDescent="0.25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294</v>
      </c>
      <c r="S69" s="31"/>
    </row>
    <row r="70" spans="1:20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 x14ac:dyDescent="0.25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 x14ac:dyDescent="0.25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 x14ac:dyDescent="0.25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 x14ac:dyDescent="0.25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 x14ac:dyDescent="0.25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 x14ac:dyDescent="0.25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 x14ac:dyDescent="0.25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 x14ac:dyDescent="0.25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 x14ac:dyDescent="0.25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 x14ac:dyDescent="0.3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 x14ac:dyDescent="0.3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 x14ac:dyDescent="0.25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295</v>
      </c>
      <c r="S83" s="31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296</v>
      </c>
      <c r="S84" s="31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 x14ac:dyDescent="0.3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 x14ac:dyDescent="0.3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 x14ac:dyDescent="0.25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297</v>
      </c>
      <c r="S97" s="31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 x14ac:dyDescent="0.3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 x14ac:dyDescent="0.3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 x14ac:dyDescent="0.25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 x14ac:dyDescent="0.3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 x14ac:dyDescent="0.3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 x14ac:dyDescent="0.25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298</v>
      </c>
      <c r="S125" s="31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 x14ac:dyDescent="0.25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 x14ac:dyDescent="0.25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 x14ac:dyDescent="0.25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 x14ac:dyDescent="0.25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 x14ac:dyDescent="0.25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 x14ac:dyDescent="0.3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 x14ac:dyDescent="0.3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 x14ac:dyDescent="0.25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 x14ac:dyDescent="0.25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299</v>
      </c>
      <c r="S137" s="31"/>
    </row>
    <row r="138" spans="1:20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 x14ac:dyDescent="0.25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 x14ac:dyDescent="0.25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 x14ac:dyDescent="0.25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 x14ac:dyDescent="0.25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 x14ac:dyDescent="0.25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 x14ac:dyDescent="0.25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282</v>
      </c>
      <c r="S144" s="31"/>
    </row>
    <row r="145" spans="1:20" ht="15" customHeight="1" x14ac:dyDescent="0.25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 x14ac:dyDescent="0.25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 x14ac:dyDescent="0.25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274</v>
      </c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 x14ac:dyDescent="0.25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300</v>
      </c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 x14ac:dyDescent="0.25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301</v>
      </c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285</v>
      </c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285</v>
      </c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 x14ac:dyDescent="0.25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 x14ac:dyDescent="0.25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302</v>
      </c>
      <c r="S205" s="47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 x14ac:dyDescent="0.3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 x14ac:dyDescent="0.25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303</v>
      </c>
      <c r="S221" s="47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304</v>
      </c>
      <c r="Q222" s="30" t="str">
        <f t="shared" ca="1" si="49"/>
        <v/>
      </c>
      <c r="R222" s="27" t="s">
        <v>305</v>
      </c>
      <c r="S222" s="47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 x14ac:dyDescent="0.3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 x14ac:dyDescent="0.25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 x14ac:dyDescent="0.3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 x14ac:dyDescent="0.25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306</v>
      </c>
      <c r="S245" s="47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 x14ac:dyDescent="0.3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 x14ac:dyDescent="0.25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 x14ac:dyDescent="0.25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 x14ac:dyDescent="0.25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 x14ac:dyDescent="0.25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 x14ac:dyDescent="0.25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 x14ac:dyDescent="0.25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 x14ac:dyDescent="0.25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 x14ac:dyDescent="0.25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 x14ac:dyDescent="0.25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 x14ac:dyDescent="0.3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 x14ac:dyDescent="0.3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 x14ac:dyDescent="0.25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 x14ac:dyDescent="0.25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 x14ac:dyDescent="0.25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 x14ac:dyDescent="0.25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 x14ac:dyDescent="0.25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 x14ac:dyDescent="0.25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 x14ac:dyDescent="0.25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 x14ac:dyDescent="0.25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 x14ac:dyDescent="0.25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 x14ac:dyDescent="0.25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 x14ac:dyDescent="0.25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 x14ac:dyDescent="0.3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 x14ac:dyDescent="0.3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 x14ac:dyDescent="0.25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 x14ac:dyDescent="0.25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 x14ac:dyDescent="0.25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 x14ac:dyDescent="0.25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 x14ac:dyDescent="0.25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 x14ac:dyDescent="0.25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 x14ac:dyDescent="0.25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 x14ac:dyDescent="0.25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 x14ac:dyDescent="0.25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 x14ac:dyDescent="0.25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 x14ac:dyDescent="0.25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 x14ac:dyDescent="0.3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 x14ac:dyDescent="0.3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 x14ac:dyDescent="0.25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0.23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5.0931199999999999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 x14ac:dyDescent="0.25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0.23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6.3663999999999996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 x14ac:dyDescent="0.25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0.23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8.9129599999999982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 x14ac:dyDescent="0.25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0.23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9.5496000000000016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 x14ac:dyDescent="0.25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0.23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7.0030399999999995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 x14ac:dyDescent="0.25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0.23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10.18624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 x14ac:dyDescent="0.25">
      <c r="A305" s="68">
        <v>46246</v>
      </c>
      <c r="B305" s="32">
        <f t="shared" si="68"/>
        <v>0.58333333333333304</v>
      </c>
      <c r="C305" s="33" t="s">
        <v>34</v>
      </c>
      <c r="D305" s="62" t="s">
        <v>35</v>
      </c>
      <c r="E305" s="109" t="s">
        <v>256</v>
      </c>
      <c r="F305" s="134">
        <f>IFERROR(IF($D305="","",VLOOKUP($D305,Cadastro!$C$4:$E$7,3,FALSE)),"")</f>
        <v>0.23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3.1831999999999998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 x14ac:dyDescent="0.25">
      <c r="A306" s="67">
        <v>46246</v>
      </c>
      <c r="B306" s="25">
        <f t="shared" si="68"/>
        <v>0.62499999999999967</v>
      </c>
      <c r="C306" s="33" t="s">
        <v>34</v>
      </c>
      <c r="D306" s="62" t="s">
        <v>35</v>
      </c>
      <c r="E306" s="109" t="s">
        <v>256</v>
      </c>
      <c r="F306" s="134">
        <f>IFERROR(IF($D306="","",VLOOKUP($D306,Cadastro!$C$4:$E$7,3,FALSE)),"")</f>
        <v>0.23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3.8198400000000001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 x14ac:dyDescent="0.25">
      <c r="A307" s="68">
        <v>46246</v>
      </c>
      <c r="B307" s="32">
        <f t="shared" si="68"/>
        <v>0.6666666666666663</v>
      </c>
      <c r="C307" s="33" t="s">
        <v>34</v>
      </c>
      <c r="D307" s="62" t="s">
        <v>35</v>
      </c>
      <c r="E307" s="109" t="s">
        <v>256</v>
      </c>
      <c r="F307" s="134">
        <f>IFERROR(IF($D307="","",VLOOKUP($D307,Cadastro!$C$4:$E$7,3,FALSE)),"")</f>
        <v>0.23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6.3663999999999996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 x14ac:dyDescent="0.25">
      <c r="A308" s="67">
        <v>46246</v>
      </c>
      <c r="B308" s="25">
        <f t="shared" si="68"/>
        <v>0.70833333333333293</v>
      </c>
      <c r="C308" s="33" t="s">
        <v>34</v>
      </c>
      <c r="D308" s="62" t="s">
        <v>35</v>
      </c>
      <c r="E308" s="109" t="s">
        <v>256</v>
      </c>
      <c r="F308" s="134">
        <f>IFERROR(IF($D308="","",VLOOKUP($D308,Cadastro!$C$4:$E$7,3,FALSE)),"")</f>
        <v>0.23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10.18624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 x14ac:dyDescent="0.25">
      <c r="A309" s="68">
        <v>46246</v>
      </c>
      <c r="B309" s="32">
        <f t="shared" si="68"/>
        <v>0.74999999999999956</v>
      </c>
      <c r="C309" s="33" t="s">
        <v>34</v>
      </c>
      <c r="D309" s="62" t="s">
        <v>35</v>
      </c>
      <c r="E309" s="109" t="s">
        <v>256</v>
      </c>
      <c r="F309" s="134">
        <f>IFERROR(IF($D309="","",VLOOKUP($D309,Cadastro!$C$4:$E$7,3,FALSE)),"")</f>
        <v>0.23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4.4564799999999991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 x14ac:dyDescent="0.3">
      <c r="A310" s="67">
        <v>46246</v>
      </c>
      <c r="B310" s="25">
        <f t="shared" si="68"/>
        <v>0.79166666666666619</v>
      </c>
      <c r="C310" s="33" t="s">
        <v>34</v>
      </c>
      <c r="D310" s="62" t="s">
        <v>35</v>
      </c>
      <c r="E310" s="109" t="s">
        <v>256</v>
      </c>
      <c r="F310" s="137">
        <f>IFERROR(IF($D310="","",VLOOKUP($D310,Cadastro!$C$4:$E$7,3,FALSE)),"")</f>
        <v>0.23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3.1831999999999998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 x14ac:dyDescent="0.3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78.306719999999999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78.306719999999999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0.23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5.1547896774193545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 x14ac:dyDescent="0.25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0.23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2.5773948387096772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 x14ac:dyDescent="0.25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0.23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6.4434870967741942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 x14ac:dyDescent="0.25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0.23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3.8660922580645165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 x14ac:dyDescent="0.25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0.23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3.8660922580645165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 x14ac:dyDescent="0.25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0.23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5.1547896774193545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 x14ac:dyDescent="0.25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0.23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1.9330461290322583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 x14ac:dyDescent="0.25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0.23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3.8660922580645165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 x14ac:dyDescent="0.25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0.23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2.5773948387096772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 x14ac:dyDescent="0.25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0.23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3.2217435483870971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 x14ac:dyDescent="0.25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0.23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1.2886974193548386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 x14ac:dyDescent="0.3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0.23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 x14ac:dyDescent="0.3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39.949620000000003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39.949620000000003</v>
      </c>
    </row>
    <row r="325" spans="1:20" ht="18" customHeight="1" x14ac:dyDescent="0.25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118.25633999999999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118.25633999999999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0.23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/>
      <c r="M326" s="26"/>
      <c r="N326" s="26"/>
      <c r="O326" s="29"/>
      <c r="P326" s="29"/>
      <c r="Q326" s="30" t="str">
        <f t="shared" ref="Q326:Q337" ca="1" si="74">IFERROR(IF(O326="","",IF(P326="",MOD(NOW()-O326,1),IF(P326&gt;=O326,P326-O326,P326+1-O326))),"")</f>
        <v/>
      </c>
      <c r="R326" s="27"/>
      <c r="S326" s="47"/>
    </row>
    <row r="327" spans="1:20" ht="15" customHeight="1" x14ac:dyDescent="0.25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0.23</v>
      </c>
      <c r="G327" s="105"/>
      <c r="H327" s="134" t="str">
        <f>IFERROR(IF($G327="","",$G327*$S$338/$G$338/Cadastro!$E$33),"")</f>
        <v/>
      </c>
      <c r="I327" s="135">
        <f>IFERROR(IF($D327="","",VLOOKUP($D327,Cadastro!$C$4:$G$7,5,FALSE)),"")</f>
        <v>0.6</v>
      </c>
      <c r="J327" s="136" t="str">
        <f t="shared" si="72"/>
        <v/>
      </c>
      <c r="K327" s="34" t="str">
        <f t="shared" si="73"/>
        <v/>
      </c>
      <c r="L327" s="26"/>
      <c r="M327" s="26"/>
      <c r="N327" s="26"/>
      <c r="O327" s="29"/>
      <c r="P327" s="29"/>
      <c r="Q327" s="35" t="str">
        <f t="shared" ca="1" si="74"/>
        <v/>
      </c>
      <c r="R327" s="27"/>
      <c r="S327" s="47"/>
    </row>
    <row r="328" spans="1:20" ht="15" customHeight="1" x14ac:dyDescent="0.25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0.23</v>
      </c>
      <c r="G328" s="105"/>
      <c r="H328" s="134" t="str">
        <f>IFERROR(IF($G328="","",$G328*$S$338/$G$338/Cadastro!$E$33),"")</f>
        <v/>
      </c>
      <c r="I328" s="135">
        <f>IFERROR(IF($D328="","",VLOOKUP($D328,Cadastro!$C$4:$G$7,5,FALSE)),"")</f>
        <v>0.6</v>
      </c>
      <c r="J328" s="136" t="str">
        <f t="shared" si="72"/>
        <v/>
      </c>
      <c r="K328" s="28" t="str">
        <f t="shared" si="73"/>
        <v/>
      </c>
      <c r="L328" s="26"/>
      <c r="M328" s="26"/>
      <c r="N328" s="26"/>
      <c r="O328" s="29"/>
      <c r="P328" s="29"/>
      <c r="Q328" s="30" t="str">
        <f t="shared" ca="1" si="74"/>
        <v/>
      </c>
      <c r="R328" s="27"/>
      <c r="S328" s="47"/>
    </row>
    <row r="329" spans="1:20" ht="15" customHeight="1" x14ac:dyDescent="0.25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0.23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2"/>
        <v/>
      </c>
      <c r="K329" s="34" t="str">
        <f t="shared" si="73"/>
        <v/>
      </c>
      <c r="L329" s="33"/>
      <c r="M329" s="33"/>
      <c r="N329" s="33"/>
      <c r="O329" s="29"/>
      <c r="P329" s="29"/>
      <c r="Q329" s="35" t="str">
        <f t="shared" ca="1" si="74"/>
        <v/>
      </c>
      <c r="R329" s="27"/>
      <c r="S329" s="47"/>
    </row>
    <row r="330" spans="1:20" ht="15" customHeight="1" x14ac:dyDescent="0.25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/>
      <c r="F330" s="134">
        <f>IFERROR(IF($D330="","",VLOOKUP($D330,Cadastro!$C$4:$E$7,3,FALSE)),"")</f>
        <v>0.23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2"/>
        <v/>
      </c>
      <c r="K330" s="28" t="str">
        <f t="shared" si="73"/>
        <v/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 x14ac:dyDescent="0.25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/>
      <c r="F331" s="134">
        <f>IFERROR(IF($D331="","",VLOOKUP($D331,Cadastro!$C$4:$E$7,3,FALSE)),"")</f>
        <v>0.23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2"/>
        <v/>
      </c>
      <c r="K331" s="34" t="str">
        <f t="shared" si="73"/>
        <v/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 x14ac:dyDescent="0.25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/>
      <c r="F332" s="134">
        <f>IFERROR(IF($D332="","",VLOOKUP($D332,Cadastro!$C$4:$E$7,3,FALSE)),"")</f>
        <v>0.23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2"/>
        <v/>
      </c>
      <c r="K332" s="28" t="str">
        <f t="shared" si="73"/>
        <v/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 x14ac:dyDescent="0.25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0.23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 x14ac:dyDescent="0.25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0.23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 x14ac:dyDescent="0.25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0.23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 x14ac:dyDescent="0.25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0.23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 x14ac:dyDescent="0.3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0.23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 x14ac:dyDescent="0.3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12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60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242</v>
      </c>
      <c r="S338" s="39"/>
      <c r="T338" s="119">
        <f>IFERROR(J338,"")</f>
        <v>0</v>
      </c>
    </row>
    <row r="339" spans="1:20" ht="15" customHeight="1" x14ac:dyDescent="0.25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 x14ac:dyDescent="0.25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 x14ac:dyDescent="0.25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 x14ac:dyDescent="0.25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 x14ac:dyDescent="0.25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 x14ac:dyDescent="0.25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 x14ac:dyDescent="0.25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 x14ac:dyDescent="0.25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 x14ac:dyDescent="0.25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 x14ac:dyDescent="0.25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 x14ac:dyDescent="0.25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 x14ac:dyDescent="0.3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 x14ac:dyDescent="0.3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 x14ac:dyDescent="0.25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12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60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 x14ac:dyDescent="0.25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 x14ac:dyDescent="0.25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 x14ac:dyDescent="0.25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 x14ac:dyDescent="0.25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 x14ac:dyDescent="0.25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 x14ac:dyDescent="0.25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 x14ac:dyDescent="0.25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 x14ac:dyDescent="0.25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 x14ac:dyDescent="0.25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 x14ac:dyDescent="0.25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 x14ac:dyDescent="0.25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 x14ac:dyDescent="0.3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 x14ac:dyDescent="0.3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 x14ac:dyDescent="0.25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 x14ac:dyDescent="0.25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 x14ac:dyDescent="0.25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 x14ac:dyDescent="0.25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 x14ac:dyDescent="0.25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 x14ac:dyDescent="0.25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 x14ac:dyDescent="0.25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 x14ac:dyDescent="0.25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 x14ac:dyDescent="0.25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 x14ac:dyDescent="0.25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 x14ac:dyDescent="0.25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 x14ac:dyDescent="0.3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 x14ac:dyDescent="0.3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 x14ac:dyDescent="0.25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 x14ac:dyDescent="0.25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 x14ac:dyDescent="0.25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 x14ac:dyDescent="0.25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 x14ac:dyDescent="0.25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 x14ac:dyDescent="0.25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 x14ac:dyDescent="0.25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 x14ac:dyDescent="0.25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 x14ac:dyDescent="0.25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 x14ac:dyDescent="0.25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 x14ac:dyDescent="0.25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 x14ac:dyDescent="0.25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 x14ac:dyDescent="0.3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 x14ac:dyDescent="0.3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 x14ac:dyDescent="0.25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 x14ac:dyDescent="0.25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 x14ac:dyDescent="0.25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 x14ac:dyDescent="0.25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 x14ac:dyDescent="0.25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 x14ac:dyDescent="0.25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 x14ac:dyDescent="0.25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 x14ac:dyDescent="0.25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 x14ac:dyDescent="0.25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 x14ac:dyDescent="0.25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 x14ac:dyDescent="0.25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 x14ac:dyDescent="0.3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 x14ac:dyDescent="0.3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 x14ac:dyDescent="0.25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 x14ac:dyDescent="0.25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 x14ac:dyDescent="0.25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 x14ac:dyDescent="0.25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 x14ac:dyDescent="0.25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 x14ac:dyDescent="0.25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 x14ac:dyDescent="0.25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 x14ac:dyDescent="0.25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 x14ac:dyDescent="0.25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 x14ac:dyDescent="0.25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 x14ac:dyDescent="0.25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 x14ac:dyDescent="0.25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 x14ac:dyDescent="0.3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 x14ac:dyDescent="0.3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 x14ac:dyDescent="0.25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 x14ac:dyDescent="0.25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 x14ac:dyDescent="0.25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 x14ac:dyDescent="0.25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 x14ac:dyDescent="0.25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 x14ac:dyDescent="0.25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 x14ac:dyDescent="0.25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 x14ac:dyDescent="0.25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 x14ac:dyDescent="0.25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 x14ac:dyDescent="0.25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 x14ac:dyDescent="0.3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 x14ac:dyDescent="0.3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 x14ac:dyDescent="0.25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 x14ac:dyDescent="0.25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 x14ac:dyDescent="0.25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 x14ac:dyDescent="0.25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 x14ac:dyDescent="0.25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 x14ac:dyDescent="0.25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 x14ac:dyDescent="0.25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 x14ac:dyDescent="0.25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 x14ac:dyDescent="0.25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 x14ac:dyDescent="0.25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 x14ac:dyDescent="0.25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 x14ac:dyDescent="0.3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 x14ac:dyDescent="0.3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 x14ac:dyDescent="0.25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 x14ac:dyDescent="0.25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 x14ac:dyDescent="0.25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 x14ac:dyDescent="0.25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 x14ac:dyDescent="0.25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 x14ac:dyDescent="0.25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 x14ac:dyDescent="0.25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 x14ac:dyDescent="0.25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 x14ac:dyDescent="0.25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 x14ac:dyDescent="0.25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 x14ac:dyDescent="0.3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 x14ac:dyDescent="0.3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 x14ac:dyDescent="0.25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 x14ac:dyDescent="0.25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 x14ac:dyDescent="0.25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 x14ac:dyDescent="0.25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 x14ac:dyDescent="0.25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 x14ac:dyDescent="0.25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 x14ac:dyDescent="0.25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 x14ac:dyDescent="0.25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 x14ac:dyDescent="0.25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 x14ac:dyDescent="0.25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 x14ac:dyDescent="0.25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 x14ac:dyDescent="0.3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 x14ac:dyDescent="0.3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 x14ac:dyDescent="0.25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 x14ac:dyDescent="0.25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 x14ac:dyDescent="0.25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 x14ac:dyDescent="0.25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 x14ac:dyDescent="0.25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 x14ac:dyDescent="0.25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 x14ac:dyDescent="0.25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 x14ac:dyDescent="0.25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 x14ac:dyDescent="0.25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 x14ac:dyDescent="0.25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 x14ac:dyDescent="0.3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 x14ac:dyDescent="0.3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 x14ac:dyDescent="0.25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 x14ac:dyDescent="0.25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 x14ac:dyDescent="0.25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 x14ac:dyDescent="0.25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 x14ac:dyDescent="0.25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 x14ac:dyDescent="0.25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 x14ac:dyDescent="0.25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 x14ac:dyDescent="0.25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 x14ac:dyDescent="0.25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 x14ac:dyDescent="0.25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 x14ac:dyDescent="0.25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 x14ac:dyDescent="0.3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 x14ac:dyDescent="0.3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 x14ac:dyDescent="0.25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 x14ac:dyDescent="0.25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 x14ac:dyDescent="0.25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 x14ac:dyDescent="0.25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 x14ac:dyDescent="0.25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 x14ac:dyDescent="0.25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 x14ac:dyDescent="0.25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 x14ac:dyDescent="0.25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 x14ac:dyDescent="0.25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 x14ac:dyDescent="0.25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 x14ac:dyDescent="0.3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 x14ac:dyDescent="0.3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 x14ac:dyDescent="0.25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 x14ac:dyDescent="0.25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 x14ac:dyDescent="0.25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 x14ac:dyDescent="0.25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 x14ac:dyDescent="0.25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 x14ac:dyDescent="0.25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 x14ac:dyDescent="0.25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 x14ac:dyDescent="0.25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 x14ac:dyDescent="0.25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 x14ac:dyDescent="0.25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 x14ac:dyDescent="0.25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 x14ac:dyDescent="0.3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 x14ac:dyDescent="0.3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 x14ac:dyDescent="0.25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 x14ac:dyDescent="0.25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 x14ac:dyDescent="0.25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 x14ac:dyDescent="0.25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 x14ac:dyDescent="0.25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 x14ac:dyDescent="0.25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 x14ac:dyDescent="0.25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 x14ac:dyDescent="0.25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 x14ac:dyDescent="0.25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 x14ac:dyDescent="0.25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 x14ac:dyDescent="0.3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 x14ac:dyDescent="0.3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 x14ac:dyDescent="0.25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 x14ac:dyDescent="0.25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 x14ac:dyDescent="0.25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 x14ac:dyDescent="0.25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 x14ac:dyDescent="0.25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 x14ac:dyDescent="0.25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 x14ac:dyDescent="0.25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 x14ac:dyDescent="0.25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 x14ac:dyDescent="0.25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 x14ac:dyDescent="0.25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 x14ac:dyDescent="0.25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 x14ac:dyDescent="0.3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 x14ac:dyDescent="0.3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 x14ac:dyDescent="0.25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 x14ac:dyDescent="0.25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 x14ac:dyDescent="0.25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 x14ac:dyDescent="0.25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 x14ac:dyDescent="0.25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 x14ac:dyDescent="0.25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 x14ac:dyDescent="0.25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 x14ac:dyDescent="0.25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 x14ac:dyDescent="0.25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 x14ac:dyDescent="0.25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 x14ac:dyDescent="0.3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 x14ac:dyDescent="0.3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 x14ac:dyDescent="0.25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 x14ac:dyDescent="0.25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 x14ac:dyDescent="0.25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 x14ac:dyDescent="0.25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 x14ac:dyDescent="0.25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 x14ac:dyDescent="0.25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 x14ac:dyDescent="0.25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 x14ac:dyDescent="0.25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 x14ac:dyDescent="0.25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 x14ac:dyDescent="0.25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 x14ac:dyDescent="0.25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 x14ac:dyDescent="0.3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 x14ac:dyDescent="0.3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 x14ac:dyDescent="0.25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 x14ac:dyDescent="0.25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 x14ac:dyDescent="0.25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 x14ac:dyDescent="0.25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 x14ac:dyDescent="0.25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 x14ac:dyDescent="0.25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 x14ac:dyDescent="0.25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 x14ac:dyDescent="0.25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 x14ac:dyDescent="0.25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 x14ac:dyDescent="0.25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 x14ac:dyDescent="0.3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 x14ac:dyDescent="0.3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 x14ac:dyDescent="0.25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 x14ac:dyDescent="0.25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 x14ac:dyDescent="0.25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 x14ac:dyDescent="0.25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 x14ac:dyDescent="0.25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 x14ac:dyDescent="0.25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 x14ac:dyDescent="0.25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 x14ac:dyDescent="0.25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 x14ac:dyDescent="0.25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 x14ac:dyDescent="0.25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 x14ac:dyDescent="0.25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 x14ac:dyDescent="0.3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 x14ac:dyDescent="0.3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 x14ac:dyDescent="0.25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 x14ac:dyDescent="0.25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 x14ac:dyDescent="0.25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 x14ac:dyDescent="0.25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 x14ac:dyDescent="0.25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 x14ac:dyDescent="0.25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 x14ac:dyDescent="0.25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 x14ac:dyDescent="0.25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 x14ac:dyDescent="0.25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 x14ac:dyDescent="0.25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 x14ac:dyDescent="0.3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 x14ac:dyDescent="0.3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 x14ac:dyDescent="0.25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 x14ac:dyDescent="0.25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 x14ac:dyDescent="0.25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 x14ac:dyDescent="0.25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 x14ac:dyDescent="0.25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 x14ac:dyDescent="0.25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 x14ac:dyDescent="0.25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 x14ac:dyDescent="0.25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 x14ac:dyDescent="0.25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 x14ac:dyDescent="0.25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 x14ac:dyDescent="0.25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 x14ac:dyDescent="0.3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 x14ac:dyDescent="0.3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 x14ac:dyDescent="0.25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 x14ac:dyDescent="0.25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 x14ac:dyDescent="0.25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 x14ac:dyDescent="0.25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 x14ac:dyDescent="0.25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 x14ac:dyDescent="0.25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 x14ac:dyDescent="0.25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 x14ac:dyDescent="0.25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 x14ac:dyDescent="0.25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 x14ac:dyDescent="0.25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 x14ac:dyDescent="0.3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 x14ac:dyDescent="0.3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 x14ac:dyDescent="0.25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 x14ac:dyDescent="0.25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 x14ac:dyDescent="0.25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 x14ac:dyDescent="0.25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 x14ac:dyDescent="0.25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 x14ac:dyDescent="0.25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 x14ac:dyDescent="0.25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 x14ac:dyDescent="0.25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 x14ac:dyDescent="0.25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 x14ac:dyDescent="0.25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 x14ac:dyDescent="0.25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 x14ac:dyDescent="0.3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 x14ac:dyDescent="0.3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 x14ac:dyDescent="0.25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 x14ac:dyDescent="0.25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 x14ac:dyDescent="0.25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 x14ac:dyDescent="0.25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 x14ac:dyDescent="0.25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 x14ac:dyDescent="0.25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 x14ac:dyDescent="0.25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 x14ac:dyDescent="0.25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 x14ac:dyDescent="0.25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 x14ac:dyDescent="0.25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 x14ac:dyDescent="0.3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 x14ac:dyDescent="0.3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 x14ac:dyDescent="0.25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 x14ac:dyDescent="0.25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 x14ac:dyDescent="0.25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 x14ac:dyDescent="0.25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 x14ac:dyDescent="0.25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 x14ac:dyDescent="0.25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 x14ac:dyDescent="0.25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 x14ac:dyDescent="0.25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 x14ac:dyDescent="0.25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 x14ac:dyDescent="0.25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 x14ac:dyDescent="0.25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 x14ac:dyDescent="0.3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 x14ac:dyDescent="0.3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 x14ac:dyDescent="0.25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 x14ac:dyDescent="0.25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 x14ac:dyDescent="0.25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 x14ac:dyDescent="0.25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 x14ac:dyDescent="0.25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 x14ac:dyDescent="0.25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 x14ac:dyDescent="0.25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 x14ac:dyDescent="0.25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 x14ac:dyDescent="0.25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 x14ac:dyDescent="0.25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 x14ac:dyDescent="0.3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 x14ac:dyDescent="0.3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 x14ac:dyDescent="0.25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 x14ac:dyDescent="0.25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 x14ac:dyDescent="0.25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 x14ac:dyDescent="0.25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 x14ac:dyDescent="0.25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 x14ac:dyDescent="0.25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 x14ac:dyDescent="0.25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 x14ac:dyDescent="0.25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 x14ac:dyDescent="0.25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 x14ac:dyDescent="0.25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 x14ac:dyDescent="0.25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 x14ac:dyDescent="0.3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 x14ac:dyDescent="0.3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 x14ac:dyDescent="0.25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 x14ac:dyDescent="0.25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 x14ac:dyDescent="0.25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 x14ac:dyDescent="0.25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 x14ac:dyDescent="0.25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 x14ac:dyDescent="0.25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 x14ac:dyDescent="0.25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 x14ac:dyDescent="0.25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 x14ac:dyDescent="0.25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 x14ac:dyDescent="0.25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 x14ac:dyDescent="0.3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 x14ac:dyDescent="0.3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 x14ac:dyDescent="0.25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 x14ac:dyDescent="0.25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 x14ac:dyDescent="0.25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 x14ac:dyDescent="0.25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 x14ac:dyDescent="0.25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 x14ac:dyDescent="0.25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 x14ac:dyDescent="0.25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 x14ac:dyDescent="0.25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 x14ac:dyDescent="0.25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 x14ac:dyDescent="0.25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 x14ac:dyDescent="0.25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 x14ac:dyDescent="0.3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 x14ac:dyDescent="0.3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 x14ac:dyDescent="0.25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 x14ac:dyDescent="0.25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 x14ac:dyDescent="0.25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 x14ac:dyDescent="0.25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 x14ac:dyDescent="0.25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 x14ac:dyDescent="0.25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 x14ac:dyDescent="0.25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 x14ac:dyDescent="0.25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 x14ac:dyDescent="0.25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 x14ac:dyDescent="0.25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 x14ac:dyDescent="0.3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 x14ac:dyDescent="0.3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 x14ac:dyDescent="0.25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 x14ac:dyDescent="0.25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 x14ac:dyDescent="0.25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 x14ac:dyDescent="0.25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 x14ac:dyDescent="0.25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 x14ac:dyDescent="0.25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 x14ac:dyDescent="0.25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 x14ac:dyDescent="0.25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 x14ac:dyDescent="0.25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 x14ac:dyDescent="0.25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 x14ac:dyDescent="0.25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 x14ac:dyDescent="0.3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 x14ac:dyDescent="0.3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 x14ac:dyDescent="0.25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 x14ac:dyDescent="0.25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 x14ac:dyDescent="0.25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 x14ac:dyDescent="0.25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 x14ac:dyDescent="0.25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 x14ac:dyDescent="0.25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 x14ac:dyDescent="0.25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 x14ac:dyDescent="0.25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 x14ac:dyDescent="0.25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 x14ac:dyDescent="0.25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 x14ac:dyDescent="0.3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 x14ac:dyDescent="0.3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 x14ac:dyDescent="0.25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 x14ac:dyDescent="0.25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 x14ac:dyDescent="0.25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 x14ac:dyDescent="0.25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 x14ac:dyDescent="0.25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 x14ac:dyDescent="0.25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 x14ac:dyDescent="0.25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 x14ac:dyDescent="0.25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 x14ac:dyDescent="0.25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 x14ac:dyDescent="0.25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 x14ac:dyDescent="0.25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 x14ac:dyDescent="0.3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 x14ac:dyDescent="0.3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 x14ac:dyDescent="0.25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 x14ac:dyDescent="0.25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 x14ac:dyDescent="0.25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 x14ac:dyDescent="0.25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 x14ac:dyDescent="0.25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 x14ac:dyDescent="0.25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 x14ac:dyDescent="0.25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 x14ac:dyDescent="0.25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 x14ac:dyDescent="0.25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 x14ac:dyDescent="0.25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 x14ac:dyDescent="0.3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 x14ac:dyDescent="0.3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 x14ac:dyDescent="0.25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 x14ac:dyDescent="0.25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 x14ac:dyDescent="0.25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 x14ac:dyDescent="0.25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 x14ac:dyDescent="0.25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 x14ac:dyDescent="0.25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 x14ac:dyDescent="0.25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 x14ac:dyDescent="0.25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 x14ac:dyDescent="0.25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 x14ac:dyDescent="0.25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 x14ac:dyDescent="0.25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 x14ac:dyDescent="0.3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 x14ac:dyDescent="0.3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 x14ac:dyDescent="0.25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 x14ac:dyDescent="0.25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 x14ac:dyDescent="0.25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 x14ac:dyDescent="0.25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 x14ac:dyDescent="0.25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 x14ac:dyDescent="0.25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 x14ac:dyDescent="0.25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 x14ac:dyDescent="0.25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 x14ac:dyDescent="0.25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 x14ac:dyDescent="0.25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 x14ac:dyDescent="0.3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 x14ac:dyDescent="0.3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 x14ac:dyDescent="0.25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22" activePane="bottomLeft" state="frozen"/>
      <selection pane="bottomLeft" activeCell="E327" sqref="E327"/>
    </sheetView>
  </sheetViews>
  <sheetFormatPr defaultColWidth="8.5703125" defaultRowHeight="15" x14ac:dyDescent="0.2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 x14ac:dyDescent="0.25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263</v>
      </c>
      <c r="I1" s="133" t="s">
        <v>18</v>
      </c>
      <c r="J1" s="133" t="s">
        <v>264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264</v>
      </c>
    </row>
    <row r="2" spans="1:20" ht="15" customHeight="1" x14ac:dyDescent="0.25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 x14ac:dyDescent="0.25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 x14ac:dyDescent="0.3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 x14ac:dyDescent="0.25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307</v>
      </c>
      <c r="S16" s="60"/>
    </row>
    <row r="17" spans="1:20" ht="15" customHeight="1" x14ac:dyDescent="0.25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271</v>
      </c>
      <c r="S17" s="60"/>
    </row>
    <row r="18" spans="1:20" ht="15" customHeight="1" x14ac:dyDescent="0.25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291</v>
      </c>
      <c r="S18" s="60"/>
    </row>
    <row r="19" spans="1:20" ht="15" customHeight="1" x14ac:dyDescent="0.25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308</v>
      </c>
      <c r="S19" s="60"/>
    </row>
    <row r="20" spans="1:20" ht="15" customHeight="1" x14ac:dyDescent="0.25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 x14ac:dyDescent="0.25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 x14ac:dyDescent="0.25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309</v>
      </c>
      <c r="S22" s="60"/>
    </row>
    <row r="23" spans="1:20" ht="15" customHeight="1" x14ac:dyDescent="0.25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 x14ac:dyDescent="0.25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 x14ac:dyDescent="0.25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 x14ac:dyDescent="0.3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 x14ac:dyDescent="0.3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 x14ac:dyDescent="0.25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 x14ac:dyDescent="0.3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 x14ac:dyDescent="0.25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 x14ac:dyDescent="0.25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 x14ac:dyDescent="0.25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310</v>
      </c>
      <c r="S45" s="60"/>
    </row>
    <row r="46" spans="1:20" ht="15" customHeight="1" x14ac:dyDescent="0.25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 x14ac:dyDescent="0.25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 x14ac:dyDescent="0.25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 x14ac:dyDescent="0.25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 x14ac:dyDescent="0.25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 x14ac:dyDescent="0.25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 x14ac:dyDescent="0.25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 x14ac:dyDescent="0.3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 x14ac:dyDescent="0.3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 x14ac:dyDescent="0.25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311</v>
      </c>
      <c r="S59" s="60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312</v>
      </c>
      <c r="S60" s="60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 x14ac:dyDescent="0.3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 x14ac:dyDescent="0.3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 x14ac:dyDescent="0.25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313</v>
      </c>
      <c r="S69" s="60"/>
    </row>
    <row r="70" spans="1:20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 x14ac:dyDescent="0.25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 x14ac:dyDescent="0.25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291</v>
      </c>
      <c r="S72" s="60"/>
    </row>
    <row r="73" spans="1:20" ht="15" customHeight="1" x14ac:dyDescent="0.25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 x14ac:dyDescent="0.25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 x14ac:dyDescent="0.25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 x14ac:dyDescent="0.25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 x14ac:dyDescent="0.25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 x14ac:dyDescent="0.25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 x14ac:dyDescent="0.25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 x14ac:dyDescent="0.3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 x14ac:dyDescent="0.3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 x14ac:dyDescent="0.25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 x14ac:dyDescent="0.3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 x14ac:dyDescent="0.3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 x14ac:dyDescent="0.25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291</v>
      </c>
      <c r="S97" s="60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 x14ac:dyDescent="0.3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 x14ac:dyDescent="0.3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 x14ac:dyDescent="0.25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314</v>
      </c>
      <c r="S114" s="60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 x14ac:dyDescent="0.3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 x14ac:dyDescent="0.3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 x14ac:dyDescent="0.25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315</v>
      </c>
      <c r="S124" s="60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274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 x14ac:dyDescent="0.25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291</v>
      </c>
      <c r="S129" s="60"/>
    </row>
    <row r="130" spans="1:22" ht="15" customHeight="1" x14ac:dyDescent="0.25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 x14ac:dyDescent="0.25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 x14ac:dyDescent="0.25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 x14ac:dyDescent="0.25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 x14ac:dyDescent="0.3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 x14ac:dyDescent="0.3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 x14ac:dyDescent="0.25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 x14ac:dyDescent="0.25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316</v>
      </c>
      <c r="S138" s="31"/>
    </row>
    <row r="139" spans="1:22" ht="15" customHeight="1" x14ac:dyDescent="0.25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317</v>
      </c>
      <c r="S139" s="31"/>
    </row>
    <row r="140" spans="1:22" ht="15" customHeight="1" x14ac:dyDescent="0.25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 x14ac:dyDescent="0.25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 x14ac:dyDescent="0.25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 x14ac:dyDescent="0.25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 x14ac:dyDescent="0.25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 x14ac:dyDescent="0.25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282</v>
      </c>
      <c r="S146" s="31"/>
    </row>
    <row r="147" spans="1:20" ht="15" customHeight="1" x14ac:dyDescent="0.25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 x14ac:dyDescent="0.25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318</v>
      </c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319</v>
      </c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 x14ac:dyDescent="0.25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320</v>
      </c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 x14ac:dyDescent="0.25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321</v>
      </c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 x14ac:dyDescent="0.25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322</v>
      </c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 x14ac:dyDescent="0.25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323</v>
      </c>
      <c r="S204" s="60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324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325</v>
      </c>
      <c r="S206" s="60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 x14ac:dyDescent="0.3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 x14ac:dyDescent="0.25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326</v>
      </c>
      <c r="S220" s="60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327</v>
      </c>
      <c r="S221" s="60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 x14ac:dyDescent="0.3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 x14ac:dyDescent="0.25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328</v>
      </c>
      <c r="S231" s="60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329</v>
      </c>
      <c r="S232" s="60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 x14ac:dyDescent="0.3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 x14ac:dyDescent="0.25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330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331</v>
      </c>
      <c r="S249" s="60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 x14ac:dyDescent="0.3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 x14ac:dyDescent="0.25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 x14ac:dyDescent="0.25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 x14ac:dyDescent="0.25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 x14ac:dyDescent="0.25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 x14ac:dyDescent="0.25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 x14ac:dyDescent="0.25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 x14ac:dyDescent="0.25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 x14ac:dyDescent="0.25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 x14ac:dyDescent="0.25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 x14ac:dyDescent="0.25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 x14ac:dyDescent="0.3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 x14ac:dyDescent="0.3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 x14ac:dyDescent="0.25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 x14ac:dyDescent="0.25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 x14ac:dyDescent="0.25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 x14ac:dyDescent="0.25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 x14ac:dyDescent="0.25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 x14ac:dyDescent="0.25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 x14ac:dyDescent="0.25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 x14ac:dyDescent="0.25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 x14ac:dyDescent="0.25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 x14ac:dyDescent="0.25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 x14ac:dyDescent="0.25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 x14ac:dyDescent="0.3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 x14ac:dyDescent="0.3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 x14ac:dyDescent="0.25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 x14ac:dyDescent="0.25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 x14ac:dyDescent="0.25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 x14ac:dyDescent="0.25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 x14ac:dyDescent="0.25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 x14ac:dyDescent="0.25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 x14ac:dyDescent="0.25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 x14ac:dyDescent="0.25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 x14ac:dyDescent="0.25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 x14ac:dyDescent="0.25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 x14ac:dyDescent="0.25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 x14ac:dyDescent="0.3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 x14ac:dyDescent="0.3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 x14ac:dyDescent="0.25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0.23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10.230867187499999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 x14ac:dyDescent="0.25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0.23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11.5949828125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 x14ac:dyDescent="0.25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0.23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15.005271875000002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 x14ac:dyDescent="0.25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0.23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6.8205781249999999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 x14ac:dyDescent="0.25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0.23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19.779676562500004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 x14ac:dyDescent="0.25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0.23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20.461734374999999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 x14ac:dyDescent="0.25">
      <c r="A305" s="68">
        <v>46246</v>
      </c>
      <c r="B305" s="32">
        <f t="shared" si="69"/>
        <v>0.58333333333333304</v>
      </c>
      <c r="C305" s="33" t="s">
        <v>34</v>
      </c>
      <c r="D305" s="62" t="s">
        <v>35</v>
      </c>
      <c r="E305" s="109" t="s">
        <v>256</v>
      </c>
      <c r="F305" s="134">
        <f>IFERROR(IF($D305="","",VLOOKUP($D305,Cadastro!$C$4:$E$7,3,FALSE)),"")</f>
        <v>0.23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13.64115625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 x14ac:dyDescent="0.25">
      <c r="A306" s="67">
        <v>46246</v>
      </c>
      <c r="B306" s="25">
        <f t="shared" si="69"/>
        <v>0.62499999999999967</v>
      </c>
      <c r="C306" s="33" t="s">
        <v>34</v>
      </c>
      <c r="D306" s="62" t="s">
        <v>35</v>
      </c>
      <c r="E306" s="109" t="s">
        <v>256</v>
      </c>
      <c r="F306" s="134">
        <f>IFERROR(IF($D306="","",VLOOKUP($D306,Cadastro!$C$4:$E$7,3,FALSE)),"")</f>
        <v>0.23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6.8205781249999999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 x14ac:dyDescent="0.25">
      <c r="A307" s="68">
        <v>46246</v>
      </c>
      <c r="B307" s="32">
        <f t="shared" si="69"/>
        <v>0.6666666666666663</v>
      </c>
      <c r="C307" s="33" t="s">
        <v>34</v>
      </c>
      <c r="D307" s="62" t="s">
        <v>35</v>
      </c>
      <c r="E307" s="109" t="s">
        <v>256</v>
      </c>
      <c r="F307" s="134">
        <f>IFERROR(IF($D307="","",VLOOKUP($D307,Cadastro!$C$4:$E$7,3,FALSE)),"")</f>
        <v>0.23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10.230867187499999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 x14ac:dyDescent="0.25">
      <c r="A308" s="67">
        <v>46246</v>
      </c>
      <c r="B308" s="25">
        <f t="shared" si="69"/>
        <v>0.70833333333333293</v>
      </c>
      <c r="C308" s="33" t="s">
        <v>34</v>
      </c>
      <c r="D308" s="62" t="s">
        <v>35</v>
      </c>
      <c r="E308" s="109" t="s">
        <v>256</v>
      </c>
      <c r="F308" s="134">
        <f>IFERROR(IF($D308="","",VLOOKUP($D308,Cadastro!$C$4:$E$7,3,FALSE)),"")</f>
        <v>0.23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 x14ac:dyDescent="0.25">
      <c r="A309" s="68">
        <v>46246</v>
      </c>
      <c r="B309" s="32">
        <f t="shared" si="69"/>
        <v>0.74999999999999956</v>
      </c>
      <c r="C309" s="33" t="s">
        <v>34</v>
      </c>
      <c r="D309" s="62" t="s">
        <v>35</v>
      </c>
      <c r="E309" s="109" t="s">
        <v>256</v>
      </c>
      <c r="F309" s="134">
        <f>IFERROR(IF($D309="","",VLOOKUP($D309,Cadastro!$C$4:$E$7,3,FALSE)),"")</f>
        <v>0.23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9.5488093749999994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 x14ac:dyDescent="0.3">
      <c r="A310" s="67">
        <v>46246</v>
      </c>
      <c r="B310" s="25">
        <f t="shared" si="69"/>
        <v>0.79166666666666619</v>
      </c>
      <c r="C310" s="33" t="s">
        <v>34</v>
      </c>
      <c r="D310" s="62" t="s">
        <v>35</v>
      </c>
      <c r="E310" s="109" t="s">
        <v>256</v>
      </c>
      <c r="F310" s="137">
        <f>IFERROR(IF($D310="","",VLOOKUP($D310,Cadastro!$C$4:$E$7,3,FALSE)),"")</f>
        <v>0.23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6.8205781249999999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 x14ac:dyDescent="0.3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130.95510000000002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130.95510000000002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0.23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14.423425454545454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 x14ac:dyDescent="0.25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0.23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10.660792727272726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 x14ac:dyDescent="0.25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0.23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21.94869090909091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 x14ac:dyDescent="0.25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0.23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1.8813163636363637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 x14ac:dyDescent="0.25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0.23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12.54210909090909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 x14ac:dyDescent="0.25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0.23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15.050530909090909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 x14ac:dyDescent="0.25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0.23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8.7794763636363626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 x14ac:dyDescent="0.25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0.23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15.050530909090909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 x14ac:dyDescent="0.25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0.23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10.660792727272726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 x14ac:dyDescent="0.25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0.23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10.033687272727272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 x14ac:dyDescent="0.25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0.23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12.54210909090909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 x14ac:dyDescent="0.3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0.23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11.287898181818182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 x14ac:dyDescent="0.3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144.86135999999999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144.86135999999999</v>
      </c>
    </row>
    <row r="325" spans="1:20" ht="18" customHeight="1" x14ac:dyDescent="0.25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275.81646000000001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275.81646000000001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0.23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/>
      <c r="M326" s="26"/>
      <c r="N326" s="26"/>
      <c r="O326" s="29"/>
      <c r="P326" s="29"/>
      <c r="Q326" s="30" t="str">
        <f t="shared" ref="Q326:Q337" ca="1" si="75">IFERROR(IF(O326="","",IF(P326="",MOD(NOW()-O326,1),IF(P326&gt;=O326,P326-O326,P326+1-O326))),"")</f>
        <v/>
      </c>
      <c r="R326" s="27"/>
      <c r="S326" s="60"/>
    </row>
    <row r="327" spans="1:20" ht="15" customHeight="1" x14ac:dyDescent="0.25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0.23</v>
      </c>
      <c r="G327" s="105"/>
      <c r="H327" s="134" t="str">
        <f>IFERROR(IF($G327="","",$G327*$S$338/$G$338/Cadastro!$E$33),"")</f>
        <v/>
      </c>
      <c r="I327" s="135">
        <f>IFERROR(IF($D327="","",VLOOKUP($D327,Cadastro!$C$4:$G$7,5,FALSE)),"")</f>
        <v>0.6</v>
      </c>
      <c r="J327" s="136" t="str">
        <f t="shared" si="74"/>
        <v/>
      </c>
      <c r="K327" s="34"/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 x14ac:dyDescent="0.25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256</v>
      </c>
      <c r="F328" s="134">
        <f>IFERROR(IF($D328="","",VLOOKUP($D328,Cadastro!$C$4:$E$7,3,FALSE)),"")</f>
        <v>0.23</v>
      </c>
      <c r="G328" s="105"/>
      <c r="H328" s="134" t="str">
        <f>IFERROR(IF($G328="","",$G328*$S$338/$G$338/Cadastro!$E$33),"")</f>
        <v/>
      </c>
      <c r="I328" s="135">
        <f>IFERROR(IF($D328="","",VLOOKUP($D328,Cadastro!$C$4:$G$7,5,FALSE)),"")</f>
        <v>0.6</v>
      </c>
      <c r="J328" s="136" t="str">
        <f t="shared" si="74"/>
        <v/>
      </c>
      <c r="K328" s="28" t="str">
        <f t="shared" ref="K328:K337" si="77">IF(G328="","",IF(E328="PC 17",G328*4.2,IF(E328="PC 19",G328*5,IF(E328="CB",G328*24,""))))</f>
        <v/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 x14ac:dyDescent="0.25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256</v>
      </c>
      <c r="F329" s="134">
        <f>IFERROR(IF($D329="","",VLOOKUP($D329,Cadastro!$C$4:$E$7,3,FALSE)),"")</f>
        <v>0.23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4"/>
        <v/>
      </c>
      <c r="K329" s="34" t="str">
        <f t="shared" si="77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 x14ac:dyDescent="0.25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0.23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7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 x14ac:dyDescent="0.25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0.23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7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 x14ac:dyDescent="0.25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0.23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 x14ac:dyDescent="0.25">
      <c r="A333" s="68">
        <v>46247</v>
      </c>
      <c r="B333" s="32">
        <f t="shared" si="76"/>
        <v>0.62499999999999967</v>
      </c>
      <c r="C333" s="26" t="s">
        <v>34</v>
      </c>
      <c r="D333" s="59" t="s">
        <v>43</v>
      </c>
      <c r="E333" s="108"/>
      <c r="F333" s="134">
        <f>IFERROR(IF($D333="","",VLOOKUP($D333,Cadastro!$C$4:$E$7,3,FALSE)),"")</f>
        <v>0.21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0.55000000000000004</v>
      </c>
      <c r="J333" s="136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 x14ac:dyDescent="0.25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0.23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 x14ac:dyDescent="0.25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0.23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 x14ac:dyDescent="0.25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0.23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 x14ac:dyDescent="0.3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0.23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 x14ac:dyDescent="0.3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13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65</v>
      </c>
      <c r="L338" s="37"/>
      <c r="M338" s="37"/>
      <c r="N338" s="37"/>
      <c r="O338" s="61"/>
      <c r="P338" s="61"/>
      <c r="Q338" s="38">
        <f ca="1">IFERROR(SUM(Q326:Q337),"")</f>
        <v>0</v>
      </c>
      <c r="R338" s="36" t="s">
        <v>242</v>
      </c>
      <c r="S338" s="39"/>
      <c r="T338" s="119">
        <f>IFERROR(J338,"")</f>
        <v>0</v>
      </c>
    </row>
    <row r="339" spans="1:20" ht="15" customHeight="1" x14ac:dyDescent="0.25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 x14ac:dyDescent="0.25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 x14ac:dyDescent="0.25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 x14ac:dyDescent="0.25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 x14ac:dyDescent="0.25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 x14ac:dyDescent="0.25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 x14ac:dyDescent="0.25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 x14ac:dyDescent="0.25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 x14ac:dyDescent="0.25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 x14ac:dyDescent="0.25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 x14ac:dyDescent="0.25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 x14ac:dyDescent="0.3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 x14ac:dyDescent="0.3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 x14ac:dyDescent="0.25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13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65</v>
      </c>
      <c r="L352" s="41"/>
      <c r="M352" s="41"/>
      <c r="N352" s="41"/>
      <c r="O352" s="63"/>
      <c r="P352" s="63"/>
      <c r="Q352" s="42">
        <f ca="1">IFERROR(Q338+Q351,"")</f>
        <v>0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 x14ac:dyDescent="0.25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 x14ac:dyDescent="0.25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 x14ac:dyDescent="0.25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 x14ac:dyDescent="0.25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 x14ac:dyDescent="0.25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 x14ac:dyDescent="0.25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 x14ac:dyDescent="0.25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 x14ac:dyDescent="0.25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 x14ac:dyDescent="0.25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 x14ac:dyDescent="0.25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 x14ac:dyDescent="0.25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 x14ac:dyDescent="0.3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 x14ac:dyDescent="0.3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 x14ac:dyDescent="0.25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 x14ac:dyDescent="0.25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 x14ac:dyDescent="0.25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 x14ac:dyDescent="0.25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 x14ac:dyDescent="0.25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 x14ac:dyDescent="0.25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 x14ac:dyDescent="0.25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 x14ac:dyDescent="0.25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 x14ac:dyDescent="0.25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 x14ac:dyDescent="0.25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 x14ac:dyDescent="0.25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 x14ac:dyDescent="0.3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 x14ac:dyDescent="0.3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 x14ac:dyDescent="0.25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 x14ac:dyDescent="0.25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 x14ac:dyDescent="0.25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 x14ac:dyDescent="0.25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 x14ac:dyDescent="0.25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 x14ac:dyDescent="0.25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 x14ac:dyDescent="0.25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 x14ac:dyDescent="0.25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 x14ac:dyDescent="0.25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 x14ac:dyDescent="0.25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 x14ac:dyDescent="0.25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 x14ac:dyDescent="0.25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 x14ac:dyDescent="0.3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 x14ac:dyDescent="0.3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 x14ac:dyDescent="0.25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 x14ac:dyDescent="0.25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 x14ac:dyDescent="0.25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 x14ac:dyDescent="0.25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 x14ac:dyDescent="0.25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 x14ac:dyDescent="0.25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 x14ac:dyDescent="0.25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 x14ac:dyDescent="0.25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 x14ac:dyDescent="0.25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 x14ac:dyDescent="0.25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 x14ac:dyDescent="0.25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 x14ac:dyDescent="0.3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 x14ac:dyDescent="0.3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 x14ac:dyDescent="0.25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 x14ac:dyDescent="0.25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 x14ac:dyDescent="0.25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 x14ac:dyDescent="0.25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 x14ac:dyDescent="0.25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 x14ac:dyDescent="0.25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 x14ac:dyDescent="0.25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 x14ac:dyDescent="0.25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 x14ac:dyDescent="0.25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 x14ac:dyDescent="0.25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 x14ac:dyDescent="0.25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 x14ac:dyDescent="0.25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 x14ac:dyDescent="0.3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 x14ac:dyDescent="0.3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 x14ac:dyDescent="0.25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 x14ac:dyDescent="0.25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 x14ac:dyDescent="0.25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 x14ac:dyDescent="0.25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 x14ac:dyDescent="0.25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 x14ac:dyDescent="0.25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 x14ac:dyDescent="0.25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 x14ac:dyDescent="0.25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 x14ac:dyDescent="0.25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 x14ac:dyDescent="0.25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 x14ac:dyDescent="0.3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 x14ac:dyDescent="0.3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 x14ac:dyDescent="0.25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 x14ac:dyDescent="0.25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 x14ac:dyDescent="0.25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 x14ac:dyDescent="0.25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 x14ac:dyDescent="0.25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 x14ac:dyDescent="0.25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 x14ac:dyDescent="0.25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 x14ac:dyDescent="0.25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 x14ac:dyDescent="0.25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 x14ac:dyDescent="0.25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 x14ac:dyDescent="0.25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 x14ac:dyDescent="0.3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 x14ac:dyDescent="0.3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 x14ac:dyDescent="0.2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 x14ac:dyDescent="0.2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 x14ac:dyDescent="0.25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 x14ac:dyDescent="0.2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 x14ac:dyDescent="0.2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 x14ac:dyDescent="0.2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 x14ac:dyDescent="0.2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 x14ac:dyDescent="0.2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 x14ac:dyDescent="0.2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 x14ac:dyDescent="0.2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 x14ac:dyDescent="0.3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 x14ac:dyDescent="0.3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 x14ac:dyDescent="0.25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 x14ac:dyDescent="0.2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 x14ac:dyDescent="0.2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 x14ac:dyDescent="0.2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 x14ac:dyDescent="0.2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 x14ac:dyDescent="0.2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 x14ac:dyDescent="0.2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 x14ac:dyDescent="0.2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 x14ac:dyDescent="0.2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 x14ac:dyDescent="0.2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 x14ac:dyDescent="0.2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 x14ac:dyDescent="0.3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 x14ac:dyDescent="0.3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 x14ac:dyDescent="0.2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 x14ac:dyDescent="0.2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 x14ac:dyDescent="0.2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 x14ac:dyDescent="0.2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 x14ac:dyDescent="0.2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 x14ac:dyDescent="0.2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 x14ac:dyDescent="0.2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 x14ac:dyDescent="0.2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 x14ac:dyDescent="0.2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 x14ac:dyDescent="0.2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 x14ac:dyDescent="0.3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 x14ac:dyDescent="0.3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 x14ac:dyDescent="0.25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 x14ac:dyDescent="0.25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 x14ac:dyDescent="0.25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 x14ac:dyDescent="0.25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 x14ac:dyDescent="0.25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 x14ac:dyDescent="0.25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 x14ac:dyDescent="0.25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 x14ac:dyDescent="0.25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 x14ac:dyDescent="0.25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 x14ac:dyDescent="0.25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 x14ac:dyDescent="0.25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 x14ac:dyDescent="0.3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 x14ac:dyDescent="0.3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 x14ac:dyDescent="0.2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 x14ac:dyDescent="0.2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 x14ac:dyDescent="0.2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 x14ac:dyDescent="0.2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 x14ac:dyDescent="0.2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 x14ac:dyDescent="0.2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 x14ac:dyDescent="0.2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 x14ac:dyDescent="0.2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 x14ac:dyDescent="0.2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 x14ac:dyDescent="0.2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 x14ac:dyDescent="0.3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 x14ac:dyDescent="0.3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 x14ac:dyDescent="0.25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 x14ac:dyDescent="0.2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 x14ac:dyDescent="0.2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 x14ac:dyDescent="0.2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 x14ac:dyDescent="0.2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 x14ac:dyDescent="0.2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 x14ac:dyDescent="0.2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 x14ac:dyDescent="0.2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 x14ac:dyDescent="0.2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 x14ac:dyDescent="0.2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 x14ac:dyDescent="0.2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 x14ac:dyDescent="0.3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 x14ac:dyDescent="0.3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 x14ac:dyDescent="0.2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 x14ac:dyDescent="0.2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 x14ac:dyDescent="0.2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 x14ac:dyDescent="0.2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 x14ac:dyDescent="0.2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 x14ac:dyDescent="0.2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 x14ac:dyDescent="0.2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 x14ac:dyDescent="0.2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 x14ac:dyDescent="0.2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 x14ac:dyDescent="0.2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 x14ac:dyDescent="0.3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 x14ac:dyDescent="0.3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 x14ac:dyDescent="0.25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 x14ac:dyDescent="0.2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 x14ac:dyDescent="0.2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 x14ac:dyDescent="0.2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 x14ac:dyDescent="0.2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 x14ac:dyDescent="0.2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 x14ac:dyDescent="0.2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 x14ac:dyDescent="0.2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 x14ac:dyDescent="0.2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 x14ac:dyDescent="0.2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 x14ac:dyDescent="0.2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 x14ac:dyDescent="0.3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 x14ac:dyDescent="0.3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 x14ac:dyDescent="0.25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 x14ac:dyDescent="0.25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 x14ac:dyDescent="0.25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 x14ac:dyDescent="0.25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 x14ac:dyDescent="0.25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 x14ac:dyDescent="0.25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 x14ac:dyDescent="0.25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 x14ac:dyDescent="0.25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 x14ac:dyDescent="0.25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 x14ac:dyDescent="0.25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 x14ac:dyDescent="0.3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 x14ac:dyDescent="0.3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 x14ac:dyDescent="0.25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 x14ac:dyDescent="0.2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 x14ac:dyDescent="0.2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 x14ac:dyDescent="0.2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 x14ac:dyDescent="0.2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 x14ac:dyDescent="0.2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 x14ac:dyDescent="0.2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 x14ac:dyDescent="0.2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 x14ac:dyDescent="0.2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 x14ac:dyDescent="0.2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 x14ac:dyDescent="0.2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 x14ac:dyDescent="0.3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 x14ac:dyDescent="0.3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 x14ac:dyDescent="0.2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 x14ac:dyDescent="0.2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 x14ac:dyDescent="0.2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 x14ac:dyDescent="0.2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 x14ac:dyDescent="0.2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 x14ac:dyDescent="0.2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 x14ac:dyDescent="0.2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 x14ac:dyDescent="0.2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 x14ac:dyDescent="0.2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 x14ac:dyDescent="0.2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 x14ac:dyDescent="0.3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 x14ac:dyDescent="0.3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 x14ac:dyDescent="0.25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 x14ac:dyDescent="0.2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 x14ac:dyDescent="0.2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 x14ac:dyDescent="0.2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 x14ac:dyDescent="0.2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 x14ac:dyDescent="0.2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 x14ac:dyDescent="0.2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 x14ac:dyDescent="0.2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 x14ac:dyDescent="0.2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 x14ac:dyDescent="0.2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 x14ac:dyDescent="0.2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 x14ac:dyDescent="0.3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 x14ac:dyDescent="0.3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 x14ac:dyDescent="0.2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 x14ac:dyDescent="0.2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 x14ac:dyDescent="0.2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 x14ac:dyDescent="0.2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 x14ac:dyDescent="0.2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 x14ac:dyDescent="0.2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 x14ac:dyDescent="0.2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 x14ac:dyDescent="0.2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 x14ac:dyDescent="0.2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 x14ac:dyDescent="0.2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 x14ac:dyDescent="0.3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 x14ac:dyDescent="0.3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 x14ac:dyDescent="0.25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 x14ac:dyDescent="0.2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 x14ac:dyDescent="0.2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 x14ac:dyDescent="0.2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 x14ac:dyDescent="0.2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 x14ac:dyDescent="0.2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 x14ac:dyDescent="0.2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 x14ac:dyDescent="0.2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 x14ac:dyDescent="0.2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 x14ac:dyDescent="0.2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 x14ac:dyDescent="0.2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 x14ac:dyDescent="0.3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 x14ac:dyDescent="0.3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 x14ac:dyDescent="0.2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 x14ac:dyDescent="0.2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 x14ac:dyDescent="0.2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 x14ac:dyDescent="0.2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 x14ac:dyDescent="0.2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 x14ac:dyDescent="0.2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 x14ac:dyDescent="0.2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 x14ac:dyDescent="0.2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 x14ac:dyDescent="0.2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 x14ac:dyDescent="0.2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 x14ac:dyDescent="0.3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 x14ac:dyDescent="0.3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 x14ac:dyDescent="0.25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 x14ac:dyDescent="0.2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 x14ac:dyDescent="0.2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 x14ac:dyDescent="0.2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 x14ac:dyDescent="0.2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 x14ac:dyDescent="0.2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 x14ac:dyDescent="0.2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 x14ac:dyDescent="0.2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 x14ac:dyDescent="0.2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 x14ac:dyDescent="0.2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 x14ac:dyDescent="0.2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 x14ac:dyDescent="0.3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 x14ac:dyDescent="0.3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 x14ac:dyDescent="0.2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 x14ac:dyDescent="0.2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 x14ac:dyDescent="0.2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 x14ac:dyDescent="0.2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 x14ac:dyDescent="0.2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 x14ac:dyDescent="0.2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 x14ac:dyDescent="0.2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 x14ac:dyDescent="0.2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 x14ac:dyDescent="0.2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 x14ac:dyDescent="0.2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 x14ac:dyDescent="0.3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 x14ac:dyDescent="0.3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 x14ac:dyDescent="0.25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 x14ac:dyDescent="0.2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 x14ac:dyDescent="0.2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 x14ac:dyDescent="0.2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 x14ac:dyDescent="0.2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 x14ac:dyDescent="0.2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 x14ac:dyDescent="0.2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 x14ac:dyDescent="0.2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 x14ac:dyDescent="0.2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 x14ac:dyDescent="0.2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 x14ac:dyDescent="0.2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 x14ac:dyDescent="0.3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 x14ac:dyDescent="0.3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 x14ac:dyDescent="0.2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 x14ac:dyDescent="0.2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 x14ac:dyDescent="0.2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 x14ac:dyDescent="0.2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 x14ac:dyDescent="0.2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 x14ac:dyDescent="0.2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 x14ac:dyDescent="0.2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 x14ac:dyDescent="0.2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 x14ac:dyDescent="0.2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 x14ac:dyDescent="0.2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 x14ac:dyDescent="0.3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 x14ac:dyDescent="0.3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 x14ac:dyDescent="0.25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 x14ac:dyDescent="0.2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 x14ac:dyDescent="0.2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 x14ac:dyDescent="0.2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 x14ac:dyDescent="0.2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 x14ac:dyDescent="0.2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 x14ac:dyDescent="0.2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 x14ac:dyDescent="0.2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 x14ac:dyDescent="0.2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 x14ac:dyDescent="0.2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 x14ac:dyDescent="0.2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 x14ac:dyDescent="0.3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 x14ac:dyDescent="0.3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 x14ac:dyDescent="0.2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 x14ac:dyDescent="0.2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 x14ac:dyDescent="0.2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 x14ac:dyDescent="0.2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 x14ac:dyDescent="0.2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 x14ac:dyDescent="0.2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 x14ac:dyDescent="0.2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 x14ac:dyDescent="0.2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 x14ac:dyDescent="0.2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 x14ac:dyDescent="0.2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 x14ac:dyDescent="0.3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 x14ac:dyDescent="0.3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 x14ac:dyDescent="0.25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 x14ac:dyDescent="0.2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 x14ac:dyDescent="0.2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 x14ac:dyDescent="0.2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 x14ac:dyDescent="0.2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 x14ac:dyDescent="0.2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 x14ac:dyDescent="0.2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 x14ac:dyDescent="0.2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 x14ac:dyDescent="0.2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 x14ac:dyDescent="0.2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 x14ac:dyDescent="0.2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 x14ac:dyDescent="0.3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 x14ac:dyDescent="0.3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 x14ac:dyDescent="0.2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 x14ac:dyDescent="0.2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 x14ac:dyDescent="0.2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 x14ac:dyDescent="0.2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 x14ac:dyDescent="0.2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 x14ac:dyDescent="0.2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 x14ac:dyDescent="0.2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 x14ac:dyDescent="0.2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 x14ac:dyDescent="0.2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 x14ac:dyDescent="0.2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 x14ac:dyDescent="0.3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 x14ac:dyDescent="0.3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 x14ac:dyDescent="0.25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 x14ac:dyDescent="0.2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 x14ac:dyDescent="0.2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 x14ac:dyDescent="0.2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 x14ac:dyDescent="0.2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 x14ac:dyDescent="0.2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 x14ac:dyDescent="0.2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 x14ac:dyDescent="0.2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 x14ac:dyDescent="0.2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 x14ac:dyDescent="0.2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 x14ac:dyDescent="0.2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 x14ac:dyDescent="0.3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 x14ac:dyDescent="0.3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 x14ac:dyDescent="0.2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 x14ac:dyDescent="0.2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 x14ac:dyDescent="0.2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 x14ac:dyDescent="0.2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 x14ac:dyDescent="0.2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 x14ac:dyDescent="0.2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 x14ac:dyDescent="0.2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 x14ac:dyDescent="0.2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 x14ac:dyDescent="0.2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 x14ac:dyDescent="0.2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 x14ac:dyDescent="0.3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 x14ac:dyDescent="0.3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 x14ac:dyDescent="0.25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 x14ac:dyDescent="0.2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 x14ac:dyDescent="0.2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 x14ac:dyDescent="0.2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 x14ac:dyDescent="0.2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 x14ac:dyDescent="0.2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 x14ac:dyDescent="0.2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 x14ac:dyDescent="0.2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 x14ac:dyDescent="0.2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 x14ac:dyDescent="0.2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 x14ac:dyDescent="0.2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 x14ac:dyDescent="0.3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 x14ac:dyDescent="0.3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 x14ac:dyDescent="0.2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 x14ac:dyDescent="0.2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 x14ac:dyDescent="0.2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 x14ac:dyDescent="0.2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 x14ac:dyDescent="0.2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 x14ac:dyDescent="0.2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 x14ac:dyDescent="0.2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 x14ac:dyDescent="0.2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 x14ac:dyDescent="0.2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 x14ac:dyDescent="0.2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 x14ac:dyDescent="0.3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 x14ac:dyDescent="0.3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 x14ac:dyDescent="0.25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 x14ac:dyDescent="0.2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 x14ac:dyDescent="0.2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 x14ac:dyDescent="0.2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 x14ac:dyDescent="0.2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 x14ac:dyDescent="0.2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 x14ac:dyDescent="0.2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 x14ac:dyDescent="0.2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 x14ac:dyDescent="0.2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 x14ac:dyDescent="0.2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 x14ac:dyDescent="0.2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 x14ac:dyDescent="0.3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 x14ac:dyDescent="0.3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 x14ac:dyDescent="0.2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 x14ac:dyDescent="0.2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 x14ac:dyDescent="0.2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 x14ac:dyDescent="0.2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 x14ac:dyDescent="0.2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 x14ac:dyDescent="0.2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 x14ac:dyDescent="0.2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 x14ac:dyDescent="0.2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 x14ac:dyDescent="0.2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 x14ac:dyDescent="0.2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 x14ac:dyDescent="0.3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 x14ac:dyDescent="0.3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 x14ac:dyDescent="0.25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YPNsgUZzWF5Z2UpUABOC41cXpg+zhro2Bo2xdzs488TKhp9TyEoFF+PSsPnQcv/Mo4htwrcxxEriihPk8NmPTQ==" saltValue="5zojkPkW3B8Rckog4FXVc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2026-08-13T12:20:30Z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