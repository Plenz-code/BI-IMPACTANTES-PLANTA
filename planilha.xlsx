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78" documentId="13_ncr:1_{0A10D8D4-8450-4366-8075-B53B08E6B7EA}" xr6:coauthVersionLast="47" xr6:coauthVersionMax="47" xr10:uidLastSave="{74C6F7D6-024B-43C0-8878-DF49EACA6F72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4" i="6"/>
  <c r="J394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4" i="5"/>
  <c r="J394" i="5" s="1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4" i="4"/>
  <c r="J394" i="4" s="1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93" i="6" l="1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<sst xmlns="http://schemas.openxmlformats.org/spreadsheetml/2006/main" count="6849" uniqueCount="351">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</sst>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E404" sqref="E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45</v>
      </c>
      <c r="G405" s="36">
        <f>SUM(G393:G404)</f>
        <v>225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325</v>
      </c>
      <c r="G406" s="40">
        <f>G392+G405</f>
        <v>1640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E404" sqref="E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0.70949305555404862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0.84838194444293746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0.93310416666515983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781.20000000000016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9" activePane="bottomLeft" state="frozen"/>
      <selection pane="bottomLeft" activeCell="D403" sqref="D40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/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/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/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/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/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/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/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/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/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/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/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4" sqref="G39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0.20324305555550382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0.26782638888883709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>
        <v>13</v>
      </c>
      <c r="H393" s="140">
        <f>IFERROR(IF($G393="","",$G393*$S$405/$G$405/Cadastro!$E$33),"")</f>
        <v>0</v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153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0.26782638888883709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2026-08-15T23:56:43Z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